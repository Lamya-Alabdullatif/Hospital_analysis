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01 غلاف المشروع" sheetId="1" state="visible" r:id="rId3"/>
    <sheet name="02 قاموس البيانات" sheetId="2" state="visible" r:id="rId4"/>
    <sheet name="03 سجل التنظيف" sheetId="3" state="visible" r:id="rId5"/>
    <sheet name="04 البيانات الخام" sheetId="4" state="visible" r:id="rId6"/>
    <sheet name="05 البيانات النظيفة" sheetId="5" state="visible" r:id="rId7"/>
    <sheet name="06 الجداول التحليلية" sheetId="6" state="visible" r:id="rId8"/>
    <sheet name="07 لوحة التحكم" sheetId="7" state="visible" r:id="rId9"/>
    <sheet name="08 رسوم بيانية إضافية" sheetId="8" state="visible" r:id="rId10"/>
    <sheet name="09 الرؤى والتوصيات" sheetId="9" state="visible" r:id="rId11"/>
  </sheets>
  <definedNames>
    <definedName function="false" hidden="true" localSheetId="4" name="_xlnm._FilterDatabase" vbProcedure="false">'05 البيانات النظيفة'!$A$2:$T$2102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<sst xmlns="http://schemas.openxmlformats.org/spreadsheetml/2006/main" count="42660" uniqueCount="2421">
  <si>
    <t xml:space="preserve">مشروع تحليل بيانات مستشفى شامل</t>
  </si>
  <si>
    <t xml:space="preserve">Hospital Operations &amp; Patient Analytics — من البيانات الخام إلى لوحة تحكم تفاعلية</t>
  </si>
  <si>
    <t xml:space="preserve">هذا المشروع عبارة عن تحليل بيانات كامل لعمليات مستشفى عام افتراضي خلال عام 2024، يغطي 2,100 حالة دخول بعد التنظيف عبر 8 أقسام طبية. يوثّق الملف رحلة البيانات كاملة: من البيانات الخام بمشاكلها الحقيقية (قيم مفقودة، تكرار، تنسيقات غير متسقة، قيم شاذة)، مروراً بخطوات التنظيف الموثقة رقمياً، وصولاً إلى جداول تحليلية (بديل الجدول المحوري) ورسوم بيانية ولوحة تحكم تفاعلية بأهم مؤشرات الأداء (KPIs)، وانتهاءً برؤى وتوصيات عملية قابلة للتنفيذ.</t>
  </si>
  <si>
    <t xml:space="preserve">لمحة سريعة عن البيانات</t>
  </si>
  <si>
    <t xml:space="preserve">عدد السجلات (خام)</t>
  </si>
  <si>
    <t xml:space="preserve">عدد السجلات (نظيفة)</t>
  </si>
  <si>
    <t xml:space="preserve">الفترة الزمنية</t>
  </si>
  <si>
    <t xml:space="preserve">2024 (12 شهراً)</t>
  </si>
  <si>
    <t xml:space="preserve">عدد الأقسام الطبية</t>
  </si>
  <si>
    <t xml:space="preserve">عدد الأعمدة/المتغيرات</t>
  </si>
  <si>
    <t xml:space="preserve">فهرس الملف</t>
  </si>
  <si>
    <t xml:space="preserve">اسم الشيت</t>
  </si>
  <si>
    <t xml:space="preserve">المحتوى</t>
  </si>
  <si>
    <t xml:space="preserve">01 غلاف المشروع</t>
  </si>
  <si>
    <t xml:space="preserve">نظرة عامة على المشروع ومنهجيته</t>
  </si>
  <si>
    <t xml:space="preserve">02 قاموس البيانات</t>
  </si>
  <si>
    <t xml:space="preserve">وصف كل عمود ونوعه ومصدره</t>
  </si>
  <si>
    <t xml:space="preserve">03 سجل التنظيف</t>
  </si>
  <si>
    <t xml:space="preserve">خطوات تنظيف البيانات موثقة رقمياً قبل/بعد</t>
  </si>
  <si>
    <t xml:space="preserve">04 البيانات الخام</t>
  </si>
  <si>
    <t xml:space="preserve">عينة من البيانات الأصلية بمشاكلها قبل التنظيف</t>
  </si>
  <si>
    <t xml:space="preserve">05 البيانات النظيفة</t>
  </si>
  <si>
    <t xml:space="preserve">قاعدة البيانات الكاملة النظيفة (2,100 سجل) مع أعمدة محسوبة</t>
  </si>
  <si>
    <t xml:space="preserve">06 الجداول التحليلية</t>
  </si>
  <si>
    <t xml:space="preserve">جداول تحليلية شاملة (بديل الجدول المحوري) لكل الأبعاد</t>
  </si>
  <si>
    <t xml:space="preserve">07 لوحة التحكم</t>
  </si>
  <si>
    <t xml:space="preserve">داشبورد تفاعلي بأهم المؤشرات مع فلتر حسب القسم</t>
  </si>
  <si>
    <t xml:space="preserve">08 رسوم بيانية إضافية</t>
  </si>
  <si>
    <t xml:space="preserve">رسوم بيانية تفصيلية تكميلية</t>
  </si>
  <si>
    <t xml:space="preserve">09 الرؤى والتوصيات</t>
  </si>
  <si>
    <t xml:space="preserve">الاستنتاجات الرئيسية والتوصيات العملية</t>
  </si>
  <si>
    <t xml:space="preserve">ملاحظة: جميع البيانات في هذا الملف اصطناعية (Synthetic) تم توليدها لأغراض تعليمية/بورتفوليو، وتحاكي أنماطاً واقعية لعمليات المستشفيات ولا تعود لأي مستشفى أو مريض حقيقي.</t>
  </si>
  <si>
    <t xml:space="preserve">قاموس البيانات (Data Dictionary)</t>
  </si>
  <si>
    <t xml:space="preserve">#</t>
  </si>
  <si>
    <t xml:space="preserve">اسم العمود</t>
  </si>
  <si>
    <t xml:space="preserve">نوع البيانات</t>
  </si>
  <si>
    <t xml:space="preserve">الوصف</t>
  </si>
  <si>
    <t xml:space="preserve">المصدر / طريقة الاشتقاق</t>
  </si>
  <si>
    <t xml:space="preserve">المعرف</t>
  </si>
  <si>
    <t xml:space="preserve">نصي</t>
  </si>
  <si>
    <t xml:space="preserve">معرّف فريد لكل حالة دخول (زيارة) للمريض، بصيغة Pxxxxx</t>
  </si>
  <si>
    <t xml:space="preserve">مولّد آلياً</t>
  </si>
  <si>
    <t xml:space="preserve">تاريخ_الدخول</t>
  </si>
  <si>
    <t xml:space="preserve">تاريخ</t>
  </si>
  <si>
    <t xml:space="preserve">تاريخ دخول المريض إلى المستشفى</t>
  </si>
  <si>
    <t xml:space="preserve">نظام القبول والتسجيل</t>
  </si>
  <si>
    <t xml:space="preserve">تاريخ_الخروج</t>
  </si>
  <si>
    <t xml:space="preserve">تاريخ خروج المريض من المستشفى</t>
  </si>
  <si>
    <t xml:space="preserve">العمر</t>
  </si>
  <si>
    <t xml:space="preserve">رقمي</t>
  </si>
  <si>
    <t xml:space="preserve">عمر المريض بالسنوات وقت الدخول</t>
  </si>
  <si>
    <t xml:space="preserve">ملف المريض</t>
  </si>
  <si>
    <t xml:space="preserve">الجنس</t>
  </si>
  <si>
    <t xml:space="preserve">نصي (فئوي)</t>
  </si>
  <si>
    <t xml:space="preserve">ذكر / أنثى</t>
  </si>
  <si>
    <t xml:space="preserve">القسم</t>
  </si>
  <si>
    <t xml:space="preserve">القسم الطبي المسؤول عن الحالة (8 أقسام)</t>
  </si>
  <si>
    <t xml:space="preserve">نظام إدارة الأسرّة</t>
  </si>
  <si>
    <t xml:space="preserve">التشخيص</t>
  </si>
  <si>
    <t xml:space="preserve">التشخيص الأساسي المرتبط بالحالة</t>
  </si>
  <si>
    <t xml:space="preserve">الملف الطبي</t>
  </si>
  <si>
    <t xml:space="preserve">الطبيب_المعالج</t>
  </si>
  <si>
    <t xml:space="preserve">اسم الطبيب المسؤول عن متابعة الحالة</t>
  </si>
  <si>
    <t xml:space="preserve">نظام الموارد البشرية</t>
  </si>
  <si>
    <t xml:space="preserve">نوع_الدخول</t>
  </si>
  <si>
    <t xml:space="preserve">طارئة / اختيارية / تحويل من مستشفى آخر</t>
  </si>
  <si>
    <t xml:space="preserve">نظام القبول</t>
  </si>
  <si>
    <t xml:space="preserve">نوع_الغرفة</t>
  </si>
  <si>
    <t xml:space="preserve">عادية / خاصة / عناية مركزة</t>
  </si>
  <si>
    <t xml:space="preserve">نوع_التأمين</t>
  </si>
  <si>
    <t xml:space="preserve">جهة تغطية تكلفة العلاج</t>
  </si>
  <si>
    <t xml:space="preserve">قسم الفوترة</t>
  </si>
  <si>
    <t xml:space="preserve">التكلفة_الإجمالية</t>
  </si>
  <si>
    <t xml:space="preserve">رقمي (عملة)</t>
  </si>
  <si>
    <t xml:space="preserve">إجمالي تكلفة الحالة بالريال السعودي (SAR)</t>
  </si>
  <si>
    <t xml:space="preserve">تقييم_رضا_المريض</t>
  </si>
  <si>
    <t xml:space="preserve">رقمي (1-5)</t>
  </si>
  <si>
    <t xml:space="preserve">تقييم المريض لتجربته العلاجية، 1=غير راضٍ إطلاقاً، 5=راضٍ جداً</t>
  </si>
  <si>
    <t xml:space="preserve">استبيان رضا ما بعد الخروج</t>
  </si>
  <si>
    <t xml:space="preserve">إعادة_دخول_خلال_30_يوم</t>
  </si>
  <si>
    <t xml:space="preserve">نصي (ثنائي)</t>
  </si>
  <si>
    <t xml:space="preserve">نعم/لا - هل عاد المريض للدخول خلال 30 يوماً لنفس الحالة أو لمضاعفاتها</t>
  </si>
  <si>
    <t xml:space="preserve">نظام القبول (مطابقة تاريخية)</t>
  </si>
  <si>
    <t xml:space="preserve">حالة_الخروج</t>
  </si>
  <si>
    <t xml:space="preserve">خرج بحالة مستقرة / تحويل لمستشفى آخر / خروج بطلب ذاتي / وفاة</t>
  </si>
  <si>
    <t xml:space="preserve">— أعمدة محسوبة في شيت البيانات النظيفة —</t>
  </si>
  <si>
    <t xml:space="preserve">مدة_الإقامة_أيام</t>
  </si>
  <si>
    <t xml:space="preserve">رقمي (محسوب)</t>
  </si>
  <si>
    <t xml:space="preserve">الفرق: تاريخ_الخروج ناقص تاريخ_الدخول (بالأيام)</t>
  </si>
  <si>
    <t xml:space="preserve">صيغة</t>
  </si>
  <si>
    <t xml:space="preserve">الشهر</t>
  </si>
  <si>
    <t xml:space="preserve">نصي (محسوب)</t>
  </si>
  <si>
    <t xml:space="preserve">اسم شهر الدخول مستخرج من تاريخ_الدخول</t>
  </si>
  <si>
    <t xml:space="preserve">الربع</t>
  </si>
  <si>
    <t xml:space="preserve">الربع السنوي لتاريخ الدخول (١-٤)</t>
  </si>
  <si>
    <t xml:space="preserve">الفئة_العمرية</t>
  </si>
  <si>
    <t xml:space="preserve">تصنيف العمر إلى 5 فئات عمرية</t>
  </si>
  <si>
    <t xml:space="preserve">تكلفة_اليوم_الواحد</t>
  </si>
  <si>
    <t xml:space="preserve">ناتج قسمة التكلفة_الإجمالية على مدة_الإقامة_أيام</t>
  </si>
  <si>
    <t xml:space="preserve">سجل تنظيف البيانات (Data Cleaning Log)</t>
  </si>
  <si>
    <t xml:space="preserve">توثيق كامل لكل خطوة تنظيف تمت على البيانات الخام، مع الأرقام الفعلية قبل وبعد كل معالجة</t>
  </si>
  <si>
    <t xml:space="preserve">الخطوة</t>
  </si>
  <si>
    <t xml:space="preserve">التفاصيل</t>
  </si>
  <si>
    <t xml:space="preserve">عدد السجلات الأولي (خام)</t>
  </si>
  <si>
    <t xml:space="preserve">2142 سجل قبل أي تنظيف</t>
  </si>
  <si>
    <t xml:space="preserve">إزالة السجلات المكررة</t>
  </si>
  <si>
    <t xml:space="preserve">تم حذف 42 سجل مكرر بالاعتماد على عمود المعرف (المعرّف الفريد للمريض/الزيارة)</t>
  </si>
  <si>
    <t xml:space="preserve">توحيد أسماء الأقسام</t>
  </si>
  <si>
    <t xml:space="preserve">تم توحيد الأشكال النصية المختلفة لاسم القسم (مسافات زائدة، اختصارات، أخطاء إملائية) — من 15 صيغة نصية مختلفة إلى 8 قسم موحّد</t>
  </si>
  <si>
    <t xml:space="preserve">توحيد عمود الجنس</t>
  </si>
  <si>
    <t xml:space="preserve">توحيد القيم الإنجليزية/العربية والمسافات الزائدة إلى قيمتين موحّدتين: ذكر / أنثى</t>
  </si>
  <si>
    <t xml:space="preserve">تصحيح التواريخ المعكوسة</t>
  </si>
  <si>
    <t xml:space="preserve">تم اكتشاف وتصحيح 8 سجل كان فيه تاريخ الخروج أسبق من تاريخ الدخول (خطأ إدخال) بمبادلة القيمتين</t>
  </si>
  <si>
    <t xml:space="preserve">معالجة قيم العمر الشاذة والمفقودة</t>
  </si>
  <si>
    <t xml:space="preserve">تم تحويل 15 قيمة غير منطقية (سالبة أو أكبر من 110) إلى مفقودة، ثم تعويض إجمالي 56 قيمة عمر مفقودة بوسيط العمر لنفس القسم الطبي (Median Imputation by Department)</t>
  </si>
  <si>
    <t xml:space="preserve">معالجة التكلفة غير المنطقية</t>
  </si>
  <si>
    <t xml:space="preserve">تم استبدال 10 قيمة تكلفة سالبة أو صفرية (خطأ إدخال) بوسيط التكلفة لنفس القسم ونوع الغرفة</t>
  </si>
  <si>
    <t xml:space="preserve">معالجة تقييم رضا المريض</t>
  </si>
  <si>
    <t xml:space="preserve">تم تصحيح 6 قيمة تقييم خارج النطاق المسموح (1-5)، وتعويض 111 قيمة مفقودة بوسيط القسم</t>
  </si>
  <si>
    <t xml:space="preserve">تعويض نوع التأمين المفقود</t>
  </si>
  <si>
    <t xml:space="preserve">تم تعويض 62 قيمة مفقودة بالقيمة الأكثر شيوعاً في البيانات: "تأمين حكومي" (Mode Imputation)</t>
  </si>
  <si>
    <t xml:space="preserve">معالجة الطبيب المعالج المفقود</t>
  </si>
  <si>
    <t xml:space="preserve">تم تصنيف 32 سجل لم يحتو على اسم الطبيب المعالج ضمن فئة "غير محدد" بدلاً من حذفها أو تخمين طبيب غير صحيح</t>
  </si>
  <si>
    <t xml:space="preserve">تعويض حالة الخروج المفقودة</t>
  </si>
  <si>
    <t xml:space="preserve">تم تعويض 39 قيمة مفقودة بالحالة الأكثر شيوعاً ضمن نفس القسم الطبي</t>
  </si>
  <si>
    <t xml:space="preserve">التحقق النهائي من اتساق التواريخ</t>
  </si>
  <si>
    <t xml:space="preserve">بعد التصحيح: عدد السجلات التي لا تزال فيها مدة إقامة سالبة = 0 (تم التأكد أنها صفر)</t>
  </si>
  <si>
    <t xml:space="preserve">عدد السجلات النهائي (بعد التنظيف)</t>
  </si>
  <si>
    <t xml:space="preserve">2100 سجل نظيف وجاهز للتحليل (من أصل 2142 سجل خام)</t>
  </si>
  <si>
    <t xml:space="preserve">ملخص الأثر الإجمالي للتنظيف</t>
  </si>
  <si>
    <t xml:space="preserve">المقياس</t>
  </si>
  <si>
    <t xml:space="preserve">قبل التنظيف</t>
  </si>
  <si>
    <t xml:space="preserve">بعد التنظيف</t>
  </si>
  <si>
    <t xml:space="preserve">عدد السجلات</t>
  </si>
  <si>
    <t xml:space="preserve">عدد السجلات المكررة</t>
  </si>
  <si>
    <t xml:space="preserve">القيم المفقودة الإجمالية</t>
  </si>
  <si>
    <t xml:space="preserve">البيانات الخام قبل التنظيف (عينة كاملة كما وردت من الأنظمة المصدرية)</t>
  </si>
  <si>
    <t xml:space="preserve">لاحظ: قيم مفقودة، تكرار في المعرف، عدم اتساق نصي (مسافات/لغة)، قيم عمر وتكلفة غير منطقية، وتواريخ معكوسة — تم رصدها ومعالجتها في شيت (03 سجل التنظيف)</t>
  </si>
  <si>
    <t xml:space="preserve">P10923</t>
  </si>
  <si>
    <t xml:space="preserve">أنثى</t>
  </si>
  <si>
    <t xml:space="preserve">الجراحة العامة</t>
  </si>
  <si>
    <t xml:space="preserve">التهاب الزائدة الدودية</t>
  </si>
  <si>
    <t xml:space="preserve">د. يوسف الدوسري</t>
  </si>
  <si>
    <t xml:space="preserve">طارئة</t>
  </si>
  <si>
    <t xml:space="preserve">خاصة</t>
  </si>
  <si>
    <t xml:space="preserve">تأمين حكومي</t>
  </si>
  <si>
    <t xml:space="preserve">لا</t>
  </si>
  <si>
    <t xml:space="preserve">خرج بحالة مستقرة</t>
  </si>
  <si>
    <t xml:space="preserve">P11513</t>
  </si>
  <si>
    <t xml:space="preserve">النساء والولادة</t>
  </si>
  <si>
    <t xml:space="preserve">متابعة حمل عالي الخطورة</t>
  </si>
  <si>
    <t xml:space="preserve">د. وفاء الزهراني</t>
  </si>
  <si>
    <t xml:space="preserve">اختيارية</t>
  </si>
  <si>
    <t xml:space="preserve">P11593</t>
  </si>
  <si>
    <t xml:space="preserve">ذكر</t>
  </si>
  <si>
    <t xml:space="preserve">الأطفال</t>
  </si>
  <si>
    <t xml:space="preserve">التهاب الشعب الهوائية</t>
  </si>
  <si>
    <t xml:space="preserve">د. سلطان الجهني</t>
  </si>
  <si>
    <t xml:space="preserve">تحويل من مستشفى آخر</t>
  </si>
  <si>
    <t xml:space="preserve">عادية</t>
  </si>
  <si>
    <t xml:space="preserve">تأمين خاص</t>
  </si>
  <si>
    <t xml:space="preserve">P11648</t>
  </si>
  <si>
    <t xml:space="preserve">الباطنه</t>
  </si>
  <si>
    <t xml:space="preserve">فشل كلوي مزمن</t>
  </si>
  <si>
    <t xml:space="preserve">د. خالد الزهراني</t>
  </si>
  <si>
    <t xml:space="preserve">P10651</t>
  </si>
  <si>
    <t xml:space="preserve">P10922</t>
  </si>
  <si>
    <t xml:space="preserve">استئصال المرارة</t>
  </si>
  <si>
    <t xml:space="preserve">P10328</t>
  </si>
  <si>
    <t xml:space="preserve">الباطنة</t>
  </si>
  <si>
    <t xml:space="preserve">سكري غير منضبط</t>
  </si>
  <si>
    <t xml:space="preserve">د. عبدالله الشمري</t>
  </si>
  <si>
    <t xml:space="preserve">P10856</t>
  </si>
  <si>
    <t xml:space="preserve">العظام</t>
  </si>
  <si>
    <t xml:space="preserve">إصابة رباط</t>
  </si>
  <si>
    <t xml:space="preserve">د. تركي العنزي</t>
  </si>
  <si>
    <t xml:space="preserve">عناية مركزة</t>
  </si>
  <si>
    <t xml:space="preserve">P10562</t>
  </si>
  <si>
    <t xml:space="preserve">كسر عظمي</t>
  </si>
  <si>
    <t xml:space="preserve">P11484</t>
  </si>
  <si>
    <t xml:space="preserve">Male</t>
  </si>
  <si>
    <t xml:space="preserve">أمراض القلب</t>
  </si>
  <si>
    <t xml:space="preserve">احتشاء عضلة القلب</t>
  </si>
  <si>
    <t xml:space="preserve">د. هند الحارثي</t>
  </si>
  <si>
    <t xml:space="preserve">ضمان اجتماعي</t>
  </si>
  <si>
    <t xml:space="preserve">P11700</t>
  </si>
  <si>
    <t xml:space="preserve">د. غادة العمري</t>
  </si>
  <si>
    <t xml:space="preserve">P11797</t>
  </si>
  <si>
    <t xml:space="preserve">عدم انتظام ضربات القلب</t>
  </si>
  <si>
    <t xml:space="preserve">P11913</t>
  </si>
  <si>
    <t xml:space="preserve">أنثى </t>
  </si>
  <si>
    <t xml:space="preserve">طوارئ</t>
  </si>
  <si>
    <t xml:space="preserve">كسر طارئ</t>
  </si>
  <si>
    <t xml:space="preserve">د. نورة العتيبي</t>
  </si>
  <si>
    <t xml:space="preserve">P11227</t>
  </si>
  <si>
    <t xml:space="preserve">د. منى القحطاني</t>
  </si>
  <si>
    <t xml:space="preserve">P10755</t>
  </si>
  <si>
    <t xml:space="preserve">P12095</t>
  </si>
  <si>
    <t xml:space="preserve">استبدال مفصل الركبة</t>
  </si>
  <si>
    <t xml:space="preserve">د. لينا السبيعي</t>
  </si>
  <si>
    <t xml:space="preserve">P11795</t>
  </si>
  <si>
    <t xml:space="preserve">P11933</t>
  </si>
  <si>
    <t xml:space="preserve">P10789</t>
  </si>
  <si>
    <t xml:space="preserve">الطوارئ</t>
  </si>
  <si>
    <t xml:space="preserve">إصابة حادة</t>
  </si>
  <si>
    <t xml:space="preserve">د. فهد المطيري</t>
  </si>
  <si>
    <t xml:space="preserve">تحويل لمستشفى آخر</t>
  </si>
  <si>
    <t xml:space="preserve">P10140</t>
  </si>
  <si>
    <t xml:space="preserve">P10415</t>
  </si>
  <si>
    <t xml:space="preserve">بدون تأمين (ذاتي)</t>
  </si>
  <si>
    <t xml:space="preserve">نعم</t>
  </si>
  <si>
    <t xml:space="preserve">P12079</t>
  </si>
  <si>
    <t xml:space="preserve">الباطنة </t>
  </si>
  <si>
    <t xml:space="preserve">التهاب رئوي</t>
  </si>
  <si>
    <t xml:space="preserve">P10611</t>
  </si>
  <si>
    <t xml:space="preserve">P10717</t>
  </si>
  <si>
    <t xml:space="preserve">Female</t>
  </si>
  <si>
    <t xml:space="preserve">حروق</t>
  </si>
  <si>
    <t xml:space="preserve">P10885</t>
  </si>
  <si>
    <t xml:space="preserve">P11808</t>
  </si>
  <si>
    <t xml:space="preserve">جفاف حاد</t>
  </si>
  <si>
    <t xml:space="preserve">P11346</t>
  </si>
  <si>
    <t xml:space="preserve">د. أمل باقادر</t>
  </si>
  <si>
    <t xml:space="preserve">P12071</t>
  </si>
  <si>
    <t xml:space="preserve">ولادة طبيعية</t>
  </si>
  <si>
    <t xml:space="preserve">P10284</t>
  </si>
  <si>
    <t xml:space="preserve">الأورام</t>
  </si>
  <si>
    <t xml:space="preserve">جراحة إزالة ورم</t>
  </si>
  <si>
    <t xml:space="preserve">د. دانة المالكي</t>
  </si>
  <si>
    <t xml:space="preserve">P11831</t>
  </si>
  <si>
    <t xml:space="preserve">ضغط الدم المرتفع</t>
  </si>
  <si>
    <t xml:space="preserve">P10241</t>
  </si>
  <si>
    <t xml:space="preserve">تسمم غذائي</t>
  </si>
  <si>
    <t xml:space="preserve">د. سارة الحربي</t>
  </si>
  <si>
    <t xml:space="preserve">P10984</t>
  </si>
  <si>
    <t xml:space="preserve">P11123</t>
  </si>
  <si>
    <t xml:space="preserve">P10701</t>
  </si>
  <si>
    <t xml:space="preserve">قصور القلب</t>
  </si>
  <si>
    <t xml:space="preserve">P10308</t>
  </si>
  <si>
    <t xml:space="preserve">P10110</t>
  </si>
  <si>
    <t xml:space="preserve">الطوارئ </t>
  </si>
  <si>
    <t xml:space="preserve">ألم صدر حاد</t>
  </si>
  <si>
    <t xml:space="preserve">P10423</t>
  </si>
  <si>
    <t xml:space="preserve">ولادة قيصرية</t>
  </si>
  <si>
    <t xml:space="preserve">P11437</t>
  </si>
  <si>
    <t xml:space="preserve">د. ماجد الشهري</t>
  </si>
  <si>
    <t xml:space="preserve">P11927</t>
  </si>
  <si>
    <t xml:space="preserve">خروج بطلب ذاتي</t>
  </si>
  <si>
    <t xml:space="preserve">P11645</t>
  </si>
  <si>
    <t xml:space="preserve">P10986</t>
  </si>
  <si>
    <t xml:space="preserve">P11195</t>
  </si>
  <si>
    <t xml:space="preserve">P11683</t>
  </si>
  <si>
    <t xml:space="preserve">P12011</t>
  </si>
  <si>
    <t xml:space="preserve">P11457</t>
  </si>
  <si>
    <t xml:space="preserve">P11085</t>
  </si>
  <si>
    <t xml:space="preserve">P11419</t>
  </si>
  <si>
    <t xml:space="preserve">P11883</t>
  </si>
  <si>
    <t xml:space="preserve">ذكر </t>
  </si>
  <si>
    <t xml:space="preserve">متابعة ورم</t>
  </si>
  <si>
    <t xml:space="preserve">P10688</t>
  </si>
  <si>
    <t xml:space="preserve">P11082</t>
  </si>
  <si>
    <t xml:space="preserve">P11502</t>
  </si>
  <si>
    <t xml:space="preserve">P10765</t>
  </si>
  <si>
    <t xml:space="preserve">د. فيصل الرشيدي</t>
  </si>
  <si>
    <t xml:space="preserve">P10887</t>
  </si>
  <si>
    <t xml:space="preserve">P12078</t>
  </si>
  <si>
    <t xml:space="preserve">P11905</t>
  </si>
  <si>
    <t xml:space="preserve">P11039</t>
  </si>
  <si>
    <t xml:space="preserve">P11168</t>
  </si>
  <si>
    <t xml:space="preserve">P11725</t>
  </si>
  <si>
    <t xml:space="preserve">P10007</t>
  </si>
  <si>
    <t xml:space="preserve">P10762</t>
  </si>
  <si>
    <t xml:space="preserve">P11829</t>
  </si>
  <si>
    <t xml:space="preserve">P11470</t>
  </si>
  <si>
    <t xml:space="preserve">P10232</t>
  </si>
  <si>
    <t xml:space="preserve">P11296</t>
  </si>
  <si>
    <t xml:space="preserve">P10620</t>
  </si>
  <si>
    <t xml:space="preserve">P10051</t>
  </si>
  <si>
    <t xml:space="preserve">P10206</t>
  </si>
  <si>
    <t xml:space="preserve">انثى</t>
  </si>
  <si>
    <t xml:space="preserve">P11228</t>
  </si>
  <si>
    <t xml:space="preserve">P10204</t>
  </si>
  <si>
    <t xml:space="preserve">P12082</t>
  </si>
  <si>
    <t xml:space="preserve">P10975</t>
  </si>
  <si>
    <t xml:space="preserve">P10395</t>
  </si>
  <si>
    <t xml:space="preserve">P10731</t>
  </si>
  <si>
    <t xml:space="preserve">P11478</t>
  </si>
  <si>
    <t xml:space="preserve">P11210</t>
  </si>
  <si>
    <t xml:space="preserve">الأطفال </t>
  </si>
  <si>
    <t xml:space="preserve">P10739</t>
  </si>
  <si>
    <t xml:space="preserve">د. ريم الغامدي</t>
  </si>
  <si>
    <t xml:space="preserve">P10375</t>
  </si>
  <si>
    <t xml:space="preserve">P10071</t>
  </si>
  <si>
    <t xml:space="preserve">P11246</t>
  </si>
  <si>
    <t xml:space="preserve">P10172</t>
  </si>
  <si>
    <t xml:space="preserve">وفاة</t>
  </si>
  <si>
    <t xml:space="preserve">P10470</t>
  </si>
  <si>
    <t xml:space="preserve">P11625</t>
  </si>
  <si>
    <t xml:space="preserve">P11051</t>
  </si>
  <si>
    <t xml:space="preserve">P10875</t>
  </si>
  <si>
    <t xml:space="preserve">P11981</t>
  </si>
  <si>
    <t xml:space="preserve">P11340</t>
  </si>
  <si>
    <t xml:space="preserve">حمى فيروسية</t>
  </si>
  <si>
    <t xml:space="preserve">P11946</t>
  </si>
  <si>
    <t xml:space="preserve">P10441</t>
  </si>
  <si>
    <t xml:space="preserve">P11568</t>
  </si>
  <si>
    <t xml:space="preserve">P11083</t>
  </si>
  <si>
    <t xml:space="preserve">P11067</t>
  </si>
  <si>
    <t xml:space="preserve">P11559</t>
  </si>
  <si>
    <t xml:space="preserve">P10802</t>
  </si>
  <si>
    <t xml:space="preserve">P10810</t>
  </si>
  <si>
    <t xml:space="preserve">P10547</t>
  </si>
  <si>
    <t xml:space="preserve">P11632</t>
  </si>
  <si>
    <t xml:space="preserve">P11672</t>
  </si>
  <si>
    <t xml:space="preserve">P10525</t>
  </si>
  <si>
    <t xml:space="preserve">P10707</t>
  </si>
  <si>
    <t xml:space="preserve">فتق</t>
  </si>
  <si>
    <t xml:space="preserve">P10735</t>
  </si>
  <si>
    <t xml:space="preserve">P11294</t>
  </si>
  <si>
    <t xml:space="preserve">P11726</t>
  </si>
  <si>
    <t xml:space="preserve">P11819</t>
  </si>
  <si>
    <t xml:space="preserve">P10002</t>
  </si>
  <si>
    <t xml:space="preserve">P10710</t>
  </si>
  <si>
    <t xml:space="preserve">P10788</t>
  </si>
  <si>
    <t xml:space="preserve">P10353</t>
  </si>
  <si>
    <t xml:space="preserve">P11782</t>
  </si>
  <si>
    <t xml:space="preserve">P10278</t>
  </si>
  <si>
    <t xml:space="preserve">P11815</t>
  </si>
  <si>
    <t xml:space="preserve">P10734</t>
  </si>
  <si>
    <t xml:space="preserve">P10431</t>
  </si>
  <si>
    <t xml:space="preserve">P11236</t>
  </si>
  <si>
    <t xml:space="preserve">P11121</t>
  </si>
  <si>
    <t xml:space="preserve">P10981</t>
  </si>
  <si>
    <t xml:space="preserve">P10300</t>
  </si>
  <si>
    <t xml:space="preserve"> الطوارئ</t>
  </si>
  <si>
    <t xml:space="preserve">P11113</t>
  </si>
  <si>
    <t xml:space="preserve">P10976</t>
  </si>
  <si>
    <t xml:space="preserve">P10377</t>
  </si>
  <si>
    <t xml:space="preserve">P11187</t>
  </si>
  <si>
    <t xml:space="preserve">P10299</t>
  </si>
  <si>
    <t xml:space="preserve">P11640</t>
  </si>
  <si>
    <t xml:space="preserve">P11747</t>
  </si>
  <si>
    <t xml:space="preserve">P10921</t>
  </si>
  <si>
    <t xml:space="preserve">P10372</t>
  </si>
  <si>
    <t xml:space="preserve">P10426</t>
  </si>
  <si>
    <t xml:space="preserve">P10833</t>
  </si>
  <si>
    <t xml:space="preserve">P12028</t>
  </si>
  <si>
    <t xml:space="preserve">P10578</t>
  </si>
  <si>
    <t xml:space="preserve">P10540</t>
  </si>
  <si>
    <t xml:space="preserve">P11369</t>
  </si>
  <si>
    <t xml:space="preserve">P10635</t>
  </si>
  <si>
    <t xml:space="preserve">P11353</t>
  </si>
  <si>
    <t xml:space="preserve">P11261</t>
  </si>
  <si>
    <t xml:space="preserve">P10179</t>
  </si>
  <si>
    <t xml:space="preserve">P11397</t>
  </si>
  <si>
    <t xml:space="preserve">P10527</t>
  </si>
  <si>
    <t xml:space="preserve">P10463</t>
  </si>
  <si>
    <t xml:space="preserve">P11938</t>
  </si>
  <si>
    <t xml:space="preserve">P10488</t>
  </si>
  <si>
    <t xml:space="preserve">P11408</t>
  </si>
  <si>
    <t xml:space="preserve">P10561</t>
  </si>
  <si>
    <t xml:space="preserve">P11619</t>
  </si>
  <si>
    <t xml:space="preserve">P10835</t>
  </si>
  <si>
    <t xml:space="preserve">P11152</t>
  </si>
  <si>
    <t xml:space="preserve">P11650</t>
  </si>
  <si>
    <t xml:space="preserve">P11776</t>
  </si>
  <si>
    <t xml:space="preserve">P11178</t>
  </si>
  <si>
    <t xml:space="preserve">P11149</t>
  </si>
  <si>
    <t xml:space="preserve">P10117</t>
  </si>
  <si>
    <t xml:space="preserve">P11872</t>
  </si>
  <si>
    <t xml:space="preserve">P11350</t>
  </si>
  <si>
    <t xml:space="preserve">P10779</t>
  </si>
  <si>
    <t xml:space="preserve">P10837</t>
  </si>
  <si>
    <t xml:space="preserve">P10721</t>
  </si>
  <si>
    <t xml:space="preserve">P12094</t>
  </si>
  <si>
    <t xml:space="preserve">P12046</t>
  </si>
  <si>
    <t xml:space="preserve">اطفال</t>
  </si>
  <si>
    <t xml:space="preserve">P10196</t>
  </si>
  <si>
    <t xml:space="preserve">P11070</t>
  </si>
  <si>
    <t xml:space="preserve">P11600</t>
  </si>
  <si>
    <t xml:space="preserve">P10070</t>
  </si>
  <si>
    <t xml:space="preserve">P11992</t>
  </si>
  <si>
    <t xml:space="preserve">P11615</t>
  </si>
  <si>
    <t xml:space="preserve">P10868</t>
  </si>
  <si>
    <t xml:space="preserve">P10009</t>
  </si>
  <si>
    <t xml:space="preserve">P11409</t>
  </si>
  <si>
    <t xml:space="preserve">ورم خبيث - جلسة علاج كيميائي</t>
  </si>
  <si>
    <t xml:space="preserve">P10237</t>
  </si>
  <si>
    <t xml:space="preserve">P11127</t>
  </si>
  <si>
    <t xml:space="preserve">P11936</t>
  </si>
  <si>
    <t xml:space="preserve">P10358</t>
  </si>
  <si>
    <t xml:space="preserve">P10217</t>
  </si>
  <si>
    <t xml:space="preserve">P10127</t>
  </si>
  <si>
    <t xml:space="preserve">P10471</t>
  </si>
  <si>
    <t xml:space="preserve">P10028</t>
  </si>
  <si>
    <t xml:space="preserve">P10619</t>
  </si>
  <si>
    <t xml:space="preserve">P10694</t>
  </si>
  <si>
    <t xml:space="preserve">P11986</t>
  </si>
  <si>
    <t xml:space="preserve">P10705</t>
  </si>
  <si>
    <t xml:space="preserve">P11962</t>
  </si>
  <si>
    <t xml:space="preserve">P10823</t>
  </si>
  <si>
    <t xml:space="preserve">P11156</t>
  </si>
  <si>
    <t xml:space="preserve">P11466</t>
  </si>
  <si>
    <t xml:space="preserve">P10262</t>
  </si>
  <si>
    <t xml:space="preserve">P10099</t>
  </si>
  <si>
    <t xml:space="preserve">P10325</t>
  </si>
  <si>
    <t xml:space="preserve">P11480</t>
  </si>
  <si>
    <t xml:space="preserve">P11943</t>
  </si>
  <si>
    <t xml:space="preserve">P10034</t>
  </si>
  <si>
    <t xml:space="preserve">P10037</t>
  </si>
  <si>
    <t xml:space="preserve">P10803</t>
  </si>
  <si>
    <t xml:space="preserve">P11596</t>
  </si>
  <si>
    <t xml:space="preserve">P11637</t>
  </si>
  <si>
    <t xml:space="preserve">P11138</t>
  </si>
  <si>
    <t xml:space="preserve">P10738</t>
  </si>
  <si>
    <t xml:space="preserve">P10623</t>
  </si>
  <si>
    <t xml:space="preserve">P12049</t>
  </si>
  <si>
    <t xml:space="preserve">P10108</t>
  </si>
  <si>
    <t xml:space="preserve">P10702</t>
  </si>
  <si>
    <t xml:space="preserve">P11695</t>
  </si>
  <si>
    <t xml:space="preserve">P10200</t>
  </si>
  <si>
    <t xml:space="preserve">P11275</t>
  </si>
  <si>
    <t xml:space="preserve">P10012</t>
  </si>
  <si>
    <t xml:space="preserve">P10983</t>
  </si>
  <si>
    <t xml:space="preserve">P10259</t>
  </si>
  <si>
    <t xml:space="preserve">P11756</t>
  </si>
  <si>
    <t xml:space="preserve">P11011</t>
  </si>
  <si>
    <t xml:space="preserve">P11461</t>
  </si>
  <si>
    <t xml:space="preserve">P12018</t>
  </si>
  <si>
    <t xml:space="preserve">P10188</t>
  </si>
  <si>
    <t xml:space="preserve">P11336</t>
  </si>
  <si>
    <t xml:space="preserve">P10977</t>
  </si>
  <si>
    <t xml:space="preserve">P10746</t>
  </si>
  <si>
    <t xml:space="preserve">P11308</t>
  </si>
  <si>
    <t xml:space="preserve">P10020</t>
  </si>
  <si>
    <t xml:space="preserve">P11436</t>
  </si>
  <si>
    <t xml:space="preserve">P11659</t>
  </si>
  <si>
    <t xml:space="preserve">P11769</t>
  </si>
  <si>
    <t xml:space="preserve">P10430</t>
  </si>
  <si>
    <t xml:space="preserve">P11591</t>
  </si>
  <si>
    <t xml:space="preserve">P10978</t>
  </si>
  <si>
    <t xml:space="preserve">P11024</t>
  </si>
  <si>
    <t xml:space="preserve">P10279</t>
  </si>
  <si>
    <t xml:space="preserve">P10024</t>
  </si>
  <si>
    <t xml:space="preserve">P11778</t>
  </si>
  <si>
    <t xml:space="preserve">P10412</t>
  </si>
  <si>
    <t xml:space="preserve">P10340</t>
  </si>
  <si>
    <t xml:space="preserve">P11116</t>
  </si>
  <si>
    <t xml:space="preserve">P10637</t>
  </si>
  <si>
    <t xml:space="preserve">P11774</t>
  </si>
  <si>
    <t xml:space="preserve">P11971</t>
  </si>
  <si>
    <t xml:space="preserve">P10361</t>
  </si>
  <si>
    <t xml:space="preserve">P10590</t>
  </si>
  <si>
    <t xml:space="preserve">P10229</t>
  </si>
  <si>
    <t xml:space="preserve">P11649</t>
  </si>
  <si>
    <t xml:space="preserve">P11038</t>
  </si>
  <si>
    <t xml:space="preserve">P11179</t>
  </si>
  <si>
    <t xml:space="preserve">P10704</t>
  </si>
  <si>
    <t xml:space="preserve">P11719</t>
  </si>
  <si>
    <t xml:space="preserve">P11611</t>
  </si>
  <si>
    <t xml:space="preserve">P11738</t>
  </si>
  <si>
    <t xml:space="preserve">P10479</t>
  </si>
  <si>
    <t xml:space="preserve">P11586</t>
  </si>
  <si>
    <t xml:space="preserve">P12070</t>
  </si>
  <si>
    <t xml:space="preserve">P10419</t>
  </si>
  <si>
    <t xml:space="preserve">P11545</t>
  </si>
  <si>
    <t xml:space="preserve">P10860</t>
  </si>
  <si>
    <t xml:space="preserve">P11686</t>
  </si>
  <si>
    <t xml:space="preserve">P10058</t>
  </si>
  <si>
    <t xml:space="preserve">P10683</t>
  </si>
  <si>
    <t xml:space="preserve">P11269</t>
  </si>
  <si>
    <t xml:space="preserve">P10587</t>
  </si>
  <si>
    <t xml:space="preserve">P10142</t>
  </si>
  <si>
    <t xml:space="preserve">P10304</t>
  </si>
  <si>
    <t xml:space="preserve">P12050</t>
  </si>
  <si>
    <t xml:space="preserve">P11319</t>
  </si>
  <si>
    <t xml:space="preserve">P10700</t>
  </si>
  <si>
    <t xml:space="preserve">P11518</t>
  </si>
  <si>
    <t xml:space="preserve">P10610</t>
  </si>
  <si>
    <t xml:space="preserve">P11199</t>
  </si>
  <si>
    <t xml:space="preserve">P10270</t>
  </si>
  <si>
    <t xml:space="preserve">P10185</t>
  </si>
  <si>
    <t xml:space="preserve">P10367</t>
  </si>
  <si>
    <t xml:space="preserve">P10374</t>
  </si>
  <si>
    <t xml:space="preserve">P10160</t>
  </si>
  <si>
    <t xml:space="preserve">P10806</t>
  </si>
  <si>
    <t xml:space="preserve">P12059</t>
  </si>
  <si>
    <t xml:space="preserve">P11459</t>
  </si>
  <si>
    <t xml:space="preserve">P11072</t>
  </si>
  <si>
    <t xml:space="preserve">P12052</t>
  </si>
  <si>
    <t xml:space="preserve">P11481</t>
  </si>
  <si>
    <t xml:space="preserve">P10147</t>
  </si>
  <si>
    <t xml:space="preserve">P11117</t>
  </si>
  <si>
    <t xml:space="preserve">P12099</t>
  </si>
  <si>
    <t xml:space="preserve">P10454</t>
  </si>
  <si>
    <t xml:space="preserve">P11775</t>
  </si>
  <si>
    <t xml:space="preserve">P10452</t>
  </si>
  <si>
    <t xml:space="preserve">P10606</t>
  </si>
  <si>
    <t xml:space="preserve">P11524</t>
  </si>
  <si>
    <t xml:space="preserve">P11812</t>
  </si>
  <si>
    <t xml:space="preserve">P11010</t>
  </si>
  <si>
    <t xml:space="preserve">P10795</t>
  </si>
  <si>
    <t xml:space="preserve">P10437</t>
  </si>
  <si>
    <t xml:space="preserve">P11118</t>
  </si>
  <si>
    <t xml:space="preserve">P10186</t>
  </si>
  <si>
    <t xml:space="preserve">P10681</t>
  </si>
  <si>
    <t xml:space="preserve">P11636</t>
  </si>
  <si>
    <t xml:space="preserve">P11454</t>
  </si>
  <si>
    <t xml:space="preserve">P11923</t>
  </si>
  <si>
    <t xml:space="preserve">P11124</t>
  </si>
  <si>
    <t xml:space="preserve">P11922</t>
  </si>
  <si>
    <t xml:space="preserve">P11379</t>
  </si>
  <si>
    <t xml:space="preserve">P11594</t>
  </si>
  <si>
    <t xml:space="preserve">P10036</t>
  </si>
  <si>
    <t xml:space="preserve">P10586</t>
  </si>
  <si>
    <t xml:space="preserve">P11507</t>
  </si>
  <si>
    <t xml:space="preserve">P11426</t>
  </si>
  <si>
    <t xml:space="preserve">P10666</t>
  </si>
  <si>
    <t xml:space="preserve">P11910</t>
  </si>
  <si>
    <t xml:space="preserve">P11807</t>
  </si>
  <si>
    <t xml:space="preserve">P11233</t>
  </si>
  <si>
    <t xml:space="preserve">P11266</t>
  </si>
  <si>
    <t xml:space="preserve">P11453</t>
  </si>
  <si>
    <t xml:space="preserve">P11442</t>
  </si>
  <si>
    <t xml:space="preserve">P10151</t>
  </si>
  <si>
    <t xml:space="preserve">P10967</t>
  </si>
  <si>
    <t xml:space="preserve">P10855</t>
  </si>
  <si>
    <t xml:space="preserve">P11784</t>
  </si>
  <si>
    <t xml:space="preserve">P11516</t>
  </si>
  <si>
    <t xml:space="preserve">P11896</t>
  </si>
  <si>
    <t xml:space="preserve">P10146</t>
  </si>
  <si>
    <t xml:space="preserve">P11048</t>
  </si>
  <si>
    <t xml:space="preserve">P10579</t>
  </si>
  <si>
    <t xml:space="preserve">P10339</t>
  </si>
  <si>
    <t xml:space="preserve">P11880</t>
  </si>
  <si>
    <t xml:space="preserve">P11046</t>
  </si>
  <si>
    <t xml:space="preserve">P12051</t>
  </si>
  <si>
    <t xml:space="preserve">P11742</t>
  </si>
  <si>
    <t xml:space="preserve">P11983</t>
  </si>
  <si>
    <t xml:space="preserve">P11708</t>
  </si>
  <si>
    <t xml:space="preserve">P10447</t>
  </si>
  <si>
    <t xml:space="preserve">P11450</t>
  </si>
  <si>
    <t xml:space="preserve">P11879</t>
  </si>
  <si>
    <t xml:space="preserve">P10699</t>
  </si>
  <si>
    <t xml:space="preserve">P11190</t>
  </si>
  <si>
    <t xml:space="preserve">P11690</t>
  </si>
  <si>
    <t xml:space="preserve">P11550</t>
  </si>
  <si>
    <t xml:space="preserve">P10141</t>
  </si>
  <si>
    <t xml:space="preserve">P11429</t>
  </si>
  <si>
    <t xml:space="preserve">P10927</t>
  </si>
  <si>
    <t xml:space="preserve">P10652</t>
  </si>
  <si>
    <t xml:space="preserve">P10933</t>
  </si>
  <si>
    <t xml:space="preserve">P12048</t>
  </si>
  <si>
    <t xml:space="preserve">P11754</t>
  </si>
  <si>
    <t xml:space="preserve">P11479</t>
  </si>
  <si>
    <t xml:space="preserve">P11469</t>
  </si>
  <si>
    <t xml:space="preserve">P11084</t>
  </si>
  <si>
    <t xml:space="preserve">P11114</t>
  </si>
  <si>
    <t xml:space="preserve">P11723</t>
  </si>
  <si>
    <t xml:space="preserve">P10094</t>
  </si>
  <si>
    <t xml:space="preserve">P11089</t>
  </si>
  <si>
    <t xml:space="preserve">P11120</t>
  </si>
  <si>
    <t xml:space="preserve">P10945</t>
  </si>
  <si>
    <t xml:space="preserve">P11324</t>
  </si>
  <si>
    <t xml:space="preserve">P10298</t>
  </si>
  <si>
    <t xml:space="preserve">P10517</t>
  </si>
  <si>
    <t xml:space="preserve">P11968</t>
  </si>
  <si>
    <t xml:space="preserve">P11298</t>
  </si>
  <si>
    <t xml:space="preserve">P10879</t>
  </si>
  <si>
    <t xml:space="preserve">P10603</t>
  </si>
  <si>
    <t xml:space="preserve">P11527</t>
  </si>
  <si>
    <t xml:space="preserve">P11147</t>
  </si>
  <si>
    <t xml:space="preserve">P10905</t>
  </si>
  <si>
    <t xml:space="preserve">P10386</t>
  </si>
  <si>
    <t xml:space="preserve">P11744</t>
  </si>
  <si>
    <t xml:space="preserve">P11260</t>
  </si>
  <si>
    <t xml:space="preserve">P11730</t>
  </si>
  <si>
    <t xml:space="preserve">P11170</t>
  </si>
  <si>
    <t xml:space="preserve">P12034</t>
  </si>
  <si>
    <t xml:space="preserve">P10930</t>
  </si>
  <si>
    <t xml:space="preserve">P12056</t>
  </si>
  <si>
    <t xml:space="preserve">P11158</t>
  </si>
  <si>
    <t xml:space="preserve">P11720</t>
  </si>
  <si>
    <t xml:space="preserve">P11539</t>
  </si>
  <si>
    <t xml:space="preserve">P10347</t>
  </si>
  <si>
    <t xml:space="preserve">P11015</t>
  </si>
  <si>
    <t xml:space="preserve">P10747</t>
  </si>
  <si>
    <t xml:space="preserve">P10116</t>
  </si>
  <si>
    <t xml:space="preserve">P11989</t>
  </si>
  <si>
    <t xml:space="preserve">P12063</t>
  </si>
  <si>
    <t xml:space="preserve">P11259</t>
  </si>
  <si>
    <t xml:space="preserve">P10004</t>
  </si>
  <si>
    <t xml:space="preserve">P11942</t>
  </si>
  <si>
    <t xml:space="preserve">P11862</t>
  </si>
  <si>
    <t xml:space="preserve">P10046</t>
  </si>
  <si>
    <t xml:space="preserve">P11443</t>
  </si>
  <si>
    <t xml:space="preserve">P10504</t>
  </si>
  <si>
    <t xml:space="preserve">P10396</t>
  </si>
  <si>
    <t xml:space="preserve">P12086</t>
  </si>
  <si>
    <t xml:space="preserve">P10754</t>
  </si>
  <si>
    <t xml:space="preserve">P11874</t>
  </si>
  <si>
    <t xml:space="preserve">P10593</t>
  </si>
  <si>
    <t xml:space="preserve">P10523</t>
  </si>
  <si>
    <t xml:space="preserve">P11767</t>
  </si>
  <si>
    <t xml:space="preserve">P11381</t>
  </si>
  <si>
    <t xml:space="preserve">P11162</t>
  </si>
  <si>
    <t xml:space="preserve">P10768</t>
  </si>
  <si>
    <t xml:space="preserve">P10691</t>
  </si>
  <si>
    <t xml:space="preserve">P11128</t>
  </si>
  <si>
    <t xml:space="preserve">P10194</t>
  </si>
  <si>
    <t xml:space="preserve">P10453</t>
  </si>
  <si>
    <t xml:space="preserve">P10948</t>
  </si>
  <si>
    <t xml:space="preserve">P10845</t>
  </si>
  <si>
    <t xml:space="preserve">P11643</t>
  </si>
  <si>
    <t xml:space="preserve">P10544</t>
  </si>
  <si>
    <t xml:space="preserve">P11273</t>
  </si>
  <si>
    <t xml:space="preserve">P10514</t>
  </si>
  <si>
    <t xml:space="preserve">P10113</t>
  </si>
  <si>
    <t xml:space="preserve">P11967</t>
  </si>
  <si>
    <t xml:space="preserve">P10757</t>
  </si>
  <si>
    <t xml:space="preserve">P10330</t>
  </si>
  <si>
    <t xml:space="preserve">P10158</t>
  </si>
  <si>
    <t xml:space="preserve">P10595</t>
  </si>
  <si>
    <t xml:space="preserve">P10350</t>
  </si>
  <si>
    <t xml:space="preserve">P11881</t>
  </si>
  <si>
    <t xml:space="preserve">P10748</t>
  </si>
  <si>
    <t xml:space="preserve">P11279</t>
  </si>
  <si>
    <t xml:space="preserve">P10109</t>
  </si>
  <si>
    <t xml:space="preserve">P10961</t>
  </si>
  <si>
    <t xml:space="preserve">P11088</t>
  </si>
  <si>
    <t xml:space="preserve">P11033</t>
  </si>
  <si>
    <t xml:space="preserve">P11939</t>
  </si>
  <si>
    <t xml:space="preserve">P11173</t>
  </si>
  <si>
    <t xml:space="preserve">P10669</t>
  </si>
  <si>
    <t xml:space="preserve">P11522</t>
  </si>
  <si>
    <t xml:space="preserve">P11368</t>
  </si>
  <si>
    <t xml:space="preserve">P10311</t>
  </si>
  <si>
    <t xml:space="preserve">P10095</t>
  </si>
  <si>
    <t xml:space="preserve">P10687</t>
  </si>
  <si>
    <t xml:space="preserve">P11137</t>
  </si>
  <si>
    <t xml:space="preserve">P10043</t>
  </si>
  <si>
    <t xml:space="preserve">P10019</t>
  </si>
  <si>
    <t xml:space="preserve">P11523</t>
  </si>
  <si>
    <t xml:space="preserve">P10357</t>
  </si>
  <si>
    <t xml:space="preserve">P10360</t>
  </si>
  <si>
    <t xml:space="preserve">P11794</t>
  </si>
  <si>
    <t xml:space="preserve">P11139</t>
  </si>
  <si>
    <t xml:space="preserve">P10640</t>
  </si>
  <si>
    <t xml:space="preserve">P11886</t>
  </si>
  <si>
    <t xml:space="preserve">P11309</t>
  </si>
  <si>
    <t xml:space="preserve">P11506</t>
  </si>
  <si>
    <t xml:space="preserve">P10392</t>
  </si>
  <si>
    <t xml:space="preserve">P10602</t>
  </si>
  <si>
    <t xml:space="preserve">P11791</t>
  </si>
  <si>
    <t xml:space="preserve">P11386</t>
  </si>
  <si>
    <t xml:space="preserve">P11622</t>
  </si>
  <si>
    <t xml:space="preserve">P10222</t>
  </si>
  <si>
    <t xml:space="preserve">P11192</t>
  </si>
  <si>
    <t xml:space="preserve">P10871</t>
  </si>
  <si>
    <t xml:space="preserve">P11749</t>
  </si>
  <si>
    <t xml:space="preserve">P10841</t>
  </si>
  <si>
    <t xml:space="preserve">P10111</t>
  </si>
  <si>
    <t xml:space="preserve">P11385</t>
  </si>
  <si>
    <t xml:space="preserve">P11964</t>
  </si>
  <si>
    <t xml:space="preserve">P10397</t>
  </si>
  <si>
    <t xml:space="preserve">P10474</t>
  </si>
  <si>
    <t xml:space="preserve">P11887</t>
  </si>
  <si>
    <t xml:space="preserve">P10574</t>
  </si>
  <si>
    <t xml:space="preserve">P10729</t>
  </si>
  <si>
    <t xml:space="preserve">P11232</t>
  </si>
  <si>
    <t xml:space="preserve">P10313</t>
  </si>
  <si>
    <t xml:space="preserve">P10287</t>
  </si>
  <si>
    <t xml:space="preserve">P10955</t>
  </si>
  <si>
    <t xml:space="preserve">P11687</t>
  </si>
  <si>
    <t xml:space="preserve">P10715</t>
  </si>
  <si>
    <t xml:space="preserve">P11589</t>
  </si>
  <si>
    <t xml:space="preserve">P10465</t>
  </si>
  <si>
    <t xml:space="preserve">P10341</t>
  </si>
  <si>
    <t xml:space="preserve">P10674</t>
  </si>
  <si>
    <t xml:space="preserve">P11809</t>
  </si>
  <si>
    <t xml:space="preserve">P10993</t>
  </si>
  <si>
    <t xml:space="preserve">P10804</t>
  </si>
  <si>
    <t xml:space="preserve">P11146</t>
  </si>
  <si>
    <t xml:space="preserve">P11958</t>
  </si>
  <si>
    <t xml:space="preserve">P10438</t>
  </si>
  <si>
    <t xml:space="preserve">P10468</t>
  </si>
  <si>
    <t xml:space="preserve">P11493</t>
  </si>
  <si>
    <t xml:space="preserve">P10820</t>
  </si>
  <si>
    <t xml:space="preserve">P11200</t>
  </si>
  <si>
    <t xml:space="preserve">P11817</t>
  </si>
  <si>
    <t xml:space="preserve">P10017</t>
  </si>
  <si>
    <t xml:space="preserve">P12091</t>
  </si>
  <si>
    <t xml:space="preserve">P11998</t>
  </si>
  <si>
    <t xml:space="preserve">P10281</t>
  </si>
  <si>
    <t xml:space="preserve">P11126</t>
  </si>
  <si>
    <t xml:space="preserve">P10351</t>
  </si>
  <si>
    <t xml:space="preserve">P11822</t>
  </si>
  <si>
    <t xml:space="preserve">P11882</t>
  </si>
  <si>
    <t xml:space="preserve">P11205</t>
  </si>
  <si>
    <t xml:space="preserve">P10649</t>
  </si>
  <si>
    <t xml:space="preserve">P10718</t>
  </si>
  <si>
    <t xml:space="preserve">P10042</t>
  </si>
  <si>
    <t xml:space="preserve">P10054</t>
  </si>
  <si>
    <t xml:space="preserve">P10263</t>
  </si>
  <si>
    <t xml:space="preserve">P10101</t>
  </si>
  <si>
    <t xml:space="preserve">P10275</t>
  </si>
  <si>
    <t xml:space="preserve">P10286</t>
  </si>
  <si>
    <t xml:space="preserve">P10446</t>
  </si>
  <si>
    <t xml:space="preserve">P11800</t>
  </si>
  <si>
    <t xml:space="preserve">P10249</t>
  </si>
  <si>
    <t xml:space="preserve">P11271</t>
  </si>
  <si>
    <t xml:space="preserve">P11417</t>
  </si>
  <si>
    <t xml:space="preserve">P10507</t>
  </si>
  <si>
    <t xml:space="preserve">P10672</t>
  </si>
  <si>
    <t xml:space="preserve">P10638</t>
  </si>
  <si>
    <t xml:space="preserve">P10758</t>
  </si>
  <si>
    <t xml:space="preserve">P10344</t>
  </si>
  <si>
    <t xml:space="preserve">P12009</t>
  </si>
  <si>
    <t xml:space="preserve">P10506</t>
  </si>
  <si>
    <t xml:space="preserve">P10657</t>
  </si>
  <si>
    <t xml:space="preserve">P11832</t>
  </si>
  <si>
    <t xml:space="preserve">P10556</t>
  </si>
  <si>
    <t xml:space="preserve">P10060</t>
  </si>
  <si>
    <t xml:space="preserve">P11306</t>
  </si>
  <si>
    <t xml:space="preserve">P10698</t>
  </si>
  <si>
    <t xml:space="preserve">P10740</t>
  </si>
  <si>
    <t xml:space="preserve">P11952</t>
  </si>
  <si>
    <t xml:space="preserve">P10363</t>
  </si>
  <si>
    <t xml:space="preserve">P10450</t>
  </si>
  <si>
    <t xml:space="preserve">P11757</t>
  </si>
  <si>
    <t xml:space="preserve">P10210</t>
  </si>
  <si>
    <t xml:space="preserve">P10410</t>
  </si>
  <si>
    <t xml:space="preserve">P11877</t>
  </si>
  <si>
    <t xml:space="preserve">P10957</t>
  </si>
  <si>
    <t xml:space="preserve">P11825</t>
  </si>
  <si>
    <t xml:space="preserve">P11354</t>
  </si>
  <si>
    <t xml:space="preserve">P10594</t>
  </si>
  <si>
    <t xml:space="preserve">P10915</t>
  </si>
  <si>
    <t xml:space="preserve">P11095</t>
  </si>
  <si>
    <t xml:space="preserve">P10324</t>
  </si>
  <si>
    <t xml:space="preserve">P11863</t>
  </si>
  <si>
    <t xml:space="preserve">P10997</t>
  </si>
  <si>
    <t xml:space="preserve">P10493</t>
  </si>
  <si>
    <t xml:space="preserve">P10359</t>
  </si>
  <si>
    <t xml:space="preserve">P11963</t>
  </si>
  <si>
    <t xml:space="preserve">P10224</t>
  </si>
  <si>
    <t xml:space="preserve">P11873</t>
  </si>
  <si>
    <t xml:space="preserve">P10918</t>
  </si>
  <si>
    <t xml:space="preserve">P11005</t>
  </si>
  <si>
    <t xml:space="preserve">P11534</t>
  </si>
  <si>
    <t xml:space="preserve">P11543</t>
  </si>
  <si>
    <t xml:space="preserve">P10003</t>
  </si>
  <si>
    <t xml:space="preserve">P10215</t>
  </si>
  <si>
    <t xml:space="preserve">P10098</t>
  </si>
  <si>
    <t xml:space="preserve">P10797</t>
  </si>
  <si>
    <t xml:space="preserve">P11391</t>
  </si>
  <si>
    <t xml:space="preserve">P10660</t>
  </si>
  <si>
    <t xml:space="preserve">P11621</t>
  </si>
  <si>
    <t xml:space="preserve">P12015</t>
  </si>
  <si>
    <t xml:space="preserve">P11937</t>
  </si>
  <si>
    <t xml:space="preserve">P10167</t>
  </si>
  <si>
    <t xml:space="preserve">P10658</t>
  </si>
  <si>
    <t xml:space="preserve">P11549</t>
  </si>
  <si>
    <t xml:space="preserve">P10492</t>
  </si>
  <si>
    <t xml:space="preserve">P10455</t>
  </si>
  <si>
    <t xml:space="preserve">P11206</t>
  </si>
  <si>
    <t xml:space="preserve">P11915</t>
  </si>
  <si>
    <t xml:space="preserve">P11476</t>
  </si>
  <si>
    <t xml:space="preserve">P11546</t>
  </si>
  <si>
    <t xml:space="preserve">P10013</t>
  </si>
  <si>
    <t xml:space="preserve">P10389</t>
  </si>
  <si>
    <t xml:space="preserve">P11389</t>
  </si>
  <si>
    <t xml:space="preserve">P10753</t>
  </si>
  <si>
    <t xml:space="preserve">P11321</t>
  </si>
  <si>
    <t xml:space="preserve">P10876</t>
  </si>
  <si>
    <t xml:space="preserve">P11090</t>
  </si>
  <si>
    <t xml:space="preserve">P11334</t>
  </si>
  <si>
    <t xml:space="preserve">P10716</t>
  </si>
  <si>
    <t xml:space="preserve">P11225</t>
  </si>
  <si>
    <t xml:space="preserve">P10501</t>
  </si>
  <si>
    <t xml:space="preserve">P10596</t>
  </si>
  <si>
    <t xml:space="preserve">P11930</t>
  </si>
  <si>
    <t xml:space="preserve">P10840</t>
  </si>
  <si>
    <t xml:space="preserve">P11278</t>
  </si>
  <si>
    <t xml:space="preserve">P11974</t>
  </si>
  <si>
    <t xml:space="preserve">P10025</t>
  </si>
  <si>
    <t xml:space="preserve">P11420</t>
  </si>
  <si>
    <t xml:space="preserve">P11740</t>
  </si>
  <si>
    <t xml:space="preserve">P11022</t>
  </si>
  <si>
    <t xml:space="preserve">P10572</t>
  </si>
  <si>
    <t xml:space="preserve">P10115</t>
  </si>
  <si>
    <t xml:space="preserve">P11667</t>
  </si>
  <si>
    <t xml:space="preserve">P12041</t>
  </si>
  <si>
    <t xml:space="preserve">P10370</t>
  </si>
  <si>
    <t xml:space="preserve">P11332</t>
  </si>
  <si>
    <t xml:space="preserve">P11532</t>
  </si>
  <si>
    <t xml:space="preserve">P10857</t>
  </si>
  <si>
    <t xml:space="preserve">P11975</t>
  </si>
  <si>
    <t xml:space="preserve">P10096</t>
  </si>
  <si>
    <t xml:space="preserve">P10684</t>
  </si>
  <si>
    <t xml:space="preserve">P12083</t>
  </si>
  <si>
    <t xml:space="preserve">P11642</t>
  </si>
  <si>
    <t xml:space="preserve">P11008</t>
  </si>
  <si>
    <t xml:space="preserve">P10925</t>
  </si>
  <si>
    <t xml:space="preserve">P11257</t>
  </si>
  <si>
    <t xml:space="preserve">P10565</t>
  </si>
  <si>
    <t xml:space="preserve">P11803</t>
  </si>
  <si>
    <t xml:space="preserve">P10118</t>
  </si>
  <si>
    <t xml:space="preserve">P11058</t>
  </si>
  <si>
    <t xml:space="preserve">P11028</t>
  </si>
  <si>
    <t xml:space="preserve">P10021</t>
  </si>
  <si>
    <t xml:space="preserve">P10500</t>
  </si>
  <si>
    <t xml:space="preserve">P11736</t>
  </si>
  <si>
    <t xml:space="preserve">P10824</t>
  </si>
  <si>
    <t xml:space="preserve">P11970</t>
  </si>
  <si>
    <t xml:space="preserve">P11203</t>
  </si>
  <si>
    <t xml:space="preserve">P10164</t>
  </si>
  <si>
    <t xml:space="preserve">P11384</t>
  </si>
  <si>
    <t xml:space="preserve">P11634</t>
  </si>
  <si>
    <t xml:space="preserve">P11977</t>
  </si>
  <si>
    <t xml:space="preserve">P11177</t>
  </si>
  <si>
    <t xml:space="preserve">P11327</t>
  </si>
  <si>
    <t xml:space="preserve">P10378</t>
  </si>
  <si>
    <t xml:space="preserve">P10063</t>
  </si>
  <si>
    <t xml:space="preserve">P10769</t>
  </si>
  <si>
    <t xml:space="preserve">P10829</t>
  </si>
  <si>
    <t xml:space="preserve">P10294</t>
  </si>
  <si>
    <t xml:space="preserve">P12073</t>
  </si>
  <si>
    <t xml:space="preserve">P10653</t>
  </si>
  <si>
    <t xml:space="preserve">P10315</t>
  </si>
  <si>
    <t xml:space="preserve">P10528</t>
  </si>
  <si>
    <t xml:space="preserve">P10130</t>
  </si>
  <si>
    <t xml:space="preserve">P10992</t>
  </si>
  <si>
    <t xml:space="preserve">P10189</t>
  </si>
  <si>
    <t xml:space="preserve">P10027</t>
  </si>
  <si>
    <t xml:space="preserve">P10744</t>
  </si>
  <si>
    <t xml:space="preserve">P11770</t>
  </si>
  <si>
    <t xml:space="preserve">P11401</t>
  </si>
  <si>
    <t xml:space="preserve">P11351</t>
  </si>
  <si>
    <t xml:space="preserve">P11866</t>
  </si>
  <si>
    <t xml:space="preserve">P11987</t>
  </si>
  <si>
    <t xml:space="preserve">P10888</t>
  </si>
  <si>
    <t xml:space="preserve">P11724</t>
  </si>
  <si>
    <t xml:space="preserve">P11283</t>
  </si>
  <si>
    <t xml:space="preserve">P11702</t>
  </si>
  <si>
    <t xml:space="preserve">P10266</t>
  </si>
  <si>
    <t xml:space="preserve">P10585</t>
  </si>
  <si>
    <t xml:space="preserve">P11297</t>
  </si>
  <si>
    <t xml:space="preserve">P11571</t>
  </si>
  <si>
    <t xml:space="preserve">P12035</t>
  </si>
  <si>
    <t xml:space="preserve">P10075</t>
  </si>
  <si>
    <t xml:space="preserve">P11583</t>
  </si>
  <si>
    <t xml:space="preserve">P11982</t>
  </si>
  <si>
    <t xml:space="preserve">P11947</t>
  </si>
  <si>
    <t xml:space="preserve">P12023</t>
  </si>
  <si>
    <t xml:space="preserve">P10883</t>
  </si>
  <si>
    <t xml:space="preserve">P10571</t>
  </si>
  <si>
    <t xml:space="preserve">P10751</t>
  </si>
  <si>
    <t xml:space="preserve">P11333</t>
  </si>
  <si>
    <t xml:space="preserve">P10630</t>
  </si>
  <si>
    <t xml:space="preserve">P11399</t>
  </si>
  <si>
    <t xml:space="preserve">P11441</t>
  </si>
  <si>
    <t xml:space="preserve">P10828</t>
  </si>
  <si>
    <t xml:space="preserve">P11656</t>
  </si>
  <si>
    <t xml:space="preserve">P11813</t>
  </si>
  <si>
    <t xml:space="preserve">P10180</t>
  </si>
  <si>
    <t xml:space="preserve">P11606</t>
  </si>
  <si>
    <t xml:space="preserve">P10953</t>
  </si>
  <si>
    <t xml:space="preserve">P10970</t>
  </si>
  <si>
    <t xml:space="preserve">P10376</t>
  </si>
  <si>
    <t xml:space="preserve">P11094</t>
  </si>
  <si>
    <t xml:space="preserve">P10023</t>
  </si>
  <si>
    <t xml:space="preserve">P11458</t>
  </si>
  <si>
    <t xml:space="preserve">P10346</t>
  </si>
  <si>
    <t xml:space="preserve">P11805</t>
  </si>
  <si>
    <t xml:space="preserve">P10643</t>
  </si>
  <si>
    <t xml:space="preserve">P11917</t>
  </si>
  <si>
    <t xml:space="preserve">P11890</t>
  </si>
  <si>
    <t xml:space="preserve">P10008</t>
  </si>
  <si>
    <t xml:space="preserve">P12074</t>
  </si>
  <si>
    <t xml:space="preserve">P10228</t>
  </si>
  <si>
    <t xml:space="preserve">P10489</t>
  </si>
  <si>
    <t xml:space="preserve">P10213</t>
  </si>
  <si>
    <t xml:space="preserve">P12045</t>
  </si>
  <si>
    <t xml:space="preserve">P11002</t>
  </si>
  <si>
    <t xml:space="preserve">P11268</t>
  </si>
  <si>
    <t xml:space="preserve">P10449</t>
  </si>
  <si>
    <t xml:space="preserve">P11555</t>
  </si>
  <si>
    <t xml:space="preserve">P10015</t>
  </si>
  <si>
    <t xml:space="preserve">P11623</t>
  </si>
  <si>
    <t xml:space="preserve">P11956</t>
  </si>
  <si>
    <t xml:space="preserve">P11920</t>
  </si>
  <si>
    <t xml:space="preserve">P11435</t>
  </si>
  <si>
    <t xml:space="preserve">P11037</t>
  </si>
  <si>
    <t xml:space="preserve">P11988</t>
  </si>
  <si>
    <t xml:space="preserve">P10546</t>
  </si>
  <si>
    <t xml:space="preserve">P11316</t>
  </si>
  <si>
    <t xml:space="preserve">P10742</t>
  </si>
  <si>
    <t xml:space="preserve">P10354</t>
  </si>
  <si>
    <t xml:space="preserve">P10951</t>
  </si>
  <si>
    <t xml:space="preserve">P10207</t>
  </si>
  <si>
    <t xml:space="preserve">P10713</t>
  </si>
  <si>
    <t xml:space="preserve">P11281</t>
  </si>
  <si>
    <t xml:space="preserve">P11189</t>
  </si>
  <si>
    <t xml:space="preserve">P10416</t>
  </si>
  <si>
    <t xml:space="preserve">P11764</t>
  </si>
  <si>
    <t xml:space="preserve">P11171</t>
  </si>
  <si>
    <t xml:space="preserve">P11288</t>
  </si>
  <si>
    <t xml:space="preserve">P11395</t>
  </si>
  <si>
    <t xml:space="preserve">P10442</t>
  </si>
  <si>
    <t xml:space="preserve">P11208</t>
  </si>
  <si>
    <t xml:space="preserve">P10737</t>
  </si>
  <si>
    <t xml:space="preserve">P10536</t>
  </si>
  <si>
    <t xml:space="preserve">P12075</t>
  </si>
  <si>
    <t xml:space="preserve">P10348</t>
  </si>
  <si>
    <t xml:space="preserve">P11861</t>
  </si>
  <si>
    <t xml:space="preserve">P10403</t>
  </si>
  <si>
    <t xml:space="preserve">P10362</t>
  </si>
  <si>
    <t xml:space="preserve">P10026</t>
  </si>
  <si>
    <t xml:space="preserve">P11223</t>
  </si>
  <si>
    <t xml:space="preserve">P11793</t>
  </si>
  <si>
    <t xml:space="preserve">P10177</t>
  </si>
  <si>
    <t xml:space="preserve">P10356</t>
  </si>
  <si>
    <t xml:space="preserve">P11034</t>
  </si>
  <si>
    <t xml:space="preserve">P12030</t>
  </si>
  <si>
    <t xml:space="preserve">P11564</t>
  </si>
  <si>
    <t xml:space="preserve">P10252</t>
  </si>
  <si>
    <t xml:space="preserve">P10414</t>
  </si>
  <si>
    <t xml:space="preserve">P10558</t>
  </si>
  <si>
    <t xml:space="preserve">P10553</t>
  </si>
  <si>
    <t xml:space="preserve">P11961</t>
  </si>
  <si>
    <t xml:space="preserve">P10193</t>
  </si>
  <si>
    <t xml:space="preserve">P11252</t>
  </si>
  <si>
    <t xml:space="preserve">P12027</t>
  </si>
  <si>
    <t xml:space="preserve">P10853</t>
  </si>
  <si>
    <t xml:space="preserve">P11733</t>
  </si>
  <si>
    <t xml:space="preserve">P10445</t>
  </si>
  <si>
    <t xml:space="preserve">P10947</t>
  </si>
  <si>
    <t xml:space="preserve">P11165</t>
  </si>
  <si>
    <t xml:space="preserve">P11995</t>
  </si>
  <si>
    <t xml:space="preserve">P11604</t>
  </si>
  <si>
    <t xml:space="preserve">P10451</t>
  </si>
  <si>
    <t xml:space="preserve">P11533</t>
  </si>
  <si>
    <t xml:space="preserve">P10464</t>
  </si>
  <si>
    <t xml:space="preserve">P10720</t>
  </si>
  <si>
    <t xml:space="preserve">P11247</t>
  </si>
  <si>
    <t xml:space="preserve">P10458</t>
  </si>
  <si>
    <t xml:space="preserve">P11996</t>
  </si>
  <si>
    <t xml:space="preserve">P11194</t>
  </si>
  <si>
    <t xml:space="preserve">P11703</t>
  </si>
  <si>
    <t xml:space="preserve">P11547</t>
  </si>
  <si>
    <t xml:space="preserve">P10369</t>
  </si>
  <si>
    <t xml:space="preserve">P10484</t>
  </si>
  <si>
    <t xml:space="preserve">P10816</t>
  </si>
  <si>
    <t xml:space="preserve">P11841</t>
  </si>
  <si>
    <t xml:space="preserve">P10307</t>
  </si>
  <si>
    <t xml:space="preserve">P10285</t>
  </si>
  <si>
    <t xml:space="preserve">P11307</t>
  </si>
  <si>
    <t xml:space="preserve">P10830</t>
  </si>
  <si>
    <t xml:space="preserve">P11921</t>
  </si>
  <si>
    <t xml:space="preserve">P11047</t>
  </si>
  <si>
    <t xml:space="preserve">P12019</t>
  </si>
  <si>
    <t xml:space="preserve">P11666</t>
  </si>
  <si>
    <t xml:space="preserve">P10892</t>
  </si>
  <si>
    <t xml:space="preserve">P12031</t>
  </si>
  <si>
    <t xml:space="preserve">P11267</t>
  </si>
  <si>
    <t xml:space="preserve">P10936</t>
  </si>
  <si>
    <t xml:space="preserve">P11706</t>
  </si>
  <si>
    <t xml:space="preserve">P11902</t>
  </si>
  <si>
    <t xml:space="preserve">P11911</t>
  </si>
  <si>
    <t xml:space="preserve">P11413</t>
  </si>
  <si>
    <t xml:space="preserve">P11320</t>
  </si>
  <si>
    <t xml:space="preserve">P11358</t>
  </si>
  <si>
    <t xml:space="preserve">P10862</t>
  </si>
  <si>
    <t xml:space="preserve">P11303</t>
  </si>
  <si>
    <t xml:space="preserve">P11438</t>
  </si>
  <si>
    <t xml:space="preserve">P11375</t>
  </si>
  <si>
    <t xml:space="preserve">P11215</t>
  </si>
  <si>
    <t xml:space="preserve">P10097</t>
  </si>
  <si>
    <t xml:space="preserve">P10035</t>
  </si>
  <si>
    <t xml:space="preserve">P10495</t>
  </si>
  <si>
    <t xml:space="preserve">P10920</t>
  </si>
  <si>
    <t xml:space="preserve">P10139</t>
  </si>
  <si>
    <t xml:space="preserve">P11125</t>
  </si>
  <si>
    <t xml:space="preserve">P12047</t>
  </si>
  <si>
    <t xml:space="preserve">P10861</t>
  </si>
  <si>
    <t xml:space="preserve">P11485</t>
  </si>
  <si>
    <t xml:space="preserve">P11150</t>
  </si>
  <si>
    <t xml:space="preserve">P11973</t>
  </si>
  <si>
    <t xml:space="preserve">P10838</t>
  </si>
  <si>
    <t xml:space="preserve">P11293</t>
  </si>
  <si>
    <t xml:space="preserve">P11755</t>
  </si>
  <si>
    <t xml:space="preserve">P10928</t>
  </si>
  <si>
    <t xml:space="preserve">P10128</t>
  </si>
  <si>
    <t xml:space="preserve">P10946</t>
  </si>
  <si>
    <t xml:space="preserve">P11134</t>
  </si>
  <si>
    <t xml:space="preserve">P11575</t>
  </si>
  <si>
    <t xml:space="preserve">P11490</t>
  </si>
  <si>
    <t xml:space="preserve">P10522</t>
  </si>
  <si>
    <t xml:space="preserve">P10264</t>
  </si>
  <si>
    <t xml:space="preserve">P10166</t>
  </si>
  <si>
    <t xml:space="preserve">P11064</t>
  </si>
  <si>
    <t xml:space="preserve">P11746</t>
  </si>
  <si>
    <t xml:space="preserve">P10663</t>
  </si>
  <si>
    <t xml:space="preserve">P10631</t>
  </si>
  <si>
    <t xml:space="preserve">P10498</t>
  </si>
  <si>
    <t xml:space="preserve">P10848</t>
  </si>
  <si>
    <t xml:space="preserve">P11806</t>
  </si>
  <si>
    <t xml:space="preserve">P11455</t>
  </si>
  <si>
    <t xml:space="preserve">P11821</t>
  </si>
  <si>
    <t xml:space="preserve">P12004</t>
  </si>
  <si>
    <t xml:space="preserve">P10432</t>
  </si>
  <si>
    <t xml:space="preserve">P11824</t>
  </si>
  <si>
    <t xml:space="preserve">P11240</t>
  </si>
  <si>
    <t xml:space="preserve">P11582</t>
  </si>
  <si>
    <t xml:space="preserve">P10068</t>
  </si>
  <si>
    <t xml:space="preserve">P10617</t>
  </si>
  <si>
    <t xml:space="preserve">P11433</t>
  </si>
  <si>
    <t xml:space="preserve">P11312</t>
  </si>
  <si>
    <t xml:space="preserve">P10573</t>
  </si>
  <si>
    <t xml:space="preserve">P10334</t>
  </si>
  <si>
    <t xml:space="preserve">P10338</t>
  </si>
  <si>
    <t xml:space="preserve">P11241</t>
  </si>
  <si>
    <t xml:space="preserve">P11826</t>
  </si>
  <si>
    <t xml:space="preserve">P10664</t>
  </si>
  <si>
    <t xml:space="preserve">P10383</t>
  </si>
  <si>
    <t xml:space="preserve">P11628</t>
  </si>
  <si>
    <t xml:space="preserve">P10055</t>
  </si>
  <si>
    <t xml:space="preserve">P11317</t>
  </si>
  <si>
    <t xml:space="preserve">P11889</t>
  </si>
  <si>
    <t xml:space="preserve">P11276</t>
  </si>
  <si>
    <t xml:space="preserve">P11684</t>
  </si>
  <si>
    <t xml:space="preserve">P10903</t>
  </si>
  <si>
    <t xml:space="preserve">P11844</t>
  </si>
  <si>
    <t xml:space="preserve">P10170</t>
  </si>
  <si>
    <t xml:space="preserve">P10173</t>
  </si>
  <si>
    <t xml:space="preserve">P11078</t>
  </si>
  <si>
    <t xml:space="preserve">P10800</t>
  </si>
  <si>
    <t xml:space="preserve">P10326</t>
  </si>
  <si>
    <t xml:space="preserve">P10503</t>
  </si>
  <si>
    <t xml:space="preserve">P11106</t>
  </si>
  <si>
    <t xml:space="preserve">P11599</t>
  </si>
  <si>
    <t xml:space="preserve">P10409</t>
  </si>
  <si>
    <t xml:space="preserve">P11041</t>
  </si>
  <si>
    <t xml:space="preserve">P10297</t>
  </si>
  <si>
    <t xml:space="preserve">P11692</t>
  </si>
  <si>
    <t xml:space="preserve">P12008</t>
  </si>
  <si>
    <t xml:space="preserve">P11614</t>
  </si>
  <si>
    <t xml:space="preserve">P10728</t>
  </si>
  <si>
    <t xml:space="preserve">P11315</t>
  </si>
  <si>
    <t xml:space="preserve">P11062</t>
  </si>
  <si>
    <t xml:space="preserve">P11196</t>
  </si>
  <si>
    <t xml:space="preserve">P10671</t>
  </si>
  <si>
    <t xml:space="preserve">P10648</t>
  </si>
  <si>
    <t xml:space="preserve">P11326</t>
  </si>
  <si>
    <t xml:space="preserve">P11847</t>
  </si>
  <si>
    <t xml:space="preserve">P10725</t>
  </si>
  <si>
    <t xml:space="preserve">P12067</t>
  </si>
  <si>
    <t xml:space="preserve">P11693</t>
  </si>
  <si>
    <t xml:space="preserve">P10201</t>
  </si>
  <si>
    <t xml:space="preserve">P10863</t>
  </si>
  <si>
    <t xml:space="preserve">P11852</t>
  </si>
  <si>
    <t xml:space="preserve">P10531</t>
  </si>
  <si>
    <t xml:space="preserve">P10407</t>
  </si>
  <si>
    <t xml:space="preserve">P10199</t>
  </si>
  <si>
    <t xml:space="preserve">P10473</t>
  </si>
  <si>
    <t xml:space="preserve">P10714</t>
  </si>
  <si>
    <t xml:space="preserve">P10895</t>
  </si>
  <si>
    <t xml:space="preserve">P10882</t>
  </si>
  <si>
    <t xml:space="preserve">P11845</t>
  </si>
  <si>
    <t xml:space="preserve">P10858</t>
  </si>
  <si>
    <t xml:space="preserve">P10216</t>
  </si>
  <si>
    <t xml:space="preserve">P11515</t>
  </si>
  <si>
    <t xml:space="preserve">P10253</t>
  </si>
  <si>
    <t xml:space="preserve">P10152</t>
  </si>
  <si>
    <t xml:space="preserve">P11398</t>
  </si>
  <si>
    <t xml:space="preserve">P10817</t>
  </si>
  <si>
    <t xml:space="preserve">P11818</t>
  </si>
  <si>
    <t xml:space="preserve">P10478</t>
  </si>
  <si>
    <t xml:space="preserve">P11374</t>
  </si>
  <si>
    <t xml:space="preserve">P11584</t>
  </si>
  <si>
    <t xml:space="preserve">P11087</t>
  </si>
  <si>
    <t xml:space="preserve">P11056</t>
  </si>
  <si>
    <t xml:space="preserve">P11771</t>
  </si>
  <si>
    <t xml:space="preserve">P11473</t>
  </si>
  <si>
    <t xml:space="preserve">P11651</t>
  </si>
  <si>
    <t xml:space="preserve">P10530</t>
  </si>
  <si>
    <t xml:space="preserve">P11251</t>
  </si>
  <si>
    <t xml:space="preserve">P10899</t>
  </si>
  <si>
    <t xml:space="preserve">P11371</t>
  </si>
  <si>
    <t xml:space="preserve">P10240</t>
  </si>
  <si>
    <t xml:space="preserve">P11231</t>
  </si>
  <si>
    <t xml:space="preserve">P11167</t>
  </si>
  <si>
    <t xml:space="preserve">P10872</t>
  </si>
  <si>
    <t xml:space="preserve">P10187</t>
  </si>
  <si>
    <t xml:space="preserve">P10246</t>
  </si>
  <si>
    <t xml:space="preserve">P11209</t>
  </si>
  <si>
    <t xml:space="preserve">P11526</t>
  </si>
  <si>
    <t xml:space="preserve">P11280</t>
  </si>
  <si>
    <t xml:space="preserve">P10462</t>
  </si>
  <si>
    <t xml:space="preserve">P10692</t>
  </si>
  <si>
    <t xml:space="preserve">P10302</t>
  </si>
  <si>
    <t xml:space="preserve">P10283</t>
  </si>
  <si>
    <t xml:space="preserve">P11042</t>
  </si>
  <si>
    <t xml:space="preserve">P10505</t>
  </si>
  <si>
    <t xml:space="preserve">P12097</t>
  </si>
  <si>
    <t xml:space="preserve">P10321</t>
  </si>
  <si>
    <t xml:space="preserve">P11618</t>
  </si>
  <si>
    <t xml:space="preserve">P11449</t>
  </si>
  <si>
    <t xml:space="preserve">P11018</t>
  </si>
  <si>
    <t xml:space="preserve">P10621</t>
  </si>
  <si>
    <t xml:space="preserve">P11680</t>
  </si>
  <si>
    <t xml:space="preserve">P11343</t>
  </si>
  <si>
    <t xml:space="preserve">P10122</t>
  </si>
  <si>
    <t xml:space="preserve">P11760</t>
  </si>
  <si>
    <t xml:space="preserve">P10510</t>
  </si>
  <si>
    <t xml:space="preserve">P10280</t>
  </si>
  <si>
    <t xml:space="preserve">P11517</t>
  </si>
  <si>
    <t xml:space="preserve">P12032</t>
  </si>
  <si>
    <t xml:space="preserve">P11363</t>
  </si>
  <si>
    <t xml:space="preserve">P11520</t>
  </si>
  <si>
    <t xml:space="preserve">P10869</t>
  </si>
  <si>
    <t xml:space="preserve">P11226</t>
  </si>
  <si>
    <t xml:space="preserve">P11563</t>
  </si>
  <si>
    <t xml:space="preserve">P11133</t>
  </si>
  <si>
    <t xml:space="preserve">P11157</t>
  </si>
  <si>
    <t xml:space="preserve">P10756</t>
  </si>
  <si>
    <t xml:space="preserve">P10677</t>
  </si>
  <si>
    <t xml:space="preserve">P10518</t>
  </si>
  <si>
    <t xml:space="preserve">P10935</t>
  </si>
  <si>
    <t xml:space="preserve">P11653</t>
  </si>
  <si>
    <t xml:space="preserve">P10067</t>
  </si>
  <si>
    <t xml:space="preserve">P10332</t>
  </si>
  <si>
    <t xml:space="preserve">P10568</t>
  </si>
  <si>
    <t xml:space="preserve">P10336</t>
  </si>
  <si>
    <t xml:space="preserve">P10912</t>
  </si>
  <si>
    <t xml:space="preserve">P11565</t>
  </si>
  <si>
    <t xml:space="preserve">P11846</t>
  </si>
  <si>
    <t xml:space="preserve">P11132</t>
  </si>
  <si>
    <t xml:space="preserve">P10472</t>
  </si>
  <si>
    <t xml:space="preserve">P10901</t>
  </si>
  <si>
    <t xml:space="preserve">P11081</t>
  </si>
  <si>
    <t xml:space="preserve">P10971</t>
  </si>
  <si>
    <t xml:space="preserve">P10511</t>
  </si>
  <si>
    <t xml:space="preserve">P12042</t>
  </si>
  <si>
    <t xml:space="preserve">P10477</t>
  </si>
  <si>
    <t xml:space="preserve">P11044</t>
  </si>
  <si>
    <t xml:space="preserve">P11535</t>
  </si>
  <si>
    <t xml:space="preserve">P10318</t>
  </si>
  <si>
    <t xml:space="preserve">P11077</t>
  </si>
  <si>
    <t xml:space="preserve">P11884</t>
  </si>
  <si>
    <t xml:space="preserve">P11511</t>
  </si>
  <si>
    <t xml:space="preserve">P10581</t>
  </si>
  <si>
    <t xml:space="preserve">P10132</t>
  </si>
  <si>
    <t xml:space="preserve">P11891</t>
  </si>
  <si>
    <t xml:space="preserve">P11592</t>
  </si>
  <si>
    <t xml:space="preserve">P10972</t>
  </si>
  <si>
    <t xml:space="preserve">P11242</t>
  </si>
  <si>
    <t xml:space="preserve">P10604</t>
  </si>
  <si>
    <t xml:space="preserve">P10368</t>
  </si>
  <si>
    <t xml:space="preserve">P10732</t>
  </si>
  <si>
    <t xml:space="preserve">P11787</t>
  </si>
  <si>
    <t xml:space="preserve">P10125</t>
  </si>
  <si>
    <t xml:space="preserve">P11732</t>
  </si>
  <si>
    <t xml:space="preserve">P10832</t>
  </si>
  <si>
    <t xml:space="preserve">P11644</t>
  </si>
  <si>
    <t xml:space="preserve">P10256</t>
  </si>
  <si>
    <t xml:space="preserve">P10550</t>
  </si>
  <si>
    <t xml:space="preserve">P11495</t>
  </si>
  <si>
    <t xml:space="preserve">P10898</t>
  </si>
  <si>
    <t xml:space="preserve">P10289</t>
  </si>
  <si>
    <t xml:space="preserve">P11405</t>
  </si>
  <si>
    <t xml:space="preserve">P10777</t>
  </si>
  <si>
    <t xml:space="preserve">P10081</t>
  </si>
  <si>
    <t xml:space="preserve">P10053</t>
  </si>
  <si>
    <t xml:space="preserve">P10783</t>
  </si>
  <si>
    <t xml:space="preserve">P11186</t>
  </si>
  <si>
    <t xml:space="preserve">P10557</t>
  </si>
  <si>
    <t xml:space="preserve">P11552</t>
  </si>
  <si>
    <t xml:space="preserve">P10040</t>
  </si>
  <si>
    <t xml:space="preserve">P12087</t>
  </si>
  <si>
    <t xml:space="preserve">P11238</t>
  </si>
  <si>
    <t xml:space="preserve">P10261</t>
  </si>
  <si>
    <t xml:space="preserve">P10668</t>
  </si>
  <si>
    <t xml:space="preserve">P11136</t>
  </si>
  <si>
    <t xml:space="preserve">P10083</t>
  </si>
  <si>
    <t xml:space="preserve">P11229</t>
  </si>
  <si>
    <t xml:space="preserve">P11330</t>
  </si>
  <si>
    <t xml:space="preserve">P11704</t>
  </si>
  <si>
    <t xml:space="preserve">P11382</t>
  </si>
  <si>
    <t xml:space="preserve">P12021</t>
  </si>
  <si>
    <t xml:space="preserve">P10030</t>
  </si>
  <si>
    <t xml:space="preserve">P10513</t>
  </si>
  <si>
    <t xml:space="preserve">P11102</t>
  </si>
  <si>
    <t xml:space="preserve">P11837</t>
  </si>
  <si>
    <t xml:space="preserve">P11122</t>
  </si>
  <si>
    <t xml:space="preserve">P11338</t>
  </si>
  <si>
    <t xml:space="preserve">P11663</t>
  </si>
  <si>
    <t xml:space="preserve">P11834</t>
  </si>
  <si>
    <t xml:space="preserve">P11748</t>
  </si>
  <si>
    <t xml:space="preserve">P11172</t>
  </si>
  <si>
    <t xml:space="preserve">P11025</t>
  </si>
  <si>
    <t xml:space="preserve">P12020</t>
  </si>
  <si>
    <t xml:space="preserve">P12057</t>
  </si>
  <si>
    <t xml:space="preserve">P10048</t>
  </si>
  <si>
    <t xml:space="preserve">P11304</t>
  </si>
  <si>
    <t xml:space="preserve">P12043</t>
  </si>
  <si>
    <t xml:space="preserve">P10467</t>
  </si>
  <si>
    <t xml:space="preserve">P10893</t>
  </si>
  <si>
    <t xml:space="preserve">P10153</t>
  </si>
  <si>
    <t xml:space="preserve">P11990</t>
  </si>
  <si>
    <t xml:space="preserve">P12058</t>
  </si>
  <si>
    <t xml:space="preserve">P10394</t>
  </si>
  <si>
    <t xml:space="preserve">P10123</t>
  </si>
  <si>
    <t xml:space="preserve">P10355</t>
  </si>
  <si>
    <t xml:space="preserve">P10943</t>
  </si>
  <si>
    <t xml:space="preserve">P10134</t>
  </si>
  <si>
    <t xml:space="preserve">P10985</t>
  </si>
  <si>
    <t xml:space="preserve">P10268</t>
  </si>
  <si>
    <t xml:space="preserve">P10385</t>
  </si>
  <si>
    <t xml:space="preserve">P10609</t>
  </si>
  <si>
    <t xml:space="preserve">P10220</t>
  </si>
  <si>
    <t xml:space="preserve">P10041</t>
  </si>
  <si>
    <t xml:space="preserve">P10219</t>
  </si>
  <si>
    <t xml:space="preserve">P10597</t>
  </si>
  <si>
    <t xml:space="preserve">P12003</t>
  </si>
  <si>
    <t xml:space="preserve">P11286</t>
  </si>
  <si>
    <t xml:space="preserve">P11445</t>
  </si>
  <si>
    <t xml:space="preserve">P10680</t>
  </si>
  <si>
    <t xml:space="preserve">P11188</t>
  </si>
  <si>
    <t xml:space="preserve">P10524</t>
  </si>
  <si>
    <t xml:space="preserve">P11510</t>
  </si>
  <si>
    <t xml:space="preserve">P10541</t>
  </si>
  <si>
    <t xml:space="preserve">P11153</t>
  </si>
  <si>
    <t xml:space="preserve">P11020</t>
  </si>
  <si>
    <t xml:space="preserve">P11496</t>
  </si>
  <si>
    <t xml:space="preserve">P12062</t>
  </si>
  <si>
    <t xml:space="preserve">P11183</t>
  </si>
  <si>
    <t xml:space="preserve">P11390</t>
  </si>
  <si>
    <t xml:space="preserve">P11016</t>
  </si>
  <si>
    <t xml:space="preserve">P11104</t>
  </si>
  <si>
    <t xml:space="preserve">P12007</t>
  </si>
  <si>
    <t xml:space="preserve">P11347</t>
  </si>
  <si>
    <t xml:space="preserve">P12006</t>
  </si>
  <si>
    <t xml:space="preserve">P11213</t>
  </si>
  <si>
    <t xml:space="preserve">P12072</t>
  </si>
  <si>
    <t xml:space="preserve">P10205</t>
  </si>
  <si>
    <t xml:space="preserve">P11027</t>
  </si>
  <si>
    <t xml:space="preserve">P11814</t>
  </si>
  <si>
    <t xml:space="preserve">P11050</t>
  </si>
  <si>
    <t xml:space="preserve">P10693</t>
  </si>
  <si>
    <t xml:space="preserve">P11074</t>
  </si>
  <si>
    <t xml:space="preserve">P11164</t>
  </si>
  <si>
    <t xml:space="preserve">P10269</t>
  </si>
  <si>
    <t xml:space="preserve">P11318</t>
  </si>
  <si>
    <t xml:space="preserve">P11344</t>
  </si>
  <si>
    <t xml:space="preserve">P10157</t>
  </si>
  <si>
    <t xml:space="preserve">P11159</t>
  </si>
  <si>
    <t xml:space="preserve">P10305</t>
  </si>
  <si>
    <t xml:space="preserve">P10656</t>
  </si>
  <si>
    <t xml:space="preserve">P10399</t>
  </si>
  <si>
    <t xml:space="preserve">P10798</t>
  </si>
  <si>
    <t xml:space="preserve">P12017</t>
  </si>
  <si>
    <t xml:space="preserve">P10618</t>
  </si>
  <si>
    <t xml:space="preserve">P10508</t>
  </si>
  <si>
    <t xml:space="preserve">P11504</t>
  </si>
  <si>
    <t xml:space="preserve">P10736</t>
  </si>
  <si>
    <t xml:space="preserve">P11256</t>
  </si>
  <si>
    <t xml:space="preserve">P11914</t>
  </si>
  <si>
    <t xml:space="preserve">P11670</t>
  </si>
  <si>
    <t xml:space="preserve">P10867</t>
  </si>
  <si>
    <t xml:space="preserve">P10459</t>
  </si>
  <si>
    <t xml:space="preserve">P11464</t>
  </si>
  <si>
    <t xml:space="preserve">P10062</t>
  </si>
  <si>
    <t xml:space="preserve">P12016</t>
  </si>
  <si>
    <t xml:space="preserve">P11699</t>
  </si>
  <si>
    <t xml:space="preserve">P11745</t>
  </si>
  <si>
    <t xml:space="preserve">P10457</t>
  </si>
  <si>
    <t xml:space="preserve">P11075</t>
  </si>
  <si>
    <t xml:space="preserve">P10870</t>
  </si>
  <si>
    <t xml:space="preserve">P10790</t>
  </si>
  <si>
    <t xml:space="preserve">P11785</t>
  </si>
  <si>
    <t xml:space="preserve">P11313</t>
  </si>
  <si>
    <t xml:space="preserve">P10760</t>
  </si>
  <si>
    <t xml:space="preserve">P10954</t>
  </si>
  <si>
    <t xml:space="preserve">P10650</t>
  </si>
  <si>
    <t xml:space="preserve">P11864</t>
  </si>
  <si>
    <t xml:space="preserve">P10379</t>
  </si>
  <si>
    <t xml:space="preserve">P10564</t>
  </si>
  <si>
    <t xml:space="preserve">P11665</t>
  </si>
  <si>
    <t xml:space="preserve">P10956</t>
  </si>
  <si>
    <t xml:space="preserve">P10741</t>
  </si>
  <si>
    <t xml:space="preserve">P11463</t>
  </si>
  <si>
    <t xml:space="preserve">P10231</t>
  </si>
  <si>
    <t xml:space="preserve">P11491</t>
  </si>
  <si>
    <t xml:space="preserve">P10382</t>
  </si>
  <si>
    <t xml:space="preserve">P11331</t>
  </si>
  <si>
    <t xml:space="preserve">P10072</t>
  </si>
  <si>
    <t xml:space="preserve">P12025</t>
  </si>
  <si>
    <t xml:space="preserve">P11191</t>
  </si>
  <si>
    <t xml:space="preserve">P10171</t>
  </si>
  <si>
    <t xml:space="preserve">P11537</t>
  </si>
  <si>
    <t xml:space="preserve">P10168</t>
  </si>
  <si>
    <t xml:space="preserve">P11624</t>
  </si>
  <si>
    <t xml:space="preserve">P10272</t>
  </si>
  <si>
    <t xml:space="preserve">P10420</t>
  </si>
  <si>
    <t xml:space="preserve">P11497</t>
  </si>
  <si>
    <t xml:space="preserve">P11750</t>
  </si>
  <si>
    <t xml:space="preserve">P11965</t>
  </si>
  <si>
    <t xml:space="preserve">P10056</t>
  </si>
  <si>
    <t xml:space="preserve">P11734</t>
  </si>
  <si>
    <t xml:space="preserve">P11287</t>
  </si>
  <si>
    <t xml:space="preserve">P11412</t>
  </si>
  <si>
    <t xml:space="preserve">P10038</t>
  </si>
  <si>
    <t xml:space="preserve">P10306</t>
  </si>
  <si>
    <t xml:space="preserve">P10006</t>
  </si>
  <si>
    <t xml:space="preserve">P10782</t>
  </si>
  <si>
    <t xml:space="preserve">P10408</t>
  </si>
  <si>
    <t xml:space="preserve">P11348</t>
  </si>
  <si>
    <t xml:space="preserve">P10781</t>
  </si>
  <si>
    <t xml:space="preserve">P10534</t>
  </si>
  <si>
    <t xml:space="preserve">P10583</t>
  </si>
  <si>
    <t xml:space="preserve">P11475</t>
  </si>
  <si>
    <t xml:space="preserve">P12081</t>
  </si>
  <si>
    <t xml:space="preserve">P11566</t>
  </si>
  <si>
    <t xml:space="preserve">P11355</t>
  </si>
  <si>
    <t xml:space="preserve">P11221</t>
  </si>
  <si>
    <t xml:space="preserve">P11827</t>
  </si>
  <si>
    <t xml:space="preserve">P10813</t>
  </si>
  <si>
    <t xml:space="preserve">P10316</t>
  </si>
  <si>
    <t xml:space="preserve">P11411</t>
  </si>
  <si>
    <t xml:space="preserve">P11895</t>
  </si>
  <si>
    <t xml:space="preserve">P10516</t>
  </si>
  <si>
    <t xml:space="preserve">P11180</t>
  </si>
  <si>
    <t xml:space="preserve">P11836</t>
  </si>
  <si>
    <t xml:space="preserve">P10533</t>
  </si>
  <si>
    <t xml:space="preserve">P11151</t>
  </si>
  <si>
    <t xml:space="preserve">P10271</t>
  </si>
  <si>
    <t xml:space="preserve">P10548</t>
  </si>
  <si>
    <t xml:space="preserve">P10964</t>
  </si>
  <si>
    <t xml:space="preserve">P11868</t>
  </si>
  <si>
    <t xml:space="preserve">P11796</t>
  </si>
  <si>
    <t xml:space="preserve">P10598</t>
  </si>
  <si>
    <t xml:space="preserve">P11766</t>
  </si>
  <si>
    <t xml:space="preserve">P10570</t>
  </si>
  <si>
    <t xml:space="preserve">P10074</t>
  </si>
  <si>
    <t xml:space="preserve">P10061</t>
  </si>
  <si>
    <t xml:space="preserve">P10809</t>
  </si>
  <si>
    <t xml:space="preserve">P10244</t>
  </si>
  <si>
    <t xml:space="preserve">P11049</t>
  </si>
  <si>
    <t xml:space="preserve">P11949</t>
  </si>
  <si>
    <t xml:space="preserve">P11588</t>
  </si>
  <si>
    <t xml:space="preserve">P10105</t>
  </si>
  <si>
    <t xml:space="preserve">P10673</t>
  </si>
  <si>
    <t xml:space="preserve">P10642</t>
  </si>
  <si>
    <t xml:space="preserve">P12076</t>
  </si>
  <si>
    <t xml:space="preserve">P10665</t>
  </si>
  <si>
    <t xml:space="preserve">P10509</t>
  </si>
  <si>
    <t xml:space="preserve">P10131</t>
  </si>
  <si>
    <t xml:space="preserve">P10444</t>
  </si>
  <si>
    <t xml:space="preserve">P10866</t>
  </si>
  <si>
    <t xml:space="preserve">P11779</t>
  </si>
  <si>
    <t xml:space="preserve">P10057</t>
  </si>
  <si>
    <t xml:space="preserve">P11820</t>
  </si>
  <si>
    <t xml:space="preserve">P11244</t>
  </si>
  <si>
    <t xml:space="preserve">P10086</t>
  </si>
  <si>
    <t xml:space="preserve">P12040</t>
  </si>
  <si>
    <t xml:space="preserve">P10771</t>
  </si>
  <si>
    <t xml:space="preserve">P10708</t>
  </si>
  <si>
    <t xml:space="preserve">P11109</t>
  </si>
  <si>
    <t xml:space="preserve">P11709</t>
  </si>
  <si>
    <t xml:space="preserve">P11467</t>
  </si>
  <si>
    <t xml:space="preserve">P11715</t>
  </si>
  <si>
    <t xml:space="preserve">P10538</t>
  </si>
  <si>
    <t xml:space="preserve">P11576</t>
  </si>
  <si>
    <t xml:space="preserve">P11753</t>
  </si>
  <si>
    <t xml:space="preserve">P11705</t>
  </si>
  <si>
    <t xml:space="preserve">P11432</t>
  </si>
  <si>
    <t xml:space="preserve">P10418</t>
  </si>
  <si>
    <t xml:space="preserve">P12033</t>
  </si>
  <si>
    <t xml:space="preserve">P11073</t>
  </si>
  <si>
    <t xml:space="preserve">P11869</t>
  </si>
  <si>
    <t xml:space="preserve">P11403</t>
  </si>
  <si>
    <t xml:space="preserve">P10851</t>
  </si>
  <si>
    <t xml:space="preserve">P12089</t>
  </si>
  <si>
    <t xml:space="preserve">P11893</t>
  </si>
  <si>
    <t xml:space="preserve">P11855</t>
  </si>
  <si>
    <t xml:space="preserve">P11934</t>
  </si>
  <si>
    <t xml:space="preserve">P11422</t>
  </si>
  <si>
    <t xml:space="preserve">P11897</t>
  </si>
  <si>
    <t xml:space="preserve">P11969</t>
  </si>
  <si>
    <t xml:space="preserve">P11858</t>
  </si>
  <si>
    <t xml:space="preserve">P11098</t>
  </si>
  <si>
    <t xml:space="preserve">P10335</t>
  </si>
  <si>
    <t xml:space="preserve">P10995</t>
  </si>
  <si>
    <t xml:space="preserve">P10569</t>
  </si>
  <si>
    <t xml:space="preserve">P10088</t>
  </si>
  <si>
    <t xml:space="preserve">P10874</t>
  </si>
  <si>
    <t xml:space="preserve">P11263</t>
  </si>
  <si>
    <t xml:space="preserve">P11671</t>
  </si>
  <si>
    <t xml:space="preserve">P10712</t>
  </si>
  <si>
    <t xml:space="preserve">P11916</t>
  </si>
  <si>
    <t xml:space="preserve">P12036</t>
  </si>
  <si>
    <t xml:space="preserve">P12039</t>
  </si>
  <si>
    <t xml:space="preserve">P10221</t>
  </si>
  <si>
    <t xml:space="preserve">P10319</t>
  </si>
  <si>
    <t xml:space="preserve">P11980</t>
  </si>
  <si>
    <t xml:space="preserve">P10878</t>
  </si>
  <si>
    <t xml:space="preserve">P11976</t>
  </si>
  <si>
    <t xml:space="preserve">P10825</t>
  </si>
  <si>
    <t xml:space="preserve">P11198</t>
  </si>
  <si>
    <t xml:space="preserve">P11030</t>
  </si>
  <si>
    <t xml:space="preserve">P11620</t>
  </si>
  <si>
    <t xml:space="preserve">P10138</t>
  </si>
  <si>
    <t xml:space="preserve">P10163</t>
  </si>
  <si>
    <t xml:space="preserve">P12038</t>
  </si>
  <si>
    <t xml:space="preserve">P11590</t>
  </si>
  <si>
    <t xml:space="preserve">P10960</t>
  </si>
  <si>
    <t xml:space="preserve">P11580</t>
  </si>
  <si>
    <t xml:space="preserve">P11360</t>
  </si>
  <si>
    <t xml:space="preserve">P11688</t>
  </si>
  <si>
    <t xml:space="preserve">P12096</t>
  </si>
  <si>
    <t xml:space="preserve">P11423</t>
  </si>
  <si>
    <t xml:space="preserve">P11979</t>
  </si>
  <si>
    <t xml:space="preserve">P10633</t>
  </si>
  <si>
    <t xml:space="preserve">P11301</t>
  </si>
  <si>
    <t xml:space="preserve">P10655</t>
  </si>
  <si>
    <t xml:space="preserve">P10016</t>
  </si>
  <si>
    <t xml:space="preserve">P11929</t>
  </si>
  <si>
    <t xml:space="preserve">P11277</t>
  </si>
  <si>
    <t xml:space="preserve">P10137</t>
  </si>
  <si>
    <t xml:space="preserve">P11342</t>
  </si>
  <si>
    <t xml:space="preserve">P10697</t>
  </si>
  <si>
    <t xml:space="preserve">P11097</t>
  </si>
  <si>
    <t xml:space="preserve">P11421</t>
  </si>
  <si>
    <t xml:space="preserve">P11772</t>
  </si>
  <si>
    <t xml:space="preserve">P10448</t>
  </si>
  <si>
    <t xml:space="preserve">P10327</t>
  </si>
  <si>
    <t xml:space="preserve">P10317</t>
  </si>
  <si>
    <t xml:space="preserve">P11677</t>
  </si>
  <si>
    <t xml:space="preserve">P11169</t>
  </si>
  <si>
    <t xml:space="preserve">P10526</t>
  </si>
  <si>
    <t xml:space="preserve">P10087</t>
  </si>
  <si>
    <t xml:space="preserve">P11396</t>
  </si>
  <si>
    <t xml:space="preserve">P10148</t>
  </si>
  <si>
    <t xml:space="preserve">P11781</t>
  </si>
  <si>
    <t xml:space="preserve">P11799</t>
  </si>
  <si>
    <t xml:space="preserve">P11329</t>
  </si>
  <si>
    <t xml:space="preserve">P11602</t>
  </si>
  <si>
    <t xml:space="preserve">P10365</t>
  </si>
  <si>
    <t xml:space="preserve">P10589</t>
  </si>
  <si>
    <t xml:space="preserve">P11654</t>
  </si>
  <si>
    <t xml:space="preserve">P10198</t>
  </si>
  <si>
    <t xml:space="preserve">P12068</t>
  </si>
  <si>
    <t xml:space="preserve">P10192</t>
  </si>
  <si>
    <t xml:space="preserve">P10404</t>
  </si>
  <si>
    <t xml:space="preserve">P11727</t>
  </si>
  <si>
    <t xml:space="preserve">P10250</t>
  </si>
  <si>
    <t xml:space="preserve">P10483</t>
  </si>
  <si>
    <t xml:space="preserve">P11182</t>
  </si>
  <si>
    <t xml:space="preserve">P11601</t>
  </si>
  <si>
    <t xml:space="preserve">P10791</t>
  </si>
  <si>
    <t xml:space="preserve">P10799</t>
  </si>
  <si>
    <t xml:space="preserve">P10384</t>
  </si>
  <si>
    <t xml:space="preserve">P10750</t>
  </si>
  <si>
    <t xml:space="preserve">P11201</t>
  </si>
  <si>
    <t xml:space="preserve">P10422</t>
  </si>
  <si>
    <t xml:space="preserve">P10314</t>
  </si>
  <si>
    <t xml:space="preserve">P11021</t>
  </si>
  <si>
    <t xml:space="preserve">P10543</t>
  </si>
  <si>
    <t xml:space="preserve">P10913</t>
  </si>
  <si>
    <t xml:space="preserve">P10662</t>
  </si>
  <si>
    <t xml:space="preserve">P10902</t>
  </si>
  <si>
    <t xml:space="preserve">P11531</t>
  </si>
  <si>
    <t xml:space="preserve">P10685</t>
  </si>
  <si>
    <t xml:space="preserve">P11839</t>
  </si>
  <si>
    <t xml:space="preserve">P10159</t>
  </si>
  <si>
    <t xml:space="preserve">P10999</t>
  </si>
  <si>
    <t xml:space="preserve">P11425</t>
  </si>
  <si>
    <t xml:space="preserve">P11950</t>
  </si>
  <si>
    <t xml:space="preserve">P10202</t>
  </si>
  <si>
    <t xml:space="preserve">P11023</t>
  </si>
  <si>
    <t xml:space="preserve">P11682</t>
  </si>
  <si>
    <t xml:space="preserve">P11302</t>
  </si>
  <si>
    <t xml:space="preserve">P10112</t>
  </si>
  <si>
    <t xml:space="preserve">P11984</t>
  </si>
  <si>
    <t xml:space="preserve">P11352</t>
  </si>
  <si>
    <t xml:space="preserve">P10980</t>
  </si>
  <si>
    <t xml:space="preserve">P11626</t>
  </si>
  <si>
    <t xml:space="preserve">P11888</t>
  </si>
  <si>
    <t xml:space="preserve">P11553</t>
  </si>
  <si>
    <t xml:space="preserve">P11361</t>
  </si>
  <si>
    <t xml:space="preserve">P10815</t>
  </si>
  <si>
    <t xml:space="preserve">P11737</t>
  </si>
  <si>
    <t xml:space="preserve">P11414</t>
  </si>
  <si>
    <t xml:space="preserve">P10679</t>
  </si>
  <si>
    <t xml:space="preserve">P11093</t>
  </si>
  <si>
    <t xml:space="preserve">P10080</t>
  </si>
  <si>
    <t xml:space="preserve">P11931</t>
  </si>
  <si>
    <t xml:space="preserve">P11471</t>
  </si>
  <si>
    <t xml:space="preserve">P11681</t>
  </si>
  <si>
    <t xml:space="preserve">P10752</t>
  </si>
  <si>
    <t xml:space="preserve">P11239</t>
  </si>
  <si>
    <t xml:space="preserve">P11444</t>
  </si>
  <si>
    <t xml:space="preserve">P11054</t>
  </si>
  <si>
    <t xml:space="preserve">P10242</t>
  </si>
  <si>
    <t xml:space="preserve">P11828</t>
  </si>
  <si>
    <t xml:space="preserve">P10641</t>
  </si>
  <si>
    <t xml:space="preserve">P10696</t>
  </si>
  <si>
    <t xml:space="preserve">P10209</t>
  </si>
  <si>
    <t xml:space="preserve">P10502</t>
  </si>
  <si>
    <t xml:space="preserve">P10770</t>
  </si>
  <si>
    <t xml:space="preserve">P11924</t>
  </si>
  <si>
    <t xml:space="preserve">P10435</t>
  </si>
  <si>
    <t xml:space="preserve">P11063</t>
  </si>
  <si>
    <t xml:space="preserve">P10974</t>
  </si>
  <si>
    <t xml:space="preserve">P10551</t>
  </si>
  <si>
    <t xml:space="preserve">P11528</t>
  </si>
  <si>
    <t xml:space="preserve">P11538</t>
  </si>
  <si>
    <t xml:space="preserve">P11013</t>
  </si>
  <si>
    <t xml:space="preserve">P11007</t>
  </si>
  <si>
    <t xml:space="preserve">P11274</t>
  </si>
  <si>
    <t xml:space="preserve">P11295</t>
  </si>
  <si>
    <t xml:space="preserve">P10466</t>
  </si>
  <si>
    <t xml:space="preserve">P11616</t>
  </si>
  <si>
    <t xml:space="preserve">P11431</t>
  </si>
  <si>
    <t xml:space="preserve">P10277</t>
  </si>
  <si>
    <t xml:space="preserve">P11069</t>
  </si>
  <si>
    <t xml:space="preserve">P11017</t>
  </si>
  <si>
    <t xml:space="preserve">P11448</t>
  </si>
  <si>
    <t xml:space="preserve">P10722</t>
  </si>
  <si>
    <t xml:space="preserve">P10940</t>
  </si>
  <si>
    <t xml:space="preserve">P10786</t>
  </si>
  <si>
    <t xml:space="preserve">P11789</t>
  </si>
  <si>
    <t xml:space="preserve">P11323</t>
  </si>
  <si>
    <t xml:space="preserve">P11857</t>
  </si>
  <si>
    <t xml:space="preserve">P12065</t>
  </si>
  <si>
    <t xml:space="preserve">P11427</t>
  </si>
  <si>
    <t xml:space="preserve">P10906</t>
  </si>
  <si>
    <t xml:space="preserve">P10563</t>
  </si>
  <si>
    <t xml:space="preserve">P11249</t>
  </si>
  <si>
    <t xml:space="preserve">P10388</t>
  </si>
  <si>
    <t xml:space="preserve">P10022</t>
  </si>
  <si>
    <t xml:space="preserve">P11985</t>
  </si>
  <si>
    <t xml:space="preserve">P10124</t>
  </si>
  <si>
    <t xml:space="preserve">P11558</t>
  </si>
  <si>
    <t xml:space="preserve">P10773</t>
  </si>
  <si>
    <t xml:space="preserve">P10880</t>
  </si>
  <si>
    <t xml:space="preserve">P11144</t>
  </si>
  <si>
    <t xml:space="preserve">P11166</t>
  </si>
  <si>
    <t xml:space="preserve">P10050</t>
  </si>
  <si>
    <t xml:space="preserve">P11554</t>
  </si>
  <si>
    <t xml:space="preserve">P11731</t>
  </si>
  <si>
    <t xml:space="preserve">P11105</t>
  </si>
  <si>
    <t xml:space="preserve">P10703</t>
  </si>
  <si>
    <t xml:space="preserve">P10482</t>
  </si>
  <si>
    <t xml:space="preserve">P11345</t>
  </si>
  <si>
    <t xml:space="preserve">P11145</t>
  </si>
  <si>
    <t xml:space="preserve">P10203</t>
  </si>
  <si>
    <t xml:space="preserve">P10066</t>
  </si>
  <si>
    <t xml:space="preserve">P11885</t>
  </si>
  <si>
    <t xml:space="preserve">P10733</t>
  </si>
  <si>
    <t xml:space="preserve">P11957</t>
  </si>
  <si>
    <t xml:space="preserve">P10801</t>
  </si>
  <si>
    <t xml:space="preserve">P11697</t>
  </si>
  <si>
    <t xml:space="preserve">P11610</t>
  </si>
  <si>
    <t xml:space="preserve">P10907</t>
  </si>
  <si>
    <t xml:space="preserve">P10031</t>
  </si>
  <si>
    <t xml:space="preserve">P10417</t>
  </si>
  <si>
    <t xml:space="preserve">P10881</t>
  </si>
  <si>
    <t xml:space="preserve">P10632</t>
  </si>
  <si>
    <t xml:space="preserve">P11578</t>
  </si>
  <si>
    <t xml:space="preserve">P10064</t>
  </si>
  <si>
    <t xml:space="preserve">P11780</t>
  </si>
  <si>
    <t xml:space="preserve">P11763</t>
  </si>
  <si>
    <t xml:space="preserve">P10077</t>
  </si>
  <si>
    <t xml:space="preserve">P10491</t>
  </si>
  <si>
    <t xml:space="preserve">P11544</t>
  </si>
  <si>
    <t xml:space="preserve">P11673</t>
  </si>
  <si>
    <t xml:space="preserve">P10532</t>
  </si>
  <si>
    <t xml:space="preserve">P10065</t>
  </si>
  <si>
    <t xml:space="preserve">P11854</t>
  </si>
  <si>
    <t xml:space="preserve">P12014</t>
  </si>
  <si>
    <t xml:space="preserve">P10296</t>
  </si>
  <si>
    <t xml:space="preserve">P10591</t>
  </si>
  <si>
    <t xml:space="preserve">P10767</t>
  </si>
  <si>
    <t xml:space="preserve">P11285</t>
  </si>
  <si>
    <t xml:space="preserve">P10724</t>
  </si>
  <si>
    <t xml:space="preserve">P11561</t>
  </si>
  <si>
    <t xml:space="preserve">P11305</t>
  </si>
  <si>
    <t xml:space="preserve">P10626</t>
  </si>
  <si>
    <t xml:space="preserve">P11376</t>
  </si>
  <si>
    <t xml:space="preserve">P11542</t>
  </si>
  <si>
    <t xml:space="preserve">P10745</t>
  </si>
  <si>
    <t xml:space="preserve">P11212</t>
  </si>
  <si>
    <t xml:space="preserve">P11768</t>
  </si>
  <si>
    <t xml:space="preserve">P10251</t>
  </si>
  <si>
    <t xml:space="preserve">P12002</t>
  </si>
  <si>
    <t xml:space="preserve">P12088</t>
  </si>
  <si>
    <t xml:space="preserve">P12077</t>
  </si>
  <si>
    <t xml:space="preserve">P10982</t>
  </si>
  <si>
    <t xml:space="preserve">P11945</t>
  </si>
  <si>
    <t xml:space="preserve">P10706</t>
  </si>
  <si>
    <t xml:space="preserve">P10487</t>
  </si>
  <si>
    <t xml:space="preserve">P10273</t>
  </si>
  <si>
    <t xml:space="preserve">P11647</t>
  </si>
  <si>
    <t xml:space="preserve">P11830</t>
  </si>
  <si>
    <t xml:space="preserve">P10963</t>
  </si>
  <si>
    <t xml:space="preserve">P10877</t>
  </si>
  <si>
    <t xml:space="preserve">P11668</t>
  </si>
  <si>
    <t xml:space="preserve">P11991</t>
  </si>
  <si>
    <t xml:space="preserve">P10411</t>
  </si>
  <si>
    <t xml:space="preserve">P11587</t>
  </si>
  <si>
    <t xml:space="preserve">P10667</t>
  </si>
  <si>
    <t xml:space="preserve">P11262</t>
  </si>
  <si>
    <t xml:space="preserve">P10149</t>
  </si>
  <si>
    <t xml:space="preserve">P10644</t>
  </si>
  <si>
    <t xml:space="preserve">P11761</t>
  </si>
  <si>
    <t xml:space="preserve">P10218</t>
  </si>
  <si>
    <t xml:space="preserve">P10239</t>
  </si>
  <si>
    <t xml:space="preserve">P11131</t>
  </si>
  <si>
    <t xml:space="preserve">P11216</t>
  </si>
  <si>
    <t xml:space="preserve">P10792</t>
  </si>
  <si>
    <t xml:space="preserve">P10191</t>
  </si>
  <si>
    <t xml:space="preserve">P10333</t>
  </si>
  <si>
    <t xml:space="preserve">P11447</t>
  </si>
  <si>
    <t xml:space="preserve">P11548</t>
  </si>
  <si>
    <t xml:space="preserve">P10962</t>
  </si>
  <si>
    <t xml:space="preserve">P11573</t>
  </si>
  <si>
    <t xml:space="preserve">P11446</t>
  </si>
  <si>
    <t xml:space="preserve">P11086</t>
  </si>
  <si>
    <t xml:space="preserve">P11811</t>
  </si>
  <si>
    <t xml:space="preserve">P11577</t>
  </si>
  <si>
    <t xml:space="preserve">P11777</t>
  </si>
  <si>
    <t xml:space="preserve">P10582</t>
  </si>
  <si>
    <t xml:space="preserve">P12080</t>
  </si>
  <si>
    <t xml:space="preserve">P11994</t>
  </si>
  <si>
    <t xml:space="preserve">P10839</t>
  </si>
  <si>
    <t xml:space="preserve">P10627</t>
  </si>
  <si>
    <t xml:space="preserve">P10323</t>
  </si>
  <si>
    <t xml:space="preserve">P11802</t>
  </si>
  <si>
    <t xml:space="preserve">P11160</t>
  </si>
  <si>
    <t xml:space="preserve">P10778</t>
  </si>
  <si>
    <t xml:space="preserve">P11076</t>
  </si>
  <si>
    <t xml:space="preserve">P10939</t>
  </si>
  <si>
    <t xml:space="preserve">P10119</t>
  </si>
  <si>
    <t xml:space="preserve">P11487</t>
  </si>
  <si>
    <t xml:space="preserve">P11752</t>
  </si>
  <si>
    <t xml:space="preserve">P11955</t>
  </si>
  <si>
    <t xml:space="preserve">P11026</t>
  </si>
  <si>
    <t xml:space="preserve">P11253</t>
  </si>
  <si>
    <t xml:space="preserve">P11508</t>
  </si>
  <si>
    <t xml:space="preserve">P11380</t>
  </si>
  <si>
    <t xml:space="preserve">P10076</t>
  </si>
  <si>
    <t xml:space="preserve">P11053</t>
  </si>
  <si>
    <t xml:space="preserve">P10900</t>
  </si>
  <si>
    <t xml:space="preserve">P10371</t>
  </si>
  <si>
    <t xml:space="preserve">P11204</t>
  </si>
  <si>
    <t xml:space="preserve">P11581</t>
  </si>
  <si>
    <t xml:space="preserve">P10949</t>
  </si>
  <si>
    <t xml:space="preserve">P10941</t>
  </si>
  <si>
    <t xml:space="preserve">P10577</t>
  </si>
  <si>
    <t xml:space="preserve">P10819</t>
  </si>
  <si>
    <t xml:space="preserve">P11608</t>
  </si>
  <si>
    <t xml:space="preserve">P11631</t>
  </si>
  <si>
    <t xml:space="preserve">P11900</t>
  </si>
  <si>
    <t xml:space="preserve">P11509</t>
  </si>
  <si>
    <t xml:space="preserve">P10886</t>
  </si>
  <si>
    <t xml:space="preserve">P10968</t>
  </si>
  <si>
    <t xml:space="preserve">P11751</t>
  </si>
  <si>
    <t xml:space="preserve">P10785</t>
  </si>
  <si>
    <t xml:space="preserve">P11691</t>
  </si>
  <si>
    <t xml:space="preserve">P11842</t>
  </si>
  <si>
    <t xml:space="preserve">P11765</t>
  </si>
  <si>
    <t xml:space="preserve">P10301</t>
  </si>
  <si>
    <t xml:space="preserve">P10689</t>
  </si>
  <si>
    <t xml:space="preserve">P10812</t>
  </si>
  <si>
    <t xml:space="preserve">P11061</t>
  </si>
  <si>
    <t xml:space="preserve">P11377</t>
  </si>
  <si>
    <t xml:space="preserve">P10236</t>
  </si>
  <si>
    <t xml:space="preserve">P11115</t>
  </si>
  <si>
    <t xml:space="preserve">P11483</t>
  </si>
  <si>
    <t xml:space="preserve">P10499</t>
  </si>
  <si>
    <t xml:space="preserve">P11816</t>
  </si>
  <si>
    <t xml:space="preserve">P11079</t>
  </si>
  <si>
    <t xml:space="preserve">P10794</t>
  </si>
  <si>
    <t xml:space="preserve">P12093</t>
  </si>
  <si>
    <t xml:space="preserve">P11678</t>
  </si>
  <si>
    <t xml:space="preserve">P12098</t>
  </si>
  <si>
    <t xml:space="preserve">P10990</t>
  </si>
  <si>
    <t xml:space="preserve">P11499</t>
  </si>
  <si>
    <t xml:space="preserve">P10934</t>
  </si>
  <si>
    <t xml:space="preserve">P10387</t>
  </si>
  <si>
    <t xml:space="preserve">P11609</t>
  </si>
  <si>
    <t xml:space="preserve">P10390</t>
  </si>
  <si>
    <t xml:space="preserve">P10743</t>
  </si>
  <si>
    <t xml:space="preserve">P10352</t>
  </si>
  <si>
    <t xml:space="preserve">P11217</t>
  </si>
  <si>
    <t xml:space="preserve">P10235</t>
  </si>
  <si>
    <t xml:space="preserve">P11871</t>
  </si>
  <si>
    <t xml:space="preserve">P10480</t>
  </si>
  <si>
    <t xml:space="preserve">P10567</t>
  </si>
  <si>
    <t xml:space="preserve">P11140</t>
  </si>
  <si>
    <t xml:space="preserve">P12000</t>
  </si>
  <si>
    <t xml:space="preserve">P10100</t>
  </si>
  <si>
    <t xml:space="preserve">P11714</t>
  </si>
  <si>
    <t xml:space="preserve">P11718</t>
  </si>
  <si>
    <t xml:space="preserve">P10120</t>
  </si>
  <si>
    <t xml:space="preserve">P11388</t>
  </si>
  <si>
    <t xml:space="preserve">P11894</t>
  </si>
  <si>
    <t xml:space="preserve">P11272</t>
  </si>
  <si>
    <t xml:space="preserve">P11477</t>
  </si>
  <si>
    <t xml:space="preserve">P10926</t>
  </si>
  <si>
    <t xml:space="preserve">P10515</t>
  </si>
  <si>
    <t xml:space="preserve">P10223</t>
  </si>
  <si>
    <t xml:space="preserve">P11758</t>
  </si>
  <si>
    <t xml:space="preserve">P10613</t>
  </si>
  <si>
    <t xml:space="preserve">P10843</t>
  </si>
  <si>
    <t xml:space="preserve">P11245</t>
  </si>
  <si>
    <t xml:space="preserve">P11489</t>
  </si>
  <si>
    <t xml:space="preserve">P10052</t>
  </si>
  <si>
    <t xml:space="preserve">P12029</t>
  </si>
  <si>
    <t xml:space="preserve">P10485</t>
  </si>
  <si>
    <t xml:space="preserve">P12085</t>
  </si>
  <si>
    <t xml:space="preserve">P10818</t>
  </si>
  <si>
    <t xml:space="preserve">P11798</t>
  </si>
  <si>
    <t xml:space="preserve">P10155</t>
  </si>
  <si>
    <t xml:space="preserve">P11366</t>
  </si>
  <si>
    <t xml:space="preserve">P10600</t>
  </si>
  <si>
    <t xml:space="preserve">P11892</t>
  </si>
  <si>
    <t xml:space="preserve">P10248</t>
  </si>
  <si>
    <t xml:space="preserve">P10761</t>
  </si>
  <si>
    <t xml:space="preserve">P11465</t>
  </si>
  <si>
    <t xml:space="preserve">P12012</t>
  </si>
  <si>
    <t xml:space="preserve">P11130</t>
  </si>
  <si>
    <t xml:space="preserve">P10542</t>
  </si>
  <si>
    <t xml:space="preserve">P10793</t>
  </si>
  <si>
    <t xml:space="preserve">P11141</t>
  </si>
  <si>
    <t xml:space="preserve">P11595</t>
  </si>
  <si>
    <t xml:space="preserve">P10628</t>
  </si>
  <si>
    <t xml:space="preserve">P10150</t>
  </si>
  <si>
    <t xml:space="preserve">P11801</t>
  </si>
  <si>
    <t xml:space="preserve">P10291</t>
  </si>
  <si>
    <t xml:space="preserve">P10381</t>
  </si>
  <si>
    <t xml:space="preserve">P10686</t>
  </si>
  <si>
    <t xml:space="preserve">P11367</t>
  </si>
  <si>
    <t xml:space="preserve">P11224</t>
  </si>
  <si>
    <t xml:space="preserve">P10897</t>
  </si>
  <si>
    <t xml:space="preserve">P11909</t>
  </si>
  <si>
    <t xml:space="preserve">P10854</t>
  </si>
  <si>
    <t xml:space="preserve">P11071</t>
  </si>
  <si>
    <t xml:space="preserve">P10554</t>
  </si>
  <si>
    <t xml:space="preserve">P11675</t>
  </si>
  <si>
    <t xml:space="preserve">P11851</t>
  </si>
  <si>
    <t xml:space="preserve">P11529</t>
  </si>
  <si>
    <t xml:space="preserve">P10891</t>
  </si>
  <si>
    <t xml:space="preserve">P11926</t>
  </si>
  <si>
    <t xml:space="preserve">P10535</t>
  </si>
  <si>
    <t xml:space="preserve">P11364</t>
  </si>
  <si>
    <t xml:space="preserve">P10615</t>
  </si>
  <si>
    <t xml:space="preserve">P10154</t>
  </si>
  <si>
    <t xml:space="preserve">P11193</t>
  </si>
  <si>
    <t xml:space="preserve">P11635</t>
  </si>
  <si>
    <t xml:space="preserve">P11878</t>
  </si>
  <si>
    <t xml:space="preserve">P11953</t>
  </si>
  <si>
    <t xml:space="preserve">P10322</t>
  </si>
  <si>
    <t xml:space="preserve">P11698</t>
  </si>
  <si>
    <t xml:space="preserve">P11282</t>
  </si>
  <si>
    <t xml:space="preserve">P10082</t>
  </si>
  <si>
    <t xml:space="preserve">P10512</t>
  </si>
  <si>
    <t xml:space="preserve">P11488</t>
  </si>
  <si>
    <t xml:space="preserve">P11674</t>
  </si>
  <si>
    <t xml:space="preserve">P11627</t>
  </si>
  <si>
    <t xml:space="preserve">P11574</t>
  </si>
  <si>
    <t xml:space="preserve">P10929</t>
  </si>
  <si>
    <t xml:space="preserve">P11792</t>
  </si>
  <si>
    <t xml:space="preserve">P11357</t>
  </si>
  <si>
    <t xml:space="preserve">P10010</t>
  </si>
  <si>
    <t xml:space="preserve">P11494</t>
  </si>
  <si>
    <t xml:space="preserve">P10831</t>
  </si>
  <si>
    <t xml:space="preserve">P10032</t>
  </si>
  <si>
    <t xml:space="preserve">P11997</t>
  </si>
  <si>
    <t xml:space="preserve">P10413</t>
  </si>
  <si>
    <t xml:space="preserve">P10580</t>
  </si>
  <si>
    <t xml:space="preserve">P11406</t>
  </si>
  <si>
    <t xml:space="preserve">P11701</t>
  </si>
  <si>
    <t xml:space="preserve">P11633</t>
  </si>
  <si>
    <t xml:space="preserve">P10107</t>
  </si>
  <si>
    <t xml:space="preserve">P10614</t>
  </si>
  <si>
    <t xml:space="preserve">P11045</t>
  </si>
  <si>
    <t xml:space="preserve">P11402</t>
  </si>
  <si>
    <t xml:space="preserve">P11014</t>
  </si>
  <si>
    <t xml:space="preserve">P10089</t>
  </si>
  <si>
    <t xml:space="preserve">P12092</t>
  </si>
  <si>
    <t xml:space="preserve">P10601</t>
  </si>
  <si>
    <t xml:space="preserve">P11237</t>
  </si>
  <si>
    <t xml:space="preserve">P12024</t>
  </si>
  <si>
    <t xml:space="preserve">P10133</t>
  </si>
  <si>
    <t xml:space="preserve">P11370</t>
  </si>
  <si>
    <t xml:space="preserve">P10555</t>
  </si>
  <si>
    <t xml:space="preserve">P11031</t>
  </si>
  <si>
    <t xml:space="preserve">P10320</t>
  </si>
  <si>
    <t xml:space="preserve">P11944</t>
  </si>
  <si>
    <t xml:space="preserve">P11211</t>
  </si>
  <si>
    <t xml:space="preserve">P11907</t>
  </si>
  <si>
    <t xml:space="preserve">P10634</t>
  </si>
  <si>
    <t xml:space="preserve">P10552</t>
  </si>
  <si>
    <t xml:space="preserve">P11328</t>
  </si>
  <si>
    <t xml:space="preserve">P11055</t>
  </si>
  <si>
    <t xml:space="preserve">P11710</t>
  </si>
  <si>
    <t xml:space="preserve">P10796</t>
  </si>
  <si>
    <t xml:space="preserve">P11823</t>
  </si>
  <si>
    <t xml:space="preserve">P11264</t>
  </si>
  <si>
    <t xml:space="preserve">P11876</t>
  </si>
  <si>
    <t xml:space="preserve">P10174</t>
  </si>
  <si>
    <t xml:space="preserve">P10766</t>
  </si>
  <si>
    <t xml:space="preserve">P10245</t>
  </si>
  <si>
    <t xml:space="preserve">P11080</t>
  </si>
  <si>
    <t xml:space="preserve">P10181</t>
  </si>
  <si>
    <t xml:space="preserve">P11906</t>
  </si>
  <si>
    <t xml:space="preserve">P10145</t>
  </si>
  <si>
    <t xml:space="preserve">P10090</t>
  </si>
  <si>
    <t xml:space="preserve">P11416</t>
  </si>
  <si>
    <t xml:space="preserve">P10682</t>
  </si>
  <si>
    <t xml:space="preserve">P10310</t>
  </si>
  <si>
    <t xml:space="preserve">P11383</t>
  </si>
  <si>
    <t xml:space="preserve">P10093</t>
  </si>
  <si>
    <t xml:space="preserve">P11721</t>
  </si>
  <si>
    <t xml:space="preserve">P10924</t>
  </si>
  <si>
    <t xml:space="preserve">P11849</t>
  </si>
  <si>
    <t xml:space="preserve">P11035</t>
  </si>
  <si>
    <t xml:space="preserve">P11400</t>
  </si>
  <si>
    <t xml:space="preserve">P10243</t>
  </si>
  <si>
    <t xml:space="preserve">P11500</t>
  </si>
  <si>
    <t xml:space="preserve">P11111</t>
  </si>
  <si>
    <t xml:space="preserve">P10214</t>
  </si>
  <si>
    <t xml:space="preserve">P11468</t>
  </si>
  <si>
    <t xml:space="preserve">P11197</t>
  </si>
  <si>
    <t xml:space="preserve">P10998</t>
  </si>
  <si>
    <t xml:space="preserve">P10425</t>
  </si>
  <si>
    <t xml:space="preserve">P12084</t>
  </si>
  <si>
    <t xml:space="preserve">P11142</t>
  </si>
  <si>
    <t xml:space="preserve">P11143</t>
  </si>
  <si>
    <t xml:space="preserve">P10226</t>
  </si>
  <si>
    <t xml:space="preserve">P12064</t>
  </si>
  <si>
    <t xml:space="preserve">P10000</t>
  </si>
  <si>
    <t xml:space="preserve">P11418</t>
  </si>
  <si>
    <t xml:space="preserve">P10401</t>
  </si>
  <si>
    <t xml:space="preserve">P11428</t>
  </si>
  <si>
    <t xml:space="preserve">P11103</t>
  </si>
  <si>
    <t xml:space="preserve">P10084</t>
  </si>
  <si>
    <t xml:space="preserve">P10162</t>
  </si>
  <si>
    <t xml:space="preserve">P10114</t>
  </si>
  <si>
    <t xml:space="preserve">P10670</t>
  </si>
  <si>
    <t xml:space="preserve">P11174</t>
  </si>
  <si>
    <t xml:space="preserve">P11676</t>
  </si>
  <si>
    <t xml:space="preserve">P11867</t>
  </si>
  <si>
    <t xml:space="preserve">P11875</t>
  </si>
  <si>
    <t xml:space="preserve">P11392</t>
  </si>
  <si>
    <t xml:space="preserve">P11567</t>
  </si>
  <si>
    <t xml:space="preserve">P10889</t>
  </si>
  <si>
    <t xml:space="preserve">P11501</t>
  </si>
  <si>
    <t xml:space="preserve">P11660</t>
  </si>
  <si>
    <t xml:space="preserve">P11556</t>
  </si>
  <si>
    <t xml:space="preserve">P10625</t>
  </si>
  <si>
    <t xml:space="preserve">P11536</t>
  </si>
  <si>
    <t xml:space="preserve">P11679</t>
  </si>
  <si>
    <t xml:space="preserve">P11096</t>
  </si>
  <si>
    <t xml:space="preserve">P10952</t>
  </si>
  <si>
    <t xml:space="preserve">P10807</t>
  </si>
  <si>
    <t xml:space="preserve">P10258</t>
  </si>
  <si>
    <t xml:space="preserve">P10624</t>
  </si>
  <si>
    <t xml:space="preserve">P10826</t>
  </si>
  <si>
    <t xml:space="preserve">P10234</t>
  </si>
  <si>
    <t xml:space="preserve">P10135</t>
  </si>
  <si>
    <t xml:space="preserve">P10616</t>
  </si>
  <si>
    <t xml:space="preserve">P11540</t>
  </si>
  <si>
    <t xml:space="preserve">P11641</t>
  </si>
  <si>
    <t xml:space="preserve">P10836</t>
  </si>
  <si>
    <t xml:space="preserve">P10842</t>
  </si>
  <si>
    <t xml:space="preserve">P10959</t>
  </si>
  <si>
    <t xml:space="preserve">P10592</t>
  </si>
  <si>
    <t xml:space="preserve">P11314</t>
  </si>
  <si>
    <t xml:space="preserve">P11525</t>
  </si>
  <si>
    <t xml:space="preserve">P11562</t>
  </si>
  <si>
    <t xml:space="preserve">P11291</t>
  </si>
  <si>
    <t xml:space="preserve">P11605</t>
  </si>
  <si>
    <t xml:space="preserve">P10343</t>
  </si>
  <si>
    <t xml:space="preserve">P11810</t>
  </si>
  <si>
    <t xml:space="preserve">P11729</t>
  </si>
  <si>
    <t xml:space="preserve">P10293</t>
  </si>
  <si>
    <t xml:space="preserve">P10364</t>
  </si>
  <si>
    <t xml:space="preserve">P10178</t>
  </si>
  <si>
    <t xml:space="preserve">P10659</t>
  </si>
  <si>
    <t xml:space="preserve">P10996</t>
  </si>
  <si>
    <t xml:space="preserve">P10014</t>
  </si>
  <si>
    <t xml:space="preserve">P11110</t>
  </si>
  <si>
    <t xml:space="preserve">P11394</t>
  </si>
  <si>
    <t xml:space="preserve">P10165</t>
  </si>
  <si>
    <t xml:space="preserve">P12061</t>
  </si>
  <si>
    <t xml:space="preserve">P11359</t>
  </si>
  <si>
    <t xml:space="preserve">P10059</t>
  </si>
  <si>
    <t xml:space="preserve">P10709</t>
  </si>
  <si>
    <t xml:space="preserve">P10676</t>
  </si>
  <si>
    <t xml:space="preserve">P11378</t>
  </si>
  <si>
    <t xml:space="preserve">P10780</t>
  </si>
  <si>
    <t xml:space="preserve">P10424</t>
  </si>
  <si>
    <t xml:space="preserve">P10292</t>
  </si>
  <si>
    <t xml:space="preserve">P11065</t>
  </si>
  <si>
    <t xml:space="preserve">P11966</t>
  </si>
  <si>
    <t xml:space="preserve">P10329</t>
  </si>
  <si>
    <t xml:space="preserve">P11638</t>
  </si>
  <si>
    <t xml:space="preserve">P10429</t>
  </si>
  <si>
    <t xml:space="preserve">P11012</t>
  </si>
  <si>
    <t xml:space="preserve">P10079</t>
  </si>
  <si>
    <t xml:space="preserve">P11717</t>
  </si>
  <si>
    <t xml:space="preserve">P11052</t>
  </si>
  <si>
    <t xml:space="preserve">P10937</t>
  </si>
  <si>
    <t xml:space="preserve">P10834</t>
  </si>
  <si>
    <t xml:space="preserve">P10749</t>
  </si>
  <si>
    <t xml:space="preserve">P10890</t>
  </si>
  <si>
    <t xml:space="preserve">P10254</t>
  </si>
  <si>
    <t xml:space="preserve">P11903</t>
  </si>
  <si>
    <t xml:space="preserve">P11482</t>
  </si>
  <si>
    <t xml:space="preserve">P11407</t>
  </si>
  <si>
    <t xml:space="preserve">P11337</t>
  </si>
  <si>
    <t xml:space="preserve">P11108</t>
  </si>
  <si>
    <t xml:space="preserve">P11598</t>
  </si>
  <si>
    <t xml:space="preserve">P10136</t>
  </si>
  <si>
    <t xml:space="preserve">P11135</t>
  </si>
  <si>
    <t xml:space="preserve">P11218</t>
  </si>
  <si>
    <t xml:space="preserve">P10852</t>
  </si>
  <si>
    <t xml:space="preserve">P11202</t>
  </si>
  <si>
    <t xml:space="preserve">P11579</t>
  </si>
  <si>
    <t xml:space="preserve">P10723</t>
  </si>
  <si>
    <t xml:space="preserve">P10859</t>
  </si>
  <si>
    <t xml:space="preserve">P10969</t>
  </si>
  <si>
    <t xml:space="preserve">P10496</t>
  </si>
  <si>
    <t xml:space="preserve">P10950</t>
  </si>
  <si>
    <t xml:space="preserve">P10805</t>
  </si>
  <si>
    <t xml:space="preserve">P10129</t>
  </si>
  <si>
    <t xml:space="preserve">P11739</t>
  </si>
  <si>
    <t xml:space="preserve">P10337</t>
  </si>
  <si>
    <t xml:space="preserve">P10730</t>
  </si>
  <si>
    <t xml:space="preserve">P10608</t>
  </si>
  <si>
    <t xml:space="preserve">P11148</t>
  </si>
  <si>
    <t xml:space="preserve">P10195</t>
  </si>
  <si>
    <t xml:space="preserve">P11250</t>
  </si>
  <si>
    <t xml:space="preserve">P11713</t>
  </si>
  <si>
    <t xml:space="preserve">P11292</t>
  </si>
  <si>
    <t xml:space="preserve">P10909</t>
  </si>
  <si>
    <t xml:space="preserve">P10584</t>
  </si>
  <si>
    <t xml:space="preserve">P10103</t>
  </si>
  <si>
    <t xml:space="preserve">P11617</t>
  </si>
  <si>
    <t xml:space="preserve">P12037</t>
  </si>
  <si>
    <t xml:space="preserve">P10987</t>
  </si>
  <si>
    <t xml:space="preserve">P10719</t>
  </si>
  <si>
    <t xml:space="preserve">P10884</t>
  </si>
  <si>
    <t xml:space="preserve">P10776</t>
  </si>
  <si>
    <t xml:space="preserve">P11569</t>
  </si>
  <si>
    <t xml:space="preserve">P10849</t>
  </si>
  <si>
    <t xml:space="preserve">P10894</t>
  </si>
  <si>
    <t xml:space="preserve">P10227</t>
  </si>
  <si>
    <t xml:space="preserve">P10434</t>
  </si>
  <si>
    <t xml:space="preserve">P11325</t>
  </si>
  <si>
    <t xml:space="preserve">P11299</t>
  </si>
  <si>
    <t xml:space="preserve">P10126</t>
  </si>
  <si>
    <t xml:space="preserve">P10405</t>
  </si>
  <si>
    <t xml:space="preserve">P10775</t>
  </si>
  <si>
    <t xml:space="preserve">P10821</t>
  </si>
  <si>
    <t xml:space="preserve">P10711</t>
  </si>
  <si>
    <t xml:space="preserve">P11707</t>
  </si>
  <si>
    <t xml:space="preserve">P11773</t>
  </si>
  <si>
    <t xml:space="preserve">P10456</t>
  </si>
  <si>
    <t xml:space="preserve">P11060</t>
  </si>
  <si>
    <t xml:space="preserve">P11163</t>
  </si>
  <si>
    <t xml:space="preserve">P10303</t>
  </si>
  <si>
    <t xml:space="preserve">P10267</t>
  </si>
  <si>
    <t xml:space="preserve">P11557</t>
  </si>
  <si>
    <t xml:space="preserve">P10545</t>
  </si>
  <si>
    <t xml:space="preserve">P10212</t>
  </si>
  <si>
    <t xml:space="preserve">P10896</t>
  </si>
  <si>
    <t xml:space="preserve">P11492</t>
  </si>
  <si>
    <t xml:space="preserve">P11222</t>
  </si>
  <si>
    <t xml:space="preserve">P11696</t>
  </si>
  <si>
    <t xml:space="preserve">P10916</t>
  </si>
  <si>
    <t xml:space="preserve">P11551</t>
  </si>
  <si>
    <t xml:space="preserve">P10675</t>
  </si>
  <si>
    <t xml:space="preserve">P11289</t>
  </si>
  <si>
    <t xml:space="preserve">P10814</t>
  </si>
  <si>
    <t xml:space="preserve">P11265</t>
  </si>
  <si>
    <t xml:space="preserve">P10342</t>
  </si>
  <si>
    <t xml:space="preserve">P10549</t>
  </si>
  <si>
    <t xml:space="preserve">P11410</t>
  </si>
  <si>
    <t xml:space="preserve">P11214</t>
  </si>
  <si>
    <t xml:space="preserve">P10966</t>
  </si>
  <si>
    <t xml:space="preserve">P11230</t>
  </si>
  <si>
    <t xml:space="preserve">P10295</t>
  </si>
  <si>
    <t xml:space="preserve">P10695</t>
  </si>
  <si>
    <t xml:space="preserve">P11452</t>
  </si>
  <si>
    <t xml:space="preserve">P10073</t>
  </si>
  <si>
    <t xml:space="preserve">P10605</t>
  </si>
  <si>
    <t xml:space="preserve">P10104</t>
  </si>
  <si>
    <t xml:space="preserve">P10645</t>
  </si>
  <si>
    <t xml:space="preserve">P11404</t>
  </si>
  <si>
    <t xml:space="preserve">P10494</t>
  </si>
  <si>
    <t xml:space="preserve">P11040</t>
  </si>
  <si>
    <t xml:space="preserve">P10439</t>
  </si>
  <si>
    <t xml:space="preserve">P11019</t>
  </si>
  <si>
    <t xml:space="preserve">P10091</t>
  </si>
  <si>
    <t xml:space="preserve">P11112</t>
  </si>
  <si>
    <t xml:space="preserve">P11928</t>
  </si>
  <si>
    <t xml:space="preserve">P10908</t>
  </si>
  <si>
    <t xml:space="preserve">P11474</t>
  </si>
  <si>
    <t xml:space="preserve">P11741</t>
  </si>
  <si>
    <t xml:space="preserve">P10102</t>
  </si>
  <si>
    <t xml:space="preserve">P10238</t>
  </si>
  <si>
    <t xml:space="preserve">P11870</t>
  </si>
  <si>
    <t xml:space="preserve">P10942</t>
  </si>
  <si>
    <t xml:space="preserve">P11270</t>
  </si>
  <si>
    <t xml:space="preserve">P10938</t>
  </si>
  <si>
    <t xml:space="preserve">P11860</t>
  </si>
  <si>
    <t xml:space="preserve">P11181</t>
  </si>
  <si>
    <t xml:space="preserve">P11503</t>
  </si>
  <si>
    <t xml:space="preserve">P11669</t>
  </si>
  <si>
    <t xml:space="preserve">P10005</t>
  </si>
  <si>
    <t xml:space="preserve">P11999</t>
  </si>
  <si>
    <t xml:space="preserve">P10965</t>
  </si>
  <si>
    <t xml:space="preserve">P10018</t>
  </si>
  <si>
    <t xml:space="preserve">P11430</t>
  </si>
  <si>
    <t xml:space="preserve">P10121</t>
  </si>
  <si>
    <t xml:space="preserve">P10661</t>
  </si>
  <si>
    <t xml:space="preserve">P12090</t>
  </si>
  <si>
    <t xml:space="preserve">P10274</t>
  </si>
  <si>
    <t xml:space="preserve">P10433</t>
  </si>
  <si>
    <t xml:space="preserve">P10811</t>
  </si>
  <si>
    <t xml:space="preserve">P11300</t>
  </si>
  <si>
    <t xml:space="preserve">P11335</t>
  </si>
  <si>
    <t xml:space="preserve">P12055</t>
  </si>
  <si>
    <t xml:space="preserve">P10260</t>
  </si>
  <si>
    <t xml:space="preserve">P11804</t>
  </si>
  <si>
    <t xml:space="preserve">P11570</t>
  </si>
  <si>
    <t xml:space="preserve">P10184</t>
  </si>
  <si>
    <t xml:space="preserve">P10406</t>
  </si>
  <si>
    <t xml:space="preserve">P11743</t>
  </si>
  <si>
    <t xml:space="preserve">P10865</t>
  </si>
  <si>
    <t xml:space="preserve">P11630</t>
  </si>
  <si>
    <t xml:space="preserve">P11716</t>
  </si>
  <si>
    <t xml:space="preserve">P10520</t>
  </si>
  <si>
    <t xml:space="preserve">P11003</t>
  </si>
  <si>
    <t xml:space="preserve">P10380</t>
  </si>
  <si>
    <t xml:space="preserve">P11434</t>
  </si>
  <si>
    <t xml:space="preserve">P11658</t>
  </si>
  <si>
    <t xml:space="preserve">P11393</t>
  </si>
  <si>
    <t xml:space="preserve">P11424</t>
  </si>
  <si>
    <t xml:space="preserve">P11612</t>
  </si>
  <si>
    <t xml:space="preserve">P10427</t>
  </si>
  <si>
    <t xml:space="preserve">P10078</t>
  </si>
  <si>
    <t xml:space="preserve">P11597</t>
  </si>
  <si>
    <t xml:space="preserve">P11009</t>
  </si>
  <si>
    <t xml:space="preserve">P11661</t>
  </si>
  <si>
    <t xml:space="preserve">P10607</t>
  </si>
  <si>
    <t xml:space="preserve">P11959</t>
  </si>
  <si>
    <t xml:space="preserve">P12010</t>
  </si>
  <si>
    <t xml:space="preserve">P11057</t>
  </si>
  <si>
    <t xml:space="preserve">P11440</t>
  </si>
  <si>
    <t xml:space="preserve">P11514</t>
  </si>
  <si>
    <t xml:space="preserve">P11585</t>
  </si>
  <si>
    <t xml:space="preserve">P11091</t>
  </si>
  <si>
    <t xml:space="preserve">P11560</t>
  </si>
  <si>
    <t xml:space="preserve">P11101</t>
  </si>
  <si>
    <t xml:space="preserve">P11129</t>
  </si>
  <si>
    <t xml:space="preserve">P11235</t>
  </si>
  <si>
    <t xml:space="preserve">P11941</t>
  </si>
  <si>
    <t xml:space="preserve">P10958</t>
  </si>
  <si>
    <t xml:space="preserve">P11662</t>
  </si>
  <si>
    <t xml:space="preserve">P10559</t>
  </si>
  <si>
    <t xml:space="preserve">P10846</t>
  </si>
  <si>
    <t xml:space="preserve">P11918</t>
  </si>
  <si>
    <t xml:space="preserve">P10690</t>
  </si>
  <si>
    <t xml:space="preserve">P11940</t>
  </si>
  <si>
    <t xml:space="preserve">P11519</t>
  </si>
  <si>
    <t xml:space="preserve">P12054</t>
  </si>
  <si>
    <t xml:space="preserve">P11759</t>
  </si>
  <si>
    <t xml:space="preserve">P10436</t>
  </si>
  <si>
    <t xml:space="preserve">P10490</t>
  </si>
  <si>
    <t xml:space="preserve">P11853</t>
  </si>
  <si>
    <t xml:space="preserve">P12053</t>
  </si>
  <si>
    <t xml:space="preserve">P11629</t>
  </si>
  <si>
    <t xml:space="preserve">P11387</t>
  </si>
  <si>
    <t xml:space="preserve">P10069</t>
  </si>
  <si>
    <t xml:space="preserve">P11572</t>
  </si>
  <si>
    <t xml:space="preserve">P10808</t>
  </si>
  <si>
    <t xml:space="preserve">P11184</t>
  </si>
  <si>
    <t xml:space="preserve">P11898</t>
  </si>
  <si>
    <t xml:space="preserve">P10011</t>
  </si>
  <si>
    <t xml:space="preserve">P10144</t>
  </si>
  <si>
    <t xml:space="preserve">P10917</t>
  </si>
  <si>
    <t xml:space="preserve">P11541</t>
  </si>
  <si>
    <t xml:space="preserve">P11451</t>
  </si>
  <si>
    <t xml:space="preserve">P10639</t>
  </si>
  <si>
    <t xml:space="preserve">P10176</t>
  </si>
  <si>
    <t xml:space="preserve">P10994</t>
  </si>
  <si>
    <t xml:space="preserve">P10440</t>
  </si>
  <si>
    <t xml:space="preserve">P11838</t>
  </si>
  <si>
    <t xml:space="preserve">P10521</t>
  </si>
  <si>
    <t xml:space="preserve">P11068</t>
  </si>
  <si>
    <t xml:space="preserve">P10349</t>
  </si>
  <si>
    <t xml:space="preserve">P11712</t>
  </si>
  <si>
    <t xml:space="preserve">P11004</t>
  </si>
  <si>
    <t xml:space="preserve">P11255</t>
  </si>
  <si>
    <t xml:space="preserve">P11234</t>
  </si>
  <si>
    <t xml:space="preserve">P11664</t>
  </si>
  <si>
    <t xml:space="preserve">P10143</t>
  </si>
  <si>
    <t xml:space="preserve">P10519</t>
  </si>
  <si>
    <t xml:space="preserve">P11322</t>
  </si>
  <si>
    <t xml:space="preserve">P10822</t>
  </si>
  <si>
    <t xml:space="preserve">P11790</t>
  </si>
  <si>
    <t xml:space="preserve">P10428</t>
  </si>
  <si>
    <t xml:space="preserve">P10612</t>
  </si>
  <si>
    <t xml:space="preserve">P11505</t>
  </si>
  <si>
    <t xml:space="preserve">P11783</t>
  </si>
  <si>
    <t xml:space="preserve">P11032</t>
  </si>
  <si>
    <t xml:space="preserve">P10156</t>
  </si>
  <si>
    <t xml:space="preserve">P10539</t>
  </si>
  <si>
    <t xml:space="preserve">P11530</t>
  </si>
  <si>
    <t xml:space="preserve">P11460</t>
  </si>
  <si>
    <t xml:space="preserve">P11290</t>
  </si>
  <si>
    <t xml:space="preserve">P11850</t>
  </si>
  <si>
    <t xml:space="preserve">P10461</t>
  </si>
  <si>
    <t xml:space="preserve">P10576</t>
  </si>
  <si>
    <t xml:space="preserve">P11362</t>
  </si>
  <si>
    <t xml:space="preserve">P10255</t>
  </si>
  <si>
    <t xml:space="preserve">P10979</t>
  </si>
  <si>
    <t xml:space="preserve">P11185</t>
  </si>
  <si>
    <t xml:space="preserve">P11006</t>
  </si>
  <si>
    <t xml:space="preserve">P11521</t>
  </si>
  <si>
    <t xml:space="preserve">P11689</t>
  </si>
  <si>
    <t xml:space="preserve">P10560</t>
  </si>
  <si>
    <t xml:space="preserve">P10208</t>
  </si>
  <si>
    <t xml:space="preserve">P10910</t>
  </si>
  <si>
    <t xml:space="preserve">P11311</t>
  </si>
  <si>
    <t xml:space="preserve">P10001</t>
  </si>
  <si>
    <t xml:space="preserve">P11365</t>
  </si>
  <si>
    <t xml:space="preserve">P10265</t>
  </si>
  <si>
    <t xml:space="preserve">P10914</t>
  </si>
  <si>
    <t xml:space="preserve">P10230</t>
  </si>
  <si>
    <t xml:space="preserve">P11904</t>
  </si>
  <si>
    <t xml:space="preserve">P11119</t>
  </si>
  <si>
    <t xml:space="preserve">P10864</t>
  </si>
  <si>
    <t xml:space="preserve">P11066</t>
  </si>
  <si>
    <t xml:space="preserve">P10873</t>
  </si>
  <si>
    <t xml:space="preserve">P11972</t>
  </si>
  <si>
    <t xml:space="preserve">P10398</t>
  </si>
  <si>
    <t xml:space="preserve">P12013</t>
  </si>
  <si>
    <t xml:space="preserve">P11652</t>
  </si>
  <si>
    <t xml:space="preserve">P11960</t>
  </si>
  <si>
    <t xml:space="preserve">P10045</t>
  </si>
  <si>
    <t xml:space="preserve">P10161</t>
  </si>
  <si>
    <t xml:space="preserve">P10991</t>
  </si>
  <si>
    <t xml:space="preserve">P10727</t>
  </si>
  <si>
    <t xml:space="preserve">P10629</t>
  </si>
  <si>
    <t xml:space="preserve">P10288</t>
  </si>
  <si>
    <t xml:space="preserve">P11613</t>
  </si>
  <si>
    <t xml:space="preserve">P11059</t>
  </si>
  <si>
    <t xml:space="preserve">P11925</t>
  </si>
  <si>
    <t xml:space="preserve">P10400</t>
  </si>
  <si>
    <t xml:space="preserve">P11948</t>
  </si>
  <si>
    <t xml:space="preserve">P10575</t>
  </si>
  <si>
    <t xml:space="preserve">P10850</t>
  </si>
  <si>
    <t xml:space="preserve">P11339</t>
  </si>
  <si>
    <t xml:space="preserve">P12066</t>
  </si>
  <si>
    <t xml:space="preserve">P10911</t>
  </si>
  <si>
    <t xml:space="preserve">P11254</t>
  </si>
  <si>
    <t xml:space="preserve">P11833</t>
  </si>
  <si>
    <t xml:space="preserve">P11722</t>
  </si>
  <si>
    <t xml:space="preserve">P12005</t>
  </si>
  <si>
    <t xml:space="preserve">P11735</t>
  </si>
  <si>
    <t xml:space="preserve">P10932</t>
  </si>
  <si>
    <t xml:space="preserve">P11901</t>
  </si>
  <si>
    <t xml:space="preserve">P11100</t>
  </si>
  <si>
    <t xml:space="preserve">P12060</t>
  </si>
  <si>
    <t xml:space="preserve">P11657</t>
  </si>
  <si>
    <t xml:space="preserve">P11207</t>
  </si>
  <si>
    <t xml:space="preserve">P10247</t>
  </si>
  <si>
    <t xml:space="preserve">P11843</t>
  </si>
  <si>
    <t xml:space="preserve">P11848</t>
  </si>
  <si>
    <t xml:space="preserve">P10476</t>
  </si>
  <si>
    <t xml:space="preserve">P11899</t>
  </si>
  <si>
    <t xml:space="preserve">P11694</t>
  </si>
  <si>
    <t xml:space="preserve">P10085</t>
  </si>
  <si>
    <t xml:space="preserve">P10469</t>
  </si>
  <si>
    <t xml:space="preserve">P10225</t>
  </si>
  <si>
    <t xml:space="preserve">P11912</t>
  </si>
  <si>
    <t xml:space="preserve">P10774</t>
  </si>
  <si>
    <t xml:space="preserve">P10331</t>
  </si>
  <si>
    <t xml:space="preserve">P10233</t>
  </si>
  <si>
    <t xml:space="preserve">P10588</t>
  </si>
  <si>
    <t xml:space="preserve">P10475</t>
  </si>
  <si>
    <t xml:space="preserve">P11284</t>
  </si>
  <si>
    <t xml:space="preserve">P10599</t>
  </si>
  <si>
    <t xml:space="preserve">P11993</t>
  </si>
  <si>
    <t xml:space="preserve">P10421</t>
  </si>
  <si>
    <t xml:space="preserve">P11711</t>
  </si>
  <si>
    <t xml:space="preserve">P10182</t>
  </si>
  <si>
    <t xml:space="preserve">P10988</t>
  </si>
  <si>
    <t xml:space="preserve">P11000</t>
  </si>
  <si>
    <t xml:space="preserve">P11356</t>
  </si>
  <si>
    <t xml:space="preserve">P11462</t>
  </si>
  <si>
    <t xml:space="preserve">P10049</t>
  </si>
  <si>
    <t xml:space="preserve">P10847</t>
  </si>
  <si>
    <t xml:space="preserve">P11029</t>
  </si>
  <si>
    <t xml:space="preserve">P10529</t>
  </si>
  <si>
    <t xml:space="preserve">P11258</t>
  </si>
  <si>
    <t xml:space="preserve">P10486</t>
  </si>
  <si>
    <t xml:space="preserve">P10497</t>
  </si>
  <si>
    <t xml:space="preserve">P11908</t>
  </si>
  <si>
    <t xml:space="preserve">P11646</t>
  </si>
  <si>
    <t xml:space="preserve">P10106</t>
  </si>
  <si>
    <t xml:space="preserve">P10443</t>
  </si>
  <si>
    <t xml:space="preserve">P11954</t>
  </si>
  <si>
    <t xml:space="preserve">P11512</t>
  </si>
  <si>
    <t xml:space="preserve">P10646</t>
  </si>
  <si>
    <t xml:space="preserve">P11036</t>
  </si>
  <si>
    <t xml:space="preserve">P11762</t>
  </si>
  <si>
    <t xml:space="preserve">P10726</t>
  </si>
  <si>
    <t xml:space="preserve">P10190</t>
  </si>
  <si>
    <t xml:space="preserve">P11788</t>
  </si>
  <si>
    <t xml:space="preserve">P11856</t>
  </si>
  <si>
    <t xml:space="preserve">P10282</t>
  </si>
  <si>
    <t xml:space="preserve">P10029</t>
  </si>
  <si>
    <t xml:space="preserve">P10169</t>
  </si>
  <si>
    <t xml:space="preserve">P11001</t>
  </si>
  <si>
    <t xml:space="preserve">P10197</t>
  </si>
  <si>
    <t xml:space="preserve">P12026</t>
  </si>
  <si>
    <t xml:space="preserve">P10647</t>
  </si>
  <si>
    <t xml:space="preserve">P10044</t>
  </si>
  <si>
    <t xml:space="preserve">P10373</t>
  </si>
  <si>
    <t xml:space="preserve">P10678</t>
  </si>
  <si>
    <t xml:space="preserve">P10566</t>
  </si>
  <si>
    <t xml:space="preserve">P10460</t>
  </si>
  <si>
    <t xml:space="preserve">P11932</t>
  </si>
  <si>
    <t xml:space="preserve">P11155</t>
  </si>
  <si>
    <t xml:space="preserve">P10039</t>
  </si>
  <si>
    <t xml:space="preserve">P10973</t>
  </si>
  <si>
    <t xml:space="preserve">P11786</t>
  </si>
  <si>
    <t xml:space="preserve">P11498</t>
  </si>
  <si>
    <t xml:space="preserve">P11835</t>
  </si>
  <si>
    <t xml:space="preserve">P11840</t>
  </si>
  <si>
    <t xml:space="preserve">P10827</t>
  </si>
  <si>
    <t xml:space="preserve">P11935</t>
  </si>
  <si>
    <t xml:space="preserve">P12044</t>
  </si>
  <si>
    <t xml:space="preserve">P10309</t>
  </si>
  <si>
    <t xml:space="preserve">P10276</t>
  </si>
  <si>
    <t xml:space="preserve">P10636</t>
  </si>
  <si>
    <t xml:space="preserve">P10654</t>
  </si>
  <si>
    <t xml:space="preserve">P10622</t>
  </si>
  <si>
    <t xml:space="preserve">P11859</t>
  </si>
  <si>
    <t xml:space="preserve">P10844</t>
  </si>
  <si>
    <t xml:space="preserve">P10393</t>
  </si>
  <si>
    <t xml:space="preserve">P10784</t>
  </si>
  <si>
    <t xml:space="preserve">P10047</t>
  </si>
  <si>
    <t xml:space="preserve">P11978</t>
  </si>
  <si>
    <t xml:space="preserve">P11655</t>
  </si>
  <si>
    <t xml:space="preserve">P12069</t>
  </si>
  <si>
    <t xml:space="preserve">P10402</t>
  </si>
  <si>
    <t xml:space="preserve">P11107</t>
  </si>
  <si>
    <t xml:space="preserve">P11154</t>
  </si>
  <si>
    <t xml:space="preserve">P11439</t>
  </si>
  <si>
    <t xml:space="preserve">P12001</t>
  </si>
  <si>
    <t xml:space="preserve">P10989</t>
  </si>
  <si>
    <t xml:space="preserve">P11865</t>
  </si>
  <si>
    <t xml:space="preserve">P11310</t>
  </si>
  <si>
    <t xml:space="preserve">P10033</t>
  </si>
  <si>
    <t xml:space="preserve">P10787</t>
  </si>
  <si>
    <t xml:space="preserve">P11043</t>
  </si>
  <si>
    <t xml:space="preserve">P10481</t>
  </si>
  <si>
    <t xml:space="preserve">P11243</t>
  </si>
  <si>
    <t xml:space="preserve">P10931</t>
  </si>
  <si>
    <t xml:space="preserve">P11685</t>
  </si>
  <si>
    <t xml:space="preserve">P11248</t>
  </si>
  <si>
    <t xml:space="preserve">P10759</t>
  </si>
  <si>
    <t xml:space="preserve">P10092</t>
  </si>
  <si>
    <t xml:space="preserve">P11175</t>
  </si>
  <si>
    <t xml:space="preserve">P11415</t>
  </si>
  <si>
    <t xml:space="preserve">P11341</t>
  </si>
  <si>
    <t xml:space="preserve">P11472</t>
  </si>
  <si>
    <t xml:space="preserve">P11607</t>
  </si>
  <si>
    <t xml:space="preserve">P10764</t>
  </si>
  <si>
    <t xml:space="preserve">P11373</t>
  </si>
  <si>
    <t xml:space="preserve">P11951</t>
  </si>
  <si>
    <t xml:space="preserve">P11728</t>
  </si>
  <si>
    <t xml:space="preserve">P10257</t>
  </si>
  <si>
    <t xml:space="preserve">P10944</t>
  </si>
  <si>
    <t xml:space="preserve">P11219</t>
  </si>
  <si>
    <t xml:space="preserve">P11161</t>
  </si>
  <si>
    <t xml:space="preserve">P10772</t>
  </si>
  <si>
    <t xml:space="preserve">P11486</t>
  </si>
  <si>
    <t xml:space="preserve">P10312</t>
  </si>
  <si>
    <t xml:space="preserve">P10290</t>
  </si>
  <si>
    <t xml:space="preserve">P10763</t>
  </si>
  <si>
    <t xml:space="preserve">P10183</t>
  </si>
  <si>
    <t xml:space="preserve">P11176</t>
  </si>
  <si>
    <t xml:space="preserve">P11349</t>
  </si>
  <si>
    <t xml:space="preserve">P11099</t>
  </si>
  <si>
    <t xml:space="preserve">P10391</t>
  </si>
  <si>
    <t xml:space="preserve">P11919</t>
  </si>
  <si>
    <t xml:space="preserve">P11456</t>
  </si>
  <si>
    <t xml:space="preserve">P11092</t>
  </si>
  <si>
    <t xml:space="preserve">P12022</t>
  </si>
  <si>
    <t xml:space="preserve">P10904</t>
  </si>
  <si>
    <t xml:space="preserve">P10366</t>
  </si>
  <si>
    <t xml:space="preserve">P10345</t>
  </si>
  <si>
    <t xml:space="preserve">P11372</t>
  </si>
  <si>
    <t xml:space="preserve">P11639</t>
  </si>
  <si>
    <t xml:space="preserve">P10919</t>
  </si>
  <si>
    <t xml:space="preserve">P10211</t>
  </si>
  <si>
    <t xml:space="preserve">P11603</t>
  </si>
  <si>
    <t xml:space="preserve">P10537</t>
  </si>
  <si>
    <t xml:space="preserve">P11220</t>
  </si>
  <si>
    <t xml:space="preserve">P10175</t>
  </si>
  <si>
    <t xml:space="preserve">قاعدة البيانات النظيفة (المصدر الأساسي لجميع الجداول والمخططات) — 2,100 سجل</t>
  </si>
  <si>
    <t xml:space="preserve">غير محدد</t>
  </si>
  <si>
    <t xml:space="preserve">الجداول التحليلية الشاملة (بديل الجدول المحوري) — كل الأرقام محسوبة مباشرة من شيت البيانات النظيفة بصيغ SUMIFS/COUNTIFS/AVERAGEIFS</t>
  </si>
  <si>
    <t xml:space="preserve">1) ملخص شامل حسب القسم الطبي</t>
  </si>
  <si>
    <t xml:space="preserve">عدد المرضى</t>
  </si>
  <si>
    <t xml:space="preserve">إجمالي الإيرادات (ر.س)</t>
  </si>
  <si>
    <t xml:space="preserve">متوسط تكلفة الحالة</t>
  </si>
  <si>
    <t xml:space="preserve">متوسط مدة الإقامة (يوم)</t>
  </si>
  <si>
    <t xml:space="preserve">متوسط تقييم الرضا</t>
  </si>
  <si>
    <t xml:space="preserve">نسبة إعادة الدخول</t>
  </si>
  <si>
    <t xml:space="preserve">الإجمالي / المعدل العام</t>
  </si>
  <si>
    <t xml:space="preserve">2) الاتجاه الشهري لعدد المرضى والإيرادات (2024)</t>
  </si>
  <si>
    <t xml:space="preserve">يناير</t>
  </si>
  <si>
    <t xml:space="preserve">فبراير</t>
  </si>
  <si>
    <t xml:space="preserve">مارس</t>
  </si>
  <si>
    <t xml:space="preserve">أبريل</t>
  </si>
  <si>
    <t xml:space="preserve">مايو</t>
  </si>
  <si>
    <t xml:space="preserve">يونيو</t>
  </si>
  <si>
    <t xml:space="preserve">يوليو</t>
  </si>
  <si>
    <t xml:space="preserve">أغسطس</t>
  </si>
  <si>
    <t xml:space="preserve">سبتمبر</t>
  </si>
  <si>
    <t xml:space="preserve">أكتوبر</t>
  </si>
  <si>
    <t xml:space="preserve">نوفمبر</t>
  </si>
  <si>
    <t xml:space="preserve">ديسمبر</t>
  </si>
  <si>
    <t xml:space="preserve">3) التوزيع حسب نوع التأمين</t>
  </si>
  <si>
    <t xml:space="preserve">نوع التأمين</t>
  </si>
  <si>
    <t xml:space="preserve">النسبة من الإجمالي</t>
  </si>
  <si>
    <t xml:space="preserve">4) التوزيع حسب الفئة العمرية</t>
  </si>
  <si>
    <t xml:space="preserve">الفئة العمرية</t>
  </si>
  <si>
    <t xml:space="preserve">أطفال (0-12)</t>
  </si>
  <si>
    <t xml:space="preserve">شباب (13-24)</t>
  </si>
  <si>
    <t xml:space="preserve">بالغون (25-44)</t>
  </si>
  <si>
    <t xml:space="preserve">متوسطو العمر (45-64)</t>
  </si>
  <si>
    <t xml:space="preserve">كبار السن (+65)</t>
  </si>
  <si>
    <t xml:space="preserve">5) التوزيع حسب نوع الغرفة</t>
  </si>
  <si>
    <t xml:space="preserve">نوع الغرفة</t>
  </si>
  <si>
    <t xml:space="preserve">متوسط تكلفة اليوم الواحد</t>
  </si>
  <si>
    <t xml:space="preserve">6) التوزيع حسب نوع الدخول</t>
  </si>
  <si>
    <t xml:space="preserve">نوع الدخول</t>
  </si>
  <si>
    <t xml:space="preserve">7) التوزيع حسب حالة الخروج</t>
  </si>
  <si>
    <t xml:space="preserve">حالة الخروج</t>
  </si>
  <si>
    <t xml:space="preserve">8) أداء الأطباء المعالجين (عدد الحالات ومتوسط الرضا)</t>
  </si>
  <si>
    <t xml:space="preserve">الطبيب المعالج</t>
  </si>
  <si>
    <t xml:space="preserve">عدد الحالات</t>
  </si>
  <si>
    <t xml:space="preserve">متعدد الأقسام</t>
  </si>
  <si>
    <t xml:space="preserve">لوحة تحكم عمليات المستشفى — المؤشرات الرئيسية لعام 2024</t>
  </si>
  <si>
    <t xml:space="preserve">👥</t>
  </si>
  <si>
    <t xml:space="preserve">💰</t>
  </si>
  <si>
    <t xml:space="preserve">🛏️</t>
  </si>
  <si>
    <t xml:space="preserve">⭐</t>
  </si>
  <si>
    <t xml:space="preserve">↩️</t>
  </si>
  <si>
    <t xml:space="preserve">إجمالي عدد المرضى</t>
  </si>
  <si>
    <t xml:space="preserve">متوسط تقييم رضا المريض</t>
  </si>
  <si>
    <t xml:space="preserve">نسبة إعادة الدخول خلال 30 يوم</t>
  </si>
  <si>
    <t xml:space="preserve">🧾</t>
  </si>
  <si>
    <t xml:space="preserve">⚕️</t>
  </si>
  <si>
    <t xml:space="preserve">🏥</t>
  </si>
  <si>
    <t xml:space="preserve">📈</t>
  </si>
  <si>
    <t xml:space="preserve">🛌</t>
  </si>
  <si>
    <t xml:space="preserve">متوسط تكلفة الحالة (ر.س)</t>
  </si>
  <si>
    <t xml:space="preserve">نسبة الوفيات</t>
  </si>
  <si>
    <t xml:space="preserve">القسم الأعلى إيراداً</t>
  </si>
  <si>
    <t xml:space="preserve">أكثر الأشهر ازدحاماً</t>
  </si>
  <si>
    <t xml:space="preserve">أعلى قسم بمدة الإقامة</t>
  </si>
  <si>
    <t xml:space="preserve">🔍 فلتر تفاعلي — اختر قسماً لعرض أداءه التفصيلي فوراً</t>
  </si>
  <si>
    <t xml:space="preserve">القسم المختار:</t>
  </si>
  <si>
    <t xml:space="preserve">إجمالي الإيرادات</t>
  </si>
  <si>
    <t xml:space="preserve">متوسط مدة الإقامة</t>
  </si>
  <si>
    <t xml:space="preserve">متوسط الرضا</t>
  </si>
  <si>
    <t xml:space="preserve">رسوم بيانية تحليلية تكميلية</t>
  </si>
  <si>
    <t xml:space="preserve">الرؤى الرئيسية والتوصيات الاستراتيجية</t>
  </si>
  <si>
    <t xml:space="preserve">مبنية بالكامل على الأرقام الفعلية المحسوبة في شيتي «الجداول التحليلية» و«لوحة التحكم»</t>
  </si>
  <si>
    <t xml:space="preserve">📋 ملخص تنفيذي</t>
  </si>
  <si>
    <t xml:space="preserve">استقبل المستشفى 2,100 حالة دخول خلال عام 2024 بإجمالي إيرادات بلغ نحو 20.6 مليون ريال بمتوسط تكلفة 9,811 ريال للحالة، ومتوسط مدة إقامة 3.54 يوم، ومتوسط رضا 3.89 من 5. أبرز التحديات: نسبة إعادة دخول عامة 9.9% ترتفع بشكل حاد في أمراض القلب (18.5%) والأورام (16.3%)، ورضا منخفض نسبياً في الطوارئ (3.40) رغم أنها الأعلى حجماً (22% من الحالات)، إضافة إلى تفاوت كبير في الربحية بين الأقسام يستدعي مراجعة التسعير والتحويلات الداخلية.</t>
  </si>
  <si>
    <t xml:space="preserve">💰  الإيرادات مركّزة في أقسام قليلة عالية التكلفة</t>
  </si>
  <si>
    <t xml:space="preserve">قسم الأورام يحقق أعلى إيراد إجمالي (4.54 مليون ريال) رغم كونه الأصغر من حيث عدد المرضى (129 حالة فقط، 6% من الإجمالي)، بمتوسط تكلفة حالة يبلغ 35,198 ريال — الأعلى بين جميع الأقسام. في المقابل، تستحوذ الطوارئ على 22% من إجمالي المرضى لكنها تساهم بأقل من 4.3% فقط من الإيرادات (876 ألف ريال)، بمتوسط تكلفة حالة لا يتجاوز 1,873 ريال.</t>
  </si>
  <si>
    <t xml:space="preserve">✅ التوصية: إعادة تقييم نموذج التسعير في الطوارئ (رسوم فرز/تقييم أولي)، مع تعزيز الطاقة الاستيعابية لأقسام الأورام والقلب والجراحة العامة نظراً لعائدها المرتفع على كل حالة.</t>
  </si>
  <si>
    <t xml:space="preserve">🛏️  غرف العناية المركزة: 12% من المرضى لكن تكلفة يوم أعلى بـ3.6 ضعف</t>
  </si>
  <si>
    <t xml:space="preserve">غرف العناية المركزة تخدم 247 مريضاً فقط (11.8% من الإجمالي) لكنها تولّد 6.4 مليون ريال من الإيرادات بمتوسط تكلفة يوم 5,724 ريال، مقارنة بـ1,572 ريال فقط للغرف العادية (فارق 3.6 ضعف) و2,922 ريال للغرف الخاصة. هذا يجعل كفاءة استخدام أسرّة العناية المركزة عاملاً حاسماً في الربحية التشغيلية.</t>
  </si>
  <si>
    <t xml:space="preserve">✅ التوصية: تطبيق نظام حجز ومتابعة يومي لإشغال العناية المركزة، وربط معايير القبول فيها بدرجة الخطورة السريرية لتقليل الإقامات غير الضرورية وزيادة معدل الدوران.</t>
  </si>
  <si>
    <t xml:space="preserve">↩️  أمراض القلب والأورام: أعلى نسب إعادة الدخول خلال 30 يوماً</t>
  </si>
  <si>
    <t xml:space="preserve">تسجل أمراض القلب أعلى نسبة إعادة دخول بين كل الأقسام (18.5%)، تليها الأورام (16.3%) — أي ضعف المعدل العام تقريباً (9.9%). هذا النمط يتكرر أيضاً على مستوى الأطباء: أعلى نسبة إعادة دخول فردية لطبيبة الأورام (24.6%)، تليها طبيبان في أمراض القلب (18.7% و17.9%)، وكلها أعلى من المتوسط العام بوضوح.</t>
  </si>
  <si>
    <t xml:space="preserve">✅ التوصية: إطلاق برنامج متابعة ما بعد الخروج (اتصال/زيارة خلال 7 أيام) مخصص لمرضى القلب والأورام تحديداً، مع مراجعة سريرية لبروتوكولات الخروج المبكر في هذين القسمين تحديداً.</t>
  </si>
  <si>
    <t xml:space="preserve">⭐  رضا المرضى في الطوارئ هو الأضعف رغم أنها بوابة المستشفى الرئيسية</t>
  </si>
  <si>
    <t xml:space="preserve">متوسط رضا مرضى الطوارئ هو الأدنى بين كل الأقسام (3.40 من 5) مقابل متوسط عام 3.89، بينما تسجل الأطفال أعلى رضا (4.08). كذلك، متوسط الرضا لمرضى «بدون تأمين» هو الأدنى بين فئات التأمين (3.58) مقارنة بـ3.92-3.93 لبقية الفئات، ما يشير لتجربة مختلفة قد ترتبط بأوقات الانتظار أو وضوح تكلفة العلاج.</t>
  </si>
  <si>
    <t xml:space="preserve">✅ التوصية: مشروع تحسين تجربة الطوارئ يركّز على تقليل زمن الانتظار وتحسين التواصل حول التكلفة، مع دعم إضافي (مرشد مالي/اجتماعي) لفئة المرضى غير المؤمّن عليهم.</t>
  </si>
  <si>
    <t xml:space="preserve">📈  موسمية واضحة في الإقبال خلال فبراير ونهاية العام</t>
  </si>
  <si>
    <t xml:space="preserve">شهر فبراير سجل أعلى عدد مرضى (198 حالة) وأعلى إيراد شهري تقريباً (2.03 مليون ريال)، بينما كان شهر مايو الأقل ازدحاماً (160 حالة). ديسمبر جاء الأعلى من حيث الإيرادات الشهرية (2.17 مليون ريال). هذا النمط يتسق مع ذروة موسمية شتوية معروفة في الحالات التنفسية والباطنية.</t>
  </si>
  <si>
    <t xml:space="preserve">✅ التوصية: التخطيط المسبق للطاقة الاستيعابية والكوادر التمريضية في شهري يناير وفبراير، مع مراجعة جدولة الإجازات السنوية للكوادر الطبية لتفادي النقص خلال ذروة الطلب.</t>
  </si>
  <si>
    <t xml:space="preserve">🧓  كبار السن والفئة متوسطة العمر: الأعلى تكلفة وإقامة</t>
  </si>
  <si>
    <t xml:space="preserve">فئتا «متوسطو العمر (45-64)» و«كبار السن (+65)» تمثلان معاً 44% من المرضى (926 حالة) لكنهما تسجلان أعلى متوسط تكلفة حالة (13,350 و13,493 ريال على التوالي) وأطول متوسط إقامة (4.02 و4.21 يوم) مقارنة بـ2.72 يوم فقط لفئة الأطفال، ما يعكس الطبيعة الأكثر تعقيداً لحالاتهم الصحية.</t>
  </si>
  <si>
    <t xml:space="preserve">✅ التوصية: تطوير مسارات رعاية متكاملة لكبار السن (Geriatric Care Pathways) لتقليل مضاعفات طول الإقامة، والتنسيق المبكر مع الرعاية المنزلية لتسريع الخروج الآمن.</t>
  </si>
  <si>
    <t xml:space="preserve">🏥  معدل الوفيات ضمن النطاق المتوقع لكنه يستحق رصداً مستمراً</t>
  </si>
  <si>
    <t xml:space="preserve">بلغت نسبة الوفيات 1.4% من إجمالي الحالات (29 حالة) من إجمالي 2,100، بينما شكّلت حالات «الخروج بطلب ذاتي» 4.9% من الحالات (102 حالة) — وهي نسبة تستحق المتابعة لأنها قد تشير لعدم رضا عن الخدمة أو أسباب مالية، خصوصاً بالتزامن مع انخفاض الرضا لدى فئة غير المؤمَّن عليهم.</t>
  </si>
  <si>
    <t xml:space="preserve">✅ التوصية: تحليل أسباب «الخروج بطلب ذاتي» عبر استبيان مخصص، وربطها بنوع التأمين والقسم لتحديد الفجوات الفعلية.</t>
  </si>
  <si>
    <t xml:space="preserve">🎯 أعلى 3 أولويات تنفيذية للإدارة</t>
  </si>
  <si>
    <t xml:space="preserve">1. برنامج متابعة ما بعد الخروج لمرضى القلب والأورام لخفض نسبة إعادة الدخول من 18.5%/16.3% نحو المتوسط العام (9.9%).</t>
  </si>
  <si>
    <t xml:space="preserve">2. مشروع تحسين تجربة الطوارئ (تقليل الانتظار + شفافية التكلفة) لرفع الرضا من 3.40 إلى مستوى الأقسام الأخرى (~4.0).</t>
  </si>
  <si>
    <t xml:space="preserve">3. تحسين كفاءة إشغال العناية المركزة لتعظيم العائد من أسرّتها المحدودة (11.8% من المرضى فقط).</t>
  </si>
  <si>
    <t xml:space="preserve">ملاحظة منهجية: جميع الأرقام أعلاه محسوبة مباشرة بصيغ حية من شيت «06 الجداول التحليلية»، وتتحدث تلقائياً عند تعديل البيانات في شيت «05 البيانات النظيفة».</t>
  </si>
</sst>
</file>

<file path=xl/styles.xml><?xml version="1.0" encoding="utf-8"?>
<styleSheet xmlns="http://schemas.openxmlformats.org/spreadsheetml/2006/main">
  <numFmts count="10">
    <numFmt numFmtId="164" formatCode="General"/>
    <numFmt numFmtId="165" formatCode="yyyy\-mm\-dd"/>
    <numFmt numFmtId="166" formatCode="#,##0.00"/>
    <numFmt numFmtId="167" formatCode="0"/>
    <numFmt numFmtId="168" formatCode="#,##0"/>
    <numFmt numFmtId="169" formatCode="0.0"/>
    <numFmt numFmtId="170" formatCode="0.00"/>
    <numFmt numFmtId="171" formatCode="0.0%"/>
    <numFmt numFmtId="172" formatCode="@"/>
    <numFmt numFmtId="173" formatCode="0%"/>
  </numFmts>
  <fonts count="48">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b val="true"/>
      <sz val="12"/>
      <color rgb="FFFFFFFF"/>
      <name val="Arial"/>
      <family val="0"/>
      <charset val="1"/>
    </font>
    <font>
      <sz val="11.5"/>
      <color rgb="FF44546A"/>
      <name val="Arial"/>
      <family val="0"/>
      <charset val="1"/>
    </font>
    <font>
      <b val="true"/>
      <sz val="11"/>
      <color rgb="FF44546A"/>
      <name val="Arial"/>
      <family val="0"/>
      <charset val="1"/>
    </font>
    <font>
      <b val="true"/>
      <sz val="12"/>
      <color rgb="FF0E7C86"/>
      <name val="Arial"/>
      <family val="0"/>
      <charset val="1"/>
    </font>
    <font>
      <b val="true"/>
      <sz val="11"/>
      <color rgb="FFFFFFFF"/>
      <name val="Arial"/>
      <family val="0"/>
      <charset val="1"/>
    </font>
    <font>
      <b val="true"/>
      <sz val="11"/>
      <color rgb="FF0B3D4C"/>
      <name val="Arial"/>
      <family val="0"/>
      <charset val="1"/>
    </font>
    <font>
      <sz val="11"/>
      <color rgb="FF44546A"/>
      <name val="Arial"/>
      <family val="0"/>
      <charset val="1"/>
    </font>
    <font>
      <i val="true"/>
      <sz val="9.5"/>
      <color rgb="FF44546A"/>
      <name val="Arial"/>
      <family val="0"/>
      <charset val="1"/>
    </font>
    <font>
      <b val="true"/>
      <sz val="16"/>
      <color rgb="FFFFFFFF"/>
      <name val="Arial"/>
      <family val="0"/>
      <charset val="1"/>
    </font>
    <font>
      <sz val="10.5"/>
      <color rgb="FF000000"/>
      <name val="Arial"/>
      <family val="0"/>
      <charset val="1"/>
    </font>
    <font>
      <b val="true"/>
      <i val="true"/>
      <sz val="11"/>
      <color rgb="FF0E7C86"/>
      <name val="Arial"/>
      <family val="0"/>
      <charset val="1"/>
    </font>
    <font>
      <i val="true"/>
      <sz val="11"/>
      <color rgb="FF44546A"/>
      <name val="Arial"/>
      <family val="0"/>
      <charset val="1"/>
    </font>
    <font>
      <b val="true"/>
      <sz val="11"/>
      <color rgb="FF0E7C86"/>
      <name val="Arial"/>
      <family val="0"/>
      <charset val="1"/>
    </font>
    <font>
      <b val="true"/>
      <sz val="11"/>
      <color rgb="FF000000"/>
      <name val="Arial"/>
      <family val="0"/>
      <charset val="1"/>
    </font>
    <font>
      <sz val="11"/>
      <color rgb="FF000000"/>
      <name val="Arial"/>
      <family val="0"/>
      <charset val="1"/>
    </font>
    <font>
      <b val="true"/>
      <sz val="11"/>
      <color rgb="FFC1121F"/>
      <name val="Arial"/>
      <family val="0"/>
      <charset val="1"/>
    </font>
    <font>
      <b val="true"/>
      <sz val="11"/>
      <color rgb="FF588157"/>
      <name val="Arial"/>
      <family val="0"/>
      <charset val="1"/>
    </font>
    <font>
      <b val="true"/>
      <sz val="13"/>
      <color rgb="FFFFFFFF"/>
      <name val="Arial"/>
      <family val="0"/>
      <charset val="1"/>
    </font>
    <font>
      <i val="true"/>
      <sz val="9.5"/>
      <color rgb="FFC1121F"/>
      <name val="Arial"/>
      <family val="0"/>
      <charset val="1"/>
    </font>
    <font>
      <sz val="9.5"/>
      <color rgb="FF000000"/>
      <name val="Arial"/>
      <family val="0"/>
      <charset val="1"/>
    </font>
    <font>
      <sz val="9.5"/>
      <color rgb="FF0B3D4C"/>
      <name val="Arial"/>
      <family val="0"/>
      <charset val="1"/>
    </font>
    <font>
      <b val="true"/>
      <sz val="10.5"/>
      <color rgb="FF000000"/>
      <name val="Arial"/>
      <family val="0"/>
      <charset val="1"/>
    </font>
    <font>
      <b val="true"/>
      <sz val="19"/>
      <color rgb="FFFFFFFF"/>
      <name val="Arial"/>
      <family val="0"/>
      <charset val="1"/>
    </font>
    <font>
      <sz val="17"/>
      <color rgb="FFFFFFFF"/>
      <name val="Arial"/>
      <family val="0"/>
      <charset val="1"/>
    </font>
    <font>
      <sz val="10.5"/>
      <color rgb="FFFFFFFF"/>
      <name val="Arial"/>
      <family val="0"/>
      <charset val="1"/>
    </font>
    <font>
      <b val="true"/>
      <sz val="9.5"/>
      <color rgb="FFFFFFFF"/>
      <name val="Arial"/>
      <family val="0"/>
      <charset val="1"/>
    </font>
    <font>
      <b val="true"/>
      <sz val="12"/>
      <color rgb="FF0B3D4C"/>
      <name val="Arial"/>
      <family val="0"/>
      <charset val="1"/>
    </font>
    <font>
      <b val="true"/>
      <sz val="18"/>
      <color rgb="FF000000"/>
      <name val="FreeSans"/>
      <family val="2"/>
    </font>
    <font>
      <b val="true"/>
      <sz val="18"/>
      <color rgb="FF000000"/>
      <name val="Calibri"/>
      <family val="2"/>
    </font>
    <font>
      <sz val="10"/>
      <color rgb="FF000000"/>
      <name val="Calibri"/>
      <family val="2"/>
    </font>
    <font>
      <b val="true"/>
      <sz val="17"/>
      <color rgb="FFFFFFFF"/>
      <name val="Arial"/>
      <family val="0"/>
      <charset val="1"/>
    </font>
    <font>
      <b val="true"/>
      <sz val="18"/>
      <color rgb="FFFFFFFF"/>
      <name val="Arial"/>
      <family val="0"/>
      <charset val="1"/>
    </font>
    <font>
      <sz val="11.5"/>
      <color rgb="FF1A1A1A"/>
      <name val="Arial"/>
      <family val="0"/>
      <charset val="1"/>
    </font>
    <font>
      <sz val="11"/>
      <color rgb="FF1A1A1A"/>
      <name val="Arial"/>
      <family val="0"/>
      <charset val="1"/>
    </font>
    <font>
      <b val="true"/>
      <sz val="10.5"/>
      <color rgb="FF0E7C86"/>
      <name val="Arial"/>
      <family val="0"/>
      <charset val="1"/>
    </font>
    <font>
      <b val="true"/>
      <sz val="10.5"/>
      <color rgb="FF2E86AB"/>
      <name val="Arial"/>
      <family val="0"/>
      <charset val="1"/>
    </font>
    <font>
      <b val="true"/>
      <sz val="10.5"/>
      <color rgb="FFE76F51"/>
      <name val="Arial"/>
      <family val="0"/>
      <charset val="1"/>
    </font>
    <font>
      <b val="true"/>
      <sz val="10.5"/>
      <color rgb="FFE9B44C"/>
      <name val="Arial"/>
      <family val="0"/>
      <charset val="1"/>
    </font>
    <font>
      <b val="true"/>
      <sz val="10.5"/>
      <color rgb="FF588157"/>
      <name val="Arial"/>
      <family val="0"/>
      <charset val="1"/>
    </font>
    <font>
      <b val="true"/>
      <sz val="10.5"/>
      <color rgb="FF0B3D4C"/>
      <name val="Arial"/>
      <family val="0"/>
      <charset val="1"/>
    </font>
    <font>
      <b val="true"/>
      <sz val="10.5"/>
      <color rgb="FFC1121F"/>
      <name val="Arial"/>
      <family val="0"/>
      <charset val="1"/>
    </font>
    <font>
      <b val="true"/>
      <sz val="11.5"/>
      <color rgb="FF0B3D4C"/>
      <name val="Arial"/>
      <family val="0"/>
      <charset val="1"/>
    </font>
    <font>
      <i val="true"/>
      <sz val="9"/>
      <color rgb="FF44546A"/>
      <name val="Arial"/>
      <family val="0"/>
      <charset val="1"/>
    </font>
  </fonts>
  <fills count="17">
    <fill>
      <patternFill patternType="none"/>
    </fill>
    <fill>
      <patternFill patternType="gray125"/>
    </fill>
    <fill>
      <patternFill patternType="solid">
        <fgColor rgb="FF0B3D4C"/>
        <bgColor rgb="FF003300"/>
      </patternFill>
    </fill>
    <fill>
      <patternFill patternType="solid">
        <fgColor rgb="FF0E7C86"/>
        <bgColor rgb="FF008080"/>
      </patternFill>
    </fill>
    <fill>
      <patternFill patternType="solid">
        <fgColor rgb="FFE4F3F3"/>
        <bgColor rgb="FFE4ECF3"/>
      </patternFill>
    </fill>
    <fill>
      <patternFill patternType="solid">
        <fgColor rgb="FFF2F2F2"/>
        <bgColor rgb="FFF7FBF7"/>
      </patternFill>
    </fill>
    <fill>
      <patternFill patternType="solid">
        <fgColor rgb="FFFFFFFF"/>
        <bgColor rgb="FFF7FBF7"/>
      </patternFill>
    </fill>
    <fill>
      <patternFill patternType="solid">
        <fgColor rgb="FFC1121F"/>
        <bgColor rgb="FFFF0000"/>
      </patternFill>
    </fill>
    <fill>
      <patternFill patternType="solid">
        <fgColor rgb="FFFDE2E2"/>
        <bgColor rgb="FFFDEDE8"/>
      </patternFill>
    </fill>
    <fill>
      <patternFill patternType="solid">
        <fgColor rgb="FF588157"/>
        <bgColor rgb="FF878787"/>
      </patternFill>
    </fill>
    <fill>
      <patternFill patternType="solid">
        <fgColor rgb="FFF7FBF7"/>
        <bgColor rgb="FFFFFFFF"/>
      </patternFill>
    </fill>
    <fill>
      <patternFill patternType="solid">
        <fgColor rgb="FF2E86AB"/>
        <bgColor rgb="FF4F81BD"/>
      </patternFill>
    </fill>
    <fill>
      <patternFill patternType="solid">
        <fgColor rgb="FFE9B44C"/>
        <bgColor rgb="FFFF9900"/>
      </patternFill>
    </fill>
    <fill>
      <patternFill patternType="solid">
        <fgColor rgb="FFE76F51"/>
        <bgColor rgb="FFFF6600"/>
      </patternFill>
    </fill>
    <fill>
      <patternFill patternType="solid">
        <fgColor rgb="FF44546A"/>
        <bgColor rgb="FF588157"/>
      </patternFill>
    </fill>
    <fill>
      <patternFill patternType="solid">
        <fgColor rgb="FFFDEDE8"/>
        <bgColor rgb="FFF2F2F2"/>
      </patternFill>
    </fill>
    <fill>
      <patternFill patternType="solid">
        <fgColor rgb="FFE4ECF3"/>
        <bgColor rgb="FFE4F3F3"/>
      </patternFill>
    </fill>
  </fills>
  <borders count="4">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D0D7DE"/>
      </left>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right" vertical="center" textRotation="0" wrapText="true" indent="0" shrinkToFit="false"/>
      <protection locked="true" hidden="false"/>
    </xf>
    <xf numFmtId="164" fontId="5" fillId="2" borderId="0" xfId="0" applyFont="true" applyBorder="true" applyAlignment="true" applyProtection="false">
      <alignment horizontal="right" vertical="center" textRotation="0" wrapText="true" indent="0" shrinkToFit="false"/>
      <protection locked="true" hidden="false"/>
    </xf>
    <xf numFmtId="164" fontId="7" fillId="0" borderId="1" xfId="0" applyFont="true" applyBorder="true" applyAlignment="true" applyProtection="false">
      <alignment horizontal="righ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right" vertical="center" textRotation="0" wrapText="true" indent="0" shrinkToFit="false"/>
      <protection locked="true" hidden="false"/>
    </xf>
    <xf numFmtId="164" fontId="11" fillId="5" borderId="1" xfId="0" applyFont="true" applyBorder="true" applyAlignment="true" applyProtection="false">
      <alignment horizontal="right" vertical="center" textRotation="0" wrapText="true" indent="0" shrinkToFit="false"/>
      <protection locked="true" hidden="false"/>
    </xf>
    <xf numFmtId="164" fontId="10" fillId="6" borderId="1" xfId="0" applyFont="true" applyBorder="true" applyAlignment="true" applyProtection="false">
      <alignment horizontal="right" vertical="center" textRotation="0" wrapText="true" indent="0" shrinkToFit="false"/>
      <protection locked="true" hidden="false"/>
    </xf>
    <xf numFmtId="164" fontId="11" fillId="6" borderId="1" xfId="0" applyFont="true" applyBorder="true" applyAlignment="true" applyProtection="false">
      <alignment horizontal="right" vertical="center" textRotation="0" wrapText="true" indent="0" shrinkToFit="false"/>
      <protection locked="true" hidden="false"/>
    </xf>
    <xf numFmtId="164" fontId="12" fillId="0" borderId="0" xfId="0" applyFont="true" applyBorder="true" applyAlignment="true" applyProtection="false">
      <alignment horizontal="right"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right"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right"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right"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right" vertical="center" textRotation="0" wrapText="true" indent="0" shrinkToFit="false"/>
      <protection locked="true" hidden="false"/>
    </xf>
    <xf numFmtId="164" fontId="19" fillId="6" borderId="1" xfId="0" applyFont="true" applyBorder="true" applyAlignment="true" applyProtection="false">
      <alignment horizontal="right"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right" vertical="center" textRotation="0" wrapText="true" indent="0" shrinkToFit="false"/>
      <protection locked="true" hidden="false"/>
    </xf>
    <xf numFmtId="164" fontId="19" fillId="5" borderId="1" xfId="0" applyFont="true" applyBorder="true" applyAlignment="true" applyProtection="false">
      <alignment horizontal="righ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22" fillId="2" borderId="0"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true" applyAlignment="true" applyProtection="false">
      <alignment horizontal="righ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65" fontId="24" fillId="0" borderId="1" xfId="0" applyFont="true" applyBorder="true" applyAlignment="true" applyProtection="false">
      <alignment horizontal="center" vertical="center" textRotation="0" wrapText="false" indent="0" shrinkToFit="false"/>
      <protection locked="true" hidden="false"/>
    </xf>
    <xf numFmtId="166" fontId="24" fillId="0" borderId="1" xfId="0" applyFont="true" applyBorder="true" applyAlignment="true" applyProtection="false">
      <alignment horizontal="center" vertical="center" textRotation="0" wrapText="false" indent="0" shrinkToFit="false"/>
      <protection locked="true" hidden="false"/>
    </xf>
    <xf numFmtId="164" fontId="24" fillId="8" borderId="1" xfId="0" applyFont="true" applyBorder="true" applyAlignment="true" applyProtection="false">
      <alignment horizontal="center" vertical="center" textRotation="0" wrapText="false" indent="0" shrinkToFit="false"/>
      <protection locked="true" hidden="false"/>
    </xf>
    <xf numFmtId="166" fontId="24" fillId="8"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7" fontId="25" fillId="10" borderId="1" xfId="0" applyFont="true" applyBorder="true" applyAlignment="true" applyProtection="false">
      <alignment horizontal="center" vertical="center" textRotation="0" wrapText="false" indent="0" shrinkToFit="false"/>
      <protection locked="true" hidden="false"/>
    </xf>
    <xf numFmtId="164" fontId="25" fillId="10" borderId="1" xfId="0" applyFont="true" applyBorder="true" applyAlignment="true" applyProtection="false">
      <alignment horizontal="center" vertical="center" textRotation="0" wrapText="false" indent="0" shrinkToFit="false"/>
      <protection locked="true" hidden="false"/>
    </xf>
    <xf numFmtId="168" fontId="25" fillId="10"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center" vertical="center" textRotation="0" wrapText="false" indent="0" shrinkToFit="false"/>
      <protection locked="true" hidden="false"/>
    </xf>
    <xf numFmtId="165" fontId="24" fillId="5" borderId="1" xfId="0" applyFont="true" applyBorder="true" applyAlignment="true" applyProtection="false">
      <alignment horizontal="center" vertical="center" textRotation="0" wrapText="false" indent="0" shrinkToFit="false"/>
      <protection locked="true" hidden="false"/>
    </xf>
    <xf numFmtId="166" fontId="24" fillId="5"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26" fillId="5" borderId="1" xfId="0" applyFont="true" applyBorder="true" applyAlignment="true" applyProtection="false">
      <alignment horizontal="right" vertical="center" textRotation="0" wrapText="true" indent="0" shrinkToFit="false"/>
      <protection locked="true" hidden="false"/>
    </xf>
    <xf numFmtId="168" fontId="14" fillId="5" borderId="1" xfId="0" applyFont="true" applyBorder="true" applyAlignment="true" applyProtection="false">
      <alignment horizontal="center" vertical="center" textRotation="0" wrapText="false" indent="0" shrinkToFit="false"/>
      <protection locked="true" hidden="false"/>
    </xf>
    <xf numFmtId="169" fontId="14" fillId="5" borderId="1" xfId="0" applyFont="true" applyBorder="true" applyAlignment="true" applyProtection="false">
      <alignment horizontal="center" vertical="center" textRotation="0" wrapText="false" indent="0" shrinkToFit="false"/>
      <protection locked="true" hidden="false"/>
    </xf>
    <xf numFmtId="170" fontId="14" fillId="5" borderId="1" xfId="0" applyFont="true" applyBorder="true" applyAlignment="true" applyProtection="false">
      <alignment horizontal="center" vertical="center" textRotation="0" wrapText="false" indent="0" shrinkToFit="false"/>
      <protection locked="true" hidden="false"/>
    </xf>
    <xf numFmtId="171" fontId="14" fillId="5" borderId="1" xfId="0" applyFont="true" applyBorder="true" applyAlignment="true" applyProtection="false">
      <alignment horizontal="center" vertical="center" textRotation="0" wrapText="false" indent="0" shrinkToFit="false"/>
      <protection locked="true" hidden="false"/>
    </xf>
    <xf numFmtId="164" fontId="26" fillId="6" borderId="1" xfId="0" applyFont="true" applyBorder="true" applyAlignment="true" applyProtection="false">
      <alignment horizontal="right" vertical="center" textRotation="0" wrapText="true" indent="0" shrinkToFit="false"/>
      <protection locked="true" hidden="false"/>
    </xf>
    <xf numFmtId="168" fontId="14" fillId="6" borderId="1" xfId="0" applyFont="true" applyBorder="true" applyAlignment="true" applyProtection="false">
      <alignment horizontal="center" vertical="center" textRotation="0" wrapText="false" indent="0" shrinkToFit="false"/>
      <protection locked="true" hidden="false"/>
    </xf>
    <xf numFmtId="169" fontId="14" fillId="6" borderId="1" xfId="0" applyFont="true" applyBorder="true" applyAlignment="true" applyProtection="false">
      <alignment horizontal="center" vertical="center" textRotation="0" wrapText="false" indent="0" shrinkToFit="false"/>
      <protection locked="true" hidden="false"/>
    </xf>
    <xf numFmtId="170" fontId="14" fillId="6" borderId="1" xfId="0" applyFont="true" applyBorder="true" applyAlignment="true" applyProtection="false">
      <alignment horizontal="center" vertical="center" textRotation="0" wrapText="false" indent="0" shrinkToFit="false"/>
      <protection locked="true" hidden="false"/>
    </xf>
    <xf numFmtId="171" fontId="14" fillId="6"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right" vertical="center" textRotation="0" wrapText="true" indent="0" shrinkToFit="false"/>
      <protection locked="true" hidden="false"/>
    </xf>
    <xf numFmtId="168" fontId="9" fillId="2" borderId="1" xfId="0" applyFont="true" applyBorder="true" applyAlignment="true" applyProtection="false">
      <alignment horizontal="center" vertical="center" textRotation="0" wrapText="false" indent="0" shrinkToFit="false"/>
      <protection locked="true" hidden="false"/>
    </xf>
    <xf numFmtId="169" fontId="9" fillId="2" borderId="1" xfId="0" applyFont="true" applyBorder="true" applyAlignment="true" applyProtection="false">
      <alignment horizontal="center" vertical="center" textRotation="0" wrapText="false" indent="0" shrinkToFit="false"/>
      <protection locked="true" hidden="false"/>
    </xf>
    <xf numFmtId="170" fontId="9" fillId="2" borderId="1" xfId="0" applyFont="true" applyBorder="true" applyAlignment="true" applyProtection="false">
      <alignment horizontal="center" vertical="center" textRotation="0" wrapText="false" indent="0" shrinkToFit="false"/>
      <protection locked="true" hidden="false"/>
    </xf>
    <xf numFmtId="171" fontId="9" fillId="2"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27" fillId="2" borderId="0" xfId="0" applyFont="true" applyBorder="true" applyAlignment="true" applyProtection="false">
      <alignment horizontal="center" vertical="center" textRotation="0" wrapText="true" indent="0" shrinkToFit="false"/>
      <protection locked="true" hidden="false"/>
    </xf>
    <xf numFmtId="164" fontId="28" fillId="2" borderId="2" xfId="0" applyFont="true" applyBorder="true" applyAlignment="true" applyProtection="false">
      <alignment horizontal="right" vertical="top" textRotation="0" wrapText="false" indent="0" shrinkToFit="false"/>
      <protection locked="true" hidden="false"/>
    </xf>
    <xf numFmtId="164" fontId="28" fillId="3" borderId="2" xfId="0" applyFont="true" applyBorder="true" applyAlignment="true" applyProtection="false">
      <alignment horizontal="right" vertical="top" textRotation="0" wrapText="false" indent="0" shrinkToFit="false"/>
      <protection locked="true" hidden="false"/>
    </xf>
    <xf numFmtId="164" fontId="28" fillId="11" borderId="2" xfId="0" applyFont="true" applyBorder="true" applyAlignment="true" applyProtection="false">
      <alignment horizontal="right" vertical="top" textRotation="0" wrapText="false" indent="0" shrinkToFit="false"/>
      <protection locked="true" hidden="false"/>
    </xf>
    <xf numFmtId="164" fontId="28" fillId="12" borderId="2" xfId="0" applyFont="true" applyBorder="true" applyAlignment="true" applyProtection="false">
      <alignment horizontal="right" vertical="top" textRotation="0" wrapText="false" indent="0" shrinkToFit="false"/>
      <protection locked="true" hidden="false"/>
    </xf>
    <xf numFmtId="164" fontId="28" fillId="13" borderId="2" xfId="0" applyFont="true" applyBorder="true" applyAlignment="true" applyProtection="false">
      <alignment horizontal="right" vertical="top" textRotation="0" wrapText="false" indent="0" shrinkToFit="false"/>
      <protection locked="true" hidden="false"/>
    </xf>
    <xf numFmtId="168" fontId="27" fillId="2" borderId="2" xfId="0" applyFont="true" applyBorder="true" applyAlignment="true" applyProtection="false">
      <alignment horizontal="center" vertical="center" textRotation="0" wrapText="true" indent="0" shrinkToFit="false"/>
      <protection locked="true" hidden="false"/>
    </xf>
    <xf numFmtId="168" fontId="27" fillId="3" borderId="2" xfId="0" applyFont="true" applyBorder="true" applyAlignment="true" applyProtection="false">
      <alignment horizontal="center" vertical="center" textRotation="0" wrapText="true" indent="0" shrinkToFit="false"/>
      <protection locked="true" hidden="false"/>
    </xf>
    <xf numFmtId="170" fontId="27" fillId="11" borderId="2" xfId="0" applyFont="true" applyBorder="true" applyAlignment="true" applyProtection="false">
      <alignment horizontal="center" vertical="center" textRotation="0" wrapText="true" indent="0" shrinkToFit="false"/>
      <protection locked="true" hidden="false"/>
    </xf>
    <xf numFmtId="170" fontId="27" fillId="12" borderId="2" xfId="0" applyFont="true" applyBorder="true" applyAlignment="true" applyProtection="false">
      <alignment horizontal="center" vertical="center" textRotation="0" wrapText="true" indent="0" shrinkToFit="false"/>
      <protection locked="true" hidden="false"/>
    </xf>
    <xf numFmtId="171" fontId="27" fillId="13" borderId="2" xfId="0" applyFont="true" applyBorder="true" applyAlignment="true" applyProtection="false">
      <alignment horizontal="center" vertical="center" textRotation="0" wrapText="true" indent="0" shrinkToFit="false"/>
      <protection locked="true" hidden="false"/>
    </xf>
    <xf numFmtId="164" fontId="29" fillId="2" borderId="2" xfId="0" applyFont="true" applyBorder="true" applyAlignment="true" applyProtection="false">
      <alignment horizontal="center" vertical="center" textRotation="0" wrapText="true" indent="0" shrinkToFit="false"/>
      <protection locked="true" hidden="false"/>
    </xf>
    <xf numFmtId="164" fontId="29" fillId="3" borderId="2" xfId="0" applyFont="true" applyBorder="true" applyAlignment="true" applyProtection="false">
      <alignment horizontal="center" vertical="center" textRotation="0" wrapText="true" indent="0" shrinkToFit="false"/>
      <protection locked="true" hidden="false"/>
    </xf>
    <xf numFmtId="164" fontId="29" fillId="11" borderId="2" xfId="0" applyFont="true" applyBorder="true" applyAlignment="true" applyProtection="false">
      <alignment horizontal="center" vertical="center" textRotation="0" wrapText="true" indent="0" shrinkToFit="false"/>
      <protection locked="true" hidden="false"/>
    </xf>
    <xf numFmtId="164" fontId="29" fillId="12" borderId="2" xfId="0" applyFont="true" applyBorder="true" applyAlignment="true" applyProtection="false">
      <alignment horizontal="center" vertical="center" textRotation="0" wrapText="true" indent="0" shrinkToFit="false"/>
      <protection locked="true" hidden="false"/>
    </xf>
    <xf numFmtId="164" fontId="29" fillId="13" borderId="2" xfId="0" applyFont="true" applyBorder="true" applyAlignment="true" applyProtection="false">
      <alignment horizontal="center" vertical="center" textRotation="0" wrapText="true" indent="0" shrinkToFit="false"/>
      <protection locked="true" hidden="false"/>
    </xf>
    <xf numFmtId="164" fontId="28" fillId="14" borderId="2" xfId="0" applyFont="true" applyBorder="true" applyAlignment="true" applyProtection="false">
      <alignment horizontal="right" vertical="top" textRotation="0" wrapText="false" indent="0" shrinkToFit="false"/>
      <protection locked="true" hidden="false"/>
    </xf>
    <xf numFmtId="164" fontId="28" fillId="7" borderId="2" xfId="0" applyFont="true" applyBorder="true" applyAlignment="true" applyProtection="false">
      <alignment horizontal="right" vertical="top" textRotation="0" wrapText="false" indent="0" shrinkToFit="false"/>
      <protection locked="true" hidden="false"/>
    </xf>
    <xf numFmtId="164" fontId="28" fillId="9" borderId="2" xfId="0" applyFont="true" applyBorder="true" applyAlignment="true" applyProtection="false">
      <alignment horizontal="right" vertical="top" textRotation="0" wrapText="false" indent="0" shrinkToFit="false"/>
      <protection locked="true" hidden="false"/>
    </xf>
    <xf numFmtId="168" fontId="27" fillId="14" borderId="2" xfId="0" applyFont="true" applyBorder="true" applyAlignment="true" applyProtection="false">
      <alignment horizontal="center" vertical="center" textRotation="0" wrapText="true" indent="0" shrinkToFit="false"/>
      <protection locked="true" hidden="false"/>
    </xf>
    <xf numFmtId="171" fontId="27" fillId="7" borderId="2" xfId="0" applyFont="true" applyBorder="true" applyAlignment="true" applyProtection="false">
      <alignment horizontal="center" vertical="center" textRotation="0" wrapText="true" indent="0" shrinkToFit="false"/>
      <protection locked="true" hidden="false"/>
    </xf>
    <xf numFmtId="172" fontId="27" fillId="9" borderId="2" xfId="0" applyFont="true" applyBorder="true" applyAlignment="true" applyProtection="false">
      <alignment horizontal="center" vertical="center" textRotation="0" wrapText="true" indent="0" shrinkToFit="false"/>
      <protection locked="true" hidden="false"/>
    </xf>
    <xf numFmtId="172" fontId="27" fillId="11" borderId="2" xfId="0" applyFont="true" applyBorder="true" applyAlignment="true" applyProtection="false">
      <alignment horizontal="center" vertical="center" textRotation="0" wrapText="true" indent="0" shrinkToFit="false"/>
      <protection locked="true" hidden="false"/>
    </xf>
    <xf numFmtId="172" fontId="27" fillId="2" borderId="2" xfId="0" applyFont="true" applyBorder="true" applyAlignment="true" applyProtection="false">
      <alignment horizontal="center" vertical="center" textRotation="0" wrapText="true" indent="0" shrinkToFit="false"/>
      <protection locked="true" hidden="false"/>
    </xf>
    <xf numFmtId="164" fontId="29" fillId="14" borderId="2" xfId="0" applyFont="true" applyBorder="true" applyAlignment="true" applyProtection="false">
      <alignment horizontal="center" vertical="center" textRotation="0" wrapText="true" indent="0" shrinkToFit="false"/>
      <protection locked="true" hidden="false"/>
    </xf>
    <xf numFmtId="164" fontId="29" fillId="7" borderId="2" xfId="0" applyFont="true" applyBorder="true" applyAlignment="true" applyProtection="false">
      <alignment horizontal="center" vertical="center" textRotation="0" wrapText="true" indent="0" shrinkToFit="false"/>
      <protection locked="true" hidden="false"/>
    </xf>
    <xf numFmtId="164" fontId="29" fillId="9"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xf numFmtId="164" fontId="5" fillId="13" borderId="3" xfId="0" applyFont="true" applyBorder="true" applyAlignment="true" applyProtection="false">
      <alignment horizontal="center" vertical="center" textRotation="0" wrapText="true" indent="0" shrinkToFit="false"/>
      <protection locked="true" hidden="false"/>
    </xf>
    <xf numFmtId="164" fontId="30" fillId="3" borderId="1" xfId="0" applyFont="true" applyBorder="true" applyAlignment="true" applyProtection="false">
      <alignment horizontal="center" vertical="center" textRotation="0" wrapText="true" indent="0" shrinkToFit="false"/>
      <protection locked="true" hidden="false"/>
    </xf>
    <xf numFmtId="168" fontId="31" fillId="4" borderId="1" xfId="0" applyFont="true" applyBorder="true" applyAlignment="true" applyProtection="false">
      <alignment horizontal="center" vertical="center" textRotation="0" wrapText="true" indent="0" shrinkToFit="false"/>
      <protection locked="true" hidden="false"/>
    </xf>
    <xf numFmtId="170" fontId="31" fillId="4" borderId="1" xfId="0" applyFont="true" applyBorder="true" applyAlignment="true" applyProtection="false">
      <alignment horizontal="center" vertical="center" textRotation="0" wrapText="true" indent="0" shrinkToFit="false"/>
      <protection locked="true" hidden="false"/>
    </xf>
    <xf numFmtId="171" fontId="31" fillId="4" borderId="1" xfId="0" applyFont="true" applyBorder="true" applyAlignment="true" applyProtection="false">
      <alignment horizontal="center" vertical="center" textRotation="0" wrapText="true" indent="0" shrinkToFit="false"/>
      <protection locked="true" hidden="false"/>
    </xf>
    <xf numFmtId="164" fontId="35" fillId="2" borderId="0" xfId="0" applyFont="true" applyBorder="true" applyAlignment="true" applyProtection="false">
      <alignment horizontal="center"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4" fontId="22" fillId="2" borderId="0" xfId="0" applyFont="true" applyBorder="true" applyAlignment="true" applyProtection="false">
      <alignment horizontal="right" vertical="center" textRotation="0" wrapText="true" indent="0" shrinkToFit="false"/>
      <protection locked="true" hidden="false"/>
    </xf>
    <xf numFmtId="164" fontId="37" fillId="5" borderId="0" xfId="0" applyFont="true" applyBorder="true" applyAlignment="true" applyProtection="false">
      <alignment horizontal="right" vertical="center" textRotation="0" wrapText="true" indent="0" shrinkToFit="false"/>
      <protection locked="true" hidden="false"/>
    </xf>
    <xf numFmtId="164" fontId="22" fillId="3" borderId="0" xfId="0" applyFont="true" applyBorder="true" applyAlignment="true" applyProtection="false">
      <alignment horizontal="right" vertical="center" textRotation="0" wrapText="true" indent="0" shrinkToFit="false"/>
      <protection locked="true" hidden="false"/>
    </xf>
    <xf numFmtId="164" fontId="38" fillId="6" borderId="0" xfId="0" applyFont="true" applyBorder="true" applyAlignment="true" applyProtection="false">
      <alignment horizontal="right" vertical="center" textRotation="0" wrapText="true" indent="0" shrinkToFit="false"/>
      <protection locked="true" hidden="false"/>
    </xf>
    <xf numFmtId="164" fontId="39" fillId="4" borderId="0" xfId="0" applyFont="true" applyBorder="true" applyAlignment="true" applyProtection="false">
      <alignment horizontal="right" vertical="center" textRotation="0" wrapText="true" indent="0" shrinkToFit="false"/>
      <protection locked="true" hidden="false"/>
    </xf>
    <xf numFmtId="164" fontId="22" fillId="11" borderId="0" xfId="0" applyFont="true" applyBorder="true" applyAlignment="true" applyProtection="false">
      <alignment horizontal="right" vertical="center" textRotation="0" wrapText="true" indent="0" shrinkToFit="false"/>
      <protection locked="true" hidden="false"/>
    </xf>
    <xf numFmtId="164" fontId="40" fillId="15" borderId="0" xfId="0" applyFont="true" applyBorder="true" applyAlignment="true" applyProtection="false">
      <alignment horizontal="right" vertical="center" textRotation="0" wrapText="true" indent="0" shrinkToFit="false"/>
      <protection locked="true" hidden="false"/>
    </xf>
    <xf numFmtId="164" fontId="22" fillId="13" borderId="0" xfId="0" applyFont="true" applyBorder="true" applyAlignment="true" applyProtection="false">
      <alignment horizontal="right" vertical="center" textRotation="0" wrapText="true" indent="0" shrinkToFit="false"/>
      <protection locked="true" hidden="false"/>
    </xf>
    <xf numFmtId="164" fontId="41" fillId="15" borderId="0" xfId="0" applyFont="true" applyBorder="true" applyAlignment="true" applyProtection="false">
      <alignment horizontal="right" vertical="center" textRotation="0" wrapText="true" indent="0" shrinkToFit="false"/>
      <protection locked="true" hidden="false"/>
    </xf>
    <xf numFmtId="164" fontId="22" fillId="12" borderId="0" xfId="0" applyFont="true" applyBorder="true" applyAlignment="true" applyProtection="false">
      <alignment horizontal="right" vertical="center" textRotation="0" wrapText="true" indent="0" shrinkToFit="false"/>
      <protection locked="true" hidden="false"/>
    </xf>
    <xf numFmtId="164" fontId="42" fillId="15" borderId="0" xfId="0" applyFont="true" applyBorder="true" applyAlignment="true" applyProtection="false">
      <alignment horizontal="right" vertical="center" textRotation="0" wrapText="true" indent="0" shrinkToFit="false"/>
      <protection locked="true" hidden="false"/>
    </xf>
    <xf numFmtId="164" fontId="22" fillId="9" borderId="0" xfId="0" applyFont="true" applyBorder="true" applyAlignment="true" applyProtection="false">
      <alignment horizontal="right" vertical="center" textRotation="0" wrapText="true" indent="0" shrinkToFit="false"/>
      <protection locked="true" hidden="false"/>
    </xf>
    <xf numFmtId="164" fontId="43" fillId="15" borderId="0" xfId="0" applyFont="true" applyBorder="true" applyAlignment="true" applyProtection="false">
      <alignment horizontal="right" vertical="center" textRotation="0" wrapText="true" indent="0" shrinkToFit="false"/>
      <protection locked="true" hidden="false"/>
    </xf>
    <xf numFmtId="164" fontId="44" fillId="15" borderId="0" xfId="0" applyFont="true" applyBorder="true" applyAlignment="true" applyProtection="false">
      <alignment horizontal="right" vertical="center" textRotation="0" wrapText="true" indent="0" shrinkToFit="false"/>
      <protection locked="true" hidden="false"/>
    </xf>
    <xf numFmtId="164" fontId="22" fillId="7" borderId="0" xfId="0" applyFont="true" applyBorder="true" applyAlignment="true" applyProtection="false">
      <alignment horizontal="right" vertical="center" textRotation="0" wrapText="true" indent="0" shrinkToFit="false"/>
      <protection locked="true" hidden="false"/>
    </xf>
    <xf numFmtId="164" fontId="45" fillId="15" borderId="0" xfId="0" applyFont="true" applyBorder="true" applyAlignment="true" applyProtection="false">
      <alignment horizontal="right" vertical="center" textRotation="0" wrapText="true" indent="0" shrinkToFit="false"/>
      <protection locked="true" hidden="false"/>
    </xf>
    <xf numFmtId="164" fontId="46" fillId="4" borderId="0" xfId="0" applyFont="true" applyBorder="true" applyAlignment="true" applyProtection="false">
      <alignment horizontal="right" vertical="center" textRotation="0" wrapText="true" indent="0" shrinkToFit="false"/>
      <protection locked="true" hidden="false"/>
    </xf>
    <xf numFmtId="164" fontId="46" fillId="12" borderId="0" xfId="0" applyFont="true" applyBorder="true" applyAlignment="true" applyProtection="false">
      <alignment horizontal="right" vertical="center" textRotation="0" wrapText="true" indent="0" shrinkToFit="false"/>
      <protection locked="true" hidden="false"/>
    </xf>
    <xf numFmtId="164" fontId="46" fillId="16" borderId="0" xfId="0" applyFont="true" applyBorder="true" applyAlignment="true" applyProtection="false">
      <alignment horizontal="right" vertical="center" textRotation="0" wrapText="true" indent="0" shrinkToFit="false"/>
      <protection locked="true" hidden="false"/>
    </xf>
    <xf numFmtId="164" fontId="47" fillId="0" borderId="0" xfId="0" applyFont="true" applyBorder="tru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588157"/>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7FBF7"/>
          <bgColor rgb="FF000000"/>
        </patternFill>
      </fill>
    </dxf>
    <dxf>
      <fill>
        <patternFill patternType="solid">
          <fgColor rgb="FF0B3D4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88157"/>
      <rgbColor rgb="FF800080"/>
      <rgbColor rgb="FF0E7C86"/>
      <rgbColor rgb="FFD9D9D9"/>
      <rgbColor rgb="FF878787"/>
      <rgbColor rgb="FF9999FF"/>
      <rgbColor rgb="FFC0504D"/>
      <rgbColor rgb="FFF7FBF7"/>
      <rgbColor rgb="FFE4F3F3"/>
      <rgbColor rgb="FF660066"/>
      <rgbColor rgb="FFE76F51"/>
      <rgbColor rgb="FF0066CC"/>
      <rgbColor rgb="FFD0D7DE"/>
      <rgbColor rgb="FF000080"/>
      <rgbColor rgb="FFFF00FF"/>
      <rgbColor rgb="FFFFFF00"/>
      <rgbColor rgb="FF00FFFF"/>
      <rgbColor rgb="FF800080"/>
      <rgbColor rgb="FF800000"/>
      <rgbColor rgb="FF008080"/>
      <rgbColor rgb="FF0000FF"/>
      <rgbColor rgb="FF00CCFF"/>
      <rgbColor rgb="FFE4ECF3"/>
      <rgbColor rgb="FFF2F2F2"/>
      <rgbColor rgb="FFFDEDE8"/>
      <rgbColor rgb="FF99CCFF"/>
      <rgbColor rgb="FFFF99CC"/>
      <rgbColor rgb="FFCC99FF"/>
      <rgbColor rgb="FFFDE2E2"/>
      <rgbColor rgb="FF4F81BD"/>
      <rgbColor rgb="FF33CCCC"/>
      <rgbColor rgb="FF9BBB59"/>
      <rgbColor rgb="FFE9B44C"/>
      <rgbColor rgb="FFFF9900"/>
      <rgbColor rgb="FFFF6600"/>
      <rgbColor rgb="FF8064A2"/>
      <rgbColor rgb="FF969696"/>
      <rgbColor rgb="FF0B3D4C"/>
      <rgbColor rgb="FF2E86AB"/>
      <rgbColor rgb="FF003300"/>
      <rgbColor rgb="FF333300"/>
      <rgbColor rgb="FFC1121F"/>
      <rgbColor rgb="FF993366"/>
      <rgbColor rgb="FF44546A"/>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إجمالي الإيرادات حسب القسم (ر.س)</a:t>
            </a:r>
          </a:p>
        </c:rich>
      </c:tx>
      <c:overlay val="0"/>
      <c:spPr>
        <a:noFill/>
        <a:ln w="0">
          <a:noFill/>
        </a:ln>
      </c:spPr>
    </c:title>
    <c:autoTitleDeleted val="0"/>
    <c:plotArea>
      <c:barChart>
        <c:barDir val="col"/>
        <c:grouping val="clustered"/>
        <c:varyColors val="0"/>
        <c:ser>
          <c:idx val="0"/>
          <c:order val="0"/>
          <c:tx>
            <c:strRef>
              <c:f>'06 الجداول التحليلية'!C4</c:f>
              <c:strCache>
                <c:ptCount val="1"/>
                <c:pt idx="0">
                  <c:v>إجمالي الإيرادات (ر.س)</c:v>
                </c:pt>
              </c:strCache>
            </c:strRef>
          </c:tx>
          <c:spPr>
            <a:solidFill>
              <a:srgbClr val="0e7c8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التحليلية'!$A$5:$A$12</c:f>
              <c:strCache>
                <c:ptCount val="8"/>
                <c:pt idx="0">
                  <c:v>الطوارئ</c:v>
                </c:pt>
                <c:pt idx="1">
                  <c:v>الباطنة</c:v>
                </c:pt>
                <c:pt idx="2">
                  <c:v>الجراحة العامة</c:v>
                </c:pt>
                <c:pt idx="3">
                  <c:v>العظام</c:v>
                </c:pt>
                <c:pt idx="4">
                  <c:v>أمراض القلب</c:v>
                </c:pt>
                <c:pt idx="5">
                  <c:v>الأطفال</c:v>
                </c:pt>
                <c:pt idx="6">
                  <c:v>النساء والولادة</c:v>
                </c:pt>
                <c:pt idx="7">
                  <c:v>الأورام</c:v>
                </c:pt>
              </c:strCache>
            </c:strRef>
          </c:cat>
          <c:val>
            <c:numRef>
              <c:f>'06 الجداول التحليلية'!$C$5:$C$12</c:f>
              <c:numCache>
                <c:formatCode>#,##0</c:formatCode>
                <c:ptCount val="8"/>
                <c:pt idx="0">
                  <c:v>876630.23</c:v>
                </c:pt>
                <c:pt idx="1">
                  <c:v>2566400.53</c:v>
                </c:pt>
                <c:pt idx="2">
                  <c:v>2793368.16</c:v>
                </c:pt>
                <c:pt idx="3">
                  <c:v>3703190.2</c:v>
                </c:pt>
                <c:pt idx="4">
                  <c:v>4209630.38</c:v>
                </c:pt>
                <c:pt idx="5">
                  <c:v>922980.63</c:v>
                </c:pt>
                <c:pt idx="6">
                  <c:v>990780.35</c:v>
                </c:pt>
                <c:pt idx="7">
                  <c:v>4540495.77</c:v>
                </c:pt>
              </c:numCache>
            </c:numRef>
          </c:val>
        </c:ser>
        <c:gapWidth val="150"/>
        <c:overlap val="0"/>
        <c:axId val="42073582"/>
        <c:axId val="1684129"/>
      </c:barChart>
      <c:catAx>
        <c:axId val="420735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84129"/>
        <c:crosses val="autoZero"/>
        <c:auto val="1"/>
        <c:lblAlgn val="ctr"/>
        <c:lblOffset val="100"/>
        <c:noMultiLvlLbl val="0"/>
      </c:catAx>
      <c:valAx>
        <c:axId val="1684129"/>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07358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الاتجاه الشهري لعدد المرضى (2024)</a:t>
            </a:r>
          </a:p>
        </c:rich>
      </c:tx>
      <c:overlay val="0"/>
      <c:spPr>
        <a:noFill/>
        <a:ln w="0">
          <a:noFill/>
        </a:ln>
      </c:spPr>
    </c:title>
    <c:autoTitleDeleted val="0"/>
    <c:plotArea>
      <c:lineChart>
        <c:grouping val="standard"/>
        <c:varyColors val="0"/>
        <c:ser>
          <c:idx val="0"/>
          <c:order val="0"/>
          <c:tx>
            <c:strRef>
              <c:f>'06 الجداول التحليلية'!B16</c:f>
              <c:strCache>
                <c:ptCount val="1"/>
                <c:pt idx="0">
                  <c:v>عدد المرضى</c:v>
                </c:pt>
              </c:strCache>
            </c:strRef>
          </c:tx>
          <c:spPr>
            <a:solidFill>
              <a:srgbClr val="2e86ab"/>
            </a:solidFill>
            <a:ln w="24120">
              <a:solidFill>
                <a:srgbClr val="2e86ab"/>
              </a:solidFill>
              <a:round/>
            </a:ln>
          </c:spPr>
          <c:marker>
            <c:symbol val="circle"/>
            <c:size val="6"/>
            <c:spPr>
              <a:solidFill>
                <a:srgbClr val="2e86a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التحليلية'!$A$17:$A$28</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'06 الجداول التحليلية'!$B$17:$B$28</c:f>
              <c:numCache>
                <c:formatCode>#,##0</c:formatCode>
                <c:ptCount val="12"/>
                <c:pt idx="0">
                  <c:v>164</c:v>
                </c:pt>
                <c:pt idx="1">
                  <c:v>198</c:v>
                </c:pt>
                <c:pt idx="2">
                  <c:v>161</c:v>
                </c:pt>
                <c:pt idx="3">
                  <c:v>172</c:v>
                </c:pt>
                <c:pt idx="4">
                  <c:v>160</c:v>
                </c:pt>
                <c:pt idx="5">
                  <c:v>187</c:v>
                </c:pt>
                <c:pt idx="6">
                  <c:v>182</c:v>
                </c:pt>
                <c:pt idx="7">
                  <c:v>175</c:v>
                </c:pt>
                <c:pt idx="8">
                  <c:v>170</c:v>
                </c:pt>
                <c:pt idx="9">
                  <c:v>177</c:v>
                </c:pt>
                <c:pt idx="10">
                  <c:v>167</c:v>
                </c:pt>
                <c:pt idx="11">
                  <c:v>187</c:v>
                </c:pt>
              </c:numCache>
            </c:numRef>
          </c:val>
          <c:smooth val="0"/>
        </c:ser>
        <c:hiLowLines>
          <c:spPr>
            <a:ln w="0">
              <a:noFill/>
            </a:ln>
          </c:spPr>
        </c:hiLowLines>
        <c:marker val="1"/>
        <c:axId val="25806747"/>
        <c:axId val="68625494"/>
      </c:lineChart>
      <c:catAx>
        <c:axId val="258067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625494"/>
        <c:crosses val="autoZero"/>
        <c:auto val="1"/>
        <c:lblAlgn val="ctr"/>
        <c:lblOffset val="100"/>
        <c:noMultiLvlLbl val="0"/>
      </c:catAx>
      <c:valAx>
        <c:axId val="68625494"/>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80674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توزيع المرضى حسب نوع التأمين</a:t>
            </a:r>
          </a:p>
        </c:rich>
      </c:tx>
      <c:overlay val="0"/>
      <c:spPr>
        <a:noFill/>
        <a:ln w="0">
          <a:noFill/>
        </a:ln>
      </c:spPr>
    </c:title>
    <c:autoTitleDeleted val="0"/>
    <c:plotArea>
      <c:pieChart>
        <c:varyColors val="1"/>
        <c:ser>
          <c:idx val="0"/>
          <c:order val="0"/>
          <c:tx>
            <c:strRef>
              <c:f>'06 الجداول التحليلية'!B32</c:f>
              <c:strCache>
                <c:ptCount val="1"/>
                <c:pt idx="0">
                  <c:v>عدد المرضى</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'06 الجداول التحليلية'!$A$33:$A$36</c:f>
              <c:strCache>
                <c:ptCount val="4"/>
                <c:pt idx="0">
                  <c:v>تأمين حكومي</c:v>
                </c:pt>
                <c:pt idx="1">
                  <c:v>تأمين خاص</c:v>
                </c:pt>
                <c:pt idx="2">
                  <c:v>ضمان اجتماعي</c:v>
                </c:pt>
                <c:pt idx="3">
                  <c:v>بدون تأمين (ذاتي)</c:v>
                </c:pt>
              </c:strCache>
            </c:strRef>
          </c:cat>
          <c:val>
            <c:numRef>
              <c:f>'06 الجداول التحليلية'!$B$33:$B$36</c:f>
              <c:numCache>
                <c:formatCode>#,##0</c:formatCode>
                <c:ptCount val="4"/>
                <c:pt idx="0">
                  <c:v>922</c:v>
                </c:pt>
                <c:pt idx="1">
                  <c:v>578</c:v>
                </c:pt>
                <c:pt idx="2">
                  <c:v>387</c:v>
                </c:pt>
                <c:pt idx="3">
                  <c:v>213</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متوسط مدة الإقامة حسب القسم (يوم)</a:t>
            </a:r>
          </a:p>
        </c:rich>
      </c:tx>
      <c:overlay val="0"/>
      <c:spPr>
        <a:noFill/>
        <a:ln w="0">
          <a:noFill/>
        </a:ln>
      </c:spPr>
    </c:title>
    <c:autoTitleDeleted val="0"/>
    <c:plotArea>
      <c:barChart>
        <c:barDir val="bar"/>
        <c:grouping val="clustered"/>
        <c:varyColors val="0"/>
        <c:ser>
          <c:idx val="0"/>
          <c:order val="0"/>
          <c:tx>
            <c:strRef>
              <c:f>'06 الجداول التحليلية'!E4</c:f>
              <c:strCache>
                <c:ptCount val="1"/>
                <c:pt idx="0">
                  <c:v>متوسط مدة الإقامة (يوم)</c:v>
                </c:pt>
              </c:strCache>
            </c:strRef>
          </c:tx>
          <c:spPr>
            <a:solidFill>
              <a:srgbClr val="e9b44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التحليلية'!$A$5:$A$12</c:f>
              <c:strCache>
                <c:ptCount val="8"/>
                <c:pt idx="0">
                  <c:v>الطوارئ</c:v>
                </c:pt>
                <c:pt idx="1">
                  <c:v>الباطنة</c:v>
                </c:pt>
                <c:pt idx="2">
                  <c:v>الجراحة العامة</c:v>
                </c:pt>
                <c:pt idx="3">
                  <c:v>العظام</c:v>
                </c:pt>
                <c:pt idx="4">
                  <c:v>أمراض القلب</c:v>
                </c:pt>
                <c:pt idx="5">
                  <c:v>الأطفال</c:v>
                </c:pt>
                <c:pt idx="6">
                  <c:v>النساء والولادة</c:v>
                </c:pt>
                <c:pt idx="7">
                  <c:v>الأورام</c:v>
                </c:pt>
              </c:strCache>
            </c:strRef>
          </c:cat>
          <c:val>
            <c:numRef>
              <c:f>'06 الجداول التحليلية'!$E$5:$E$12</c:f>
              <c:numCache>
                <c:formatCode>0.0</c:formatCode>
                <c:ptCount val="8"/>
                <c:pt idx="0">
                  <c:v>1.44017094017094</c:v>
                </c:pt>
                <c:pt idx="1">
                  <c:v>4.58888888888889</c:v>
                </c:pt>
                <c:pt idx="2">
                  <c:v>4.15137614678899</c:v>
                </c:pt>
                <c:pt idx="3">
                  <c:v>4.34347826086957</c:v>
                </c:pt>
                <c:pt idx="4">
                  <c:v>5.69</c:v>
                </c:pt>
                <c:pt idx="5">
                  <c:v>2.62798634812287</c:v>
                </c:pt>
                <c:pt idx="6">
                  <c:v>2.27227722772277</c:v>
                </c:pt>
                <c:pt idx="7">
                  <c:v>6.42635658914729</c:v>
                </c:pt>
              </c:numCache>
            </c:numRef>
          </c:val>
        </c:ser>
        <c:gapWidth val="150"/>
        <c:overlap val="0"/>
        <c:axId val="58649296"/>
        <c:axId val="59173141"/>
      </c:barChart>
      <c:catAx>
        <c:axId val="586492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173141"/>
        <c:crosses val="autoZero"/>
        <c:auto val="1"/>
        <c:lblAlgn val="ctr"/>
        <c:lblOffset val="100"/>
        <c:noMultiLvlLbl val="0"/>
      </c:catAx>
      <c:valAx>
        <c:axId val="59173141"/>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64929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نسبة إعادة الدخول خلال 30 يوماً حسب القسم</a:t>
            </a:r>
          </a:p>
        </c:rich>
      </c:tx>
      <c:overlay val="0"/>
      <c:spPr>
        <a:noFill/>
        <a:ln w="0">
          <a:noFill/>
        </a:ln>
      </c:spPr>
    </c:title>
    <c:autoTitleDeleted val="0"/>
    <c:plotArea>
      <c:barChart>
        <c:barDir val="col"/>
        <c:grouping val="clustered"/>
        <c:varyColors val="0"/>
        <c:ser>
          <c:idx val="0"/>
          <c:order val="0"/>
          <c:tx>
            <c:strRef>
              <c:f>'06 الجداول التحليلية'!G4</c:f>
              <c:strCache>
                <c:ptCount val="1"/>
                <c:pt idx="0">
                  <c:v>نسبة إعادة الدخول</c:v>
                </c:pt>
              </c:strCache>
            </c:strRef>
          </c:tx>
          <c:spPr>
            <a:solidFill>
              <a:srgbClr val="e76f5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التحليلية'!$A$5:$A$12</c:f>
              <c:strCache>
                <c:ptCount val="8"/>
                <c:pt idx="0">
                  <c:v>الطوارئ</c:v>
                </c:pt>
                <c:pt idx="1">
                  <c:v>الباطنة</c:v>
                </c:pt>
                <c:pt idx="2">
                  <c:v>الجراحة العامة</c:v>
                </c:pt>
                <c:pt idx="3">
                  <c:v>العظام</c:v>
                </c:pt>
                <c:pt idx="4">
                  <c:v>أمراض القلب</c:v>
                </c:pt>
                <c:pt idx="5">
                  <c:v>الأطفال</c:v>
                </c:pt>
                <c:pt idx="6">
                  <c:v>النساء والولادة</c:v>
                </c:pt>
                <c:pt idx="7">
                  <c:v>الأورام</c:v>
                </c:pt>
              </c:strCache>
            </c:strRef>
          </c:cat>
          <c:val>
            <c:numRef>
              <c:f>'06 الجداول التحليلية'!$G$5:$G$12</c:f>
              <c:numCache>
                <c:formatCode>0.0%</c:formatCode>
                <c:ptCount val="8"/>
                <c:pt idx="0">
                  <c:v>0.0726495726495727</c:v>
                </c:pt>
                <c:pt idx="1">
                  <c:v>0.0861111111111111</c:v>
                </c:pt>
                <c:pt idx="2">
                  <c:v>0.0917431192660551</c:v>
                </c:pt>
                <c:pt idx="3">
                  <c:v>0.0869565217391304</c:v>
                </c:pt>
                <c:pt idx="4">
                  <c:v>0.185</c:v>
                </c:pt>
                <c:pt idx="5">
                  <c:v>0.0921501706484642</c:v>
                </c:pt>
                <c:pt idx="6">
                  <c:v>0.0841584158415842</c:v>
                </c:pt>
                <c:pt idx="7">
                  <c:v>0.162790697674419</c:v>
                </c:pt>
              </c:numCache>
            </c:numRef>
          </c:val>
        </c:ser>
        <c:gapWidth val="150"/>
        <c:overlap val="0"/>
        <c:axId val="1847660"/>
        <c:axId val="58128340"/>
      </c:barChart>
      <c:catAx>
        <c:axId val="18476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128340"/>
        <c:crosses val="autoZero"/>
        <c:auto val="1"/>
        <c:lblAlgn val="ctr"/>
        <c:lblOffset val="100"/>
        <c:noMultiLvlLbl val="0"/>
      </c:catAx>
      <c:valAx>
        <c:axId val="5812834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476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توزيع الحالات حسب نوع الدخول</a:t>
            </a:r>
          </a:p>
        </c:rich>
      </c:tx>
      <c:overlay val="0"/>
      <c:spPr>
        <a:noFill/>
        <a:ln w="0">
          <a:noFill/>
        </a:ln>
      </c:spPr>
    </c:title>
    <c:autoTitleDeleted val="0"/>
    <c:plotArea>
      <c:doughnutChart>
        <c:varyColors val="1"/>
        <c:ser>
          <c:idx val="0"/>
          <c:order val="0"/>
          <c:tx>
            <c:strRef>
              <c:f>'06 الجداول التحليلية'!B56</c:f>
              <c:strCache>
                <c:ptCount val="1"/>
                <c:pt idx="0">
                  <c:v>عدد المرضى</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'06 الجداول التحليلية'!$A$57:$A$59</c:f>
              <c:strCache>
                <c:ptCount val="3"/>
                <c:pt idx="0">
                  <c:v>طارئة</c:v>
                </c:pt>
                <c:pt idx="1">
                  <c:v>اختيارية</c:v>
                </c:pt>
                <c:pt idx="2">
                  <c:v>تحويل من مستشفى آخر</c:v>
                </c:pt>
              </c:strCache>
            </c:strRef>
          </c:cat>
          <c:val>
            <c:numRef>
              <c:f>'06 الجداول التحليلية'!$B$57:$B$59</c:f>
              <c:numCache>
                <c:formatCode>#,##0</c:formatCode>
                <c:ptCount val="3"/>
                <c:pt idx="0">
                  <c:v>1331</c:v>
                </c:pt>
                <c:pt idx="1">
                  <c:v>595</c:v>
                </c:pt>
                <c:pt idx="2">
                  <c:v>174</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متوسط تقييم رضا المريض حسب القسم (من 5)</a:t>
            </a:r>
          </a:p>
        </c:rich>
      </c:tx>
      <c:overlay val="0"/>
      <c:spPr>
        <a:noFill/>
        <a:ln w="0">
          <a:noFill/>
        </a:ln>
      </c:spPr>
    </c:title>
    <c:autoTitleDeleted val="0"/>
    <c:plotArea>
      <c:barChart>
        <c:barDir val="col"/>
        <c:grouping val="clustered"/>
        <c:varyColors val="0"/>
        <c:ser>
          <c:idx val="0"/>
          <c:order val="0"/>
          <c:tx>
            <c:strRef>
              <c:f>'06 الجداول التحليلية'!F4</c:f>
              <c:strCache>
                <c:ptCount val="1"/>
                <c:pt idx="0">
                  <c:v>متوسط تقييم الرضا</c:v>
                </c:pt>
              </c:strCache>
            </c:strRef>
          </c:tx>
          <c:spPr>
            <a:solidFill>
              <a:srgbClr val="58815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التحليلية'!$A$5:$A$12</c:f>
              <c:strCache>
                <c:ptCount val="8"/>
                <c:pt idx="0">
                  <c:v>الطوارئ</c:v>
                </c:pt>
                <c:pt idx="1">
                  <c:v>الباطنة</c:v>
                </c:pt>
                <c:pt idx="2">
                  <c:v>الجراحة العامة</c:v>
                </c:pt>
                <c:pt idx="3">
                  <c:v>العظام</c:v>
                </c:pt>
                <c:pt idx="4">
                  <c:v>أمراض القلب</c:v>
                </c:pt>
                <c:pt idx="5">
                  <c:v>الأطفال</c:v>
                </c:pt>
                <c:pt idx="6">
                  <c:v>النساء والولادة</c:v>
                </c:pt>
                <c:pt idx="7">
                  <c:v>الأورام</c:v>
                </c:pt>
              </c:strCache>
            </c:strRef>
          </c:cat>
          <c:val>
            <c:numRef>
              <c:f>'06 الجداول التحليلية'!$F$5:$F$12</c:f>
              <c:numCache>
                <c:formatCode>0.00</c:formatCode>
                <c:ptCount val="8"/>
                <c:pt idx="0">
                  <c:v>3.3974358974359</c:v>
                </c:pt>
                <c:pt idx="1">
                  <c:v>4.04722222222222</c:v>
                </c:pt>
                <c:pt idx="2">
                  <c:v>4</c:v>
                </c:pt>
                <c:pt idx="3">
                  <c:v>4.06086956521739</c:v>
                </c:pt>
                <c:pt idx="4">
                  <c:v>3.98</c:v>
                </c:pt>
                <c:pt idx="5">
                  <c:v>4.07849829351536</c:v>
                </c:pt>
                <c:pt idx="6">
                  <c:v>3.99009900990099</c:v>
                </c:pt>
                <c:pt idx="7">
                  <c:v>4</c:v>
                </c:pt>
              </c:numCache>
            </c:numRef>
          </c:val>
        </c:ser>
        <c:gapWidth val="150"/>
        <c:overlap val="0"/>
        <c:axId val="45073279"/>
        <c:axId val="43394506"/>
      </c:barChart>
      <c:catAx>
        <c:axId val="450732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394506"/>
        <c:crosses val="autoZero"/>
        <c:auto val="1"/>
        <c:lblAlgn val="ctr"/>
        <c:lblOffset val="100"/>
        <c:noMultiLvlLbl val="0"/>
      </c:catAx>
      <c:valAx>
        <c:axId val="43394506"/>
        <c:scaling>
          <c:orientation val="minMax"/>
          <c:max val="5"/>
          <c:min val="0"/>
        </c:scaling>
        <c:delete val="0"/>
        <c:axPos val="l"/>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0732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إجمالي الإيرادات حسب نوع الغرفة (ر.س)</a:t>
            </a:r>
          </a:p>
        </c:rich>
      </c:tx>
      <c:overlay val="0"/>
      <c:spPr>
        <a:noFill/>
        <a:ln w="0">
          <a:noFill/>
        </a:ln>
      </c:spPr>
    </c:title>
    <c:autoTitleDeleted val="0"/>
    <c:plotArea>
      <c:barChart>
        <c:barDir val="col"/>
        <c:grouping val="clustered"/>
        <c:varyColors val="0"/>
        <c:ser>
          <c:idx val="0"/>
          <c:order val="0"/>
          <c:tx>
            <c:strRef>
              <c:f>'06 الجداول التحليلية'!C49</c:f>
              <c:strCache>
                <c:ptCount val="1"/>
                <c:pt idx="0">
                  <c:v>إجمالي الإيرادات (ر.س)</c:v>
                </c:pt>
              </c:strCache>
            </c:strRef>
          </c:tx>
          <c:spPr>
            <a:solidFill>
              <a:srgbClr val="2e86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التحليلية'!$A$50:$A$52</c:f>
              <c:strCache>
                <c:ptCount val="3"/>
                <c:pt idx="0">
                  <c:v>عادية</c:v>
                </c:pt>
                <c:pt idx="1">
                  <c:v>خاصة</c:v>
                </c:pt>
                <c:pt idx="2">
                  <c:v>عناية مركزة</c:v>
                </c:pt>
              </c:strCache>
            </c:strRef>
          </c:cat>
          <c:val>
            <c:numRef>
              <c:f>'06 الجداول التحليلية'!$C$50:$C$52</c:f>
              <c:numCache>
                <c:formatCode>#,##0</c:formatCode>
                <c:ptCount val="3"/>
                <c:pt idx="0">
                  <c:v>8822375.29</c:v>
                </c:pt>
                <c:pt idx="1">
                  <c:v>5380901.86</c:v>
                </c:pt>
                <c:pt idx="2">
                  <c:v>6400199.1</c:v>
                </c:pt>
              </c:numCache>
            </c:numRef>
          </c:val>
        </c:ser>
        <c:gapWidth val="150"/>
        <c:overlap val="0"/>
        <c:axId val="64417605"/>
        <c:axId val="47716408"/>
      </c:barChart>
      <c:catAx>
        <c:axId val="644176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716408"/>
        <c:crosses val="autoZero"/>
        <c:auto val="1"/>
        <c:lblAlgn val="ctr"/>
        <c:lblOffset val="100"/>
        <c:noMultiLvlLbl val="0"/>
      </c:catAx>
      <c:valAx>
        <c:axId val="47716408"/>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176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عدد المرضى حسب الفئة العمرية</a:t>
            </a:r>
          </a:p>
        </c:rich>
      </c:tx>
      <c:overlay val="0"/>
      <c:spPr>
        <a:noFill/>
        <a:ln w="0">
          <a:noFill/>
        </a:ln>
      </c:spPr>
    </c:title>
    <c:autoTitleDeleted val="0"/>
    <c:plotArea>
      <c:barChart>
        <c:barDir val="col"/>
        <c:grouping val="clustered"/>
        <c:varyColors val="0"/>
        <c:ser>
          <c:idx val="0"/>
          <c:order val="0"/>
          <c:tx>
            <c:strRef>
              <c:f>'06 الجداول التحليلية'!B40</c:f>
              <c:strCache>
                <c:ptCount val="1"/>
                <c:pt idx="0">
                  <c:v>عدد المرضى</c:v>
                </c:pt>
              </c:strCache>
            </c:strRef>
          </c:tx>
          <c:spPr>
            <a:solidFill>
              <a:srgbClr val="2e86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التحليلية'!$A$41:$A$45</c:f>
              <c:strCache>
                <c:ptCount val="5"/>
                <c:pt idx="0">
                  <c:v>أطفال (0-12)</c:v>
                </c:pt>
                <c:pt idx="1">
                  <c:v>شباب (13-24)</c:v>
                </c:pt>
                <c:pt idx="2">
                  <c:v>بالغون (25-44)</c:v>
                </c:pt>
                <c:pt idx="3">
                  <c:v>متوسطو العمر (45-64)</c:v>
                </c:pt>
                <c:pt idx="4">
                  <c:v>كبار السن (+65)</c:v>
                </c:pt>
              </c:strCache>
            </c:strRef>
          </c:cat>
          <c:val>
            <c:numRef>
              <c:f>'06 الجداول التحليلية'!$B$41:$B$45</c:f>
              <c:numCache>
                <c:formatCode>#,##0</c:formatCode>
                <c:ptCount val="5"/>
                <c:pt idx="0">
                  <c:v>358</c:v>
                </c:pt>
                <c:pt idx="1">
                  <c:v>202</c:v>
                </c:pt>
                <c:pt idx="2">
                  <c:v>614</c:v>
                </c:pt>
                <c:pt idx="3">
                  <c:v>601</c:v>
                </c:pt>
                <c:pt idx="4">
                  <c:v>325</c:v>
                </c:pt>
              </c:numCache>
            </c:numRef>
          </c:val>
        </c:ser>
        <c:gapWidth val="150"/>
        <c:overlap val="0"/>
        <c:axId val="21745668"/>
        <c:axId val="86660469"/>
      </c:barChart>
      <c:catAx>
        <c:axId val="217456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660469"/>
        <c:crosses val="autoZero"/>
        <c:auto val="1"/>
        <c:lblAlgn val="ctr"/>
        <c:lblOffset val="100"/>
        <c:noMultiLvlLbl val="0"/>
      </c:catAx>
      <c:valAx>
        <c:axId val="86660469"/>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7456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متوسط تكلفة الحالة حسب الفئة العمرية (ر.س)</a:t>
            </a:r>
          </a:p>
        </c:rich>
      </c:tx>
      <c:overlay val="0"/>
      <c:spPr>
        <a:noFill/>
        <a:ln w="0">
          <a:noFill/>
        </a:ln>
      </c:spPr>
    </c:title>
    <c:autoTitleDeleted val="0"/>
    <c:plotArea>
      <c:barChart>
        <c:barDir val="col"/>
        <c:grouping val="clustered"/>
        <c:varyColors val="0"/>
        <c:ser>
          <c:idx val="0"/>
          <c:order val="0"/>
          <c:tx>
            <c:strRef>
              <c:f>'06 الجداول التحليلية'!C40</c:f>
              <c:strCache>
                <c:ptCount val="1"/>
                <c:pt idx="0">
                  <c:v>متوسط تكلفة الحالة</c:v>
                </c:pt>
              </c:strCache>
            </c:strRef>
          </c:tx>
          <c:spPr>
            <a:solidFill>
              <a:srgbClr val="e9b44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التحليلية'!$A$41:$A$45</c:f>
              <c:strCache>
                <c:ptCount val="5"/>
                <c:pt idx="0">
                  <c:v>أطفال (0-12)</c:v>
                </c:pt>
                <c:pt idx="1">
                  <c:v>شباب (13-24)</c:v>
                </c:pt>
                <c:pt idx="2">
                  <c:v>بالغون (25-44)</c:v>
                </c:pt>
                <c:pt idx="3">
                  <c:v>متوسطو العمر (45-64)</c:v>
                </c:pt>
                <c:pt idx="4">
                  <c:v>كبار السن (+65)</c:v>
                </c:pt>
              </c:strCache>
            </c:strRef>
          </c:cat>
          <c:val>
            <c:numRef>
              <c:f>'06 الجداول التحليلية'!$C$41:$C$45</c:f>
              <c:numCache>
                <c:formatCode>#,##0</c:formatCode>
                <c:ptCount val="5"/>
                <c:pt idx="0">
                  <c:v>4153.58360335196</c:v>
                </c:pt>
                <c:pt idx="1">
                  <c:v>6886.1900990099</c:v>
                </c:pt>
                <c:pt idx="2">
                  <c:v>8658.84526058632</c:v>
                </c:pt>
                <c:pt idx="3">
                  <c:v>13350.6589351082</c:v>
                </c:pt>
                <c:pt idx="4">
                  <c:v>13492.9412615385</c:v>
                </c:pt>
              </c:numCache>
            </c:numRef>
          </c:val>
        </c:ser>
        <c:gapWidth val="150"/>
        <c:overlap val="0"/>
        <c:axId val="93380722"/>
        <c:axId val="77797143"/>
      </c:barChart>
      <c:catAx>
        <c:axId val="933807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97143"/>
        <c:crosses val="autoZero"/>
        <c:auto val="1"/>
        <c:lblAlgn val="ctr"/>
        <c:lblOffset val="100"/>
        <c:noMultiLvlLbl val="0"/>
      </c:catAx>
      <c:valAx>
        <c:axId val="77797143"/>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8072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توزيع حالات الخروج</a:t>
            </a:r>
          </a:p>
        </c:rich>
      </c:tx>
      <c:overlay val="0"/>
      <c:spPr>
        <a:noFill/>
        <a:ln w="0">
          <a:noFill/>
        </a:ln>
      </c:spPr>
    </c:title>
    <c:autoTitleDeleted val="0"/>
    <c:plotArea>
      <c:pieChart>
        <c:varyColors val="1"/>
        <c:ser>
          <c:idx val="0"/>
          <c:order val="0"/>
          <c:tx>
            <c:strRef>
              <c:f>'06 الجداول التحليلية'!B63</c:f>
              <c:strCache>
                <c:ptCount val="1"/>
                <c:pt idx="0">
                  <c:v>عدد المرضى</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'06 الجداول التحليلية'!$A$64:$A$67</c:f>
              <c:strCache>
                <c:ptCount val="4"/>
                <c:pt idx="0">
                  <c:v>خرج بحالة مستقرة</c:v>
                </c:pt>
                <c:pt idx="1">
                  <c:v>تحويل لمستشفى آخر</c:v>
                </c:pt>
                <c:pt idx="2">
                  <c:v>خروج بطلب ذاتي</c:v>
                </c:pt>
                <c:pt idx="3">
                  <c:v>وفاة</c:v>
                </c:pt>
              </c:strCache>
            </c:strRef>
          </c:cat>
          <c:val>
            <c:numRef>
              <c:f>'06 الجداول التحليلية'!$B$64:$B$67</c:f>
              <c:numCache>
                <c:formatCode>#,##0</c:formatCode>
                <c:ptCount val="4"/>
                <c:pt idx="0">
                  <c:v>1921</c:v>
                </c:pt>
                <c:pt idx="1">
                  <c:v>48</c:v>
                </c:pt>
                <c:pt idx="2">
                  <c:v>102</c:v>
                </c:pt>
                <c:pt idx="3">
                  <c:v>29</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أعلى 10 أطباء من حيث عدد الحالات</a:t>
            </a:r>
          </a:p>
        </c:rich>
      </c:tx>
      <c:overlay val="0"/>
      <c:spPr>
        <a:noFill/>
        <a:ln w="0">
          <a:noFill/>
        </a:ln>
      </c:spPr>
    </c:title>
    <c:autoTitleDeleted val="0"/>
    <c:plotArea>
      <c:barChart>
        <c:barDir val="bar"/>
        <c:grouping val="clustered"/>
        <c:varyColors val="0"/>
        <c:ser>
          <c:idx val="0"/>
          <c:order val="0"/>
          <c:tx>
            <c:strRef>
              <c:f>'06 الجداول التحليلية'!C71</c:f>
              <c:strCache>
                <c:ptCount val="1"/>
                <c:pt idx="0">
                  <c:v>عدد الحالات</c:v>
                </c:pt>
              </c:strCache>
            </c:strRef>
          </c:tx>
          <c:spPr>
            <a:solidFill>
              <a:srgbClr val="58815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التحليلية'!$A$72:$A$81</c:f>
              <c:strCache>
                <c:ptCount val="10"/>
                <c:pt idx="0">
                  <c:v>د. نورة العتيبي</c:v>
                </c:pt>
                <c:pt idx="1">
                  <c:v>د. فهد المطيري</c:v>
                </c:pt>
                <c:pt idx="2">
                  <c:v>د. سلطان الجهني</c:v>
                </c:pt>
                <c:pt idx="3">
                  <c:v>د. أمل باقادر</c:v>
                </c:pt>
                <c:pt idx="4">
                  <c:v>د. سارة الحربي</c:v>
                </c:pt>
                <c:pt idx="5">
                  <c:v>د. خالد الزهراني</c:v>
                </c:pt>
                <c:pt idx="6">
                  <c:v>د. يوسف الدوسري</c:v>
                </c:pt>
                <c:pt idx="7">
                  <c:v>د. عبدالله الشمري</c:v>
                </c:pt>
                <c:pt idx="8">
                  <c:v>د. منى القحطاني</c:v>
                </c:pt>
                <c:pt idx="9">
                  <c:v>د. تركي العنزي</c:v>
                </c:pt>
              </c:strCache>
            </c:strRef>
          </c:cat>
          <c:val>
            <c:numRef>
              <c:f>'06 الجداول التحليلية'!$C$72:$C$81</c:f>
              <c:numCache>
                <c:formatCode>#,##0</c:formatCode>
                <c:ptCount val="10"/>
                <c:pt idx="0">
                  <c:v>161</c:v>
                </c:pt>
                <c:pt idx="1">
                  <c:v>156</c:v>
                </c:pt>
                <c:pt idx="2">
                  <c:v>146</c:v>
                </c:pt>
                <c:pt idx="3">
                  <c:v>145</c:v>
                </c:pt>
                <c:pt idx="4">
                  <c:v>141</c:v>
                </c:pt>
                <c:pt idx="5">
                  <c:v>122</c:v>
                </c:pt>
                <c:pt idx="6">
                  <c:v>120</c:v>
                </c:pt>
                <c:pt idx="7">
                  <c:v>118</c:v>
                </c:pt>
                <c:pt idx="8">
                  <c:v>116</c:v>
                </c:pt>
                <c:pt idx="9">
                  <c:v>115</c:v>
                </c:pt>
              </c:numCache>
            </c:numRef>
          </c:val>
        </c:ser>
        <c:gapWidth val="150"/>
        <c:overlap val="0"/>
        <c:axId val="96641046"/>
        <c:axId val="52756132"/>
      </c:barChart>
      <c:catAx>
        <c:axId val="966410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756132"/>
        <c:crosses val="autoZero"/>
        <c:auto val="1"/>
        <c:lblAlgn val="ctr"/>
        <c:lblOffset val="100"/>
        <c:noMultiLvlLbl val="0"/>
      </c:catAx>
      <c:valAx>
        <c:axId val="52756132"/>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64104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متوسط تكلفة اليوم الواحد حسب نوع الغرفة (ر.س)</a:t>
            </a:r>
          </a:p>
        </c:rich>
      </c:tx>
      <c:overlay val="0"/>
      <c:spPr>
        <a:noFill/>
        <a:ln w="0">
          <a:noFill/>
        </a:ln>
      </c:spPr>
    </c:title>
    <c:autoTitleDeleted val="0"/>
    <c:plotArea>
      <c:barChart>
        <c:barDir val="col"/>
        <c:grouping val="clustered"/>
        <c:varyColors val="0"/>
        <c:ser>
          <c:idx val="0"/>
          <c:order val="0"/>
          <c:tx>
            <c:strRef>
              <c:f>'06 الجداول التحليلية'!D49</c:f>
              <c:strCache>
                <c:ptCount val="1"/>
                <c:pt idx="0">
                  <c:v>متوسط تكلفة اليوم الواحد</c:v>
                </c:pt>
              </c:strCache>
            </c:strRef>
          </c:tx>
          <c:spPr>
            <a:solidFill>
              <a:srgbClr val="e76f5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التحليلية'!$A$50:$A$52</c:f>
              <c:strCache>
                <c:ptCount val="3"/>
                <c:pt idx="0">
                  <c:v>عادية</c:v>
                </c:pt>
                <c:pt idx="1">
                  <c:v>خاصة</c:v>
                </c:pt>
                <c:pt idx="2">
                  <c:v>عناية مركزة</c:v>
                </c:pt>
              </c:strCache>
            </c:strRef>
          </c:cat>
          <c:val>
            <c:numRef>
              <c:f>'06 الجداول التحليلية'!$D$50:$D$52</c:f>
              <c:numCache>
                <c:formatCode>#,##0</c:formatCode>
                <c:ptCount val="3"/>
                <c:pt idx="0">
                  <c:v>1571.96044605203</c:v>
                </c:pt>
                <c:pt idx="1">
                  <c:v>2922.16264893389</c:v>
                </c:pt>
                <c:pt idx="2">
                  <c:v>5724.36620198706</c:v>
                </c:pt>
              </c:numCache>
            </c:numRef>
          </c:val>
        </c:ser>
        <c:gapWidth val="150"/>
        <c:overlap val="0"/>
        <c:axId val="34893970"/>
        <c:axId val="9956425"/>
      </c:barChart>
      <c:catAx>
        <c:axId val="348939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56425"/>
        <c:crosses val="autoZero"/>
        <c:auto val="1"/>
        <c:lblAlgn val="ctr"/>
        <c:lblOffset val="100"/>
        <c:noMultiLvlLbl val="0"/>
      </c:catAx>
      <c:valAx>
        <c:axId val="9956425"/>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8939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الاتجاه الشهري للإيرادات (ر.س)</a:t>
            </a:r>
          </a:p>
        </c:rich>
      </c:tx>
      <c:overlay val="0"/>
      <c:spPr>
        <a:noFill/>
        <a:ln w="0">
          <a:noFill/>
        </a:ln>
      </c:spPr>
    </c:title>
    <c:autoTitleDeleted val="0"/>
    <c:plotArea>
      <c:lineChart>
        <c:grouping val="standard"/>
        <c:varyColors val="0"/>
        <c:ser>
          <c:idx val="0"/>
          <c:order val="0"/>
          <c:tx>
            <c:strRef>
              <c:f>'06 الجداول التحليلية'!C16</c:f>
              <c:strCache>
                <c:ptCount val="1"/>
                <c:pt idx="0">
                  <c:v>إجمالي الإيرادات (ر.س)</c:v>
                </c:pt>
              </c:strCache>
            </c:strRef>
          </c:tx>
          <c:spPr>
            <a:solidFill>
              <a:srgbClr val="0e7c86"/>
            </a:solidFill>
            <a:ln w="24120">
              <a:solidFill>
                <a:srgbClr val="0e7c86"/>
              </a:solidFill>
              <a:round/>
            </a:ln>
          </c:spPr>
          <c:marker>
            <c:symbol val="circle"/>
            <c:size val="6"/>
            <c:spPr>
              <a:solidFill>
                <a:srgbClr val="0e7c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التحليلية'!$A$17:$A$28</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'06 الجداول التحليلية'!$C$17:$C$28</c:f>
              <c:numCache>
                <c:formatCode>#,##0</c:formatCode>
                <c:ptCount val="12"/>
                <c:pt idx="0">
                  <c:v>1448481.91</c:v>
                </c:pt>
                <c:pt idx="1">
                  <c:v>2031699</c:v>
                </c:pt>
                <c:pt idx="2">
                  <c:v>1196977.34</c:v>
                </c:pt>
                <c:pt idx="3">
                  <c:v>1946497.18</c:v>
                </c:pt>
                <c:pt idx="4">
                  <c:v>1353244.19</c:v>
                </c:pt>
                <c:pt idx="5">
                  <c:v>1406723.7</c:v>
                </c:pt>
                <c:pt idx="6">
                  <c:v>1780136.71</c:v>
                </c:pt>
                <c:pt idx="7">
                  <c:v>1726157.92</c:v>
                </c:pt>
                <c:pt idx="8">
                  <c:v>1761634.84</c:v>
                </c:pt>
                <c:pt idx="9">
                  <c:v>1971538.34</c:v>
                </c:pt>
                <c:pt idx="10">
                  <c:v>1815377.82</c:v>
                </c:pt>
                <c:pt idx="11">
                  <c:v>2165007.3</c:v>
                </c:pt>
              </c:numCache>
            </c:numRef>
          </c:val>
          <c:smooth val="1"/>
        </c:ser>
        <c:hiLowLines>
          <c:spPr>
            <a:ln w="0">
              <a:noFill/>
            </a:ln>
          </c:spPr>
        </c:hiLowLines>
        <c:marker val="1"/>
        <c:axId val="33884039"/>
        <c:axId val="37476915"/>
      </c:lineChart>
      <c:catAx>
        <c:axId val="338840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476915"/>
        <c:crosses val="autoZero"/>
        <c:auto val="1"/>
        <c:lblAlgn val="ctr"/>
        <c:lblOffset val="100"/>
        <c:noMultiLvlLbl val="0"/>
      </c:catAx>
      <c:valAx>
        <c:axId val="37476915"/>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8403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متوسط تقييم رضا المريض حسب نوع التأمين</a:t>
            </a:r>
          </a:p>
        </c:rich>
      </c:tx>
      <c:overlay val="0"/>
      <c:spPr>
        <a:noFill/>
        <a:ln w="0">
          <a:noFill/>
        </a:ln>
      </c:spPr>
    </c:title>
    <c:autoTitleDeleted val="0"/>
    <c:plotArea>
      <c:barChart>
        <c:barDir val="col"/>
        <c:grouping val="clustered"/>
        <c:varyColors val="0"/>
        <c:ser>
          <c:idx val="0"/>
          <c:order val="0"/>
          <c:tx>
            <c:strRef>
              <c:f>'06 الجداول التحليلية'!E32</c:f>
              <c:strCache>
                <c:ptCount val="1"/>
                <c:pt idx="0">
                  <c:v>متوسط تقييم الرضا</c:v>
                </c:pt>
              </c:strCache>
            </c:strRef>
          </c:tx>
          <c:spPr>
            <a:solidFill>
              <a:srgbClr val="0b3d4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التحليلية'!$A$33:$A$36</c:f>
              <c:strCache>
                <c:ptCount val="4"/>
                <c:pt idx="0">
                  <c:v>تأمين حكومي</c:v>
                </c:pt>
                <c:pt idx="1">
                  <c:v>تأمين خاص</c:v>
                </c:pt>
                <c:pt idx="2">
                  <c:v>ضمان اجتماعي</c:v>
                </c:pt>
                <c:pt idx="3">
                  <c:v>بدون تأمين (ذاتي)</c:v>
                </c:pt>
              </c:strCache>
            </c:strRef>
          </c:cat>
          <c:val>
            <c:numRef>
              <c:f>'06 الجداول التحليلية'!$E$33:$E$36</c:f>
              <c:numCache>
                <c:formatCode>0.00</c:formatCode>
                <c:ptCount val="4"/>
                <c:pt idx="0">
                  <c:v>3.92407809110629</c:v>
                </c:pt>
                <c:pt idx="1">
                  <c:v>3.91522491349481</c:v>
                </c:pt>
                <c:pt idx="2">
                  <c:v>3.9328165374677</c:v>
                </c:pt>
                <c:pt idx="3">
                  <c:v>3.58215962441315</c:v>
                </c:pt>
              </c:numCache>
            </c:numRef>
          </c:val>
        </c:ser>
        <c:gapWidth val="150"/>
        <c:overlap val="0"/>
        <c:axId val="46929733"/>
        <c:axId val="71258905"/>
      </c:barChart>
      <c:catAx>
        <c:axId val="469297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58905"/>
        <c:crosses val="autoZero"/>
        <c:auto val="1"/>
        <c:lblAlgn val="ctr"/>
        <c:lblOffset val="100"/>
        <c:noMultiLvlLbl val="0"/>
      </c:catAx>
      <c:valAx>
        <c:axId val="71258905"/>
        <c:scaling>
          <c:orientation val="minMax"/>
          <c:max val="5"/>
          <c:min val="0"/>
        </c:scaling>
        <c:delete val="0"/>
        <c:axPos val="l"/>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9297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عدد المرضى حسب نوع الدخول</a:t>
            </a:r>
          </a:p>
        </c:rich>
      </c:tx>
      <c:overlay val="0"/>
      <c:spPr>
        <a:noFill/>
        <a:ln w="0">
          <a:noFill/>
        </a:ln>
      </c:spPr>
    </c:title>
    <c:autoTitleDeleted val="0"/>
    <c:plotArea>
      <c:barChart>
        <c:barDir val="col"/>
        <c:grouping val="clustered"/>
        <c:varyColors val="0"/>
        <c:ser>
          <c:idx val="0"/>
          <c:order val="0"/>
          <c:tx>
            <c:strRef>
              <c:f>'06 الجداول التحليلية'!B56</c:f>
              <c:strCache>
                <c:ptCount val="1"/>
                <c:pt idx="0">
                  <c:v>عدد المرضى</c:v>
                </c:pt>
              </c:strCache>
            </c:strRef>
          </c:tx>
          <c:spPr>
            <a:solidFill>
              <a:srgbClr val="2e86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'06 الجداول التحليلية'!$A$57:$A$59</c:f>
              <c:strCache>
                <c:ptCount val="3"/>
                <c:pt idx="0">
                  <c:v>طارئة</c:v>
                </c:pt>
                <c:pt idx="1">
                  <c:v>اختيارية</c:v>
                </c:pt>
                <c:pt idx="2">
                  <c:v>تحويل من مستشفى آخر</c:v>
                </c:pt>
              </c:strCache>
            </c:strRef>
          </c:cat>
          <c:val>
            <c:numRef>
              <c:f>'06 الجداول التحليلية'!$B$57:$B$59</c:f>
              <c:numCache>
                <c:formatCode>#,##0</c:formatCode>
                <c:ptCount val="3"/>
                <c:pt idx="0">
                  <c:v>1331</c:v>
                </c:pt>
                <c:pt idx="1">
                  <c:v>595</c:v>
                </c:pt>
                <c:pt idx="2">
                  <c:v>174</c:v>
                </c:pt>
              </c:numCache>
            </c:numRef>
          </c:val>
        </c:ser>
        <c:gapWidth val="150"/>
        <c:overlap val="0"/>
        <c:axId val="12795336"/>
        <c:axId val="17826498"/>
      </c:barChart>
      <c:catAx>
        <c:axId val="1279533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826498"/>
        <c:crosses val="autoZero"/>
        <c:auto val="1"/>
        <c:lblAlgn val="ctr"/>
        <c:lblOffset val="100"/>
        <c:noMultiLvlLbl val="0"/>
      </c:catAx>
      <c:valAx>
        <c:axId val="17826498"/>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7953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_rels/drawing3.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5" Type="http://schemas.openxmlformats.org/officeDocument/2006/relationships/chart" Target="../charts/chart13.xml"/><Relationship Id="rId6" Type="http://schemas.openxmlformats.org/officeDocument/2006/relationships/chart" Target="../charts/chart14.xml"/><Relationship Id="rId7" Type="http://schemas.openxmlformats.org/officeDocument/2006/relationships/chart" Target="../charts/chart15.xml"/><Relationship Id="rId8" Type="http://schemas.openxmlformats.org/officeDocument/2006/relationships/chart" Target="../charts/chart16.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-82080</xdr:colOff>
      <xdr:row>17</xdr:row>
      <xdr:rowOff>0</xdr:rowOff>
    </xdr:from>
    <xdr:to>
      <xdr:col>7</xdr:col>
      <xdr:colOff>0</xdr:colOff>
      <xdr:row>32</xdr:row>
      <xdr:rowOff>93960</xdr:rowOff>
    </xdr:to>
    <xdr:graphicFrame>
      <xdr:nvGraphicFramePr>
        <xdr:cNvPr id="0" name="Chart 1"/>
        <xdr:cNvGraphicFramePr/>
      </xdr:nvGraphicFramePr>
      <xdr:xfrm>
        <a:off x="-5720760" y="3600360"/>
        <a:ext cx="5579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-81720</xdr:colOff>
      <xdr:row>17</xdr:row>
      <xdr:rowOff>0</xdr:rowOff>
    </xdr:from>
    <xdr:to>
      <xdr:col>11</xdr:col>
      <xdr:colOff>0</xdr:colOff>
      <xdr:row>32</xdr:row>
      <xdr:rowOff>93960</xdr:rowOff>
    </xdr:to>
    <xdr:graphicFrame>
      <xdr:nvGraphicFramePr>
        <xdr:cNvPr id="1" name="Chart 2"/>
        <xdr:cNvGraphicFramePr/>
      </xdr:nvGraphicFramePr>
      <xdr:xfrm>
        <a:off x="-9385920" y="3600360"/>
        <a:ext cx="557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-82080</xdr:colOff>
      <xdr:row>34</xdr:row>
      <xdr:rowOff>0</xdr:rowOff>
    </xdr:from>
    <xdr:to>
      <xdr:col>7</xdr:col>
      <xdr:colOff>0</xdr:colOff>
      <xdr:row>49</xdr:row>
      <xdr:rowOff>93960</xdr:rowOff>
    </xdr:to>
    <xdr:graphicFrame>
      <xdr:nvGraphicFramePr>
        <xdr:cNvPr id="2" name="Chart 3"/>
        <xdr:cNvGraphicFramePr/>
      </xdr:nvGraphicFramePr>
      <xdr:xfrm>
        <a:off x="-5720760" y="6838920"/>
        <a:ext cx="5579640" cy="295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-81720</xdr:colOff>
      <xdr:row>34</xdr:row>
      <xdr:rowOff>0</xdr:rowOff>
    </xdr:from>
    <xdr:to>
      <xdr:col>11</xdr:col>
      <xdr:colOff>0</xdr:colOff>
      <xdr:row>49</xdr:row>
      <xdr:rowOff>93960</xdr:rowOff>
    </xdr:to>
    <xdr:graphicFrame>
      <xdr:nvGraphicFramePr>
        <xdr:cNvPr id="3" name="Chart 4"/>
        <xdr:cNvGraphicFramePr/>
      </xdr:nvGraphicFramePr>
      <xdr:xfrm>
        <a:off x="-9385920" y="6838920"/>
        <a:ext cx="5579640" cy="295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-82080</xdr:colOff>
      <xdr:row>51</xdr:row>
      <xdr:rowOff>0</xdr:rowOff>
    </xdr:from>
    <xdr:to>
      <xdr:col>7</xdr:col>
      <xdr:colOff>0</xdr:colOff>
      <xdr:row>66</xdr:row>
      <xdr:rowOff>94320</xdr:rowOff>
    </xdr:to>
    <xdr:graphicFrame>
      <xdr:nvGraphicFramePr>
        <xdr:cNvPr id="4" name="Chart 5"/>
        <xdr:cNvGraphicFramePr/>
      </xdr:nvGraphicFramePr>
      <xdr:xfrm>
        <a:off x="-5720760" y="10077480"/>
        <a:ext cx="5579640" cy="295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-81720</xdr:colOff>
      <xdr:row>51</xdr:row>
      <xdr:rowOff>0</xdr:rowOff>
    </xdr:from>
    <xdr:to>
      <xdr:col>11</xdr:col>
      <xdr:colOff>0</xdr:colOff>
      <xdr:row>66</xdr:row>
      <xdr:rowOff>94320</xdr:rowOff>
    </xdr:to>
    <xdr:graphicFrame>
      <xdr:nvGraphicFramePr>
        <xdr:cNvPr id="5" name="Chart 6"/>
        <xdr:cNvGraphicFramePr/>
      </xdr:nvGraphicFramePr>
      <xdr:xfrm>
        <a:off x="-9385920" y="10077480"/>
        <a:ext cx="5579640" cy="295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-82080</xdr:colOff>
      <xdr:row>68</xdr:row>
      <xdr:rowOff>0</xdr:rowOff>
    </xdr:from>
    <xdr:to>
      <xdr:col>7</xdr:col>
      <xdr:colOff>0</xdr:colOff>
      <xdr:row>83</xdr:row>
      <xdr:rowOff>94320</xdr:rowOff>
    </xdr:to>
    <xdr:graphicFrame>
      <xdr:nvGraphicFramePr>
        <xdr:cNvPr id="6" name="Chart 7"/>
        <xdr:cNvGraphicFramePr/>
      </xdr:nvGraphicFramePr>
      <xdr:xfrm>
        <a:off x="-5720760" y="13316040"/>
        <a:ext cx="5579640" cy="295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-81720</xdr:colOff>
      <xdr:row>68</xdr:row>
      <xdr:rowOff>0</xdr:rowOff>
    </xdr:from>
    <xdr:to>
      <xdr:col>11</xdr:col>
      <xdr:colOff>0</xdr:colOff>
      <xdr:row>83</xdr:row>
      <xdr:rowOff>94320</xdr:rowOff>
    </xdr:to>
    <xdr:graphicFrame>
      <xdr:nvGraphicFramePr>
        <xdr:cNvPr id="7" name="Chart 8"/>
        <xdr:cNvGraphicFramePr/>
      </xdr:nvGraphicFramePr>
      <xdr:xfrm>
        <a:off x="-9385920" y="13316040"/>
        <a:ext cx="5579640" cy="295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-82080</xdr:colOff>
      <xdr:row>2</xdr:row>
      <xdr:rowOff>0</xdr:rowOff>
    </xdr:from>
    <xdr:to>
      <xdr:col>7</xdr:col>
      <xdr:colOff>0</xdr:colOff>
      <xdr:row>17</xdr:row>
      <xdr:rowOff>93960</xdr:rowOff>
    </xdr:to>
    <xdr:graphicFrame>
      <xdr:nvGraphicFramePr>
        <xdr:cNvPr id="8" name="Chart 1"/>
        <xdr:cNvGraphicFramePr/>
      </xdr:nvGraphicFramePr>
      <xdr:xfrm>
        <a:off x="-5720760" y="523800"/>
        <a:ext cx="5579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-245880</xdr:colOff>
      <xdr:row>2</xdr:row>
      <xdr:rowOff>0</xdr:rowOff>
    </xdr:from>
    <xdr:to>
      <xdr:col>12</xdr:col>
      <xdr:colOff>0</xdr:colOff>
      <xdr:row>17</xdr:row>
      <xdr:rowOff>93960</xdr:rowOff>
    </xdr:to>
    <xdr:graphicFrame>
      <xdr:nvGraphicFramePr>
        <xdr:cNvPr id="9" name="Chart 2"/>
        <xdr:cNvGraphicFramePr/>
      </xdr:nvGraphicFramePr>
      <xdr:xfrm>
        <a:off x="-9385920" y="523800"/>
        <a:ext cx="557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-82080</xdr:colOff>
      <xdr:row>19</xdr:row>
      <xdr:rowOff>0</xdr:rowOff>
    </xdr:from>
    <xdr:to>
      <xdr:col>7</xdr:col>
      <xdr:colOff>0</xdr:colOff>
      <xdr:row>34</xdr:row>
      <xdr:rowOff>93960</xdr:rowOff>
    </xdr:to>
    <xdr:graphicFrame>
      <xdr:nvGraphicFramePr>
        <xdr:cNvPr id="10" name="Chart 3"/>
        <xdr:cNvGraphicFramePr/>
      </xdr:nvGraphicFramePr>
      <xdr:xfrm>
        <a:off x="-5720760" y="3762360"/>
        <a:ext cx="5579640" cy="295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-245880</xdr:colOff>
      <xdr:row>19</xdr:row>
      <xdr:rowOff>0</xdr:rowOff>
    </xdr:from>
    <xdr:to>
      <xdr:col>12</xdr:col>
      <xdr:colOff>0</xdr:colOff>
      <xdr:row>36</xdr:row>
      <xdr:rowOff>181080</xdr:rowOff>
    </xdr:to>
    <xdr:graphicFrame>
      <xdr:nvGraphicFramePr>
        <xdr:cNvPr id="11" name="Chart 4"/>
        <xdr:cNvGraphicFramePr/>
      </xdr:nvGraphicFramePr>
      <xdr:xfrm>
        <a:off x="-9385920" y="3762360"/>
        <a:ext cx="5579640" cy="34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-82080</xdr:colOff>
      <xdr:row>38</xdr:row>
      <xdr:rowOff>0</xdr:rowOff>
    </xdr:from>
    <xdr:to>
      <xdr:col>7</xdr:col>
      <xdr:colOff>0</xdr:colOff>
      <xdr:row>53</xdr:row>
      <xdr:rowOff>93960</xdr:rowOff>
    </xdr:to>
    <xdr:graphicFrame>
      <xdr:nvGraphicFramePr>
        <xdr:cNvPr id="12" name="Chart 5"/>
        <xdr:cNvGraphicFramePr/>
      </xdr:nvGraphicFramePr>
      <xdr:xfrm>
        <a:off x="-5720760" y="7381800"/>
        <a:ext cx="5579640" cy="295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-245880</xdr:colOff>
      <xdr:row>38</xdr:row>
      <xdr:rowOff>0</xdr:rowOff>
    </xdr:from>
    <xdr:to>
      <xdr:col>12</xdr:col>
      <xdr:colOff>0</xdr:colOff>
      <xdr:row>53</xdr:row>
      <xdr:rowOff>93960</xdr:rowOff>
    </xdr:to>
    <xdr:graphicFrame>
      <xdr:nvGraphicFramePr>
        <xdr:cNvPr id="13" name="Chart 6"/>
        <xdr:cNvGraphicFramePr/>
      </xdr:nvGraphicFramePr>
      <xdr:xfrm>
        <a:off x="-9385920" y="7381800"/>
        <a:ext cx="5579640" cy="295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-82080</xdr:colOff>
      <xdr:row>55</xdr:row>
      <xdr:rowOff>0</xdr:rowOff>
    </xdr:from>
    <xdr:to>
      <xdr:col>7</xdr:col>
      <xdr:colOff>0</xdr:colOff>
      <xdr:row>70</xdr:row>
      <xdr:rowOff>93960</xdr:rowOff>
    </xdr:to>
    <xdr:graphicFrame>
      <xdr:nvGraphicFramePr>
        <xdr:cNvPr id="14" name="Chart 7"/>
        <xdr:cNvGraphicFramePr/>
      </xdr:nvGraphicFramePr>
      <xdr:xfrm>
        <a:off x="-5720760" y="10620360"/>
        <a:ext cx="5579640" cy="295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-245880</xdr:colOff>
      <xdr:row>55</xdr:row>
      <xdr:rowOff>0</xdr:rowOff>
    </xdr:from>
    <xdr:to>
      <xdr:col>12</xdr:col>
      <xdr:colOff>0</xdr:colOff>
      <xdr:row>70</xdr:row>
      <xdr:rowOff>93960</xdr:rowOff>
    </xdr:to>
    <xdr:graphicFrame>
      <xdr:nvGraphicFramePr>
        <xdr:cNvPr id="15" name="Chart 8"/>
        <xdr:cNvGraphicFramePr/>
      </xdr:nvGraphicFramePr>
      <xdr:xfrm>
        <a:off x="-9385920" y="10620360"/>
        <a:ext cx="5579640" cy="295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D4C"/>
    <pageSetUpPr fitToPage="false"/>
  </sheetPr>
  <dimension ref="B2:I31"/>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9" min="2" style="0" width="20"/>
    <col collapsed="false" customWidth="true" hidden="false" outlineLevel="0" max="10" min="10" style="0" width="3"/>
  </cols>
  <sheetData>
    <row r="2" customFormat="false" ht="45.75" hidden="false" customHeight="true" outlineLevel="0" collapsed="false">
      <c r="B2" s="1" t="s">
        <v>0</v>
      </c>
      <c r="C2" s="1"/>
      <c r="D2" s="1"/>
      <c r="E2" s="1"/>
      <c r="F2" s="1"/>
      <c r="G2" s="1"/>
      <c r="H2" s="1"/>
      <c r="I2" s="1"/>
    </row>
    <row r="3" customFormat="false" ht="25.5" hidden="false" customHeight="true" outlineLevel="0" collapsed="false">
      <c r="B3" s="2" t="s">
        <v>1</v>
      </c>
      <c r="C3" s="2"/>
      <c r="D3" s="2"/>
      <c r="E3" s="2"/>
      <c r="F3" s="2"/>
      <c r="G3" s="2"/>
      <c r="H3" s="2"/>
      <c r="I3" s="2"/>
    </row>
    <row r="4" customFormat="false" ht="9.75" hidden="false" customHeight="true" outlineLevel="0" collapsed="false"/>
    <row r="5" customFormat="false" ht="15" hidden="false" customHeight="true" outlineLevel="0" collapsed="false">
      <c r="B5" s="3" t="s">
        <v>2</v>
      </c>
      <c r="C5" s="3"/>
      <c r="D5" s="3"/>
      <c r="E5" s="3"/>
      <c r="F5" s="3"/>
      <c r="G5" s="3"/>
      <c r="H5" s="3"/>
      <c r="I5" s="3"/>
    </row>
    <row r="6" customFormat="false" ht="15" hidden="false" customHeight="false" outlineLevel="0" collapsed="false">
      <c r="B6" s="3"/>
      <c r="C6" s="3"/>
      <c r="D6" s="3"/>
      <c r="E6" s="3"/>
      <c r="F6" s="3"/>
      <c r="G6" s="3"/>
      <c r="H6" s="3"/>
      <c r="I6" s="3"/>
    </row>
    <row r="7" customFormat="false" ht="15" hidden="false" customHeight="false" outlineLevel="0" collapsed="false">
      <c r="B7" s="3"/>
      <c r="C7" s="3"/>
      <c r="D7" s="3"/>
      <c r="E7" s="3"/>
      <c r="F7" s="3"/>
      <c r="G7" s="3"/>
      <c r="H7" s="3"/>
      <c r="I7" s="3"/>
    </row>
    <row r="8" customFormat="false" ht="15" hidden="false" customHeight="false" outlineLevel="0" collapsed="false">
      <c r="B8" s="3"/>
      <c r="C8" s="3"/>
      <c r="D8" s="3"/>
      <c r="E8" s="3"/>
      <c r="F8" s="3"/>
      <c r="G8" s="3"/>
      <c r="H8" s="3"/>
      <c r="I8" s="3"/>
    </row>
    <row r="10" customFormat="false" ht="21.75" hidden="false" customHeight="true" outlineLevel="0" collapsed="false">
      <c r="B10" s="4" t="s">
        <v>3</v>
      </c>
      <c r="C10" s="4"/>
      <c r="D10" s="4"/>
      <c r="E10" s="4"/>
      <c r="F10" s="4"/>
      <c r="G10" s="4"/>
      <c r="H10" s="4"/>
      <c r="I10" s="4"/>
    </row>
    <row r="11" customFormat="false" ht="15" hidden="false" customHeight="false" outlineLevel="0" collapsed="false">
      <c r="B11" s="5" t="s">
        <v>4</v>
      </c>
      <c r="C11" s="6" t="n">
        <v>2142</v>
      </c>
      <c r="D11" s="6"/>
      <c r="E11" s="6"/>
    </row>
    <row r="12" customFormat="false" ht="15" hidden="false" customHeight="false" outlineLevel="0" collapsed="false">
      <c r="B12" s="5" t="s">
        <v>5</v>
      </c>
      <c r="C12" s="6" t="n">
        <v>2100</v>
      </c>
      <c r="D12" s="6"/>
      <c r="E12" s="6"/>
    </row>
    <row r="13" customFormat="false" ht="15" hidden="false" customHeight="true" outlineLevel="0" collapsed="false">
      <c r="B13" s="5" t="s">
        <v>6</v>
      </c>
      <c r="C13" s="6" t="s">
        <v>7</v>
      </c>
      <c r="D13" s="6"/>
      <c r="E13" s="6"/>
    </row>
    <row r="14" customFormat="false" ht="15" hidden="false" customHeight="false" outlineLevel="0" collapsed="false">
      <c r="B14" s="5" t="s">
        <v>8</v>
      </c>
      <c r="C14" s="6" t="n">
        <v>8</v>
      </c>
      <c r="D14" s="6"/>
      <c r="E14" s="6"/>
    </row>
    <row r="15" customFormat="false" ht="15" hidden="false" customHeight="false" outlineLevel="0" collapsed="false">
      <c r="B15" s="5" t="s">
        <v>9</v>
      </c>
      <c r="C15" s="6" t="n">
        <v>15</v>
      </c>
      <c r="D15" s="6"/>
      <c r="E15" s="6"/>
    </row>
    <row r="18" customFormat="false" ht="21.75" hidden="false" customHeight="true" outlineLevel="0" collapsed="false">
      <c r="B18" s="4" t="s">
        <v>10</v>
      </c>
      <c r="C18" s="4"/>
      <c r="D18" s="4"/>
      <c r="E18" s="4"/>
      <c r="F18" s="4"/>
      <c r="G18" s="4"/>
      <c r="H18" s="4"/>
      <c r="I18" s="4"/>
    </row>
    <row r="19" customFormat="false" ht="19.5" hidden="false" customHeight="true" outlineLevel="0" collapsed="false">
      <c r="B19" s="7" t="s">
        <v>11</v>
      </c>
      <c r="C19" s="7" t="s">
        <v>12</v>
      </c>
      <c r="D19" s="7"/>
      <c r="E19" s="7"/>
      <c r="F19" s="7"/>
      <c r="G19" s="7"/>
      <c r="H19" s="7"/>
      <c r="I19" s="7"/>
    </row>
    <row r="20" customFormat="false" ht="15" hidden="false" customHeight="true" outlineLevel="0" collapsed="false">
      <c r="B20" s="8" t="s">
        <v>13</v>
      </c>
      <c r="C20" s="9" t="s">
        <v>14</v>
      </c>
      <c r="D20" s="9"/>
      <c r="E20" s="9"/>
      <c r="F20" s="9"/>
      <c r="G20" s="9"/>
      <c r="H20" s="9"/>
      <c r="I20" s="9"/>
    </row>
    <row r="21" customFormat="false" ht="15" hidden="false" customHeight="true" outlineLevel="0" collapsed="false">
      <c r="B21" s="10" t="s">
        <v>15</v>
      </c>
      <c r="C21" s="11" t="s">
        <v>16</v>
      </c>
      <c r="D21" s="11"/>
      <c r="E21" s="11"/>
      <c r="F21" s="11"/>
      <c r="G21" s="11"/>
      <c r="H21" s="11"/>
      <c r="I21" s="11"/>
    </row>
    <row r="22" customFormat="false" ht="15" hidden="false" customHeight="true" outlineLevel="0" collapsed="false">
      <c r="B22" s="8" t="s">
        <v>17</v>
      </c>
      <c r="C22" s="9" t="s">
        <v>18</v>
      </c>
      <c r="D22" s="9"/>
      <c r="E22" s="9"/>
      <c r="F22" s="9"/>
      <c r="G22" s="9"/>
      <c r="H22" s="9"/>
      <c r="I22" s="9"/>
    </row>
    <row r="23" customFormat="false" ht="15" hidden="false" customHeight="true" outlineLevel="0" collapsed="false">
      <c r="B23" s="10" t="s">
        <v>19</v>
      </c>
      <c r="C23" s="11" t="s">
        <v>20</v>
      </c>
      <c r="D23" s="11"/>
      <c r="E23" s="11"/>
      <c r="F23" s="11"/>
      <c r="G23" s="11"/>
      <c r="H23" s="11"/>
      <c r="I23" s="11"/>
    </row>
    <row r="24" customFormat="false" ht="15" hidden="false" customHeight="true" outlineLevel="0" collapsed="false">
      <c r="B24" s="8" t="s">
        <v>21</v>
      </c>
      <c r="C24" s="9" t="s">
        <v>22</v>
      </c>
      <c r="D24" s="9"/>
      <c r="E24" s="9"/>
      <c r="F24" s="9"/>
      <c r="G24" s="9"/>
      <c r="H24" s="9"/>
      <c r="I24" s="9"/>
    </row>
    <row r="25" customFormat="false" ht="15" hidden="false" customHeight="true" outlineLevel="0" collapsed="false">
      <c r="B25" s="10" t="s">
        <v>23</v>
      </c>
      <c r="C25" s="11" t="s">
        <v>24</v>
      </c>
      <c r="D25" s="11"/>
      <c r="E25" s="11"/>
      <c r="F25" s="11"/>
      <c r="G25" s="11"/>
      <c r="H25" s="11"/>
      <c r="I25" s="11"/>
    </row>
    <row r="26" customFormat="false" ht="15" hidden="false" customHeight="true" outlineLevel="0" collapsed="false">
      <c r="B26" s="8" t="s">
        <v>25</v>
      </c>
      <c r="C26" s="9" t="s">
        <v>26</v>
      </c>
      <c r="D26" s="9"/>
      <c r="E26" s="9"/>
      <c r="F26" s="9"/>
      <c r="G26" s="9"/>
      <c r="H26" s="9"/>
      <c r="I26" s="9"/>
    </row>
    <row r="27" customFormat="false" ht="15" hidden="false" customHeight="true" outlineLevel="0" collapsed="false">
      <c r="B27" s="10" t="s">
        <v>27</v>
      </c>
      <c r="C27" s="11" t="s">
        <v>28</v>
      </c>
      <c r="D27" s="11"/>
      <c r="E27" s="11"/>
      <c r="F27" s="11"/>
      <c r="G27" s="11"/>
      <c r="H27" s="11"/>
      <c r="I27" s="11"/>
    </row>
    <row r="28" customFormat="false" ht="15" hidden="false" customHeight="true" outlineLevel="0" collapsed="false">
      <c r="B28" s="8" t="s">
        <v>29</v>
      </c>
      <c r="C28" s="9" t="s">
        <v>30</v>
      </c>
      <c r="D28" s="9"/>
      <c r="E28" s="9"/>
      <c r="F28" s="9"/>
      <c r="G28" s="9"/>
      <c r="H28" s="9"/>
      <c r="I28" s="9"/>
    </row>
    <row r="31" customFormat="false" ht="15" hidden="false" customHeight="true" outlineLevel="0" collapsed="false">
      <c r="B31" s="12" t="s">
        <v>31</v>
      </c>
      <c r="C31" s="12"/>
      <c r="D31" s="12"/>
      <c r="E31" s="12"/>
      <c r="F31" s="12"/>
      <c r="G31" s="12"/>
      <c r="H31" s="12"/>
      <c r="I31" s="12"/>
    </row>
  </sheetData>
  <mergeCells count="21">
    <mergeCell ref="B2:I2"/>
    <mergeCell ref="B3:I3"/>
    <mergeCell ref="B5:I8"/>
    <mergeCell ref="B10:I10"/>
    <mergeCell ref="C11:E11"/>
    <mergeCell ref="C12:E12"/>
    <mergeCell ref="C13:E13"/>
    <mergeCell ref="C14:E14"/>
    <mergeCell ref="C15:E15"/>
    <mergeCell ref="B18:I18"/>
    <mergeCell ref="C19:I19"/>
    <mergeCell ref="C20:I20"/>
    <mergeCell ref="C21:I21"/>
    <mergeCell ref="C22:I22"/>
    <mergeCell ref="C23:I23"/>
    <mergeCell ref="C24:I24"/>
    <mergeCell ref="C25:I25"/>
    <mergeCell ref="C26:I26"/>
    <mergeCell ref="C27:I27"/>
    <mergeCell ref="C28:I28"/>
    <mergeCell ref="B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86"/>
    <pageSetUpPr fitToPage="false"/>
  </sheetPr>
  <dimension ref="A1:E2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14"/>
    <col collapsed="false" customWidth="true" hidden="false" outlineLevel="0" max="4" min="4" style="0" width="40"/>
    <col collapsed="false" customWidth="true" hidden="false" outlineLevel="0" max="5" min="5" style="0" width="22"/>
  </cols>
  <sheetData>
    <row r="1" customFormat="false" ht="33.75" hidden="false" customHeight="true" outlineLevel="0" collapsed="false">
      <c r="A1" s="13" t="s">
        <v>32</v>
      </c>
      <c r="B1" s="13"/>
      <c r="C1" s="13"/>
      <c r="D1" s="13"/>
      <c r="E1" s="13"/>
    </row>
    <row r="2" customFormat="false" ht="6" hidden="false" customHeight="true" outlineLevel="0" collapsed="false"/>
    <row r="3" customFormat="false" ht="19.5" hidden="false" customHeight="true" outlineLevel="0" collapsed="false">
      <c r="A3" s="7" t="s">
        <v>33</v>
      </c>
      <c r="B3" s="7" t="s">
        <v>34</v>
      </c>
      <c r="C3" s="7" t="s">
        <v>35</v>
      </c>
      <c r="D3" s="7" t="s">
        <v>36</v>
      </c>
      <c r="E3" s="7" t="s">
        <v>37</v>
      </c>
    </row>
    <row r="4" customFormat="false" ht="25.35" hidden="false" customHeight="false" outlineLevel="0" collapsed="false">
      <c r="A4" s="14" t="n">
        <v>1</v>
      </c>
      <c r="B4" s="15" t="s">
        <v>38</v>
      </c>
      <c r="C4" s="14" t="s">
        <v>39</v>
      </c>
      <c r="D4" s="15" t="s">
        <v>40</v>
      </c>
      <c r="E4" s="15" t="s">
        <v>41</v>
      </c>
    </row>
    <row r="5" customFormat="false" ht="15" hidden="false" customHeight="false" outlineLevel="0" collapsed="false">
      <c r="A5" s="16" t="n">
        <v>2</v>
      </c>
      <c r="B5" s="17" t="s">
        <v>42</v>
      </c>
      <c r="C5" s="16" t="s">
        <v>43</v>
      </c>
      <c r="D5" s="17" t="s">
        <v>44</v>
      </c>
      <c r="E5" s="17" t="s">
        <v>45</v>
      </c>
    </row>
    <row r="6" customFormat="false" ht="15" hidden="false" customHeight="false" outlineLevel="0" collapsed="false">
      <c r="A6" s="14" t="n">
        <v>3</v>
      </c>
      <c r="B6" s="15" t="s">
        <v>46</v>
      </c>
      <c r="C6" s="14" t="s">
        <v>43</v>
      </c>
      <c r="D6" s="15" t="s">
        <v>47</v>
      </c>
      <c r="E6" s="15" t="s">
        <v>45</v>
      </c>
    </row>
    <row r="7" customFormat="false" ht="15" hidden="false" customHeight="false" outlineLevel="0" collapsed="false">
      <c r="A7" s="16" t="n">
        <v>4</v>
      </c>
      <c r="B7" s="17" t="s">
        <v>48</v>
      </c>
      <c r="C7" s="16" t="s">
        <v>49</v>
      </c>
      <c r="D7" s="17" t="s">
        <v>50</v>
      </c>
      <c r="E7" s="17" t="s">
        <v>51</v>
      </c>
    </row>
    <row r="8" customFormat="false" ht="15" hidden="false" customHeight="false" outlineLevel="0" collapsed="false">
      <c r="A8" s="14" t="n">
        <v>5</v>
      </c>
      <c r="B8" s="15" t="s">
        <v>52</v>
      </c>
      <c r="C8" s="14" t="s">
        <v>53</v>
      </c>
      <c r="D8" s="15" t="s">
        <v>54</v>
      </c>
      <c r="E8" s="15" t="s">
        <v>51</v>
      </c>
    </row>
    <row r="9" customFormat="false" ht="15" hidden="false" customHeight="false" outlineLevel="0" collapsed="false">
      <c r="A9" s="16" t="n">
        <v>6</v>
      </c>
      <c r="B9" s="17" t="s">
        <v>55</v>
      </c>
      <c r="C9" s="16" t="s">
        <v>53</v>
      </c>
      <c r="D9" s="17" t="s">
        <v>56</v>
      </c>
      <c r="E9" s="17" t="s">
        <v>57</v>
      </c>
    </row>
    <row r="10" customFormat="false" ht="15" hidden="false" customHeight="false" outlineLevel="0" collapsed="false">
      <c r="A10" s="14" t="n">
        <v>7</v>
      </c>
      <c r="B10" s="15" t="s">
        <v>58</v>
      </c>
      <c r="C10" s="14" t="s">
        <v>53</v>
      </c>
      <c r="D10" s="15" t="s">
        <v>59</v>
      </c>
      <c r="E10" s="15" t="s">
        <v>60</v>
      </c>
    </row>
    <row r="11" customFormat="false" ht="15" hidden="false" customHeight="false" outlineLevel="0" collapsed="false">
      <c r="A11" s="16" t="n">
        <v>8</v>
      </c>
      <c r="B11" s="17" t="s">
        <v>61</v>
      </c>
      <c r="C11" s="16" t="s">
        <v>53</v>
      </c>
      <c r="D11" s="17" t="s">
        <v>62</v>
      </c>
      <c r="E11" s="17" t="s">
        <v>63</v>
      </c>
    </row>
    <row r="12" customFormat="false" ht="15" hidden="false" customHeight="false" outlineLevel="0" collapsed="false">
      <c r="A12" s="14" t="n">
        <v>9</v>
      </c>
      <c r="B12" s="15" t="s">
        <v>64</v>
      </c>
      <c r="C12" s="14" t="s">
        <v>53</v>
      </c>
      <c r="D12" s="15" t="s">
        <v>65</v>
      </c>
      <c r="E12" s="15" t="s">
        <v>66</v>
      </c>
    </row>
    <row r="13" customFormat="false" ht="15" hidden="false" customHeight="false" outlineLevel="0" collapsed="false">
      <c r="A13" s="16" t="n">
        <v>10</v>
      </c>
      <c r="B13" s="17" t="s">
        <v>67</v>
      </c>
      <c r="C13" s="16" t="s">
        <v>53</v>
      </c>
      <c r="D13" s="17" t="s">
        <v>68</v>
      </c>
      <c r="E13" s="17" t="s">
        <v>57</v>
      </c>
    </row>
    <row r="14" customFormat="false" ht="15" hidden="false" customHeight="false" outlineLevel="0" collapsed="false">
      <c r="A14" s="14" t="n">
        <v>11</v>
      </c>
      <c r="B14" s="15" t="s">
        <v>69</v>
      </c>
      <c r="C14" s="14" t="s">
        <v>53</v>
      </c>
      <c r="D14" s="15" t="s">
        <v>70</v>
      </c>
      <c r="E14" s="15" t="s">
        <v>71</v>
      </c>
    </row>
    <row r="15" customFormat="false" ht="15" hidden="false" customHeight="false" outlineLevel="0" collapsed="false">
      <c r="A15" s="16" t="n">
        <v>12</v>
      </c>
      <c r="B15" s="17" t="s">
        <v>72</v>
      </c>
      <c r="C15" s="16" t="s">
        <v>73</v>
      </c>
      <c r="D15" s="17" t="s">
        <v>74</v>
      </c>
      <c r="E15" s="17" t="s">
        <v>71</v>
      </c>
    </row>
    <row r="16" customFormat="false" ht="25.35" hidden="false" customHeight="false" outlineLevel="0" collapsed="false">
      <c r="A16" s="14" t="n">
        <v>13</v>
      </c>
      <c r="B16" s="15" t="s">
        <v>75</v>
      </c>
      <c r="C16" s="14" t="s">
        <v>76</v>
      </c>
      <c r="D16" s="15" t="s">
        <v>77</v>
      </c>
      <c r="E16" s="15" t="s">
        <v>78</v>
      </c>
    </row>
    <row r="17" customFormat="false" ht="25.35" hidden="false" customHeight="false" outlineLevel="0" collapsed="false">
      <c r="A17" s="16" t="n">
        <v>14</v>
      </c>
      <c r="B17" s="17" t="s">
        <v>79</v>
      </c>
      <c r="C17" s="16" t="s">
        <v>80</v>
      </c>
      <c r="D17" s="17" t="s">
        <v>81</v>
      </c>
      <c r="E17" s="17" t="s">
        <v>82</v>
      </c>
    </row>
    <row r="18" customFormat="false" ht="25.35" hidden="false" customHeight="false" outlineLevel="0" collapsed="false">
      <c r="A18" s="14" t="n">
        <v>15</v>
      </c>
      <c r="B18" s="15" t="s">
        <v>83</v>
      </c>
      <c r="C18" s="14" t="s">
        <v>53</v>
      </c>
      <c r="D18" s="15" t="s">
        <v>84</v>
      </c>
      <c r="E18" s="15" t="s">
        <v>60</v>
      </c>
    </row>
    <row r="19" customFormat="false" ht="15" hidden="false" customHeight="true" outlineLevel="0" collapsed="false">
      <c r="A19" s="18" t="s">
        <v>85</v>
      </c>
      <c r="B19" s="18"/>
      <c r="C19" s="18"/>
      <c r="D19" s="18"/>
      <c r="E19" s="18"/>
    </row>
    <row r="20" customFormat="false" ht="15" hidden="false" customHeight="false" outlineLevel="0" collapsed="false">
      <c r="A20" s="16" t="n">
        <v>16</v>
      </c>
      <c r="B20" s="17" t="s">
        <v>86</v>
      </c>
      <c r="C20" s="16" t="s">
        <v>87</v>
      </c>
      <c r="D20" s="17" t="s">
        <v>88</v>
      </c>
      <c r="E20" s="17" t="s">
        <v>89</v>
      </c>
    </row>
    <row r="21" customFormat="false" ht="15" hidden="false" customHeight="false" outlineLevel="0" collapsed="false">
      <c r="A21" s="14" t="n">
        <v>17</v>
      </c>
      <c r="B21" s="15" t="s">
        <v>90</v>
      </c>
      <c r="C21" s="14" t="s">
        <v>91</v>
      </c>
      <c r="D21" s="15" t="s">
        <v>92</v>
      </c>
      <c r="E21" s="15" t="s">
        <v>89</v>
      </c>
    </row>
    <row r="22" customFormat="false" ht="15" hidden="false" customHeight="false" outlineLevel="0" collapsed="false">
      <c r="A22" s="16" t="n">
        <v>18</v>
      </c>
      <c r="B22" s="17" t="s">
        <v>93</v>
      </c>
      <c r="C22" s="16" t="s">
        <v>91</v>
      </c>
      <c r="D22" s="17" t="s">
        <v>94</v>
      </c>
      <c r="E22" s="17" t="s">
        <v>89</v>
      </c>
    </row>
    <row r="23" customFormat="false" ht="15" hidden="false" customHeight="false" outlineLevel="0" collapsed="false">
      <c r="A23" s="14" t="n">
        <v>19</v>
      </c>
      <c r="B23" s="15" t="s">
        <v>95</v>
      </c>
      <c r="C23" s="14" t="s">
        <v>91</v>
      </c>
      <c r="D23" s="15" t="s">
        <v>96</v>
      </c>
      <c r="E23" s="15" t="s">
        <v>89</v>
      </c>
    </row>
    <row r="24" customFormat="false" ht="15" hidden="false" customHeight="false" outlineLevel="0" collapsed="false">
      <c r="A24" s="16" t="n">
        <v>20</v>
      </c>
      <c r="B24" s="17" t="s">
        <v>97</v>
      </c>
      <c r="C24" s="16" t="s">
        <v>87</v>
      </c>
      <c r="D24" s="17" t="s">
        <v>98</v>
      </c>
      <c r="E24" s="17" t="s">
        <v>89</v>
      </c>
    </row>
  </sheetData>
  <mergeCells count="2">
    <mergeCell ref="A1:E1"/>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86"/>
    <pageSetUpPr fitToPage="false"/>
  </sheetPr>
  <dimension ref="A1:C2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70"/>
    <col collapsed="false" customWidth="true" hidden="false" outlineLevel="0" max="5" min="4" style="0" width="3"/>
  </cols>
  <sheetData>
    <row r="1" customFormat="false" ht="33.75" hidden="false" customHeight="true" outlineLevel="0" collapsed="false">
      <c r="A1" s="13" t="s">
        <v>99</v>
      </c>
      <c r="B1" s="13"/>
      <c r="C1" s="13"/>
    </row>
    <row r="2" customFormat="false" ht="15" hidden="false" customHeight="true" outlineLevel="0" collapsed="false">
      <c r="A2" s="19" t="s">
        <v>100</v>
      </c>
      <c r="B2" s="19"/>
      <c r="C2" s="19"/>
    </row>
    <row r="3" customFormat="false" ht="6" hidden="false" customHeight="true" outlineLevel="0" collapsed="false"/>
    <row r="4" customFormat="false" ht="19.5" hidden="false" customHeight="true" outlineLevel="0" collapsed="false">
      <c r="A4" s="7" t="s">
        <v>33</v>
      </c>
      <c r="B4" s="7" t="s">
        <v>101</v>
      </c>
      <c r="C4" s="7" t="s">
        <v>102</v>
      </c>
    </row>
    <row r="5" customFormat="false" ht="33.75" hidden="false" customHeight="true" outlineLevel="0" collapsed="false">
      <c r="A5" s="20" t="n">
        <v>1</v>
      </c>
      <c r="B5" s="21" t="s">
        <v>103</v>
      </c>
      <c r="C5" s="22" t="s">
        <v>104</v>
      </c>
    </row>
    <row r="6" customFormat="false" ht="33.75" hidden="false" customHeight="true" outlineLevel="0" collapsed="false">
      <c r="A6" s="23" t="n">
        <v>2</v>
      </c>
      <c r="B6" s="24" t="s">
        <v>105</v>
      </c>
      <c r="C6" s="25" t="s">
        <v>106</v>
      </c>
    </row>
    <row r="7" customFormat="false" ht="33.75" hidden="false" customHeight="true" outlineLevel="0" collapsed="false">
      <c r="A7" s="20" t="n">
        <v>3</v>
      </c>
      <c r="B7" s="21" t="s">
        <v>107</v>
      </c>
      <c r="C7" s="22" t="s">
        <v>108</v>
      </c>
    </row>
    <row r="8" customFormat="false" ht="33.75" hidden="false" customHeight="true" outlineLevel="0" collapsed="false">
      <c r="A8" s="23" t="n">
        <v>4</v>
      </c>
      <c r="B8" s="24" t="s">
        <v>109</v>
      </c>
      <c r="C8" s="25" t="s">
        <v>110</v>
      </c>
    </row>
    <row r="9" customFormat="false" ht="33.75" hidden="false" customHeight="true" outlineLevel="0" collapsed="false">
      <c r="A9" s="20" t="n">
        <v>5</v>
      </c>
      <c r="B9" s="21" t="s">
        <v>111</v>
      </c>
      <c r="C9" s="22" t="s">
        <v>112</v>
      </c>
    </row>
    <row r="10" customFormat="false" ht="33.75" hidden="false" customHeight="true" outlineLevel="0" collapsed="false">
      <c r="A10" s="23" t="n">
        <v>6</v>
      </c>
      <c r="B10" s="24" t="s">
        <v>113</v>
      </c>
      <c r="C10" s="25" t="s">
        <v>114</v>
      </c>
    </row>
    <row r="11" customFormat="false" ht="33.75" hidden="false" customHeight="true" outlineLevel="0" collapsed="false">
      <c r="A11" s="20" t="n">
        <v>7</v>
      </c>
      <c r="B11" s="21" t="s">
        <v>115</v>
      </c>
      <c r="C11" s="22" t="s">
        <v>116</v>
      </c>
    </row>
    <row r="12" customFormat="false" ht="33.75" hidden="false" customHeight="true" outlineLevel="0" collapsed="false">
      <c r="A12" s="23" t="n">
        <v>8</v>
      </c>
      <c r="B12" s="24" t="s">
        <v>117</v>
      </c>
      <c r="C12" s="25" t="s">
        <v>118</v>
      </c>
    </row>
    <row r="13" customFormat="false" ht="33.75" hidden="false" customHeight="true" outlineLevel="0" collapsed="false">
      <c r="A13" s="20" t="n">
        <v>9</v>
      </c>
      <c r="B13" s="21" t="s">
        <v>119</v>
      </c>
      <c r="C13" s="22" t="s">
        <v>120</v>
      </c>
    </row>
    <row r="14" customFormat="false" ht="33.75" hidden="false" customHeight="true" outlineLevel="0" collapsed="false">
      <c r="A14" s="23" t="n">
        <v>10</v>
      </c>
      <c r="B14" s="24" t="s">
        <v>121</v>
      </c>
      <c r="C14" s="25" t="s">
        <v>122</v>
      </c>
    </row>
    <row r="15" customFormat="false" ht="33.75" hidden="false" customHeight="true" outlineLevel="0" collapsed="false">
      <c r="A15" s="20" t="n">
        <v>11</v>
      </c>
      <c r="B15" s="21" t="s">
        <v>123</v>
      </c>
      <c r="C15" s="22" t="s">
        <v>124</v>
      </c>
    </row>
    <row r="16" customFormat="false" ht="33.75" hidden="false" customHeight="true" outlineLevel="0" collapsed="false">
      <c r="A16" s="23" t="n">
        <v>12</v>
      </c>
      <c r="B16" s="24" t="s">
        <v>125</v>
      </c>
      <c r="C16" s="25" t="s">
        <v>126</v>
      </c>
    </row>
    <row r="17" customFormat="false" ht="33.75" hidden="false" customHeight="true" outlineLevel="0" collapsed="false">
      <c r="A17" s="20" t="n">
        <v>13</v>
      </c>
      <c r="B17" s="21" t="s">
        <v>127</v>
      </c>
      <c r="C17" s="22" t="s">
        <v>128</v>
      </c>
    </row>
    <row r="20" customFormat="false" ht="21.75" hidden="false" customHeight="true" outlineLevel="0" collapsed="false">
      <c r="A20" s="4" t="s">
        <v>129</v>
      </c>
      <c r="B20" s="4"/>
      <c r="C20" s="4"/>
    </row>
    <row r="21" customFormat="false" ht="19.5" hidden="false" customHeight="true" outlineLevel="0" collapsed="false">
      <c r="A21" s="26" t="s">
        <v>130</v>
      </c>
      <c r="B21" s="26" t="s">
        <v>131</v>
      </c>
      <c r="C21" s="26" t="s">
        <v>132</v>
      </c>
    </row>
    <row r="22" customFormat="false" ht="52.2" hidden="false" customHeight="false" outlineLevel="0" collapsed="false">
      <c r="A22" s="27" t="s">
        <v>133</v>
      </c>
      <c r="B22" s="28" t="n">
        <v>2142</v>
      </c>
      <c r="C22" s="29" t="n">
        <v>2100</v>
      </c>
    </row>
    <row r="23" customFormat="false" ht="77.6" hidden="false" customHeight="false" outlineLevel="0" collapsed="false">
      <c r="A23" s="27" t="s">
        <v>134</v>
      </c>
      <c r="B23" s="28" t="n">
        <v>42</v>
      </c>
      <c r="C23" s="29" t="n">
        <v>0</v>
      </c>
    </row>
    <row r="24" customFormat="false" ht="90.25" hidden="false" customHeight="false" outlineLevel="0" collapsed="false">
      <c r="A24" s="27" t="s">
        <v>135</v>
      </c>
      <c r="B24" s="28" t="n">
        <v>287</v>
      </c>
      <c r="C24" s="29" t="n">
        <v>0</v>
      </c>
    </row>
  </sheetData>
  <mergeCells count="3">
    <mergeCell ref="A1:C1"/>
    <mergeCell ref="A2:C2"/>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121F"/>
    <pageSetUpPr fitToPage="false"/>
  </sheetPr>
  <dimension ref="A1:O214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3"/>
    <col collapsed="false" customWidth="true" hidden="false" outlineLevel="0" max="4" min="4" style="0" width="7"/>
    <col collapsed="false" customWidth="true" hidden="false" outlineLevel="0" max="5" min="5" style="0" width="9"/>
    <col collapsed="false" customWidth="true" hidden="false" outlineLevel="0" max="6" min="6" style="0" width="12"/>
    <col collapsed="false" customWidth="true" hidden="false" outlineLevel="0" max="7" min="7" style="0" width="18"/>
    <col collapsed="false" customWidth="true" hidden="false" outlineLevel="0" max="8" min="8" style="0" width="16"/>
    <col collapsed="false" customWidth="true" hidden="false" outlineLevel="0" max="9" min="9" style="0" width="12"/>
    <col collapsed="false" customWidth="true" hidden="false" outlineLevel="0" max="10" min="10" style="0" width="11"/>
    <col collapsed="false" customWidth="true" hidden="false" outlineLevel="0" max="11" min="11" style="0" width="16"/>
    <col collapsed="false" customWidth="true" hidden="false" outlineLevel="0" max="12" min="12" style="0" width="14"/>
    <col collapsed="false" customWidth="true" hidden="false" outlineLevel="0" max="13" min="13" style="0" width="10"/>
    <col collapsed="false" customWidth="true" hidden="false" outlineLevel="0" max="14" min="14" style="0" width="12"/>
    <col collapsed="false" customWidth="true" hidden="false" outlineLevel="0" max="15" min="15" style="0" width="16"/>
  </cols>
  <sheetData>
    <row r="1" customFormat="false" ht="33.75" hidden="false" customHeight="true" outlineLevel="0" collapsed="false">
      <c r="A1" s="30" t="s">
        <v>136</v>
      </c>
      <c r="B1" s="30"/>
      <c r="C1" s="30"/>
      <c r="D1" s="30"/>
      <c r="E1" s="30"/>
      <c r="F1" s="30"/>
      <c r="G1" s="30"/>
      <c r="H1" s="30"/>
      <c r="I1" s="30"/>
      <c r="J1" s="30"/>
      <c r="K1" s="30"/>
      <c r="L1" s="30"/>
      <c r="M1" s="30"/>
      <c r="N1" s="30"/>
      <c r="O1" s="30"/>
    </row>
    <row r="2" customFormat="false" ht="15" hidden="false" customHeight="true" outlineLevel="0" collapsed="false">
      <c r="A2" s="31" t="s">
        <v>137</v>
      </c>
      <c r="B2" s="31"/>
      <c r="C2" s="31"/>
      <c r="D2" s="31"/>
      <c r="E2" s="31"/>
      <c r="F2" s="31"/>
      <c r="G2" s="31"/>
      <c r="H2" s="31"/>
      <c r="I2" s="31"/>
      <c r="J2" s="31"/>
      <c r="K2" s="31"/>
      <c r="L2" s="31"/>
      <c r="M2" s="31"/>
      <c r="N2" s="31"/>
      <c r="O2" s="31"/>
    </row>
    <row r="3" customFormat="false" ht="3.75" hidden="false" customHeight="true" outlineLevel="0" collapsed="false"/>
    <row r="4" customFormat="false" ht="19.5" hidden="false" customHeight="true" outlineLevel="0" collapsed="false">
      <c r="A4" s="32" t="s">
        <v>38</v>
      </c>
      <c r="B4" s="32" t="s">
        <v>42</v>
      </c>
      <c r="C4" s="32" t="s">
        <v>46</v>
      </c>
      <c r="D4" s="32" t="s">
        <v>48</v>
      </c>
      <c r="E4" s="32" t="s">
        <v>52</v>
      </c>
      <c r="F4" s="32" t="s">
        <v>55</v>
      </c>
      <c r="G4" s="32" t="s">
        <v>58</v>
      </c>
      <c r="H4" s="32" t="s">
        <v>61</v>
      </c>
      <c r="I4" s="32" t="s">
        <v>64</v>
      </c>
      <c r="J4" s="32" t="s">
        <v>67</v>
      </c>
      <c r="K4" s="32" t="s">
        <v>69</v>
      </c>
      <c r="L4" s="32" t="s">
        <v>72</v>
      </c>
      <c r="M4" s="32" t="s">
        <v>75</v>
      </c>
      <c r="N4" s="32" t="s">
        <v>79</v>
      </c>
      <c r="O4" s="32" t="s">
        <v>83</v>
      </c>
    </row>
    <row r="5" customFormat="false" ht="15" hidden="false" customHeight="false" outlineLevel="0" collapsed="false">
      <c r="A5" s="33" t="s">
        <v>138</v>
      </c>
      <c r="B5" s="34" t="n">
        <v>45345</v>
      </c>
      <c r="C5" s="34" t="n">
        <v>45347</v>
      </c>
      <c r="D5" s="33" t="n">
        <v>43</v>
      </c>
      <c r="E5" s="33" t="s">
        <v>139</v>
      </c>
      <c r="F5" s="33" t="s">
        <v>140</v>
      </c>
      <c r="G5" s="33" t="s">
        <v>141</v>
      </c>
      <c r="H5" s="33" t="s">
        <v>142</v>
      </c>
      <c r="I5" s="33" t="s">
        <v>143</v>
      </c>
      <c r="J5" s="33" t="s">
        <v>144</v>
      </c>
      <c r="K5" s="33" t="s">
        <v>145</v>
      </c>
      <c r="L5" s="35" t="n">
        <v>7827.45</v>
      </c>
      <c r="M5" s="33" t="n">
        <v>4</v>
      </c>
      <c r="N5" s="33" t="s">
        <v>146</v>
      </c>
      <c r="O5" s="33" t="s">
        <v>147</v>
      </c>
    </row>
    <row r="6" customFormat="false" ht="15" hidden="false" customHeight="false" outlineLevel="0" collapsed="false">
      <c r="A6" s="33" t="s">
        <v>148</v>
      </c>
      <c r="B6" s="34" t="n">
        <v>45413</v>
      </c>
      <c r="C6" s="34" t="n">
        <v>45414</v>
      </c>
      <c r="D6" s="33" t="n">
        <v>26</v>
      </c>
      <c r="E6" s="33" t="s">
        <v>139</v>
      </c>
      <c r="F6" s="33" t="s">
        <v>149</v>
      </c>
      <c r="G6" s="33" t="s">
        <v>150</v>
      </c>
      <c r="H6" s="33" t="s">
        <v>151</v>
      </c>
      <c r="I6" s="33" t="s">
        <v>152</v>
      </c>
      <c r="J6" s="33" t="s">
        <v>144</v>
      </c>
      <c r="K6" s="33" t="s">
        <v>145</v>
      </c>
      <c r="L6" s="35" t="n">
        <v>2740.6</v>
      </c>
      <c r="M6" s="33" t="n">
        <v>5</v>
      </c>
      <c r="N6" s="33" t="s">
        <v>146</v>
      </c>
      <c r="O6" s="33" t="s">
        <v>147</v>
      </c>
    </row>
    <row r="7" customFormat="false" ht="15" hidden="false" customHeight="false" outlineLevel="0" collapsed="false">
      <c r="A7" s="33" t="s">
        <v>153</v>
      </c>
      <c r="B7" s="34" t="n">
        <v>45298</v>
      </c>
      <c r="C7" s="34" t="n">
        <v>45301</v>
      </c>
      <c r="D7" s="33" t="n">
        <v>6</v>
      </c>
      <c r="E7" s="33" t="s">
        <v>154</v>
      </c>
      <c r="F7" s="33" t="s">
        <v>155</v>
      </c>
      <c r="G7" s="33" t="s">
        <v>156</v>
      </c>
      <c r="H7" s="33" t="s">
        <v>157</v>
      </c>
      <c r="I7" s="33" t="s">
        <v>158</v>
      </c>
      <c r="J7" s="33" t="s">
        <v>159</v>
      </c>
      <c r="K7" s="33" t="s">
        <v>160</v>
      </c>
      <c r="L7" s="35" t="n">
        <v>2677.91</v>
      </c>
      <c r="M7" s="33" t="n">
        <v>4</v>
      </c>
      <c r="N7" s="33" t="s">
        <v>146</v>
      </c>
      <c r="O7" s="33" t="s">
        <v>147</v>
      </c>
    </row>
    <row r="8" customFormat="false" ht="15" hidden="false" customHeight="false" outlineLevel="0" collapsed="false">
      <c r="A8" s="33" t="s">
        <v>161</v>
      </c>
      <c r="B8" s="34" t="n">
        <v>45649</v>
      </c>
      <c r="C8" s="34" t="n">
        <v>45653</v>
      </c>
      <c r="D8" s="33" t="n">
        <v>20</v>
      </c>
      <c r="E8" s="33" t="s">
        <v>154</v>
      </c>
      <c r="F8" s="33" t="s">
        <v>162</v>
      </c>
      <c r="G8" s="33" t="s">
        <v>163</v>
      </c>
      <c r="H8" s="33" t="s">
        <v>164</v>
      </c>
      <c r="I8" s="33" t="s">
        <v>143</v>
      </c>
      <c r="J8" s="33" t="s">
        <v>159</v>
      </c>
      <c r="K8" s="33" t="s">
        <v>160</v>
      </c>
      <c r="L8" s="35" t="n">
        <v>4513.64</v>
      </c>
      <c r="M8" s="33" t="n">
        <v>4</v>
      </c>
      <c r="N8" s="33" t="s">
        <v>146</v>
      </c>
      <c r="O8" s="33" t="s">
        <v>147</v>
      </c>
    </row>
    <row r="9" customFormat="false" ht="15" hidden="false" customHeight="false" outlineLevel="0" collapsed="false">
      <c r="A9" s="33" t="s">
        <v>165</v>
      </c>
      <c r="B9" s="34" t="n">
        <v>45530</v>
      </c>
      <c r="C9" s="34" t="n">
        <v>45534</v>
      </c>
      <c r="D9" s="33" t="n">
        <v>52</v>
      </c>
      <c r="E9" s="33" t="s">
        <v>139</v>
      </c>
      <c r="F9" s="33" t="s">
        <v>140</v>
      </c>
      <c r="G9" s="33" t="s">
        <v>141</v>
      </c>
      <c r="H9" s="33" t="s">
        <v>142</v>
      </c>
      <c r="I9" s="33" t="s">
        <v>152</v>
      </c>
      <c r="J9" s="33" t="s">
        <v>144</v>
      </c>
      <c r="K9" s="33" t="s">
        <v>145</v>
      </c>
      <c r="L9" s="35" t="n">
        <v>16134.25</v>
      </c>
      <c r="M9" s="33" t="n">
        <v>5</v>
      </c>
      <c r="N9" s="33" t="s">
        <v>146</v>
      </c>
      <c r="O9" s="33" t="s">
        <v>147</v>
      </c>
    </row>
    <row r="10" customFormat="false" ht="15" hidden="false" customHeight="false" outlineLevel="0" collapsed="false">
      <c r="A10" s="33" t="s">
        <v>166</v>
      </c>
      <c r="B10" s="34" t="n">
        <v>45455</v>
      </c>
      <c r="C10" s="34" t="n">
        <v>45458</v>
      </c>
      <c r="D10" s="33" t="n">
        <v>60</v>
      </c>
      <c r="E10" s="33" t="s">
        <v>139</v>
      </c>
      <c r="F10" s="33" t="s">
        <v>140</v>
      </c>
      <c r="G10" s="33" t="s">
        <v>167</v>
      </c>
      <c r="H10" s="33" t="s">
        <v>142</v>
      </c>
      <c r="I10" s="33" t="s">
        <v>143</v>
      </c>
      <c r="J10" s="33" t="s">
        <v>144</v>
      </c>
      <c r="K10" s="33" t="s">
        <v>145</v>
      </c>
      <c r="L10" s="35" t="n">
        <v>13156.21</v>
      </c>
      <c r="M10" s="33" t="n">
        <v>5</v>
      </c>
      <c r="N10" s="33" t="s">
        <v>146</v>
      </c>
      <c r="O10" s="33" t="s">
        <v>147</v>
      </c>
    </row>
    <row r="11" customFormat="false" ht="15" hidden="false" customHeight="false" outlineLevel="0" collapsed="false">
      <c r="A11" s="33" t="s">
        <v>168</v>
      </c>
      <c r="B11" s="34" t="n">
        <v>45343</v>
      </c>
      <c r="C11" s="34" t="n">
        <v>45346</v>
      </c>
      <c r="D11" s="33" t="n">
        <v>12</v>
      </c>
      <c r="E11" s="33" t="s">
        <v>154</v>
      </c>
      <c r="F11" s="33" t="s">
        <v>169</v>
      </c>
      <c r="G11" s="33" t="s">
        <v>170</v>
      </c>
      <c r="H11" s="33" t="s">
        <v>171</v>
      </c>
      <c r="I11" s="33" t="s">
        <v>143</v>
      </c>
      <c r="J11" s="33" t="s">
        <v>144</v>
      </c>
      <c r="K11" s="33" t="s">
        <v>160</v>
      </c>
      <c r="L11" s="35" t="n">
        <v>6467.63</v>
      </c>
      <c r="M11" s="33" t="n">
        <v>4</v>
      </c>
      <c r="N11" s="33" t="s">
        <v>146</v>
      </c>
      <c r="O11" s="33" t="s">
        <v>147</v>
      </c>
    </row>
    <row r="12" customFormat="false" ht="15" hidden="false" customHeight="false" outlineLevel="0" collapsed="false">
      <c r="A12" s="33" t="s">
        <v>172</v>
      </c>
      <c r="B12" s="34" t="n">
        <v>45381</v>
      </c>
      <c r="C12" s="34" t="n">
        <v>45386</v>
      </c>
      <c r="D12" s="33" t="n">
        <v>45</v>
      </c>
      <c r="E12" s="33" t="s">
        <v>139</v>
      </c>
      <c r="F12" s="33" t="s">
        <v>173</v>
      </c>
      <c r="G12" s="33" t="s">
        <v>174</v>
      </c>
      <c r="H12" s="33" t="s">
        <v>175</v>
      </c>
      <c r="I12" s="33" t="s">
        <v>158</v>
      </c>
      <c r="J12" s="33" t="s">
        <v>176</v>
      </c>
      <c r="K12" s="33" t="s">
        <v>160</v>
      </c>
      <c r="L12" s="35" t="n">
        <v>46395.01</v>
      </c>
      <c r="M12" s="33" t="n">
        <v>5</v>
      </c>
      <c r="N12" s="33" t="s">
        <v>146</v>
      </c>
      <c r="O12" s="33" t="s">
        <v>147</v>
      </c>
    </row>
    <row r="13" customFormat="false" ht="15" hidden="false" customHeight="false" outlineLevel="0" collapsed="false">
      <c r="A13" s="33" t="s">
        <v>177</v>
      </c>
      <c r="B13" s="34" t="n">
        <v>45472</v>
      </c>
      <c r="C13" s="34" t="n">
        <v>45475</v>
      </c>
      <c r="D13" s="33" t="n">
        <v>9</v>
      </c>
      <c r="E13" s="33" t="s">
        <v>139</v>
      </c>
      <c r="F13" s="33" t="s">
        <v>173</v>
      </c>
      <c r="G13" s="33" t="s">
        <v>178</v>
      </c>
      <c r="H13" s="33" t="s">
        <v>175</v>
      </c>
      <c r="I13" s="33" t="s">
        <v>143</v>
      </c>
      <c r="J13" s="33" t="s">
        <v>159</v>
      </c>
      <c r="K13" s="33" t="s">
        <v>160</v>
      </c>
      <c r="L13" s="35" t="n">
        <v>6798.59</v>
      </c>
      <c r="M13" s="33" t="n">
        <v>4</v>
      </c>
      <c r="N13" s="33" t="s">
        <v>146</v>
      </c>
      <c r="O13" s="33" t="s">
        <v>147</v>
      </c>
    </row>
    <row r="14" customFormat="false" ht="15" hidden="false" customHeight="false" outlineLevel="0" collapsed="false">
      <c r="A14" s="33" t="s">
        <v>179</v>
      </c>
      <c r="B14" s="34" t="n">
        <v>45443</v>
      </c>
      <c r="C14" s="34" t="n">
        <v>45449</v>
      </c>
      <c r="D14" s="33" t="n">
        <v>62</v>
      </c>
      <c r="E14" s="33" t="s">
        <v>180</v>
      </c>
      <c r="F14" s="33" t="s">
        <v>181</v>
      </c>
      <c r="G14" s="33" t="s">
        <v>182</v>
      </c>
      <c r="H14" s="33" t="s">
        <v>183</v>
      </c>
      <c r="I14" s="33" t="s">
        <v>152</v>
      </c>
      <c r="J14" s="33" t="s">
        <v>159</v>
      </c>
      <c r="K14" s="33" t="s">
        <v>184</v>
      </c>
      <c r="L14" s="35" t="n">
        <v>14266.05</v>
      </c>
      <c r="M14" s="33" t="n">
        <v>5</v>
      </c>
      <c r="N14" s="33" t="s">
        <v>146</v>
      </c>
      <c r="O14" s="33" t="s">
        <v>147</v>
      </c>
    </row>
    <row r="15" customFormat="false" ht="15" hidden="false" customHeight="false" outlineLevel="0" collapsed="false">
      <c r="A15" s="33" t="s">
        <v>185</v>
      </c>
      <c r="B15" s="34" t="n">
        <v>45389</v>
      </c>
      <c r="C15" s="34" t="n">
        <v>45390</v>
      </c>
      <c r="D15" s="33" t="n">
        <v>18</v>
      </c>
      <c r="E15" s="33" t="s">
        <v>139</v>
      </c>
      <c r="F15" s="33" t="s">
        <v>149</v>
      </c>
      <c r="G15" s="33" t="s">
        <v>150</v>
      </c>
      <c r="H15" s="33" t="s">
        <v>186</v>
      </c>
      <c r="I15" s="33" t="s">
        <v>143</v>
      </c>
      <c r="J15" s="33" t="s">
        <v>176</v>
      </c>
      <c r="K15" s="33" t="s">
        <v>160</v>
      </c>
      <c r="L15" s="35" t="n">
        <v>5284.81</v>
      </c>
      <c r="M15" s="33" t="n">
        <v>3</v>
      </c>
      <c r="N15" s="33" t="s">
        <v>146</v>
      </c>
      <c r="O15" s="33" t="s">
        <v>147</v>
      </c>
    </row>
    <row r="16" customFormat="false" ht="15" hidden="false" customHeight="false" outlineLevel="0" collapsed="false">
      <c r="A16" s="33" t="s">
        <v>187</v>
      </c>
      <c r="B16" s="34" t="n">
        <v>45359</v>
      </c>
      <c r="C16" s="34" t="n">
        <v>45364</v>
      </c>
      <c r="D16" s="33" t="n">
        <v>45</v>
      </c>
      <c r="E16" s="33" t="s">
        <v>154</v>
      </c>
      <c r="F16" s="33" t="s">
        <v>181</v>
      </c>
      <c r="G16" s="33" t="s">
        <v>188</v>
      </c>
      <c r="H16" s="33" t="s">
        <v>183</v>
      </c>
      <c r="I16" s="33" t="s">
        <v>158</v>
      </c>
      <c r="J16" s="33" t="s">
        <v>144</v>
      </c>
      <c r="K16" s="33" t="s">
        <v>184</v>
      </c>
      <c r="L16" s="35" t="n">
        <v>20613.92</v>
      </c>
      <c r="M16" s="33" t="n">
        <v>3</v>
      </c>
      <c r="N16" s="33" t="s">
        <v>146</v>
      </c>
      <c r="O16" s="33" t="s">
        <v>147</v>
      </c>
    </row>
    <row r="17" customFormat="false" ht="15" hidden="false" customHeight="false" outlineLevel="0" collapsed="false">
      <c r="A17" s="33" t="s">
        <v>189</v>
      </c>
      <c r="B17" s="34" t="n">
        <v>45576</v>
      </c>
      <c r="C17" s="34" t="n">
        <v>45577</v>
      </c>
      <c r="D17" s="33" t="n">
        <v>62</v>
      </c>
      <c r="E17" s="33" t="s">
        <v>190</v>
      </c>
      <c r="F17" s="33" t="s">
        <v>191</v>
      </c>
      <c r="G17" s="33" t="s">
        <v>192</v>
      </c>
      <c r="H17" s="33" t="s">
        <v>193</v>
      </c>
      <c r="I17" s="33" t="s">
        <v>143</v>
      </c>
      <c r="J17" s="33" t="s">
        <v>144</v>
      </c>
      <c r="K17" s="33" t="s">
        <v>184</v>
      </c>
      <c r="L17" s="35" t="n">
        <v>1717.67</v>
      </c>
      <c r="M17" s="33" t="n">
        <v>3</v>
      </c>
      <c r="N17" s="33" t="s">
        <v>146</v>
      </c>
      <c r="O17" s="33" t="s">
        <v>147</v>
      </c>
    </row>
    <row r="18" customFormat="false" ht="15" hidden="false" customHeight="false" outlineLevel="0" collapsed="false">
      <c r="A18" s="33" t="s">
        <v>194</v>
      </c>
      <c r="B18" s="34" t="n">
        <v>45652</v>
      </c>
      <c r="C18" s="34" t="n">
        <v>45657</v>
      </c>
      <c r="D18" s="33" t="n">
        <v>55</v>
      </c>
      <c r="E18" s="33" t="s">
        <v>154</v>
      </c>
      <c r="F18" s="33" t="s">
        <v>169</v>
      </c>
      <c r="G18" s="33" t="s">
        <v>163</v>
      </c>
      <c r="H18" s="33" t="s">
        <v>195</v>
      </c>
      <c r="I18" s="33" t="s">
        <v>143</v>
      </c>
      <c r="J18" s="33" t="s">
        <v>159</v>
      </c>
      <c r="K18" s="33" t="s">
        <v>184</v>
      </c>
      <c r="L18" s="35" t="n">
        <v>3898.42</v>
      </c>
      <c r="M18" s="33" t="n">
        <v>5</v>
      </c>
      <c r="N18" s="33" t="s">
        <v>146</v>
      </c>
      <c r="O18" s="33" t="s">
        <v>147</v>
      </c>
    </row>
    <row r="19" customFormat="false" ht="15" hidden="false" customHeight="false" outlineLevel="0" collapsed="false">
      <c r="A19" s="33" t="s">
        <v>196</v>
      </c>
      <c r="B19" s="34" t="n">
        <v>45452</v>
      </c>
      <c r="C19" s="34" t="n">
        <v>45454</v>
      </c>
      <c r="D19" s="33" t="n">
        <v>67</v>
      </c>
      <c r="E19" s="33" t="s">
        <v>139</v>
      </c>
      <c r="F19" s="33" t="s">
        <v>181</v>
      </c>
      <c r="G19" s="33" t="s">
        <v>182</v>
      </c>
      <c r="H19" s="33" t="s">
        <v>183</v>
      </c>
      <c r="I19" s="33" t="s">
        <v>158</v>
      </c>
      <c r="J19" s="33" t="s">
        <v>159</v>
      </c>
      <c r="K19" s="33" t="s">
        <v>145</v>
      </c>
      <c r="L19" s="35" t="n">
        <v>4462.32</v>
      </c>
      <c r="M19" s="33" t="n">
        <v>3</v>
      </c>
      <c r="N19" s="33" t="s">
        <v>146</v>
      </c>
      <c r="O19" s="33" t="s">
        <v>147</v>
      </c>
    </row>
    <row r="20" customFormat="false" ht="15" hidden="false" customHeight="false" outlineLevel="0" collapsed="false">
      <c r="A20" s="33" t="s">
        <v>197</v>
      </c>
      <c r="B20" s="34" t="n">
        <v>45576</v>
      </c>
      <c r="C20" s="34" t="n">
        <v>45585</v>
      </c>
      <c r="D20" s="33" t="n">
        <v>39</v>
      </c>
      <c r="E20" s="33" t="s">
        <v>139</v>
      </c>
      <c r="F20" s="33" t="s">
        <v>173</v>
      </c>
      <c r="G20" s="33" t="s">
        <v>198</v>
      </c>
      <c r="H20" s="33" t="s">
        <v>199</v>
      </c>
      <c r="I20" s="33" t="s">
        <v>143</v>
      </c>
      <c r="J20" s="33" t="s">
        <v>159</v>
      </c>
      <c r="K20" s="36"/>
      <c r="L20" s="35" t="n">
        <v>20420.2</v>
      </c>
      <c r="M20" s="33" t="n">
        <v>4</v>
      </c>
      <c r="N20" s="33" t="s">
        <v>146</v>
      </c>
      <c r="O20" s="33" t="s">
        <v>147</v>
      </c>
    </row>
    <row r="21" customFormat="false" ht="15" hidden="false" customHeight="false" outlineLevel="0" collapsed="false">
      <c r="A21" s="33" t="s">
        <v>200</v>
      </c>
      <c r="B21" s="34" t="n">
        <v>45365</v>
      </c>
      <c r="C21" s="34" t="n">
        <v>45370</v>
      </c>
      <c r="D21" s="33" t="n">
        <v>23</v>
      </c>
      <c r="E21" s="33" t="s">
        <v>139</v>
      </c>
      <c r="F21" s="33" t="s">
        <v>173</v>
      </c>
      <c r="G21" s="33" t="s">
        <v>174</v>
      </c>
      <c r="H21" s="33" t="s">
        <v>199</v>
      </c>
      <c r="I21" s="33" t="s">
        <v>152</v>
      </c>
      <c r="J21" s="33" t="s">
        <v>176</v>
      </c>
      <c r="K21" s="33" t="s">
        <v>145</v>
      </c>
      <c r="L21" s="35" t="n">
        <v>52813.28</v>
      </c>
      <c r="M21" s="33" t="n">
        <v>3</v>
      </c>
      <c r="N21" s="33" t="s">
        <v>146</v>
      </c>
      <c r="O21" s="33" t="s">
        <v>147</v>
      </c>
    </row>
    <row r="22" customFormat="false" ht="15" hidden="false" customHeight="false" outlineLevel="0" collapsed="false">
      <c r="A22" s="33" t="s">
        <v>201</v>
      </c>
      <c r="B22" s="34" t="n">
        <v>45640</v>
      </c>
      <c r="C22" s="34" t="n">
        <v>45650</v>
      </c>
      <c r="D22" s="33" t="n">
        <v>60</v>
      </c>
      <c r="E22" s="33" t="s">
        <v>154</v>
      </c>
      <c r="F22" s="33" t="s">
        <v>140</v>
      </c>
      <c r="G22" s="33" t="s">
        <v>141</v>
      </c>
      <c r="H22" s="33" t="s">
        <v>142</v>
      </c>
      <c r="I22" s="33" t="s">
        <v>158</v>
      </c>
      <c r="J22" s="33" t="s">
        <v>144</v>
      </c>
      <c r="K22" s="33" t="s">
        <v>160</v>
      </c>
      <c r="L22" s="35" t="n">
        <v>41917</v>
      </c>
      <c r="M22" s="33" t="n">
        <v>3</v>
      </c>
      <c r="N22" s="33" t="s">
        <v>146</v>
      </c>
      <c r="O22" s="33" t="s">
        <v>147</v>
      </c>
    </row>
    <row r="23" customFormat="false" ht="15" hidden="false" customHeight="false" outlineLevel="0" collapsed="false">
      <c r="A23" s="33" t="s">
        <v>202</v>
      </c>
      <c r="B23" s="34" t="n">
        <v>45296</v>
      </c>
      <c r="C23" s="34" t="n">
        <v>45298</v>
      </c>
      <c r="D23" s="33" t="n">
        <v>50</v>
      </c>
      <c r="E23" s="33" t="s">
        <v>154</v>
      </c>
      <c r="F23" s="33" t="s">
        <v>203</v>
      </c>
      <c r="G23" s="33" t="s">
        <v>204</v>
      </c>
      <c r="H23" s="33" t="s">
        <v>205</v>
      </c>
      <c r="I23" s="33" t="s">
        <v>152</v>
      </c>
      <c r="J23" s="33" t="s">
        <v>144</v>
      </c>
      <c r="K23" s="33" t="s">
        <v>184</v>
      </c>
      <c r="L23" s="35" t="n">
        <v>3595.62</v>
      </c>
      <c r="M23" s="33" t="n">
        <v>3</v>
      </c>
      <c r="N23" s="33" t="s">
        <v>146</v>
      </c>
      <c r="O23" s="33" t="s">
        <v>206</v>
      </c>
    </row>
    <row r="24" customFormat="false" ht="15" hidden="false" customHeight="false" outlineLevel="0" collapsed="false">
      <c r="A24" s="33" t="s">
        <v>207</v>
      </c>
      <c r="B24" s="34" t="n">
        <v>45651</v>
      </c>
      <c r="C24" s="34" t="n">
        <v>45657</v>
      </c>
      <c r="D24" s="33" t="n">
        <v>45</v>
      </c>
      <c r="E24" s="33" t="s">
        <v>154</v>
      </c>
      <c r="F24" s="33" t="s">
        <v>173</v>
      </c>
      <c r="G24" s="33" t="s">
        <v>178</v>
      </c>
      <c r="H24" s="33" t="s">
        <v>175</v>
      </c>
      <c r="I24" s="33" t="s">
        <v>143</v>
      </c>
      <c r="J24" s="33" t="s">
        <v>159</v>
      </c>
      <c r="K24" s="33" t="s">
        <v>145</v>
      </c>
      <c r="L24" s="35" t="n">
        <v>12715.75</v>
      </c>
      <c r="M24" s="33" t="n">
        <v>5</v>
      </c>
      <c r="N24" s="33" t="s">
        <v>146</v>
      </c>
      <c r="O24" s="33" t="s">
        <v>147</v>
      </c>
    </row>
    <row r="25" customFormat="false" ht="15" hidden="false" customHeight="false" outlineLevel="0" collapsed="false">
      <c r="A25" s="33" t="s">
        <v>208</v>
      </c>
      <c r="B25" s="34" t="n">
        <v>45540</v>
      </c>
      <c r="C25" s="34" t="n">
        <v>45552</v>
      </c>
      <c r="D25" s="33" t="n">
        <v>66</v>
      </c>
      <c r="E25" s="33" t="s">
        <v>154</v>
      </c>
      <c r="F25" s="33" t="s">
        <v>173</v>
      </c>
      <c r="G25" s="33" t="s">
        <v>174</v>
      </c>
      <c r="H25" s="33" t="s">
        <v>175</v>
      </c>
      <c r="I25" s="33" t="s">
        <v>152</v>
      </c>
      <c r="J25" s="33" t="s">
        <v>159</v>
      </c>
      <c r="K25" s="33" t="s">
        <v>209</v>
      </c>
      <c r="L25" s="35" t="n">
        <v>35935.34</v>
      </c>
      <c r="M25" s="33" t="n">
        <v>4</v>
      </c>
      <c r="N25" s="33" t="s">
        <v>210</v>
      </c>
      <c r="O25" s="33" t="s">
        <v>147</v>
      </c>
    </row>
    <row r="26" customFormat="false" ht="15" hidden="false" customHeight="false" outlineLevel="0" collapsed="false">
      <c r="A26" s="33" t="s">
        <v>211</v>
      </c>
      <c r="B26" s="34" t="n">
        <v>45338</v>
      </c>
      <c r="C26" s="34" t="n">
        <v>45341</v>
      </c>
      <c r="D26" s="33" t="n">
        <v>46</v>
      </c>
      <c r="E26" s="33" t="s">
        <v>154</v>
      </c>
      <c r="F26" s="33" t="s">
        <v>212</v>
      </c>
      <c r="G26" s="33" t="s">
        <v>213</v>
      </c>
      <c r="H26" s="33" t="s">
        <v>195</v>
      </c>
      <c r="I26" s="33" t="s">
        <v>152</v>
      </c>
      <c r="J26" s="33" t="s">
        <v>159</v>
      </c>
      <c r="K26" s="33" t="s">
        <v>160</v>
      </c>
      <c r="L26" s="35" t="n">
        <v>2836.96</v>
      </c>
      <c r="M26" s="33" t="n">
        <v>4</v>
      </c>
      <c r="N26" s="33" t="s">
        <v>146</v>
      </c>
      <c r="O26" s="33" t="s">
        <v>147</v>
      </c>
    </row>
    <row r="27" customFormat="false" ht="15" hidden="false" customHeight="false" outlineLevel="0" collapsed="false">
      <c r="A27" s="33" t="s">
        <v>214</v>
      </c>
      <c r="B27" s="34" t="n">
        <v>45461</v>
      </c>
      <c r="C27" s="34" t="n">
        <v>45464</v>
      </c>
      <c r="D27" s="33" t="n">
        <v>43</v>
      </c>
      <c r="E27" s="33" t="s">
        <v>139</v>
      </c>
      <c r="F27" s="33" t="s">
        <v>173</v>
      </c>
      <c r="G27" s="33" t="s">
        <v>174</v>
      </c>
      <c r="H27" s="33" t="s">
        <v>199</v>
      </c>
      <c r="I27" s="33" t="s">
        <v>152</v>
      </c>
      <c r="J27" s="33" t="s">
        <v>159</v>
      </c>
      <c r="K27" s="33" t="s">
        <v>145</v>
      </c>
      <c r="L27" s="35" t="n">
        <v>8193.12</v>
      </c>
      <c r="M27" s="33" t="n">
        <v>4</v>
      </c>
      <c r="N27" s="33" t="s">
        <v>146</v>
      </c>
      <c r="O27" s="33" t="s">
        <v>147</v>
      </c>
    </row>
    <row r="28" customFormat="false" ht="15" hidden="false" customHeight="false" outlineLevel="0" collapsed="false">
      <c r="A28" s="33" t="s">
        <v>215</v>
      </c>
      <c r="B28" s="34" t="n">
        <v>45472</v>
      </c>
      <c r="C28" s="34" t="n">
        <v>45473</v>
      </c>
      <c r="D28" s="33" t="n">
        <v>23</v>
      </c>
      <c r="E28" s="33" t="s">
        <v>216</v>
      </c>
      <c r="F28" s="33" t="s">
        <v>203</v>
      </c>
      <c r="G28" s="33" t="s">
        <v>217</v>
      </c>
      <c r="H28" s="33" t="s">
        <v>205</v>
      </c>
      <c r="I28" s="33" t="s">
        <v>143</v>
      </c>
      <c r="J28" s="33" t="s">
        <v>159</v>
      </c>
      <c r="K28" s="33" t="s">
        <v>145</v>
      </c>
      <c r="L28" s="35" t="n">
        <v>893.56</v>
      </c>
      <c r="M28" s="33" t="n">
        <v>3</v>
      </c>
      <c r="N28" s="33" t="s">
        <v>146</v>
      </c>
      <c r="O28" s="33" t="s">
        <v>147</v>
      </c>
    </row>
    <row r="29" customFormat="false" ht="15" hidden="false" customHeight="false" outlineLevel="0" collapsed="false">
      <c r="A29" s="33" t="s">
        <v>218</v>
      </c>
      <c r="B29" s="34" t="n">
        <v>45560</v>
      </c>
      <c r="C29" s="34" t="n">
        <v>45562</v>
      </c>
      <c r="D29" s="33" t="n">
        <v>24</v>
      </c>
      <c r="E29" s="33" t="s">
        <v>139</v>
      </c>
      <c r="F29" s="33" t="s">
        <v>149</v>
      </c>
      <c r="G29" s="33" t="s">
        <v>150</v>
      </c>
      <c r="H29" s="33" t="s">
        <v>151</v>
      </c>
      <c r="I29" s="33" t="s">
        <v>143</v>
      </c>
      <c r="J29" s="33" t="s">
        <v>176</v>
      </c>
      <c r="K29" s="33" t="s">
        <v>184</v>
      </c>
      <c r="L29" s="35" t="n">
        <v>9026.63</v>
      </c>
      <c r="M29" s="33" t="n">
        <v>4</v>
      </c>
      <c r="N29" s="33" t="s">
        <v>146</v>
      </c>
      <c r="O29" s="33" t="s">
        <v>147</v>
      </c>
    </row>
    <row r="30" customFormat="false" ht="15" hidden="false" customHeight="false" outlineLevel="0" collapsed="false">
      <c r="A30" s="33" t="s">
        <v>219</v>
      </c>
      <c r="B30" s="34" t="n">
        <v>45324</v>
      </c>
      <c r="C30" s="34" t="n">
        <v>45325</v>
      </c>
      <c r="D30" s="33" t="n">
        <v>9</v>
      </c>
      <c r="E30" s="33" t="s">
        <v>154</v>
      </c>
      <c r="F30" s="33" t="s">
        <v>155</v>
      </c>
      <c r="G30" s="33" t="s">
        <v>220</v>
      </c>
      <c r="H30" s="33" t="s">
        <v>157</v>
      </c>
      <c r="I30" s="33" t="s">
        <v>143</v>
      </c>
      <c r="J30" s="33" t="s">
        <v>159</v>
      </c>
      <c r="K30" s="33" t="s">
        <v>184</v>
      </c>
      <c r="L30" s="35" t="n">
        <v>845.42</v>
      </c>
      <c r="M30" s="33" t="n">
        <v>4</v>
      </c>
      <c r="N30" s="33" t="s">
        <v>146</v>
      </c>
      <c r="O30" s="33" t="s">
        <v>147</v>
      </c>
    </row>
    <row r="31" customFormat="false" ht="15" hidden="false" customHeight="false" outlineLevel="0" collapsed="false">
      <c r="A31" s="33" t="s">
        <v>221</v>
      </c>
      <c r="B31" s="34" t="n">
        <v>45605</v>
      </c>
      <c r="C31" s="34" t="n">
        <v>45606</v>
      </c>
      <c r="D31" s="33" t="n">
        <v>3</v>
      </c>
      <c r="E31" s="33" t="s">
        <v>139</v>
      </c>
      <c r="F31" s="33" t="s">
        <v>155</v>
      </c>
      <c r="G31" s="33" t="s">
        <v>156</v>
      </c>
      <c r="H31" s="33" t="s">
        <v>222</v>
      </c>
      <c r="I31" s="33" t="s">
        <v>143</v>
      </c>
      <c r="J31" s="33" t="s">
        <v>159</v>
      </c>
      <c r="K31" s="33" t="s">
        <v>145</v>
      </c>
      <c r="L31" s="35" t="n">
        <v>582.59</v>
      </c>
      <c r="M31" s="33" t="n">
        <v>3</v>
      </c>
      <c r="N31" s="33" t="s">
        <v>146</v>
      </c>
      <c r="O31" s="33" t="s">
        <v>147</v>
      </c>
    </row>
    <row r="32" customFormat="false" ht="15" hidden="false" customHeight="false" outlineLevel="0" collapsed="false">
      <c r="A32" s="33" t="s">
        <v>223</v>
      </c>
      <c r="B32" s="34" t="n">
        <v>45528</v>
      </c>
      <c r="C32" s="34" t="n">
        <v>45530</v>
      </c>
      <c r="D32" s="33" t="n">
        <v>35</v>
      </c>
      <c r="E32" s="33" t="s">
        <v>139</v>
      </c>
      <c r="F32" s="33" t="s">
        <v>149</v>
      </c>
      <c r="G32" s="33" t="s">
        <v>224</v>
      </c>
      <c r="H32" s="33" t="s">
        <v>186</v>
      </c>
      <c r="I32" s="33" t="s">
        <v>152</v>
      </c>
      <c r="J32" s="33" t="s">
        <v>176</v>
      </c>
      <c r="K32" s="33" t="s">
        <v>160</v>
      </c>
      <c r="L32" s="35" t="n">
        <v>8534.42</v>
      </c>
      <c r="M32" s="33" t="n">
        <v>4</v>
      </c>
      <c r="N32" s="33" t="s">
        <v>146</v>
      </c>
      <c r="O32" s="33" t="s">
        <v>147</v>
      </c>
    </row>
    <row r="33" customFormat="false" ht="15" hidden="false" customHeight="false" outlineLevel="0" collapsed="false">
      <c r="A33" s="33" t="s">
        <v>225</v>
      </c>
      <c r="B33" s="34" t="n">
        <v>45453</v>
      </c>
      <c r="C33" s="34" t="n">
        <v>45458</v>
      </c>
      <c r="D33" s="33" t="n">
        <v>70</v>
      </c>
      <c r="E33" s="33" t="s">
        <v>154</v>
      </c>
      <c r="F33" s="33" t="s">
        <v>226</v>
      </c>
      <c r="G33" s="33" t="s">
        <v>227</v>
      </c>
      <c r="H33" s="33" t="s">
        <v>228</v>
      </c>
      <c r="I33" s="33" t="s">
        <v>143</v>
      </c>
      <c r="J33" s="33" t="s">
        <v>144</v>
      </c>
      <c r="K33" s="33" t="s">
        <v>145</v>
      </c>
      <c r="L33" s="35" t="n">
        <v>26155.83</v>
      </c>
      <c r="M33" s="33" t="n">
        <v>4</v>
      </c>
      <c r="N33" s="33" t="s">
        <v>146</v>
      </c>
      <c r="O33" s="33" t="s">
        <v>147</v>
      </c>
    </row>
    <row r="34" customFormat="false" ht="15" hidden="false" customHeight="false" outlineLevel="0" collapsed="false">
      <c r="A34" s="33" t="s">
        <v>229</v>
      </c>
      <c r="B34" s="34" t="n">
        <v>45640</v>
      </c>
      <c r="C34" s="34" t="n">
        <v>45642</v>
      </c>
      <c r="D34" s="33" t="n">
        <v>22</v>
      </c>
      <c r="E34" s="33" t="s">
        <v>139</v>
      </c>
      <c r="F34" s="33" t="s">
        <v>169</v>
      </c>
      <c r="G34" s="33" t="s">
        <v>230</v>
      </c>
      <c r="H34" s="33" t="s">
        <v>195</v>
      </c>
      <c r="I34" s="33" t="s">
        <v>158</v>
      </c>
      <c r="J34" s="33" t="s">
        <v>144</v>
      </c>
      <c r="K34" s="33" t="s">
        <v>184</v>
      </c>
      <c r="L34" s="35" t="n">
        <v>3701.94</v>
      </c>
      <c r="M34" s="33" t="n">
        <v>4</v>
      </c>
      <c r="N34" s="33" t="s">
        <v>146</v>
      </c>
      <c r="O34" s="33" t="s">
        <v>147</v>
      </c>
    </row>
    <row r="35" customFormat="false" ht="15" hidden="false" customHeight="false" outlineLevel="0" collapsed="false">
      <c r="A35" s="33" t="s">
        <v>231</v>
      </c>
      <c r="B35" s="34" t="n">
        <v>45505</v>
      </c>
      <c r="C35" s="34" t="n">
        <v>45506</v>
      </c>
      <c r="D35" s="33" t="n">
        <v>85</v>
      </c>
      <c r="E35" s="33" t="s">
        <v>139</v>
      </c>
      <c r="F35" s="33" t="s">
        <v>203</v>
      </c>
      <c r="G35" s="33" t="s">
        <v>232</v>
      </c>
      <c r="H35" s="33" t="s">
        <v>233</v>
      </c>
      <c r="I35" s="33" t="s">
        <v>143</v>
      </c>
      <c r="J35" s="33" t="s">
        <v>144</v>
      </c>
      <c r="K35" s="33" t="s">
        <v>145</v>
      </c>
      <c r="L35" s="35" t="n">
        <v>1625.8</v>
      </c>
      <c r="M35" s="33" t="n">
        <v>4</v>
      </c>
      <c r="N35" s="33" t="s">
        <v>146</v>
      </c>
      <c r="O35" s="33" t="s">
        <v>147</v>
      </c>
    </row>
    <row r="36" customFormat="false" ht="15" hidden="false" customHeight="false" outlineLevel="0" collapsed="false">
      <c r="A36" s="33" t="s">
        <v>234</v>
      </c>
      <c r="B36" s="34" t="n">
        <v>45506</v>
      </c>
      <c r="C36" s="34" t="n">
        <v>45507</v>
      </c>
      <c r="D36" s="33" t="n">
        <v>48</v>
      </c>
      <c r="E36" s="33" t="s">
        <v>154</v>
      </c>
      <c r="F36" s="33" t="s">
        <v>169</v>
      </c>
      <c r="G36" s="33" t="s">
        <v>230</v>
      </c>
      <c r="H36" s="33" t="s">
        <v>171</v>
      </c>
      <c r="I36" s="33" t="s">
        <v>152</v>
      </c>
      <c r="J36" s="33" t="s">
        <v>159</v>
      </c>
      <c r="K36" s="33" t="s">
        <v>145</v>
      </c>
      <c r="L36" s="35" t="n">
        <v>1085.69</v>
      </c>
      <c r="M36" s="33" t="n">
        <v>4</v>
      </c>
      <c r="N36" s="33" t="s">
        <v>146</v>
      </c>
      <c r="O36" s="33" t="s">
        <v>147</v>
      </c>
    </row>
    <row r="37" customFormat="false" ht="15" hidden="false" customHeight="false" outlineLevel="0" collapsed="false">
      <c r="A37" s="33" t="s">
        <v>235</v>
      </c>
      <c r="B37" s="34" t="n">
        <v>45381</v>
      </c>
      <c r="C37" s="34" t="n">
        <v>45383</v>
      </c>
      <c r="D37" s="33" t="n">
        <v>38</v>
      </c>
      <c r="E37" s="33" t="s">
        <v>154</v>
      </c>
      <c r="F37" s="33" t="s">
        <v>173</v>
      </c>
      <c r="G37" s="33" t="s">
        <v>174</v>
      </c>
      <c r="H37" s="33" t="s">
        <v>199</v>
      </c>
      <c r="I37" s="33" t="s">
        <v>152</v>
      </c>
      <c r="J37" s="33" t="s">
        <v>159</v>
      </c>
      <c r="K37" s="33" t="s">
        <v>145</v>
      </c>
      <c r="L37" s="35" t="n">
        <v>4855.17</v>
      </c>
      <c r="M37" s="33" t="n">
        <v>3</v>
      </c>
      <c r="N37" s="33" t="s">
        <v>146</v>
      </c>
      <c r="O37" s="33" t="s">
        <v>147</v>
      </c>
    </row>
    <row r="38" customFormat="false" ht="15" hidden="false" customHeight="false" outlineLevel="0" collapsed="false">
      <c r="A38" s="33" t="s">
        <v>236</v>
      </c>
      <c r="B38" s="34" t="n">
        <v>45517</v>
      </c>
      <c r="C38" s="34" t="n">
        <v>45521</v>
      </c>
      <c r="D38" s="33" t="n">
        <v>67</v>
      </c>
      <c r="E38" s="33" t="s">
        <v>139</v>
      </c>
      <c r="F38" s="33" t="s">
        <v>181</v>
      </c>
      <c r="G38" s="33" t="s">
        <v>237</v>
      </c>
      <c r="H38" s="33" t="s">
        <v>183</v>
      </c>
      <c r="I38" s="33" t="s">
        <v>152</v>
      </c>
      <c r="J38" s="33" t="s">
        <v>144</v>
      </c>
      <c r="K38" s="33" t="s">
        <v>160</v>
      </c>
      <c r="L38" s="35" t="n">
        <v>19527.71</v>
      </c>
      <c r="M38" s="33" t="n">
        <v>2</v>
      </c>
      <c r="N38" s="33" t="s">
        <v>146</v>
      </c>
      <c r="O38" s="33" t="s">
        <v>147</v>
      </c>
    </row>
    <row r="39" customFormat="false" ht="15" hidden="false" customHeight="false" outlineLevel="0" collapsed="false">
      <c r="A39" s="33" t="s">
        <v>238</v>
      </c>
      <c r="B39" s="34" t="n">
        <v>45407</v>
      </c>
      <c r="C39" s="34" t="n">
        <v>45415</v>
      </c>
      <c r="D39" s="33" t="n">
        <v>44</v>
      </c>
      <c r="E39" s="33" t="s">
        <v>154</v>
      </c>
      <c r="F39" s="33" t="s">
        <v>169</v>
      </c>
      <c r="G39" s="33" t="s">
        <v>213</v>
      </c>
      <c r="H39" s="33" t="s">
        <v>171</v>
      </c>
      <c r="I39" s="33" t="s">
        <v>143</v>
      </c>
      <c r="J39" s="33" t="s">
        <v>159</v>
      </c>
      <c r="K39" s="33" t="s">
        <v>145</v>
      </c>
      <c r="L39" s="35" t="n">
        <v>6876.01</v>
      </c>
      <c r="M39" s="33" t="n">
        <v>5</v>
      </c>
      <c r="N39" s="33" t="s">
        <v>146</v>
      </c>
      <c r="O39" s="33" t="s">
        <v>147</v>
      </c>
    </row>
    <row r="40" customFormat="false" ht="15" hidden="false" customHeight="false" outlineLevel="0" collapsed="false">
      <c r="A40" s="33" t="s">
        <v>239</v>
      </c>
      <c r="B40" s="34" t="n">
        <v>45393</v>
      </c>
      <c r="C40" s="34" t="n">
        <v>45394</v>
      </c>
      <c r="D40" s="33" t="n">
        <v>67</v>
      </c>
      <c r="E40" s="33" t="s">
        <v>154</v>
      </c>
      <c r="F40" s="33" t="s">
        <v>240</v>
      </c>
      <c r="G40" s="33" t="s">
        <v>241</v>
      </c>
      <c r="H40" s="33" t="s">
        <v>205</v>
      </c>
      <c r="I40" s="33" t="s">
        <v>143</v>
      </c>
      <c r="J40" s="33" t="s">
        <v>144</v>
      </c>
      <c r="K40" s="33" t="s">
        <v>145</v>
      </c>
      <c r="L40" s="35" t="n">
        <v>1428.88</v>
      </c>
      <c r="M40" s="33" t="n">
        <v>4</v>
      </c>
      <c r="N40" s="33" t="s">
        <v>146</v>
      </c>
      <c r="O40" s="33" t="s">
        <v>147</v>
      </c>
    </row>
    <row r="41" customFormat="false" ht="15" hidden="false" customHeight="false" outlineLevel="0" collapsed="false">
      <c r="A41" s="33" t="s">
        <v>242</v>
      </c>
      <c r="B41" s="34" t="n">
        <v>45504</v>
      </c>
      <c r="C41" s="34" t="n">
        <v>45505</v>
      </c>
      <c r="D41" s="33" t="n">
        <v>26</v>
      </c>
      <c r="E41" s="33" t="s">
        <v>139</v>
      </c>
      <c r="F41" s="33" t="s">
        <v>149</v>
      </c>
      <c r="G41" s="33" t="s">
        <v>243</v>
      </c>
      <c r="H41" s="33" t="s">
        <v>151</v>
      </c>
      <c r="I41" s="33" t="s">
        <v>152</v>
      </c>
      <c r="J41" s="33" t="s">
        <v>159</v>
      </c>
      <c r="K41" s="33" t="s">
        <v>184</v>
      </c>
      <c r="L41" s="35" t="n">
        <v>1662.49</v>
      </c>
      <c r="M41" s="33" t="n">
        <v>3</v>
      </c>
      <c r="N41" s="33" t="s">
        <v>146</v>
      </c>
      <c r="O41" s="33" t="s">
        <v>147</v>
      </c>
    </row>
    <row r="42" customFormat="false" ht="15" hidden="false" customHeight="false" outlineLevel="0" collapsed="false">
      <c r="A42" s="33" t="s">
        <v>244</v>
      </c>
      <c r="B42" s="34" t="n">
        <v>45530</v>
      </c>
      <c r="C42" s="34" t="n">
        <v>45535</v>
      </c>
      <c r="D42" s="33" t="n">
        <v>48</v>
      </c>
      <c r="E42" s="33" t="s">
        <v>190</v>
      </c>
      <c r="F42" s="33" t="s">
        <v>181</v>
      </c>
      <c r="G42" s="33" t="s">
        <v>237</v>
      </c>
      <c r="H42" s="33" t="s">
        <v>245</v>
      </c>
      <c r="I42" s="33" t="s">
        <v>143</v>
      </c>
      <c r="J42" s="33" t="s">
        <v>176</v>
      </c>
      <c r="K42" s="33" t="s">
        <v>145</v>
      </c>
      <c r="L42" s="35" t="n">
        <v>44034.66</v>
      </c>
      <c r="M42" s="33" t="n">
        <v>5</v>
      </c>
      <c r="N42" s="33" t="s">
        <v>146</v>
      </c>
      <c r="O42" s="33" t="s">
        <v>147</v>
      </c>
    </row>
    <row r="43" customFormat="false" ht="15" hidden="false" customHeight="false" outlineLevel="0" collapsed="false">
      <c r="A43" s="33" t="s">
        <v>246</v>
      </c>
      <c r="B43" s="34" t="n">
        <v>45337</v>
      </c>
      <c r="C43" s="34" t="n">
        <v>45338</v>
      </c>
      <c r="D43" s="33" t="n">
        <v>7</v>
      </c>
      <c r="E43" s="33" t="s">
        <v>154</v>
      </c>
      <c r="F43" s="33" t="s">
        <v>203</v>
      </c>
      <c r="G43" s="33" t="s">
        <v>232</v>
      </c>
      <c r="H43" s="33" t="s">
        <v>233</v>
      </c>
      <c r="I43" s="33" t="s">
        <v>143</v>
      </c>
      <c r="J43" s="33" t="s">
        <v>176</v>
      </c>
      <c r="K43" s="36"/>
      <c r="L43" s="35" t="n">
        <v>3428.61</v>
      </c>
      <c r="M43" s="33" t="n">
        <v>4</v>
      </c>
      <c r="N43" s="33" t="s">
        <v>146</v>
      </c>
      <c r="O43" s="33" t="s">
        <v>247</v>
      </c>
    </row>
    <row r="44" customFormat="false" ht="15" hidden="false" customHeight="false" outlineLevel="0" collapsed="false">
      <c r="A44" s="33" t="s">
        <v>248</v>
      </c>
      <c r="B44" s="34" t="n">
        <v>45399</v>
      </c>
      <c r="C44" s="34" t="n">
        <v>45400</v>
      </c>
      <c r="D44" s="33" t="n">
        <v>40</v>
      </c>
      <c r="E44" s="33" t="s">
        <v>154</v>
      </c>
      <c r="F44" s="33" t="s">
        <v>203</v>
      </c>
      <c r="G44" s="33" t="s">
        <v>204</v>
      </c>
      <c r="H44" s="33" t="s">
        <v>193</v>
      </c>
      <c r="I44" s="33" t="s">
        <v>143</v>
      </c>
      <c r="J44" s="33" t="s">
        <v>159</v>
      </c>
      <c r="K44" s="33" t="s">
        <v>145</v>
      </c>
      <c r="L44" s="35" t="n">
        <v>861.64</v>
      </c>
      <c r="M44" s="33" t="n">
        <v>3</v>
      </c>
      <c r="N44" s="33" t="s">
        <v>146</v>
      </c>
      <c r="O44" s="33" t="s">
        <v>147</v>
      </c>
    </row>
    <row r="45" customFormat="false" ht="15" hidden="false" customHeight="false" outlineLevel="0" collapsed="false">
      <c r="A45" s="33" t="s">
        <v>249</v>
      </c>
      <c r="B45" s="34" t="n">
        <v>45517</v>
      </c>
      <c r="C45" s="34" t="n">
        <v>45527</v>
      </c>
      <c r="D45" s="33" t="n">
        <v>55</v>
      </c>
      <c r="E45" s="33" t="s">
        <v>139</v>
      </c>
      <c r="F45" s="33" t="s">
        <v>181</v>
      </c>
      <c r="G45" s="33" t="s">
        <v>188</v>
      </c>
      <c r="H45" s="33" t="s">
        <v>245</v>
      </c>
      <c r="I45" s="33" t="s">
        <v>143</v>
      </c>
      <c r="J45" s="33" t="s">
        <v>144</v>
      </c>
      <c r="K45" s="33" t="s">
        <v>160</v>
      </c>
      <c r="L45" s="37" t="n">
        <v>-500</v>
      </c>
      <c r="M45" s="36"/>
      <c r="N45" s="33" t="s">
        <v>146</v>
      </c>
      <c r="O45" s="33" t="s">
        <v>147</v>
      </c>
    </row>
    <row r="46" customFormat="false" ht="15" hidden="false" customHeight="false" outlineLevel="0" collapsed="false">
      <c r="A46" s="33" t="s">
        <v>250</v>
      </c>
      <c r="B46" s="34" t="n">
        <v>45523</v>
      </c>
      <c r="C46" s="34" t="n">
        <v>45528</v>
      </c>
      <c r="D46" s="33" t="n">
        <v>64</v>
      </c>
      <c r="E46" s="33" t="s">
        <v>139</v>
      </c>
      <c r="F46" s="33" t="s">
        <v>181</v>
      </c>
      <c r="G46" s="33" t="s">
        <v>182</v>
      </c>
      <c r="H46" s="33" t="s">
        <v>183</v>
      </c>
      <c r="I46" s="33" t="s">
        <v>158</v>
      </c>
      <c r="J46" s="33" t="s">
        <v>159</v>
      </c>
      <c r="K46" s="33" t="s">
        <v>209</v>
      </c>
      <c r="L46" s="35" t="n">
        <v>12253.85</v>
      </c>
      <c r="M46" s="33" t="n">
        <v>2</v>
      </c>
      <c r="N46" s="33" t="s">
        <v>146</v>
      </c>
      <c r="O46" s="33" t="s">
        <v>147</v>
      </c>
    </row>
    <row r="47" customFormat="false" ht="15" hidden="false" customHeight="false" outlineLevel="0" collapsed="false">
      <c r="A47" s="33" t="s">
        <v>251</v>
      </c>
      <c r="B47" s="34" t="n">
        <v>45583</v>
      </c>
      <c r="C47" s="34" t="n">
        <v>45588</v>
      </c>
      <c r="D47" s="33" t="n">
        <v>57</v>
      </c>
      <c r="E47" s="33" t="s">
        <v>154</v>
      </c>
      <c r="F47" s="33" t="s">
        <v>181</v>
      </c>
      <c r="G47" s="33" t="s">
        <v>237</v>
      </c>
      <c r="H47" s="33" t="s">
        <v>245</v>
      </c>
      <c r="I47" s="33" t="s">
        <v>152</v>
      </c>
      <c r="J47" s="33" t="s">
        <v>159</v>
      </c>
      <c r="K47" s="33" t="s">
        <v>184</v>
      </c>
      <c r="L47" s="35" t="n">
        <v>11210.85</v>
      </c>
      <c r="M47" s="33" t="n">
        <v>4</v>
      </c>
      <c r="N47" s="33" t="s">
        <v>146</v>
      </c>
      <c r="O47" s="33" t="s">
        <v>247</v>
      </c>
    </row>
    <row r="48" customFormat="false" ht="15" hidden="false" customHeight="false" outlineLevel="0" collapsed="false">
      <c r="A48" s="33" t="s">
        <v>252</v>
      </c>
      <c r="B48" s="34" t="n">
        <v>45435</v>
      </c>
      <c r="C48" s="34" t="n">
        <v>45440</v>
      </c>
      <c r="D48" s="33" t="n">
        <v>24</v>
      </c>
      <c r="E48" s="33" t="s">
        <v>139</v>
      </c>
      <c r="F48" s="33" t="s">
        <v>173</v>
      </c>
      <c r="G48" s="33" t="s">
        <v>198</v>
      </c>
      <c r="H48" s="33" t="s">
        <v>175</v>
      </c>
      <c r="I48" s="33" t="s">
        <v>143</v>
      </c>
      <c r="J48" s="33" t="s">
        <v>159</v>
      </c>
      <c r="K48" s="33" t="s">
        <v>160</v>
      </c>
      <c r="L48" s="35" t="n">
        <v>12358.31</v>
      </c>
      <c r="M48" s="33" t="n">
        <v>4</v>
      </c>
      <c r="N48" s="33" t="s">
        <v>210</v>
      </c>
      <c r="O48" s="33" t="s">
        <v>147</v>
      </c>
    </row>
    <row r="49" customFormat="false" ht="15" hidden="false" customHeight="false" outlineLevel="0" collapsed="false">
      <c r="A49" s="33" t="s">
        <v>253</v>
      </c>
      <c r="B49" s="34" t="n">
        <v>45458</v>
      </c>
      <c r="C49" s="34" t="n">
        <v>45459</v>
      </c>
      <c r="D49" s="33" t="n">
        <v>56</v>
      </c>
      <c r="E49" s="33" t="s">
        <v>139</v>
      </c>
      <c r="F49" s="33" t="s">
        <v>203</v>
      </c>
      <c r="G49" s="33" t="s">
        <v>192</v>
      </c>
      <c r="H49" s="33" t="s">
        <v>193</v>
      </c>
      <c r="I49" s="33" t="s">
        <v>143</v>
      </c>
      <c r="J49" s="33" t="s">
        <v>159</v>
      </c>
      <c r="K49" s="36"/>
      <c r="L49" s="35" t="n">
        <v>858.46</v>
      </c>
      <c r="M49" s="33" t="n">
        <v>4</v>
      </c>
      <c r="N49" s="33" t="s">
        <v>146</v>
      </c>
      <c r="O49" s="33" t="s">
        <v>147</v>
      </c>
    </row>
    <row r="50" customFormat="false" ht="15" hidden="false" customHeight="false" outlineLevel="0" collapsed="false">
      <c r="A50" s="33" t="s">
        <v>254</v>
      </c>
      <c r="B50" s="34" t="n">
        <v>45599</v>
      </c>
      <c r="C50" s="34" t="n">
        <v>45604</v>
      </c>
      <c r="D50" s="33" t="n">
        <v>63</v>
      </c>
      <c r="E50" s="33" t="s">
        <v>154</v>
      </c>
      <c r="F50" s="33" t="s">
        <v>173</v>
      </c>
      <c r="G50" s="33" t="s">
        <v>174</v>
      </c>
      <c r="H50" s="33" t="s">
        <v>175</v>
      </c>
      <c r="I50" s="33" t="s">
        <v>158</v>
      </c>
      <c r="J50" s="33" t="s">
        <v>144</v>
      </c>
      <c r="K50" s="33" t="s">
        <v>160</v>
      </c>
      <c r="L50" s="35" t="n">
        <v>22038.64</v>
      </c>
      <c r="M50" s="33" t="n">
        <v>3</v>
      </c>
      <c r="N50" s="33" t="s">
        <v>146</v>
      </c>
      <c r="O50" s="33" t="s">
        <v>147</v>
      </c>
    </row>
    <row r="51" customFormat="false" ht="15" hidden="false" customHeight="false" outlineLevel="0" collapsed="false">
      <c r="A51" s="33" t="s">
        <v>255</v>
      </c>
      <c r="B51" s="34" t="n">
        <v>45466</v>
      </c>
      <c r="C51" s="34" t="n">
        <v>45468</v>
      </c>
      <c r="D51" s="33" t="n">
        <v>7</v>
      </c>
      <c r="E51" s="33" t="s">
        <v>216</v>
      </c>
      <c r="F51" s="33" t="s">
        <v>155</v>
      </c>
      <c r="G51" s="33" t="s">
        <v>220</v>
      </c>
      <c r="H51" s="33" t="s">
        <v>222</v>
      </c>
      <c r="I51" s="33" t="s">
        <v>143</v>
      </c>
      <c r="J51" s="33" t="s">
        <v>159</v>
      </c>
      <c r="K51" s="33" t="s">
        <v>160</v>
      </c>
      <c r="L51" s="35" t="n">
        <v>1626.47</v>
      </c>
      <c r="M51" s="33" t="n">
        <v>4</v>
      </c>
      <c r="N51" s="33" t="s">
        <v>146</v>
      </c>
      <c r="O51" s="33" t="s">
        <v>147</v>
      </c>
    </row>
    <row r="52" customFormat="false" ht="15" hidden="false" customHeight="false" outlineLevel="0" collapsed="false">
      <c r="A52" s="33" t="s">
        <v>256</v>
      </c>
      <c r="B52" s="34" t="n">
        <v>45601</v>
      </c>
      <c r="C52" s="34" t="n">
        <v>45610</v>
      </c>
      <c r="D52" s="33" t="n">
        <v>35</v>
      </c>
      <c r="E52" s="33" t="s">
        <v>257</v>
      </c>
      <c r="F52" s="33" t="s">
        <v>226</v>
      </c>
      <c r="G52" s="33" t="s">
        <v>258</v>
      </c>
      <c r="H52" s="33" t="s">
        <v>228</v>
      </c>
      <c r="I52" s="33" t="s">
        <v>143</v>
      </c>
      <c r="J52" s="33" t="s">
        <v>159</v>
      </c>
      <c r="K52" s="33" t="s">
        <v>145</v>
      </c>
      <c r="L52" s="35" t="n">
        <v>25981.99</v>
      </c>
      <c r="M52" s="33" t="n">
        <v>4</v>
      </c>
      <c r="N52" s="33" t="s">
        <v>146</v>
      </c>
      <c r="O52" s="33" t="s">
        <v>147</v>
      </c>
    </row>
    <row r="53" customFormat="false" ht="15" hidden="false" customHeight="false" outlineLevel="0" collapsed="false">
      <c r="A53" s="33" t="s">
        <v>259</v>
      </c>
      <c r="B53" s="34" t="n">
        <v>45454</v>
      </c>
      <c r="C53" s="34" t="n">
        <v>45458</v>
      </c>
      <c r="D53" s="33" t="n">
        <v>7</v>
      </c>
      <c r="E53" s="33" t="s">
        <v>139</v>
      </c>
      <c r="F53" s="33" t="s">
        <v>155</v>
      </c>
      <c r="G53" s="33" t="s">
        <v>220</v>
      </c>
      <c r="H53" s="33" t="s">
        <v>222</v>
      </c>
      <c r="I53" s="33" t="s">
        <v>158</v>
      </c>
      <c r="J53" s="33" t="s">
        <v>159</v>
      </c>
      <c r="K53" s="33" t="s">
        <v>160</v>
      </c>
      <c r="L53" s="37" t="n">
        <v>-500</v>
      </c>
      <c r="M53" s="33" t="n">
        <v>4</v>
      </c>
      <c r="N53" s="33" t="s">
        <v>146</v>
      </c>
      <c r="O53" s="33" t="s">
        <v>147</v>
      </c>
    </row>
    <row r="54" customFormat="false" ht="15" hidden="false" customHeight="false" outlineLevel="0" collapsed="false">
      <c r="A54" s="33" t="s">
        <v>260</v>
      </c>
      <c r="B54" s="34" t="n">
        <v>45642</v>
      </c>
      <c r="C54" s="34" t="n">
        <v>45651</v>
      </c>
      <c r="D54" s="33" t="n">
        <v>19</v>
      </c>
      <c r="E54" s="33" t="s">
        <v>154</v>
      </c>
      <c r="F54" s="33" t="s">
        <v>173</v>
      </c>
      <c r="G54" s="33" t="s">
        <v>198</v>
      </c>
      <c r="H54" s="33" t="s">
        <v>199</v>
      </c>
      <c r="I54" s="33" t="s">
        <v>143</v>
      </c>
      <c r="J54" s="33" t="s">
        <v>159</v>
      </c>
      <c r="K54" s="33" t="s">
        <v>145</v>
      </c>
      <c r="L54" s="35" t="n">
        <v>20813</v>
      </c>
      <c r="M54" s="33" t="n">
        <v>4</v>
      </c>
      <c r="N54" s="33" t="s">
        <v>146</v>
      </c>
      <c r="O54" s="33" t="s">
        <v>147</v>
      </c>
    </row>
    <row r="55" customFormat="false" ht="15" hidden="false" customHeight="false" outlineLevel="0" collapsed="false">
      <c r="A55" s="33" t="s">
        <v>261</v>
      </c>
      <c r="B55" s="34" t="n">
        <v>45375</v>
      </c>
      <c r="C55" s="34" t="n">
        <v>45379</v>
      </c>
      <c r="D55" s="33" t="n">
        <v>75</v>
      </c>
      <c r="E55" s="33" t="s">
        <v>154</v>
      </c>
      <c r="F55" s="33" t="s">
        <v>162</v>
      </c>
      <c r="G55" s="33" t="s">
        <v>170</v>
      </c>
      <c r="H55" s="33" t="s">
        <v>164</v>
      </c>
      <c r="I55" s="33" t="s">
        <v>158</v>
      </c>
      <c r="J55" s="33" t="s">
        <v>159</v>
      </c>
      <c r="K55" s="33" t="s">
        <v>160</v>
      </c>
      <c r="L55" s="35" t="n">
        <v>4484.24</v>
      </c>
      <c r="M55" s="33" t="n">
        <v>3</v>
      </c>
      <c r="N55" s="33" t="s">
        <v>146</v>
      </c>
      <c r="O55" s="33" t="s">
        <v>147</v>
      </c>
    </row>
    <row r="56" customFormat="false" ht="15" hidden="false" customHeight="false" outlineLevel="0" collapsed="false">
      <c r="A56" s="33" t="s">
        <v>262</v>
      </c>
      <c r="B56" s="34" t="n">
        <v>45577</v>
      </c>
      <c r="C56" s="34" t="n">
        <v>45581</v>
      </c>
      <c r="D56" s="33" t="n">
        <v>22</v>
      </c>
      <c r="E56" s="33" t="s">
        <v>154</v>
      </c>
      <c r="F56" s="33" t="s">
        <v>226</v>
      </c>
      <c r="G56" s="33" t="s">
        <v>258</v>
      </c>
      <c r="H56" s="33" t="s">
        <v>263</v>
      </c>
      <c r="I56" s="33" t="s">
        <v>152</v>
      </c>
      <c r="J56" s="33" t="s">
        <v>159</v>
      </c>
      <c r="K56" s="33" t="s">
        <v>145</v>
      </c>
      <c r="L56" s="35" t="n">
        <v>10163.5</v>
      </c>
      <c r="M56" s="33" t="n">
        <v>4</v>
      </c>
      <c r="N56" s="33" t="s">
        <v>146</v>
      </c>
      <c r="O56" s="33" t="s">
        <v>147</v>
      </c>
    </row>
    <row r="57" customFormat="false" ht="15" hidden="false" customHeight="false" outlineLevel="0" collapsed="false">
      <c r="A57" s="33" t="s">
        <v>264</v>
      </c>
      <c r="B57" s="34" t="n">
        <v>45362</v>
      </c>
      <c r="C57" s="34" t="n">
        <v>45364</v>
      </c>
      <c r="D57" s="33" t="n">
        <v>40</v>
      </c>
      <c r="E57" s="33" t="s">
        <v>216</v>
      </c>
      <c r="F57" s="33" t="s">
        <v>173</v>
      </c>
      <c r="G57" s="33" t="s">
        <v>174</v>
      </c>
      <c r="H57" s="33" t="s">
        <v>175</v>
      </c>
      <c r="I57" s="33" t="s">
        <v>152</v>
      </c>
      <c r="J57" s="33" t="s">
        <v>176</v>
      </c>
      <c r="K57" s="33" t="s">
        <v>145</v>
      </c>
      <c r="L57" s="35" t="n">
        <v>14666.49</v>
      </c>
      <c r="M57" s="33" t="n">
        <v>5</v>
      </c>
      <c r="N57" s="33" t="s">
        <v>210</v>
      </c>
      <c r="O57" s="33" t="s">
        <v>147</v>
      </c>
    </row>
    <row r="58" customFormat="false" ht="15" hidden="false" customHeight="false" outlineLevel="0" collapsed="false">
      <c r="A58" s="33" t="s">
        <v>265</v>
      </c>
      <c r="B58" s="34" t="n">
        <v>45386</v>
      </c>
      <c r="C58" s="34" t="n">
        <v>45389</v>
      </c>
      <c r="D58" s="33" t="n">
        <v>35</v>
      </c>
      <c r="E58" s="33" t="s">
        <v>139</v>
      </c>
      <c r="F58" s="33" t="s">
        <v>149</v>
      </c>
      <c r="G58" s="33" t="s">
        <v>243</v>
      </c>
      <c r="H58" s="33" t="s">
        <v>151</v>
      </c>
      <c r="I58" s="33" t="s">
        <v>143</v>
      </c>
      <c r="J58" s="33" t="s">
        <v>159</v>
      </c>
      <c r="K58" s="36"/>
      <c r="L58" s="35" t="n">
        <v>4021.59</v>
      </c>
      <c r="M58" s="33" t="n">
        <v>3</v>
      </c>
      <c r="N58" s="33" t="s">
        <v>210</v>
      </c>
      <c r="O58" s="33" t="s">
        <v>147</v>
      </c>
    </row>
    <row r="59" customFormat="false" ht="15" hidden="false" customHeight="false" outlineLevel="0" collapsed="false">
      <c r="A59" s="33" t="s">
        <v>266</v>
      </c>
      <c r="B59" s="34" t="n">
        <v>45381</v>
      </c>
      <c r="C59" s="34" t="n">
        <v>45382</v>
      </c>
      <c r="D59" s="33" t="n">
        <v>11</v>
      </c>
      <c r="E59" s="33" t="s">
        <v>139</v>
      </c>
      <c r="F59" s="33" t="s">
        <v>173</v>
      </c>
      <c r="G59" s="33" t="s">
        <v>198</v>
      </c>
      <c r="H59" s="33" t="s">
        <v>199</v>
      </c>
      <c r="I59" s="33" t="s">
        <v>143</v>
      </c>
      <c r="J59" s="33" t="s">
        <v>159</v>
      </c>
      <c r="K59" s="33" t="s">
        <v>145</v>
      </c>
      <c r="L59" s="35" t="n">
        <v>3063.69</v>
      </c>
      <c r="M59" s="33" t="n">
        <v>4</v>
      </c>
      <c r="N59" s="33" t="s">
        <v>146</v>
      </c>
      <c r="O59" s="33" t="s">
        <v>147</v>
      </c>
    </row>
    <row r="60" customFormat="false" ht="15" hidden="false" customHeight="false" outlineLevel="0" collapsed="false">
      <c r="A60" s="33" t="s">
        <v>267</v>
      </c>
      <c r="B60" s="34" t="n">
        <v>45594</v>
      </c>
      <c r="C60" s="34" t="n">
        <v>45600</v>
      </c>
      <c r="D60" s="33" t="n">
        <v>13</v>
      </c>
      <c r="E60" s="33" t="s">
        <v>139</v>
      </c>
      <c r="F60" s="33" t="s">
        <v>173</v>
      </c>
      <c r="G60" s="33" t="s">
        <v>198</v>
      </c>
      <c r="H60" s="33" t="s">
        <v>175</v>
      </c>
      <c r="I60" s="33" t="s">
        <v>143</v>
      </c>
      <c r="J60" s="33" t="s">
        <v>144</v>
      </c>
      <c r="K60" s="33" t="s">
        <v>160</v>
      </c>
      <c r="L60" s="35" t="n">
        <v>26342.32</v>
      </c>
      <c r="M60" s="33" t="n">
        <v>5</v>
      </c>
      <c r="N60" s="33" t="s">
        <v>146</v>
      </c>
      <c r="O60" s="33" t="s">
        <v>147</v>
      </c>
    </row>
    <row r="61" customFormat="false" ht="15" hidden="false" customHeight="false" outlineLevel="0" collapsed="false">
      <c r="A61" s="33" t="s">
        <v>268</v>
      </c>
      <c r="B61" s="34" t="n">
        <v>45657</v>
      </c>
      <c r="C61" s="34" t="n">
        <v>45658</v>
      </c>
      <c r="D61" s="33" t="n">
        <v>0</v>
      </c>
      <c r="E61" s="33" t="s">
        <v>139</v>
      </c>
      <c r="F61" s="33" t="s">
        <v>240</v>
      </c>
      <c r="G61" s="33" t="s">
        <v>204</v>
      </c>
      <c r="H61" s="33" t="s">
        <v>193</v>
      </c>
      <c r="I61" s="33" t="s">
        <v>143</v>
      </c>
      <c r="J61" s="33" t="s">
        <v>144</v>
      </c>
      <c r="K61" s="33" t="s">
        <v>145</v>
      </c>
      <c r="L61" s="35" t="n">
        <v>1537.28</v>
      </c>
      <c r="M61" s="33" t="n">
        <v>5</v>
      </c>
      <c r="N61" s="33" t="s">
        <v>146</v>
      </c>
      <c r="O61" s="33" t="s">
        <v>147</v>
      </c>
    </row>
    <row r="62" customFormat="false" ht="15" hidden="false" customHeight="false" outlineLevel="0" collapsed="false">
      <c r="A62" s="33" t="s">
        <v>269</v>
      </c>
      <c r="B62" s="34" t="n">
        <v>45578</v>
      </c>
      <c r="C62" s="34" t="n">
        <v>45580</v>
      </c>
      <c r="D62" s="33" t="n">
        <v>44</v>
      </c>
      <c r="E62" s="33" t="s">
        <v>154</v>
      </c>
      <c r="F62" s="33" t="s">
        <v>191</v>
      </c>
      <c r="G62" s="33" t="s">
        <v>241</v>
      </c>
      <c r="H62" s="33" t="s">
        <v>205</v>
      </c>
      <c r="I62" s="33" t="s">
        <v>143</v>
      </c>
      <c r="J62" s="33" t="s">
        <v>144</v>
      </c>
      <c r="K62" s="33" t="s">
        <v>160</v>
      </c>
      <c r="L62" s="35" t="n">
        <v>3286.54</v>
      </c>
      <c r="M62" s="33" t="n">
        <v>3</v>
      </c>
      <c r="N62" s="33" t="s">
        <v>146</v>
      </c>
      <c r="O62" s="33" t="s">
        <v>147</v>
      </c>
    </row>
    <row r="63" customFormat="false" ht="15" hidden="false" customHeight="false" outlineLevel="0" collapsed="false">
      <c r="A63" s="33" t="s">
        <v>270</v>
      </c>
      <c r="B63" s="34" t="n">
        <v>45547</v>
      </c>
      <c r="C63" s="34" t="n">
        <v>45551</v>
      </c>
      <c r="D63" s="33" t="n">
        <v>2</v>
      </c>
      <c r="E63" s="33" t="s">
        <v>180</v>
      </c>
      <c r="F63" s="33" t="s">
        <v>155</v>
      </c>
      <c r="G63" s="33" t="s">
        <v>156</v>
      </c>
      <c r="H63" s="33" t="s">
        <v>222</v>
      </c>
      <c r="I63" s="33" t="s">
        <v>143</v>
      </c>
      <c r="J63" s="33" t="s">
        <v>144</v>
      </c>
      <c r="K63" s="33" t="s">
        <v>184</v>
      </c>
      <c r="L63" s="35" t="n">
        <v>5273.79</v>
      </c>
      <c r="M63" s="33" t="n">
        <v>4</v>
      </c>
      <c r="N63" s="33" t="s">
        <v>146</v>
      </c>
      <c r="O63" s="33" t="s">
        <v>147</v>
      </c>
    </row>
    <row r="64" customFormat="false" ht="15" hidden="false" customHeight="false" outlineLevel="0" collapsed="false">
      <c r="A64" s="33" t="s">
        <v>271</v>
      </c>
      <c r="B64" s="34" t="n">
        <v>45639</v>
      </c>
      <c r="C64" s="34" t="n">
        <v>45642</v>
      </c>
      <c r="D64" s="33" t="n">
        <v>20</v>
      </c>
      <c r="E64" s="33" t="s">
        <v>139</v>
      </c>
      <c r="F64" s="33" t="s">
        <v>149</v>
      </c>
      <c r="G64" s="33" t="s">
        <v>150</v>
      </c>
      <c r="H64" s="33" t="s">
        <v>151</v>
      </c>
      <c r="I64" s="33" t="s">
        <v>143</v>
      </c>
      <c r="J64" s="33" t="s">
        <v>159</v>
      </c>
      <c r="K64" s="33" t="s">
        <v>160</v>
      </c>
      <c r="L64" s="35" t="n">
        <v>4465.93</v>
      </c>
      <c r="M64" s="33" t="n">
        <v>5</v>
      </c>
      <c r="N64" s="33" t="s">
        <v>146</v>
      </c>
      <c r="O64" s="33" t="s">
        <v>147</v>
      </c>
    </row>
    <row r="65" customFormat="false" ht="15" hidden="false" customHeight="false" outlineLevel="0" collapsed="false">
      <c r="A65" s="33" t="s">
        <v>272</v>
      </c>
      <c r="B65" s="34" t="n">
        <v>45651</v>
      </c>
      <c r="C65" s="34" t="n">
        <v>45653</v>
      </c>
      <c r="D65" s="33" t="n">
        <v>43</v>
      </c>
      <c r="E65" s="33" t="s">
        <v>154</v>
      </c>
      <c r="F65" s="33" t="s">
        <v>162</v>
      </c>
      <c r="G65" s="33" t="s">
        <v>170</v>
      </c>
      <c r="H65" s="33" t="s">
        <v>164</v>
      </c>
      <c r="I65" s="33" t="s">
        <v>152</v>
      </c>
      <c r="J65" s="33" t="s">
        <v>144</v>
      </c>
      <c r="K65" s="33" t="s">
        <v>160</v>
      </c>
      <c r="L65" s="35" t="n">
        <v>4031.2</v>
      </c>
      <c r="M65" s="33" t="n">
        <v>4</v>
      </c>
      <c r="N65" s="33" t="s">
        <v>146</v>
      </c>
      <c r="O65" s="33" t="s">
        <v>247</v>
      </c>
    </row>
    <row r="66" customFormat="false" ht="15" hidden="false" customHeight="false" outlineLevel="0" collapsed="false">
      <c r="A66" s="33" t="s">
        <v>273</v>
      </c>
      <c r="B66" s="34" t="n">
        <v>45620</v>
      </c>
      <c r="C66" s="34" t="n">
        <v>45622</v>
      </c>
      <c r="D66" s="33" t="n">
        <v>29</v>
      </c>
      <c r="E66" s="33" t="s">
        <v>139</v>
      </c>
      <c r="F66" s="33" t="s">
        <v>203</v>
      </c>
      <c r="G66" s="33" t="s">
        <v>217</v>
      </c>
      <c r="H66" s="33" t="s">
        <v>205</v>
      </c>
      <c r="I66" s="33" t="s">
        <v>143</v>
      </c>
      <c r="J66" s="33" t="s">
        <v>159</v>
      </c>
      <c r="K66" s="33" t="s">
        <v>145</v>
      </c>
      <c r="L66" s="35" t="n">
        <v>1780.43</v>
      </c>
      <c r="M66" s="33" t="n">
        <v>3</v>
      </c>
      <c r="N66" s="33" t="s">
        <v>146</v>
      </c>
      <c r="O66" s="33" t="s">
        <v>147</v>
      </c>
    </row>
    <row r="67" customFormat="false" ht="15" hidden="false" customHeight="false" outlineLevel="0" collapsed="false">
      <c r="A67" s="33" t="s">
        <v>274</v>
      </c>
      <c r="B67" s="34" t="n">
        <v>45299</v>
      </c>
      <c r="C67" s="34" t="n">
        <v>45301</v>
      </c>
      <c r="D67" s="33" t="n">
        <v>25</v>
      </c>
      <c r="E67" s="33" t="s">
        <v>257</v>
      </c>
      <c r="F67" s="33" t="s">
        <v>162</v>
      </c>
      <c r="G67" s="33" t="s">
        <v>170</v>
      </c>
      <c r="H67" s="33" t="s">
        <v>195</v>
      </c>
      <c r="I67" s="33" t="s">
        <v>143</v>
      </c>
      <c r="J67" s="33" t="s">
        <v>159</v>
      </c>
      <c r="K67" s="33" t="s">
        <v>145</v>
      </c>
      <c r="L67" s="35" t="n">
        <v>2358.9</v>
      </c>
      <c r="M67" s="33" t="n">
        <v>5</v>
      </c>
      <c r="N67" s="33" t="s">
        <v>146</v>
      </c>
      <c r="O67" s="33" t="s">
        <v>147</v>
      </c>
    </row>
    <row r="68" customFormat="false" ht="15" hidden="false" customHeight="false" outlineLevel="0" collapsed="false">
      <c r="A68" s="33" t="s">
        <v>275</v>
      </c>
      <c r="B68" s="34" t="n">
        <v>45388</v>
      </c>
      <c r="C68" s="34" t="n">
        <v>45391</v>
      </c>
      <c r="D68" s="33" t="n">
        <v>35</v>
      </c>
      <c r="E68" s="33" t="s">
        <v>139</v>
      </c>
      <c r="F68" s="33" t="s">
        <v>149</v>
      </c>
      <c r="G68" s="33" t="s">
        <v>243</v>
      </c>
      <c r="H68" s="33" t="s">
        <v>151</v>
      </c>
      <c r="I68" s="33" t="s">
        <v>152</v>
      </c>
      <c r="J68" s="33" t="s">
        <v>159</v>
      </c>
      <c r="K68" s="33" t="s">
        <v>160</v>
      </c>
      <c r="L68" s="35" t="n">
        <v>4392.73</v>
      </c>
      <c r="M68" s="33" t="n">
        <v>3</v>
      </c>
      <c r="N68" s="33" t="s">
        <v>146</v>
      </c>
      <c r="O68" s="33" t="s">
        <v>147</v>
      </c>
    </row>
    <row r="69" customFormat="false" ht="15" hidden="false" customHeight="false" outlineLevel="0" collapsed="false">
      <c r="A69" s="33" t="s">
        <v>276</v>
      </c>
      <c r="B69" s="34" t="n">
        <v>45450</v>
      </c>
      <c r="C69" s="34" t="n">
        <v>45451</v>
      </c>
      <c r="D69" s="33" t="n">
        <v>29</v>
      </c>
      <c r="E69" s="33" t="s">
        <v>154</v>
      </c>
      <c r="F69" s="33" t="s">
        <v>203</v>
      </c>
      <c r="G69" s="33" t="s">
        <v>192</v>
      </c>
      <c r="H69" s="33" t="s">
        <v>193</v>
      </c>
      <c r="I69" s="33" t="s">
        <v>143</v>
      </c>
      <c r="J69" s="33" t="s">
        <v>144</v>
      </c>
      <c r="K69" s="33" t="s">
        <v>160</v>
      </c>
      <c r="L69" s="35" t="n">
        <v>1824.95</v>
      </c>
      <c r="M69" s="33" t="n">
        <v>4</v>
      </c>
      <c r="N69" s="33" t="s">
        <v>146</v>
      </c>
      <c r="O69" s="33" t="s">
        <v>147</v>
      </c>
    </row>
    <row r="70" customFormat="false" ht="15" hidden="false" customHeight="false" outlineLevel="0" collapsed="false">
      <c r="A70" s="33" t="s">
        <v>277</v>
      </c>
      <c r="B70" s="34" t="n">
        <v>45363</v>
      </c>
      <c r="C70" s="34" t="n">
        <v>45364</v>
      </c>
      <c r="D70" s="33" t="n">
        <v>24</v>
      </c>
      <c r="E70" s="33" t="s">
        <v>139</v>
      </c>
      <c r="F70" s="33" t="s">
        <v>149</v>
      </c>
      <c r="G70" s="33" t="s">
        <v>224</v>
      </c>
      <c r="H70" s="33" t="s">
        <v>151</v>
      </c>
      <c r="I70" s="33" t="s">
        <v>143</v>
      </c>
      <c r="J70" s="33" t="s">
        <v>159</v>
      </c>
      <c r="K70" s="33" t="s">
        <v>145</v>
      </c>
      <c r="L70" s="35" t="n">
        <v>1459.06</v>
      </c>
      <c r="M70" s="33" t="n">
        <v>5</v>
      </c>
      <c r="N70" s="33" t="s">
        <v>146</v>
      </c>
      <c r="O70" s="33" t="s">
        <v>147</v>
      </c>
    </row>
    <row r="71" customFormat="false" ht="15" hidden="false" customHeight="false" outlineLevel="0" collapsed="false">
      <c r="A71" s="33" t="s">
        <v>278</v>
      </c>
      <c r="B71" s="34" t="n">
        <v>45571</v>
      </c>
      <c r="C71" s="34" t="n">
        <v>45580</v>
      </c>
      <c r="D71" s="33" t="n">
        <v>78</v>
      </c>
      <c r="E71" s="33" t="s">
        <v>279</v>
      </c>
      <c r="F71" s="33" t="s">
        <v>226</v>
      </c>
      <c r="G71" s="33" t="s">
        <v>227</v>
      </c>
      <c r="H71" s="33" t="s">
        <v>228</v>
      </c>
      <c r="I71" s="33" t="s">
        <v>143</v>
      </c>
      <c r="J71" s="33" t="s">
        <v>176</v>
      </c>
      <c r="K71" s="33" t="s">
        <v>145</v>
      </c>
      <c r="L71" s="35" t="n">
        <v>95183.91</v>
      </c>
      <c r="M71" s="33" t="n">
        <v>3</v>
      </c>
      <c r="N71" s="33" t="s">
        <v>146</v>
      </c>
      <c r="O71" s="33" t="s">
        <v>147</v>
      </c>
    </row>
    <row r="72" customFormat="false" ht="15" hidden="false" customHeight="false" outlineLevel="0" collapsed="false">
      <c r="A72" s="33" t="s">
        <v>280</v>
      </c>
      <c r="B72" s="34" t="n">
        <v>45348</v>
      </c>
      <c r="C72" s="34" t="n">
        <v>45352</v>
      </c>
      <c r="D72" s="33" t="n">
        <v>16</v>
      </c>
      <c r="E72" s="33" t="s">
        <v>139</v>
      </c>
      <c r="F72" s="33" t="s">
        <v>169</v>
      </c>
      <c r="G72" s="33" t="s">
        <v>213</v>
      </c>
      <c r="H72" s="33" t="s">
        <v>171</v>
      </c>
      <c r="I72" s="33" t="s">
        <v>143</v>
      </c>
      <c r="J72" s="33" t="s">
        <v>159</v>
      </c>
      <c r="K72" s="33" t="s">
        <v>160</v>
      </c>
      <c r="L72" s="35" t="n">
        <v>4175.45</v>
      </c>
      <c r="M72" s="33" t="n">
        <v>4</v>
      </c>
      <c r="N72" s="33" t="s">
        <v>146</v>
      </c>
      <c r="O72" s="33" t="s">
        <v>147</v>
      </c>
    </row>
    <row r="73" customFormat="false" ht="15" hidden="false" customHeight="false" outlineLevel="0" collapsed="false">
      <c r="A73" s="33" t="s">
        <v>281</v>
      </c>
      <c r="B73" s="34" t="n">
        <v>45459</v>
      </c>
      <c r="C73" s="34" t="n">
        <v>45460</v>
      </c>
      <c r="D73" s="33" t="n">
        <v>41</v>
      </c>
      <c r="E73" s="33" t="s">
        <v>190</v>
      </c>
      <c r="F73" s="33" t="s">
        <v>149</v>
      </c>
      <c r="G73" s="33" t="s">
        <v>150</v>
      </c>
      <c r="H73" s="33" t="s">
        <v>151</v>
      </c>
      <c r="I73" s="33" t="s">
        <v>152</v>
      </c>
      <c r="J73" s="33" t="s">
        <v>144</v>
      </c>
      <c r="K73" s="33" t="s">
        <v>209</v>
      </c>
      <c r="L73" s="35" t="n">
        <v>2935.51</v>
      </c>
      <c r="M73" s="33" t="n">
        <v>3</v>
      </c>
      <c r="N73" s="33" t="s">
        <v>146</v>
      </c>
      <c r="O73" s="33" t="s">
        <v>147</v>
      </c>
    </row>
    <row r="74" customFormat="false" ht="15" hidden="false" customHeight="false" outlineLevel="0" collapsed="false">
      <c r="A74" s="33" t="s">
        <v>282</v>
      </c>
      <c r="B74" s="34" t="n">
        <v>45410</v>
      </c>
      <c r="C74" s="34" t="n">
        <v>45414</v>
      </c>
      <c r="D74" s="33" t="n">
        <v>46</v>
      </c>
      <c r="E74" s="33" t="s">
        <v>154</v>
      </c>
      <c r="F74" s="33" t="s">
        <v>226</v>
      </c>
      <c r="G74" s="33" t="s">
        <v>227</v>
      </c>
      <c r="H74" s="33" t="s">
        <v>263</v>
      </c>
      <c r="I74" s="33" t="s">
        <v>143</v>
      </c>
      <c r="J74" s="33" t="s">
        <v>144</v>
      </c>
      <c r="K74" s="33" t="s">
        <v>184</v>
      </c>
      <c r="L74" s="35" t="n">
        <v>28901.04</v>
      </c>
      <c r="M74" s="33" t="n">
        <v>3</v>
      </c>
      <c r="N74" s="33" t="s">
        <v>146</v>
      </c>
      <c r="O74" s="33" t="s">
        <v>147</v>
      </c>
    </row>
    <row r="75" customFormat="false" ht="15" hidden="false" customHeight="false" outlineLevel="0" collapsed="false">
      <c r="A75" s="33" t="s">
        <v>283</v>
      </c>
      <c r="B75" s="34" t="n">
        <v>45374</v>
      </c>
      <c r="C75" s="34" t="n">
        <v>45379</v>
      </c>
      <c r="D75" s="33" t="n">
        <v>40</v>
      </c>
      <c r="E75" s="33" t="s">
        <v>154</v>
      </c>
      <c r="F75" s="33" t="s">
        <v>173</v>
      </c>
      <c r="G75" s="33" t="s">
        <v>198</v>
      </c>
      <c r="H75" s="33" t="s">
        <v>199</v>
      </c>
      <c r="I75" s="33" t="s">
        <v>158</v>
      </c>
      <c r="J75" s="33" t="s">
        <v>144</v>
      </c>
      <c r="K75" s="33" t="s">
        <v>160</v>
      </c>
      <c r="L75" s="35" t="n">
        <v>27530.59</v>
      </c>
      <c r="M75" s="33" t="n">
        <v>5</v>
      </c>
      <c r="N75" s="33" t="s">
        <v>146</v>
      </c>
      <c r="O75" s="33" t="s">
        <v>147</v>
      </c>
    </row>
    <row r="76" customFormat="false" ht="15" hidden="false" customHeight="false" outlineLevel="0" collapsed="false">
      <c r="A76" s="33" t="s">
        <v>284</v>
      </c>
      <c r="B76" s="34" t="n">
        <v>45612</v>
      </c>
      <c r="C76" s="34" t="n">
        <v>45613</v>
      </c>
      <c r="D76" s="33" t="n">
        <v>21</v>
      </c>
      <c r="E76" s="33" t="s">
        <v>154</v>
      </c>
      <c r="F76" s="33" t="s">
        <v>203</v>
      </c>
      <c r="G76" s="33" t="s">
        <v>192</v>
      </c>
      <c r="H76" s="33" t="s">
        <v>205</v>
      </c>
      <c r="I76" s="33" t="s">
        <v>143</v>
      </c>
      <c r="J76" s="33" t="s">
        <v>159</v>
      </c>
      <c r="K76" s="33" t="s">
        <v>145</v>
      </c>
      <c r="L76" s="35" t="n">
        <v>953.89</v>
      </c>
      <c r="M76" s="36"/>
      <c r="N76" s="33" t="s">
        <v>146</v>
      </c>
      <c r="O76" s="33" t="s">
        <v>147</v>
      </c>
    </row>
    <row r="77" customFormat="false" ht="15" hidden="false" customHeight="false" outlineLevel="0" collapsed="false">
      <c r="A77" s="33" t="s">
        <v>285</v>
      </c>
      <c r="B77" s="34" t="n">
        <v>45445</v>
      </c>
      <c r="C77" s="34" t="n">
        <v>45446</v>
      </c>
      <c r="D77" s="33" t="n">
        <v>34</v>
      </c>
      <c r="E77" s="33" t="s">
        <v>154</v>
      </c>
      <c r="F77" s="33" t="s">
        <v>203</v>
      </c>
      <c r="G77" s="33" t="s">
        <v>192</v>
      </c>
      <c r="H77" s="33" t="s">
        <v>205</v>
      </c>
      <c r="I77" s="33" t="s">
        <v>143</v>
      </c>
      <c r="J77" s="33" t="s">
        <v>159</v>
      </c>
      <c r="K77" s="33" t="s">
        <v>145</v>
      </c>
      <c r="L77" s="35" t="n">
        <v>842.06</v>
      </c>
      <c r="M77" s="33" t="n">
        <v>3</v>
      </c>
      <c r="N77" s="33" t="s">
        <v>146</v>
      </c>
      <c r="O77" s="33" t="s">
        <v>147</v>
      </c>
    </row>
    <row r="78" customFormat="false" ht="15" hidden="false" customHeight="false" outlineLevel="0" collapsed="false">
      <c r="A78" s="33" t="s">
        <v>286</v>
      </c>
      <c r="B78" s="34" t="n">
        <v>45376</v>
      </c>
      <c r="C78" s="34" t="n">
        <v>45381</v>
      </c>
      <c r="D78" s="33" t="n">
        <v>77</v>
      </c>
      <c r="E78" s="33" t="s">
        <v>154</v>
      </c>
      <c r="F78" s="33" t="s">
        <v>169</v>
      </c>
      <c r="G78" s="33" t="s">
        <v>230</v>
      </c>
      <c r="H78" s="33" t="s">
        <v>164</v>
      </c>
      <c r="I78" s="33" t="s">
        <v>143</v>
      </c>
      <c r="J78" s="33" t="s">
        <v>159</v>
      </c>
      <c r="K78" s="33" t="s">
        <v>145</v>
      </c>
      <c r="L78" s="35" t="n">
        <v>4879.08</v>
      </c>
      <c r="M78" s="33" t="n">
        <v>5</v>
      </c>
      <c r="N78" s="33" t="s">
        <v>146</v>
      </c>
      <c r="O78" s="33" t="s">
        <v>147</v>
      </c>
    </row>
    <row r="79" customFormat="false" ht="15" hidden="false" customHeight="false" outlineLevel="0" collapsed="false">
      <c r="A79" s="33" t="s">
        <v>287</v>
      </c>
      <c r="B79" s="34" t="n">
        <v>45520</v>
      </c>
      <c r="C79" s="34" t="n">
        <v>45521</v>
      </c>
      <c r="D79" s="33" t="n">
        <v>1</v>
      </c>
      <c r="E79" s="33" t="s">
        <v>139</v>
      </c>
      <c r="F79" s="33" t="s">
        <v>288</v>
      </c>
      <c r="G79" s="33" t="s">
        <v>220</v>
      </c>
      <c r="H79" s="33" t="s">
        <v>222</v>
      </c>
      <c r="I79" s="33" t="s">
        <v>152</v>
      </c>
      <c r="J79" s="33" t="s">
        <v>159</v>
      </c>
      <c r="K79" s="33" t="s">
        <v>160</v>
      </c>
      <c r="L79" s="35" t="n">
        <v>773.33</v>
      </c>
      <c r="M79" s="33" t="n">
        <v>3</v>
      </c>
      <c r="N79" s="33" t="s">
        <v>146</v>
      </c>
      <c r="O79" s="33" t="s">
        <v>147</v>
      </c>
    </row>
    <row r="80" customFormat="false" ht="15" hidden="false" customHeight="false" outlineLevel="0" collapsed="false">
      <c r="A80" s="33" t="s">
        <v>289</v>
      </c>
      <c r="B80" s="34" t="n">
        <v>45620</v>
      </c>
      <c r="C80" s="34" t="n">
        <v>45624</v>
      </c>
      <c r="D80" s="33" t="n">
        <v>39</v>
      </c>
      <c r="E80" s="33" t="s">
        <v>154</v>
      </c>
      <c r="F80" s="33" t="s">
        <v>140</v>
      </c>
      <c r="G80" s="33" t="s">
        <v>167</v>
      </c>
      <c r="H80" s="33" t="s">
        <v>290</v>
      </c>
      <c r="I80" s="33" t="s">
        <v>143</v>
      </c>
      <c r="J80" s="33" t="s">
        <v>159</v>
      </c>
      <c r="K80" s="33" t="s">
        <v>160</v>
      </c>
      <c r="L80" s="35" t="n">
        <v>9284.68</v>
      </c>
      <c r="M80" s="36" t="n">
        <v>6</v>
      </c>
      <c r="N80" s="33" t="s">
        <v>146</v>
      </c>
      <c r="O80" s="33" t="s">
        <v>147</v>
      </c>
    </row>
    <row r="81" customFormat="false" ht="15" hidden="false" customHeight="false" outlineLevel="0" collapsed="false">
      <c r="A81" s="33" t="s">
        <v>291</v>
      </c>
      <c r="B81" s="34" t="n">
        <v>45326</v>
      </c>
      <c r="C81" s="34" t="n">
        <v>45330</v>
      </c>
      <c r="D81" s="33" t="n">
        <v>56</v>
      </c>
      <c r="E81" s="33" t="s">
        <v>154</v>
      </c>
      <c r="F81" s="33" t="s">
        <v>181</v>
      </c>
      <c r="G81" s="33" t="s">
        <v>188</v>
      </c>
      <c r="H81" s="33" t="s">
        <v>183</v>
      </c>
      <c r="I81" s="33" t="s">
        <v>143</v>
      </c>
      <c r="J81" s="33" t="s">
        <v>159</v>
      </c>
      <c r="K81" s="33" t="s">
        <v>160</v>
      </c>
      <c r="L81" s="35" t="n">
        <v>11779.78</v>
      </c>
      <c r="M81" s="33" t="n">
        <v>5</v>
      </c>
      <c r="N81" s="33" t="s">
        <v>146</v>
      </c>
      <c r="O81" s="33" t="s">
        <v>147</v>
      </c>
    </row>
    <row r="82" customFormat="false" ht="15" hidden="false" customHeight="false" outlineLevel="0" collapsed="false">
      <c r="A82" s="33" t="s">
        <v>292</v>
      </c>
      <c r="B82" s="34" t="n">
        <v>45361</v>
      </c>
      <c r="C82" s="34" t="n">
        <v>45368</v>
      </c>
      <c r="D82" s="33" t="n">
        <v>32</v>
      </c>
      <c r="E82" s="33" t="s">
        <v>139</v>
      </c>
      <c r="F82" s="33" t="s">
        <v>162</v>
      </c>
      <c r="G82" s="33" t="s">
        <v>230</v>
      </c>
      <c r="H82" s="33" t="s">
        <v>195</v>
      </c>
      <c r="I82" s="33" t="s">
        <v>152</v>
      </c>
      <c r="J82" s="33" t="s">
        <v>159</v>
      </c>
      <c r="K82" s="33" t="s">
        <v>209</v>
      </c>
      <c r="L82" s="35" t="n">
        <v>7327.08</v>
      </c>
      <c r="M82" s="33" t="n">
        <v>5</v>
      </c>
      <c r="N82" s="33" t="s">
        <v>146</v>
      </c>
      <c r="O82" s="33" t="s">
        <v>147</v>
      </c>
    </row>
    <row r="83" customFormat="false" ht="15" hidden="false" customHeight="false" outlineLevel="0" collapsed="false">
      <c r="A83" s="33" t="s">
        <v>293</v>
      </c>
      <c r="B83" s="34" t="n">
        <v>45606</v>
      </c>
      <c r="C83" s="34" t="n">
        <v>45611</v>
      </c>
      <c r="D83" s="33" t="n">
        <v>5</v>
      </c>
      <c r="E83" s="33" t="s">
        <v>154</v>
      </c>
      <c r="F83" s="33" t="s">
        <v>288</v>
      </c>
      <c r="G83" s="33" t="s">
        <v>220</v>
      </c>
      <c r="H83" s="33" t="s">
        <v>157</v>
      </c>
      <c r="I83" s="33" t="s">
        <v>143</v>
      </c>
      <c r="J83" s="33" t="s">
        <v>159</v>
      </c>
      <c r="K83" s="33" t="s">
        <v>145</v>
      </c>
      <c r="L83" s="35" t="n">
        <v>4388.85</v>
      </c>
      <c r="M83" s="33" t="n">
        <v>4</v>
      </c>
      <c r="N83" s="33" t="s">
        <v>146</v>
      </c>
      <c r="O83" s="33" t="s">
        <v>147</v>
      </c>
    </row>
    <row r="84" customFormat="false" ht="15" hidden="false" customHeight="false" outlineLevel="0" collapsed="false">
      <c r="A84" s="33" t="s">
        <v>294</v>
      </c>
      <c r="B84" s="34" t="n">
        <v>45574</v>
      </c>
      <c r="C84" s="34" t="n">
        <v>45576</v>
      </c>
      <c r="D84" s="33" t="n">
        <v>14</v>
      </c>
      <c r="E84" s="33" t="s">
        <v>154</v>
      </c>
      <c r="F84" s="33" t="s">
        <v>155</v>
      </c>
      <c r="G84" s="33" t="s">
        <v>156</v>
      </c>
      <c r="H84" s="33" t="s">
        <v>222</v>
      </c>
      <c r="I84" s="33" t="s">
        <v>158</v>
      </c>
      <c r="J84" s="33" t="s">
        <v>159</v>
      </c>
      <c r="K84" s="33" t="s">
        <v>209</v>
      </c>
      <c r="L84" s="35" t="n">
        <v>1752.04</v>
      </c>
      <c r="M84" s="33" t="n">
        <v>3</v>
      </c>
      <c r="N84" s="33" t="s">
        <v>146</v>
      </c>
      <c r="O84" s="33" t="s">
        <v>295</v>
      </c>
    </row>
    <row r="85" customFormat="false" ht="15" hidden="false" customHeight="false" outlineLevel="0" collapsed="false">
      <c r="A85" s="33" t="s">
        <v>296</v>
      </c>
      <c r="B85" s="34" t="n">
        <v>45562</v>
      </c>
      <c r="C85" s="34" t="n">
        <v>45563</v>
      </c>
      <c r="D85" s="33" t="n">
        <v>10</v>
      </c>
      <c r="E85" s="33" t="s">
        <v>154</v>
      </c>
      <c r="F85" s="33" t="s">
        <v>169</v>
      </c>
      <c r="G85" s="33" t="s">
        <v>230</v>
      </c>
      <c r="H85" s="33" t="s">
        <v>195</v>
      </c>
      <c r="I85" s="33" t="s">
        <v>143</v>
      </c>
      <c r="J85" s="33" t="s">
        <v>159</v>
      </c>
      <c r="K85" s="33" t="s">
        <v>145</v>
      </c>
      <c r="L85" s="35" t="n">
        <v>1048.08</v>
      </c>
      <c r="M85" s="33" t="n">
        <v>4</v>
      </c>
      <c r="N85" s="33" t="s">
        <v>146</v>
      </c>
      <c r="O85" s="33" t="s">
        <v>147</v>
      </c>
    </row>
    <row r="86" customFormat="false" ht="15" hidden="false" customHeight="false" outlineLevel="0" collapsed="false">
      <c r="A86" s="33" t="s">
        <v>297</v>
      </c>
      <c r="B86" s="34" t="n">
        <v>45655</v>
      </c>
      <c r="C86" s="34" t="n">
        <v>45663</v>
      </c>
      <c r="D86" s="33" t="n">
        <v>56</v>
      </c>
      <c r="E86" s="33" t="s">
        <v>154</v>
      </c>
      <c r="F86" s="33" t="s">
        <v>140</v>
      </c>
      <c r="G86" s="33" t="s">
        <v>167</v>
      </c>
      <c r="H86" s="33" t="s">
        <v>142</v>
      </c>
      <c r="I86" s="33" t="s">
        <v>143</v>
      </c>
      <c r="J86" s="33" t="s">
        <v>159</v>
      </c>
      <c r="K86" s="33" t="s">
        <v>209</v>
      </c>
      <c r="L86" s="35" t="n">
        <v>16662.49</v>
      </c>
      <c r="M86" s="33" t="n">
        <v>5</v>
      </c>
      <c r="N86" s="33" t="s">
        <v>146</v>
      </c>
      <c r="O86" s="33" t="s">
        <v>147</v>
      </c>
    </row>
    <row r="87" customFormat="false" ht="15" hidden="false" customHeight="false" outlineLevel="0" collapsed="false">
      <c r="A87" s="33" t="s">
        <v>298</v>
      </c>
      <c r="B87" s="34" t="n">
        <v>45425</v>
      </c>
      <c r="C87" s="34" t="n">
        <v>45427</v>
      </c>
      <c r="D87" s="33" t="n">
        <v>51</v>
      </c>
      <c r="E87" s="33" t="s">
        <v>154</v>
      </c>
      <c r="F87" s="33" t="s">
        <v>203</v>
      </c>
      <c r="G87" s="33" t="s">
        <v>241</v>
      </c>
      <c r="H87" s="33" t="s">
        <v>193</v>
      </c>
      <c r="I87" s="33" t="s">
        <v>143</v>
      </c>
      <c r="J87" s="33" t="s">
        <v>144</v>
      </c>
      <c r="K87" s="33" t="s">
        <v>184</v>
      </c>
      <c r="L87" s="35" t="n">
        <v>3220.18</v>
      </c>
      <c r="M87" s="33" t="n">
        <v>3</v>
      </c>
      <c r="N87" s="33" t="s">
        <v>146</v>
      </c>
      <c r="O87" s="33" t="s">
        <v>147</v>
      </c>
    </row>
    <row r="88" customFormat="false" ht="15" hidden="false" customHeight="false" outlineLevel="0" collapsed="false">
      <c r="A88" s="33" t="s">
        <v>299</v>
      </c>
      <c r="B88" s="34" t="n">
        <v>45476</v>
      </c>
      <c r="C88" s="34" t="n">
        <v>45478</v>
      </c>
      <c r="D88" s="33" t="n">
        <v>58</v>
      </c>
      <c r="E88" s="33" t="s">
        <v>154</v>
      </c>
      <c r="F88" s="33" t="s">
        <v>173</v>
      </c>
      <c r="G88" s="33" t="s">
        <v>198</v>
      </c>
      <c r="H88" s="33" t="s">
        <v>199</v>
      </c>
      <c r="I88" s="33" t="s">
        <v>152</v>
      </c>
      <c r="J88" s="33" t="s">
        <v>159</v>
      </c>
      <c r="K88" s="33" t="s">
        <v>160</v>
      </c>
      <c r="L88" s="35" t="n">
        <v>6014.47</v>
      </c>
      <c r="M88" s="33" t="n">
        <v>3</v>
      </c>
      <c r="N88" s="33" t="s">
        <v>146</v>
      </c>
      <c r="O88" s="33" t="s">
        <v>147</v>
      </c>
    </row>
    <row r="89" customFormat="false" ht="15" hidden="false" customHeight="false" outlineLevel="0" collapsed="false">
      <c r="A89" s="33" t="s">
        <v>300</v>
      </c>
      <c r="B89" s="34" t="n">
        <v>45519</v>
      </c>
      <c r="C89" s="34" t="n">
        <v>45521</v>
      </c>
      <c r="D89" s="33" t="n">
        <v>62</v>
      </c>
      <c r="E89" s="33" t="s">
        <v>139</v>
      </c>
      <c r="F89" s="33" t="s">
        <v>181</v>
      </c>
      <c r="G89" s="33" t="s">
        <v>237</v>
      </c>
      <c r="H89" s="33" t="s">
        <v>245</v>
      </c>
      <c r="I89" s="33" t="s">
        <v>152</v>
      </c>
      <c r="J89" s="33" t="s">
        <v>159</v>
      </c>
      <c r="K89" s="33" t="s">
        <v>145</v>
      </c>
      <c r="L89" s="35" t="n">
        <v>4412.95</v>
      </c>
      <c r="M89" s="33" t="n">
        <v>5</v>
      </c>
      <c r="N89" s="33" t="s">
        <v>146</v>
      </c>
      <c r="O89" s="33" t="s">
        <v>147</v>
      </c>
    </row>
    <row r="90" customFormat="false" ht="15" hidden="false" customHeight="false" outlineLevel="0" collapsed="false">
      <c r="A90" s="33" t="s">
        <v>301</v>
      </c>
      <c r="B90" s="34" t="n">
        <v>45487</v>
      </c>
      <c r="C90" s="34" t="n">
        <v>45493</v>
      </c>
      <c r="D90" s="33" t="n">
        <v>5</v>
      </c>
      <c r="E90" s="33" t="s">
        <v>154</v>
      </c>
      <c r="F90" s="33" t="s">
        <v>155</v>
      </c>
      <c r="G90" s="33" t="s">
        <v>302</v>
      </c>
      <c r="H90" s="33" t="s">
        <v>157</v>
      </c>
      <c r="I90" s="33" t="s">
        <v>152</v>
      </c>
      <c r="J90" s="33" t="s">
        <v>159</v>
      </c>
      <c r="K90" s="33" t="s">
        <v>160</v>
      </c>
      <c r="L90" s="35" t="n">
        <v>5548.97</v>
      </c>
      <c r="M90" s="33" t="n">
        <v>4</v>
      </c>
      <c r="N90" s="33" t="s">
        <v>146</v>
      </c>
      <c r="O90" s="33" t="s">
        <v>147</v>
      </c>
    </row>
    <row r="91" customFormat="false" ht="15" hidden="false" customHeight="false" outlineLevel="0" collapsed="false">
      <c r="A91" s="33" t="s">
        <v>303</v>
      </c>
      <c r="B91" s="34" t="n">
        <v>45349</v>
      </c>
      <c r="C91" s="34" t="n">
        <v>45353</v>
      </c>
      <c r="D91" s="33" t="n">
        <v>58</v>
      </c>
      <c r="E91" s="33" t="s">
        <v>139</v>
      </c>
      <c r="F91" s="33" t="s">
        <v>181</v>
      </c>
      <c r="G91" s="33" t="s">
        <v>182</v>
      </c>
      <c r="H91" s="33" t="s">
        <v>183</v>
      </c>
      <c r="I91" s="33" t="s">
        <v>152</v>
      </c>
      <c r="J91" s="33" t="s">
        <v>144</v>
      </c>
      <c r="K91" s="33" t="s">
        <v>145</v>
      </c>
      <c r="L91" s="35" t="n">
        <v>18955.15</v>
      </c>
      <c r="M91" s="33" t="n">
        <v>4</v>
      </c>
      <c r="N91" s="33" t="s">
        <v>146</v>
      </c>
      <c r="O91" s="33" t="s">
        <v>147</v>
      </c>
    </row>
    <row r="92" customFormat="false" ht="15" hidden="false" customHeight="false" outlineLevel="0" collapsed="false">
      <c r="A92" s="33" t="s">
        <v>304</v>
      </c>
      <c r="B92" s="34" t="n">
        <v>45402</v>
      </c>
      <c r="C92" s="34" t="n">
        <v>45404</v>
      </c>
      <c r="D92" s="33" t="n">
        <v>8</v>
      </c>
      <c r="E92" s="33" t="s">
        <v>139</v>
      </c>
      <c r="F92" s="33" t="s">
        <v>155</v>
      </c>
      <c r="G92" s="33" t="s">
        <v>156</v>
      </c>
      <c r="H92" s="33" t="s">
        <v>222</v>
      </c>
      <c r="I92" s="33" t="s">
        <v>152</v>
      </c>
      <c r="J92" s="33" t="s">
        <v>159</v>
      </c>
      <c r="K92" s="33" t="s">
        <v>160</v>
      </c>
      <c r="L92" s="35" t="n">
        <v>1579</v>
      </c>
      <c r="M92" s="33" t="n">
        <v>3</v>
      </c>
      <c r="N92" s="33" t="s">
        <v>146</v>
      </c>
      <c r="O92" s="33" t="s">
        <v>147</v>
      </c>
    </row>
    <row r="93" customFormat="false" ht="15" hidden="false" customHeight="false" outlineLevel="0" collapsed="false">
      <c r="A93" s="33" t="s">
        <v>305</v>
      </c>
      <c r="B93" s="34" t="n">
        <v>45624</v>
      </c>
      <c r="C93" s="34" t="n">
        <v>45629</v>
      </c>
      <c r="D93" s="33" t="n">
        <v>43</v>
      </c>
      <c r="E93" s="33" t="s">
        <v>139</v>
      </c>
      <c r="F93" s="33" t="s">
        <v>169</v>
      </c>
      <c r="G93" s="33" t="s">
        <v>170</v>
      </c>
      <c r="H93" s="33" t="s">
        <v>171</v>
      </c>
      <c r="I93" s="33" t="s">
        <v>143</v>
      </c>
      <c r="J93" s="33" t="s">
        <v>159</v>
      </c>
      <c r="K93" s="33" t="s">
        <v>145</v>
      </c>
      <c r="L93" s="35" t="n">
        <v>5488.52</v>
      </c>
      <c r="M93" s="33" t="n">
        <v>4</v>
      </c>
      <c r="N93" s="33" t="s">
        <v>146</v>
      </c>
      <c r="O93" s="33" t="s">
        <v>147</v>
      </c>
    </row>
    <row r="94" customFormat="false" ht="15" hidden="false" customHeight="false" outlineLevel="0" collapsed="false">
      <c r="A94" s="33" t="s">
        <v>306</v>
      </c>
      <c r="B94" s="34" t="n">
        <v>45495</v>
      </c>
      <c r="C94" s="34" t="n">
        <v>45500</v>
      </c>
      <c r="D94" s="33" t="n">
        <v>52</v>
      </c>
      <c r="E94" s="33" t="s">
        <v>139</v>
      </c>
      <c r="F94" s="33" t="s">
        <v>181</v>
      </c>
      <c r="G94" s="33" t="s">
        <v>188</v>
      </c>
      <c r="H94" s="33" t="s">
        <v>245</v>
      </c>
      <c r="I94" s="33" t="s">
        <v>152</v>
      </c>
      <c r="J94" s="33" t="s">
        <v>159</v>
      </c>
      <c r="K94" s="33" t="s">
        <v>160</v>
      </c>
      <c r="L94" s="35" t="n">
        <v>12327.2</v>
      </c>
      <c r="M94" s="33" t="n">
        <v>4</v>
      </c>
      <c r="N94" s="33" t="s">
        <v>146</v>
      </c>
      <c r="O94" s="33" t="s">
        <v>147</v>
      </c>
    </row>
    <row r="95" customFormat="false" ht="15" hidden="false" customHeight="false" outlineLevel="0" collapsed="false">
      <c r="A95" s="33" t="s">
        <v>307</v>
      </c>
      <c r="B95" s="34" t="n">
        <v>45526</v>
      </c>
      <c r="C95" s="34" t="n">
        <v>45527</v>
      </c>
      <c r="D95" s="33" t="n">
        <v>52</v>
      </c>
      <c r="E95" s="33" t="s">
        <v>279</v>
      </c>
      <c r="F95" s="33" t="s">
        <v>203</v>
      </c>
      <c r="G95" s="33" t="s">
        <v>192</v>
      </c>
      <c r="H95" s="33" t="s">
        <v>193</v>
      </c>
      <c r="I95" s="33" t="s">
        <v>143</v>
      </c>
      <c r="J95" s="33" t="s">
        <v>176</v>
      </c>
      <c r="K95" s="33" t="s">
        <v>160</v>
      </c>
      <c r="L95" s="35" t="n">
        <v>2901.87</v>
      </c>
      <c r="M95" s="33" t="n">
        <v>4</v>
      </c>
      <c r="N95" s="33" t="s">
        <v>146</v>
      </c>
      <c r="O95" s="33" t="s">
        <v>147</v>
      </c>
    </row>
    <row r="96" customFormat="false" ht="15" hidden="false" customHeight="false" outlineLevel="0" collapsed="false">
      <c r="A96" s="33" t="s">
        <v>308</v>
      </c>
      <c r="B96" s="34" t="n">
        <v>45605</v>
      </c>
      <c r="C96" s="34" t="n">
        <v>45606</v>
      </c>
      <c r="D96" s="33" t="n">
        <v>26</v>
      </c>
      <c r="E96" s="33" t="s">
        <v>216</v>
      </c>
      <c r="F96" s="33" t="s">
        <v>149</v>
      </c>
      <c r="G96" s="33" t="s">
        <v>150</v>
      </c>
      <c r="H96" s="33" t="s">
        <v>151</v>
      </c>
      <c r="I96" s="33" t="s">
        <v>152</v>
      </c>
      <c r="J96" s="33" t="s">
        <v>176</v>
      </c>
      <c r="K96" s="33" t="s">
        <v>145</v>
      </c>
      <c r="L96" s="35" t="n">
        <v>5763.72</v>
      </c>
      <c r="M96" s="33" t="n">
        <v>4</v>
      </c>
      <c r="N96" s="33" t="s">
        <v>146</v>
      </c>
      <c r="O96" s="33" t="s">
        <v>147</v>
      </c>
    </row>
    <row r="97" customFormat="false" ht="15" hidden="false" customHeight="false" outlineLevel="0" collapsed="false">
      <c r="A97" s="33" t="s">
        <v>309</v>
      </c>
      <c r="B97" s="34" t="n">
        <v>45480</v>
      </c>
      <c r="C97" s="34" t="n">
        <v>45482</v>
      </c>
      <c r="D97" s="33" t="n">
        <v>7</v>
      </c>
      <c r="E97" s="33" t="s">
        <v>139</v>
      </c>
      <c r="F97" s="33" t="s">
        <v>155</v>
      </c>
      <c r="G97" s="33" t="s">
        <v>302</v>
      </c>
      <c r="H97" s="33" t="s">
        <v>157</v>
      </c>
      <c r="I97" s="33" t="s">
        <v>152</v>
      </c>
      <c r="J97" s="33" t="s">
        <v>144</v>
      </c>
      <c r="K97" s="33" t="s">
        <v>145</v>
      </c>
      <c r="L97" s="35" t="n">
        <v>2467.33</v>
      </c>
      <c r="M97" s="33" t="n">
        <v>5</v>
      </c>
      <c r="N97" s="33" t="s">
        <v>146</v>
      </c>
      <c r="O97" s="33" t="s">
        <v>147</v>
      </c>
    </row>
    <row r="98" customFormat="false" ht="15" hidden="false" customHeight="false" outlineLevel="0" collapsed="false">
      <c r="A98" s="33" t="s">
        <v>310</v>
      </c>
      <c r="B98" s="34" t="n">
        <v>45308</v>
      </c>
      <c r="C98" s="34" t="n">
        <v>45310</v>
      </c>
      <c r="D98" s="33" t="n">
        <v>41</v>
      </c>
      <c r="E98" s="33" t="s">
        <v>139</v>
      </c>
      <c r="F98" s="33" t="s">
        <v>181</v>
      </c>
      <c r="G98" s="33" t="s">
        <v>182</v>
      </c>
      <c r="H98" s="33" t="s">
        <v>245</v>
      </c>
      <c r="I98" s="33" t="s">
        <v>143</v>
      </c>
      <c r="J98" s="33" t="s">
        <v>144</v>
      </c>
      <c r="K98" s="33" t="s">
        <v>209</v>
      </c>
      <c r="L98" s="35" t="n">
        <v>7405.83</v>
      </c>
      <c r="M98" s="33" t="n">
        <v>3</v>
      </c>
      <c r="N98" s="33" t="s">
        <v>146</v>
      </c>
      <c r="O98" s="33" t="s">
        <v>147</v>
      </c>
    </row>
    <row r="99" customFormat="false" ht="15" hidden="false" customHeight="false" outlineLevel="0" collapsed="false">
      <c r="A99" s="33" t="s">
        <v>311</v>
      </c>
      <c r="B99" s="34" t="n">
        <v>45508</v>
      </c>
      <c r="C99" s="34" t="n">
        <v>45509</v>
      </c>
      <c r="D99" s="33" t="n">
        <v>20</v>
      </c>
      <c r="E99" s="33" t="s">
        <v>139</v>
      </c>
      <c r="F99" s="33" t="s">
        <v>149</v>
      </c>
      <c r="G99" s="33" t="s">
        <v>243</v>
      </c>
      <c r="H99" s="33" t="s">
        <v>186</v>
      </c>
      <c r="I99" s="33" t="s">
        <v>152</v>
      </c>
      <c r="J99" s="33" t="s">
        <v>159</v>
      </c>
      <c r="K99" s="33" t="s">
        <v>209</v>
      </c>
      <c r="L99" s="35" t="n">
        <v>1576.67</v>
      </c>
      <c r="M99" s="33" t="n">
        <v>4</v>
      </c>
      <c r="N99" s="33" t="s">
        <v>146</v>
      </c>
      <c r="O99" s="33" t="s">
        <v>147</v>
      </c>
    </row>
    <row r="100" customFormat="false" ht="15" hidden="false" customHeight="false" outlineLevel="0" collapsed="false">
      <c r="A100" s="33" t="s">
        <v>312</v>
      </c>
      <c r="B100" s="34" t="n">
        <v>45325</v>
      </c>
      <c r="C100" s="34" t="n">
        <v>45327</v>
      </c>
      <c r="D100" s="33" t="n">
        <v>43</v>
      </c>
      <c r="E100" s="33" t="s">
        <v>139</v>
      </c>
      <c r="F100" s="33" t="s">
        <v>173</v>
      </c>
      <c r="G100" s="33" t="s">
        <v>178</v>
      </c>
      <c r="H100" s="33" t="s">
        <v>199</v>
      </c>
      <c r="I100" s="33" t="s">
        <v>143</v>
      </c>
      <c r="J100" s="33" t="s">
        <v>159</v>
      </c>
      <c r="K100" s="33" t="s">
        <v>145</v>
      </c>
      <c r="L100" s="35" t="n">
        <v>5789.65</v>
      </c>
      <c r="M100" s="33" t="n">
        <v>5</v>
      </c>
      <c r="N100" s="33" t="s">
        <v>146</v>
      </c>
      <c r="O100" s="33" t="s">
        <v>147</v>
      </c>
    </row>
    <row r="101" customFormat="false" ht="15" hidden="false" customHeight="false" outlineLevel="0" collapsed="false">
      <c r="A101" s="33" t="s">
        <v>313</v>
      </c>
      <c r="B101" s="34" t="n">
        <v>45389</v>
      </c>
      <c r="C101" s="34" t="n">
        <v>45391</v>
      </c>
      <c r="D101" s="33" t="n">
        <v>9</v>
      </c>
      <c r="E101" s="33" t="s">
        <v>154</v>
      </c>
      <c r="F101" s="33" t="s">
        <v>203</v>
      </c>
      <c r="G101" s="33" t="s">
        <v>217</v>
      </c>
      <c r="H101" s="33" t="s">
        <v>193</v>
      </c>
      <c r="I101" s="33" t="s">
        <v>143</v>
      </c>
      <c r="J101" s="33" t="s">
        <v>159</v>
      </c>
      <c r="K101" s="33" t="s">
        <v>145</v>
      </c>
      <c r="L101" s="35" t="n">
        <v>1487.02</v>
      </c>
      <c r="M101" s="33" t="n">
        <v>4</v>
      </c>
      <c r="N101" s="33" t="s">
        <v>146</v>
      </c>
      <c r="O101" s="36"/>
    </row>
    <row r="102" customFormat="false" ht="15" hidden="false" customHeight="false" outlineLevel="0" collapsed="false">
      <c r="A102" s="33" t="s">
        <v>314</v>
      </c>
      <c r="B102" s="34" t="n">
        <v>45405</v>
      </c>
      <c r="C102" s="34" t="n">
        <v>45406</v>
      </c>
      <c r="D102" s="33" t="n">
        <v>47</v>
      </c>
      <c r="E102" s="33" t="s">
        <v>139</v>
      </c>
      <c r="F102" s="33" t="s">
        <v>203</v>
      </c>
      <c r="G102" s="33" t="s">
        <v>192</v>
      </c>
      <c r="H102" s="33" t="s">
        <v>205</v>
      </c>
      <c r="I102" s="33" t="s">
        <v>143</v>
      </c>
      <c r="J102" s="33" t="s">
        <v>159</v>
      </c>
      <c r="K102" s="33" t="s">
        <v>160</v>
      </c>
      <c r="L102" s="35" t="n">
        <v>839.11</v>
      </c>
      <c r="M102" s="33" t="n">
        <v>5</v>
      </c>
      <c r="N102" s="33" t="s">
        <v>146</v>
      </c>
      <c r="O102" s="33" t="s">
        <v>247</v>
      </c>
    </row>
    <row r="103" customFormat="false" ht="15" hidden="false" customHeight="false" outlineLevel="0" collapsed="false">
      <c r="A103" s="33" t="s">
        <v>315</v>
      </c>
      <c r="B103" s="34" t="n">
        <v>45501</v>
      </c>
      <c r="C103" s="34" t="n">
        <v>45503</v>
      </c>
      <c r="D103" s="33" t="n">
        <v>56</v>
      </c>
      <c r="E103" s="33" t="s">
        <v>139</v>
      </c>
      <c r="F103" s="33" t="s">
        <v>140</v>
      </c>
      <c r="G103" s="33" t="s">
        <v>316</v>
      </c>
      <c r="H103" s="33" t="s">
        <v>142</v>
      </c>
      <c r="I103" s="33" t="s">
        <v>158</v>
      </c>
      <c r="J103" s="33" t="s">
        <v>159</v>
      </c>
      <c r="K103" s="33" t="s">
        <v>145</v>
      </c>
      <c r="L103" s="35" t="n">
        <v>3429.22</v>
      </c>
      <c r="M103" s="33" t="n">
        <v>5</v>
      </c>
      <c r="N103" s="33" t="s">
        <v>146</v>
      </c>
      <c r="O103" s="33" t="s">
        <v>147</v>
      </c>
    </row>
    <row r="104" customFormat="false" ht="15" hidden="false" customHeight="false" outlineLevel="0" collapsed="false">
      <c r="A104" s="33" t="s">
        <v>317</v>
      </c>
      <c r="B104" s="34" t="n">
        <v>45537</v>
      </c>
      <c r="C104" s="34" t="n">
        <v>45541</v>
      </c>
      <c r="D104" s="33" t="n">
        <v>69</v>
      </c>
      <c r="E104" s="33" t="s">
        <v>139</v>
      </c>
      <c r="F104" s="33" t="s">
        <v>226</v>
      </c>
      <c r="G104" s="33" t="s">
        <v>227</v>
      </c>
      <c r="H104" s="33" t="s">
        <v>263</v>
      </c>
      <c r="I104" s="33" t="s">
        <v>152</v>
      </c>
      <c r="J104" s="33" t="s">
        <v>144</v>
      </c>
      <c r="K104" s="33" t="s">
        <v>184</v>
      </c>
      <c r="L104" s="35" t="n">
        <v>22004.22</v>
      </c>
      <c r="M104" s="33" t="n">
        <v>4</v>
      </c>
      <c r="N104" s="33" t="s">
        <v>146</v>
      </c>
      <c r="O104" s="33" t="s">
        <v>147</v>
      </c>
    </row>
    <row r="105" customFormat="false" ht="15" hidden="false" customHeight="false" outlineLevel="0" collapsed="false">
      <c r="A105" s="33" t="s">
        <v>318</v>
      </c>
      <c r="B105" s="34" t="n">
        <v>45640</v>
      </c>
      <c r="C105" s="34" t="n">
        <v>45645</v>
      </c>
      <c r="D105" s="33" t="n">
        <v>42</v>
      </c>
      <c r="E105" s="33" t="s">
        <v>139</v>
      </c>
      <c r="F105" s="33" t="s">
        <v>140</v>
      </c>
      <c r="G105" s="33" t="s">
        <v>167</v>
      </c>
      <c r="H105" s="33" t="s">
        <v>290</v>
      </c>
      <c r="I105" s="33" t="s">
        <v>158</v>
      </c>
      <c r="J105" s="33" t="s">
        <v>159</v>
      </c>
      <c r="K105" s="33" t="s">
        <v>160</v>
      </c>
      <c r="L105" s="35" t="n">
        <v>9874.03</v>
      </c>
      <c r="M105" s="33" t="n">
        <v>4</v>
      </c>
      <c r="N105" s="33" t="s">
        <v>146</v>
      </c>
      <c r="O105" s="33" t="s">
        <v>147</v>
      </c>
    </row>
    <row r="106" customFormat="false" ht="15" hidden="false" customHeight="false" outlineLevel="0" collapsed="false">
      <c r="A106" s="33" t="s">
        <v>319</v>
      </c>
      <c r="B106" s="34" t="n">
        <v>45639</v>
      </c>
      <c r="C106" s="34" t="n">
        <v>45648</v>
      </c>
      <c r="D106" s="33" t="n">
        <v>47</v>
      </c>
      <c r="E106" s="33" t="s">
        <v>154</v>
      </c>
      <c r="F106" s="33" t="s">
        <v>169</v>
      </c>
      <c r="G106" s="33" t="s">
        <v>213</v>
      </c>
      <c r="H106" s="33" t="s">
        <v>195</v>
      </c>
      <c r="I106" s="33" t="s">
        <v>143</v>
      </c>
      <c r="J106" s="33" t="s">
        <v>159</v>
      </c>
      <c r="K106" s="33" t="s">
        <v>145</v>
      </c>
      <c r="L106" s="35" t="n">
        <v>8831.98</v>
      </c>
      <c r="M106" s="33" t="n">
        <v>3</v>
      </c>
      <c r="N106" s="33" t="s">
        <v>146</v>
      </c>
      <c r="O106" s="33" t="s">
        <v>147</v>
      </c>
    </row>
    <row r="107" customFormat="false" ht="15" hidden="false" customHeight="false" outlineLevel="0" collapsed="false">
      <c r="A107" s="33" t="s">
        <v>320</v>
      </c>
      <c r="B107" s="34" t="n">
        <v>45399</v>
      </c>
      <c r="C107" s="34" t="n">
        <v>45400</v>
      </c>
      <c r="D107" s="33" t="n">
        <v>9</v>
      </c>
      <c r="E107" s="33" t="s">
        <v>257</v>
      </c>
      <c r="F107" s="33" t="s">
        <v>155</v>
      </c>
      <c r="G107" s="33" t="s">
        <v>220</v>
      </c>
      <c r="H107" s="33" t="s">
        <v>222</v>
      </c>
      <c r="I107" s="33" t="s">
        <v>158</v>
      </c>
      <c r="J107" s="33" t="s">
        <v>159</v>
      </c>
      <c r="K107" s="33" t="s">
        <v>160</v>
      </c>
      <c r="L107" s="35" t="n">
        <v>1005.85</v>
      </c>
      <c r="M107" s="33" t="n">
        <v>4</v>
      </c>
      <c r="N107" s="33" t="s">
        <v>146</v>
      </c>
      <c r="O107" s="33" t="s">
        <v>147</v>
      </c>
    </row>
    <row r="108" customFormat="false" ht="15" hidden="false" customHeight="false" outlineLevel="0" collapsed="false">
      <c r="A108" s="33" t="s">
        <v>321</v>
      </c>
      <c r="B108" s="34" t="n">
        <v>45531</v>
      </c>
      <c r="C108" s="34" t="n">
        <v>45533</v>
      </c>
      <c r="D108" s="33" t="n">
        <v>60</v>
      </c>
      <c r="E108" s="33" t="s">
        <v>257</v>
      </c>
      <c r="F108" s="33" t="s">
        <v>173</v>
      </c>
      <c r="G108" s="33" t="s">
        <v>178</v>
      </c>
      <c r="H108" s="33" t="s">
        <v>199</v>
      </c>
      <c r="I108" s="33" t="s">
        <v>143</v>
      </c>
      <c r="J108" s="33" t="s">
        <v>176</v>
      </c>
      <c r="K108" s="33" t="s">
        <v>209</v>
      </c>
      <c r="L108" s="35" t="n">
        <v>15652.55</v>
      </c>
      <c r="M108" s="33" t="n">
        <v>3</v>
      </c>
      <c r="N108" s="33" t="s">
        <v>146</v>
      </c>
      <c r="O108" s="33" t="s">
        <v>147</v>
      </c>
    </row>
    <row r="109" customFormat="false" ht="15" hidden="false" customHeight="false" outlineLevel="0" collapsed="false">
      <c r="A109" s="33" t="s">
        <v>322</v>
      </c>
      <c r="B109" s="34" t="n">
        <v>45540</v>
      </c>
      <c r="C109" s="34" t="n">
        <v>45542</v>
      </c>
      <c r="D109" s="33" t="n">
        <v>29</v>
      </c>
      <c r="E109" s="33" t="s">
        <v>139</v>
      </c>
      <c r="F109" s="33" t="s">
        <v>149</v>
      </c>
      <c r="G109" s="33" t="s">
        <v>224</v>
      </c>
      <c r="H109" s="33" t="s">
        <v>186</v>
      </c>
      <c r="I109" s="33" t="s">
        <v>158</v>
      </c>
      <c r="J109" s="33" t="s">
        <v>159</v>
      </c>
      <c r="K109" s="33" t="s">
        <v>160</v>
      </c>
      <c r="L109" s="35" t="n">
        <v>2796.73</v>
      </c>
      <c r="M109" s="33" t="n">
        <v>5</v>
      </c>
      <c r="N109" s="33" t="s">
        <v>210</v>
      </c>
      <c r="O109" s="33" t="s">
        <v>147</v>
      </c>
    </row>
    <row r="110" customFormat="false" ht="15" hidden="false" customHeight="false" outlineLevel="0" collapsed="false">
      <c r="A110" s="33" t="s">
        <v>323</v>
      </c>
      <c r="B110" s="34" t="n">
        <v>45491</v>
      </c>
      <c r="C110" s="34" t="n">
        <v>45500</v>
      </c>
      <c r="D110" s="33" t="n">
        <v>35</v>
      </c>
      <c r="E110" s="33" t="s">
        <v>154</v>
      </c>
      <c r="F110" s="33" t="s">
        <v>169</v>
      </c>
      <c r="G110" s="33" t="s">
        <v>170</v>
      </c>
      <c r="H110" s="33" t="s">
        <v>171</v>
      </c>
      <c r="I110" s="33" t="s">
        <v>143</v>
      </c>
      <c r="J110" s="33" t="s">
        <v>159</v>
      </c>
      <c r="K110" s="33" t="s">
        <v>145</v>
      </c>
      <c r="L110" s="35" t="n">
        <v>11350.57</v>
      </c>
      <c r="M110" s="33" t="n">
        <v>4</v>
      </c>
      <c r="N110" s="33" t="s">
        <v>210</v>
      </c>
      <c r="O110" s="33" t="s">
        <v>147</v>
      </c>
    </row>
    <row r="111" customFormat="false" ht="15" hidden="false" customHeight="false" outlineLevel="0" collapsed="false">
      <c r="A111" s="33" t="s">
        <v>324</v>
      </c>
      <c r="B111" s="34" t="n">
        <v>45451</v>
      </c>
      <c r="C111" s="34" t="n">
        <v>45456</v>
      </c>
      <c r="D111" s="33" t="n">
        <v>62</v>
      </c>
      <c r="E111" s="33" t="s">
        <v>279</v>
      </c>
      <c r="F111" s="33" t="s">
        <v>140</v>
      </c>
      <c r="G111" s="33" t="s">
        <v>316</v>
      </c>
      <c r="H111" s="33" t="s">
        <v>142</v>
      </c>
      <c r="I111" s="33" t="s">
        <v>143</v>
      </c>
      <c r="J111" s="33" t="s">
        <v>176</v>
      </c>
      <c r="K111" s="33" t="s">
        <v>145</v>
      </c>
      <c r="L111" s="35" t="n">
        <v>41209.71</v>
      </c>
      <c r="M111" s="33" t="n">
        <v>3</v>
      </c>
      <c r="N111" s="33" t="s">
        <v>146</v>
      </c>
      <c r="O111" s="33" t="s">
        <v>147</v>
      </c>
    </row>
    <row r="112" customFormat="false" ht="15" hidden="false" customHeight="false" outlineLevel="0" collapsed="false">
      <c r="A112" s="33" t="s">
        <v>325</v>
      </c>
      <c r="B112" s="34" t="n">
        <v>45300</v>
      </c>
      <c r="C112" s="34" t="n">
        <v>45308</v>
      </c>
      <c r="D112" s="33" t="n">
        <v>24</v>
      </c>
      <c r="E112" s="33" t="s">
        <v>139</v>
      </c>
      <c r="F112" s="33" t="s">
        <v>149</v>
      </c>
      <c r="G112" s="33" t="s">
        <v>243</v>
      </c>
      <c r="H112" s="33" t="s">
        <v>186</v>
      </c>
      <c r="I112" s="33" t="s">
        <v>152</v>
      </c>
      <c r="J112" s="33" t="s">
        <v>159</v>
      </c>
      <c r="K112" s="33" t="s">
        <v>184</v>
      </c>
      <c r="L112" s="35" t="n">
        <v>11128.92</v>
      </c>
      <c r="M112" s="33" t="n">
        <v>4</v>
      </c>
      <c r="N112" s="33" t="s">
        <v>146</v>
      </c>
      <c r="O112" s="33" t="s">
        <v>147</v>
      </c>
    </row>
    <row r="113" customFormat="false" ht="15" hidden="false" customHeight="false" outlineLevel="0" collapsed="false">
      <c r="A113" s="33" t="s">
        <v>326</v>
      </c>
      <c r="B113" s="34" t="n">
        <v>45315</v>
      </c>
      <c r="C113" s="34" t="n">
        <v>45316</v>
      </c>
      <c r="D113" s="33" t="n">
        <v>42</v>
      </c>
      <c r="E113" s="33" t="s">
        <v>154</v>
      </c>
      <c r="F113" s="33" t="s">
        <v>203</v>
      </c>
      <c r="G113" s="33" t="s">
        <v>232</v>
      </c>
      <c r="H113" s="33" t="s">
        <v>193</v>
      </c>
      <c r="I113" s="33" t="s">
        <v>158</v>
      </c>
      <c r="J113" s="33" t="s">
        <v>159</v>
      </c>
      <c r="K113" s="33" t="s">
        <v>184</v>
      </c>
      <c r="L113" s="35" t="n">
        <v>1012.81</v>
      </c>
      <c r="M113" s="33" t="n">
        <v>3</v>
      </c>
      <c r="N113" s="33" t="s">
        <v>146</v>
      </c>
      <c r="O113" s="33" t="s">
        <v>147</v>
      </c>
    </row>
    <row r="114" customFormat="false" ht="15" hidden="false" customHeight="false" outlineLevel="0" collapsed="false">
      <c r="A114" s="33" t="s">
        <v>327</v>
      </c>
      <c r="B114" s="34" t="n">
        <v>45332</v>
      </c>
      <c r="C114" s="34" t="n">
        <v>45334</v>
      </c>
      <c r="D114" s="33" t="n">
        <v>48</v>
      </c>
      <c r="E114" s="33" t="s">
        <v>139</v>
      </c>
      <c r="F114" s="33" t="s">
        <v>173</v>
      </c>
      <c r="G114" s="33" t="s">
        <v>178</v>
      </c>
      <c r="H114" s="33" t="s">
        <v>199</v>
      </c>
      <c r="I114" s="33" t="s">
        <v>143</v>
      </c>
      <c r="J114" s="33" t="s">
        <v>159</v>
      </c>
      <c r="K114" s="33" t="s">
        <v>145</v>
      </c>
      <c r="L114" s="35" t="n">
        <v>4861.05</v>
      </c>
      <c r="M114" s="33" t="n">
        <v>3</v>
      </c>
      <c r="N114" s="33" t="s">
        <v>146</v>
      </c>
      <c r="O114" s="33" t="s">
        <v>147</v>
      </c>
    </row>
    <row r="115" customFormat="false" ht="15" hidden="false" customHeight="false" outlineLevel="0" collapsed="false">
      <c r="A115" s="33" t="s">
        <v>328</v>
      </c>
      <c r="B115" s="34" t="n">
        <v>45368</v>
      </c>
      <c r="C115" s="34" t="n">
        <v>45372</v>
      </c>
      <c r="D115" s="33" t="n">
        <v>8</v>
      </c>
      <c r="E115" s="33" t="s">
        <v>154</v>
      </c>
      <c r="F115" s="33" t="s">
        <v>169</v>
      </c>
      <c r="G115" s="33" t="s">
        <v>163</v>
      </c>
      <c r="H115" s="33" t="s">
        <v>171</v>
      </c>
      <c r="I115" s="33" t="s">
        <v>152</v>
      </c>
      <c r="J115" s="33" t="s">
        <v>176</v>
      </c>
      <c r="K115" s="33" t="s">
        <v>160</v>
      </c>
      <c r="L115" s="35" t="n">
        <v>14605.59</v>
      </c>
      <c r="M115" s="33" t="n">
        <v>4</v>
      </c>
      <c r="N115" s="33" t="s">
        <v>146</v>
      </c>
      <c r="O115" s="33" t="s">
        <v>147</v>
      </c>
    </row>
    <row r="116" customFormat="false" ht="15" hidden="false" customHeight="false" outlineLevel="0" collapsed="false">
      <c r="A116" s="33" t="s">
        <v>329</v>
      </c>
      <c r="B116" s="34" t="n">
        <v>45562</v>
      </c>
      <c r="C116" s="34" t="n">
        <v>45564</v>
      </c>
      <c r="D116" s="33" t="n">
        <v>32</v>
      </c>
      <c r="E116" s="33" t="s">
        <v>139</v>
      </c>
      <c r="F116" s="33" t="s">
        <v>140</v>
      </c>
      <c r="G116" s="33" t="s">
        <v>141</v>
      </c>
      <c r="H116" s="33" t="s">
        <v>290</v>
      </c>
      <c r="I116" s="33" t="s">
        <v>143</v>
      </c>
      <c r="J116" s="33" t="s">
        <v>159</v>
      </c>
      <c r="K116" s="33" t="s">
        <v>160</v>
      </c>
      <c r="L116" s="35" t="n">
        <v>4037.3</v>
      </c>
      <c r="M116" s="33" t="n">
        <v>4</v>
      </c>
      <c r="N116" s="33" t="s">
        <v>146</v>
      </c>
      <c r="O116" s="33" t="s">
        <v>147</v>
      </c>
    </row>
    <row r="117" customFormat="false" ht="15" hidden="false" customHeight="false" outlineLevel="0" collapsed="false">
      <c r="A117" s="33" t="s">
        <v>330</v>
      </c>
      <c r="B117" s="34" t="n">
        <v>45293</v>
      </c>
      <c r="C117" s="34" t="n">
        <v>45295</v>
      </c>
      <c r="D117" s="33" t="n">
        <v>15</v>
      </c>
      <c r="E117" s="33" t="s">
        <v>154</v>
      </c>
      <c r="F117" s="33" t="s">
        <v>203</v>
      </c>
      <c r="G117" s="33" t="s">
        <v>241</v>
      </c>
      <c r="H117" s="33" t="s">
        <v>205</v>
      </c>
      <c r="I117" s="33" t="s">
        <v>143</v>
      </c>
      <c r="J117" s="33" t="s">
        <v>144</v>
      </c>
      <c r="K117" s="33" t="s">
        <v>184</v>
      </c>
      <c r="L117" s="35" t="n">
        <v>3402</v>
      </c>
      <c r="M117" s="33" t="n">
        <v>4</v>
      </c>
      <c r="N117" s="33" t="s">
        <v>146</v>
      </c>
      <c r="O117" s="33" t="s">
        <v>147</v>
      </c>
    </row>
    <row r="118" customFormat="false" ht="15" hidden="false" customHeight="false" outlineLevel="0" collapsed="false">
      <c r="A118" s="33" t="s">
        <v>331</v>
      </c>
      <c r="B118" s="34" t="n">
        <v>45322</v>
      </c>
      <c r="C118" s="34" t="n">
        <v>45323</v>
      </c>
      <c r="D118" s="33" t="n">
        <v>10</v>
      </c>
      <c r="E118" s="33" t="s">
        <v>154</v>
      </c>
      <c r="F118" s="33" t="s">
        <v>288</v>
      </c>
      <c r="G118" s="33" t="s">
        <v>156</v>
      </c>
      <c r="H118" s="33" t="s">
        <v>222</v>
      </c>
      <c r="I118" s="33" t="s">
        <v>158</v>
      </c>
      <c r="J118" s="33" t="s">
        <v>176</v>
      </c>
      <c r="K118" s="33" t="s">
        <v>160</v>
      </c>
      <c r="L118" s="35" t="n">
        <v>2984.45</v>
      </c>
      <c r="M118" s="33" t="n">
        <v>3</v>
      </c>
      <c r="N118" s="33" t="s">
        <v>146</v>
      </c>
      <c r="O118" s="33" t="s">
        <v>147</v>
      </c>
    </row>
    <row r="119" customFormat="false" ht="15" hidden="false" customHeight="false" outlineLevel="0" collapsed="false">
      <c r="A119" s="33" t="s">
        <v>332</v>
      </c>
      <c r="B119" s="34" t="n">
        <v>45548</v>
      </c>
      <c r="C119" s="34" t="n">
        <v>45555</v>
      </c>
      <c r="D119" s="33" t="n">
        <v>43</v>
      </c>
      <c r="E119" s="33" t="s">
        <v>154</v>
      </c>
      <c r="F119" s="33" t="s">
        <v>169</v>
      </c>
      <c r="G119" s="33" t="s">
        <v>163</v>
      </c>
      <c r="H119" s="33" t="s">
        <v>171</v>
      </c>
      <c r="I119" s="33" t="s">
        <v>143</v>
      </c>
      <c r="J119" s="33" t="s">
        <v>159</v>
      </c>
      <c r="K119" s="33" t="s">
        <v>145</v>
      </c>
      <c r="L119" s="35" t="n">
        <v>7307.82</v>
      </c>
      <c r="M119" s="36"/>
      <c r="N119" s="33" t="s">
        <v>146</v>
      </c>
      <c r="O119" s="33" t="s">
        <v>147</v>
      </c>
    </row>
    <row r="120" customFormat="false" ht="15" hidden="false" customHeight="false" outlineLevel="0" collapsed="false">
      <c r="A120" s="33" t="s">
        <v>333</v>
      </c>
      <c r="B120" s="34" t="n">
        <v>45425</v>
      </c>
      <c r="C120" s="34" t="n">
        <v>45426</v>
      </c>
      <c r="D120" s="33" t="n">
        <v>64</v>
      </c>
      <c r="E120" s="33" t="s">
        <v>154</v>
      </c>
      <c r="F120" s="33" t="s">
        <v>334</v>
      </c>
      <c r="G120" s="33" t="s">
        <v>241</v>
      </c>
      <c r="H120" s="33" t="s">
        <v>233</v>
      </c>
      <c r="I120" s="33" t="s">
        <v>143</v>
      </c>
      <c r="J120" s="33" t="s">
        <v>159</v>
      </c>
      <c r="K120" s="33" t="s">
        <v>184</v>
      </c>
      <c r="L120" s="35" t="n">
        <v>878.27</v>
      </c>
      <c r="M120" s="33" t="n">
        <v>2</v>
      </c>
      <c r="N120" s="33" t="s">
        <v>146</v>
      </c>
      <c r="O120" s="33" t="s">
        <v>147</v>
      </c>
    </row>
    <row r="121" customFormat="false" ht="15" hidden="false" customHeight="false" outlineLevel="0" collapsed="false">
      <c r="A121" s="33" t="s">
        <v>335</v>
      </c>
      <c r="B121" s="34" t="n">
        <v>45398</v>
      </c>
      <c r="C121" s="34" t="n">
        <v>45403</v>
      </c>
      <c r="D121" s="33" t="n">
        <v>13</v>
      </c>
      <c r="E121" s="33" t="s">
        <v>139</v>
      </c>
      <c r="F121" s="33" t="s">
        <v>169</v>
      </c>
      <c r="G121" s="33" t="s">
        <v>230</v>
      </c>
      <c r="H121" s="33" t="s">
        <v>195</v>
      </c>
      <c r="I121" s="33" t="s">
        <v>152</v>
      </c>
      <c r="J121" s="33" t="s">
        <v>159</v>
      </c>
      <c r="K121" s="33" t="s">
        <v>160</v>
      </c>
      <c r="L121" s="35" t="n">
        <v>6641.24</v>
      </c>
      <c r="M121" s="33" t="n">
        <v>3</v>
      </c>
      <c r="N121" s="33" t="s">
        <v>146</v>
      </c>
      <c r="O121" s="33" t="s">
        <v>147</v>
      </c>
    </row>
    <row r="122" customFormat="false" ht="15" hidden="false" customHeight="false" outlineLevel="0" collapsed="false">
      <c r="A122" s="33" t="s">
        <v>336</v>
      </c>
      <c r="B122" s="34" t="n">
        <v>45326</v>
      </c>
      <c r="C122" s="34" t="n">
        <v>45328</v>
      </c>
      <c r="D122" s="33" t="n">
        <v>27</v>
      </c>
      <c r="E122" s="33" t="s">
        <v>139</v>
      </c>
      <c r="F122" s="33" t="s">
        <v>149</v>
      </c>
      <c r="G122" s="33" t="s">
        <v>243</v>
      </c>
      <c r="H122" s="33" t="s">
        <v>186</v>
      </c>
      <c r="I122" s="33" t="s">
        <v>143</v>
      </c>
      <c r="J122" s="33" t="s">
        <v>159</v>
      </c>
      <c r="K122" s="33" t="s">
        <v>160</v>
      </c>
      <c r="L122" s="35" t="n">
        <v>3130.96</v>
      </c>
      <c r="M122" s="33" t="n">
        <v>3</v>
      </c>
      <c r="N122" s="33" t="s">
        <v>146</v>
      </c>
      <c r="O122" s="33" t="s">
        <v>147</v>
      </c>
    </row>
    <row r="123" customFormat="false" ht="15" hidden="false" customHeight="false" outlineLevel="0" collapsed="false">
      <c r="A123" s="33" t="s">
        <v>337</v>
      </c>
      <c r="B123" s="34" t="n">
        <v>45565</v>
      </c>
      <c r="C123" s="34" t="n">
        <v>45566</v>
      </c>
      <c r="D123" s="33" t="n">
        <v>1</v>
      </c>
      <c r="E123" s="33" t="s">
        <v>139</v>
      </c>
      <c r="F123" s="33" t="s">
        <v>155</v>
      </c>
      <c r="G123" s="33" t="s">
        <v>156</v>
      </c>
      <c r="H123" s="33" t="s">
        <v>157</v>
      </c>
      <c r="I123" s="33" t="s">
        <v>143</v>
      </c>
      <c r="J123" s="33" t="s">
        <v>176</v>
      </c>
      <c r="K123" s="33" t="s">
        <v>145</v>
      </c>
      <c r="L123" s="35" t="n">
        <v>3211.27</v>
      </c>
      <c r="M123" s="33" t="n">
        <v>4</v>
      </c>
      <c r="N123" s="33" t="s">
        <v>146</v>
      </c>
      <c r="O123" s="33" t="s">
        <v>147</v>
      </c>
    </row>
    <row r="124" customFormat="false" ht="15" hidden="false" customHeight="false" outlineLevel="0" collapsed="false">
      <c r="A124" s="33" t="s">
        <v>338</v>
      </c>
      <c r="B124" s="34" t="n">
        <v>45511</v>
      </c>
      <c r="C124" s="34" t="n">
        <v>45521</v>
      </c>
      <c r="D124" s="33" t="n">
        <v>52</v>
      </c>
      <c r="E124" s="33" t="s">
        <v>154</v>
      </c>
      <c r="F124" s="33" t="s">
        <v>226</v>
      </c>
      <c r="G124" s="33" t="s">
        <v>227</v>
      </c>
      <c r="H124" s="33" t="s">
        <v>228</v>
      </c>
      <c r="I124" s="33" t="s">
        <v>158</v>
      </c>
      <c r="J124" s="33" t="s">
        <v>144</v>
      </c>
      <c r="K124" s="33" t="s">
        <v>145</v>
      </c>
      <c r="L124" s="35" t="n">
        <v>59825.69</v>
      </c>
      <c r="M124" s="33" t="n">
        <v>5</v>
      </c>
      <c r="N124" s="33" t="s">
        <v>146</v>
      </c>
      <c r="O124" s="33" t="s">
        <v>147</v>
      </c>
    </row>
    <row r="125" customFormat="false" ht="15" hidden="false" customHeight="false" outlineLevel="0" collapsed="false">
      <c r="A125" s="33" t="s">
        <v>339</v>
      </c>
      <c r="B125" s="34" t="n">
        <v>45299</v>
      </c>
      <c r="C125" s="34" t="n">
        <v>45301</v>
      </c>
      <c r="D125" s="33" t="n">
        <v>27</v>
      </c>
      <c r="E125" s="33" t="s">
        <v>139</v>
      </c>
      <c r="F125" s="33" t="s">
        <v>169</v>
      </c>
      <c r="G125" s="33" t="s">
        <v>170</v>
      </c>
      <c r="H125" s="33" t="s">
        <v>164</v>
      </c>
      <c r="I125" s="33" t="s">
        <v>143</v>
      </c>
      <c r="J125" s="33" t="s">
        <v>159</v>
      </c>
      <c r="K125" s="33" t="s">
        <v>145</v>
      </c>
      <c r="L125" s="35" t="n">
        <v>2516.91</v>
      </c>
      <c r="M125" s="33" t="n">
        <v>4</v>
      </c>
      <c r="N125" s="33" t="s">
        <v>146</v>
      </c>
      <c r="O125" s="33" t="s">
        <v>147</v>
      </c>
    </row>
    <row r="126" customFormat="false" ht="15" hidden="false" customHeight="false" outlineLevel="0" collapsed="false">
      <c r="A126" s="33" t="s">
        <v>340</v>
      </c>
      <c r="B126" s="34" t="n">
        <v>45556</v>
      </c>
      <c r="C126" s="34" t="n">
        <v>45559</v>
      </c>
      <c r="D126" s="33" t="n">
        <v>32</v>
      </c>
      <c r="E126" s="33" t="s">
        <v>139</v>
      </c>
      <c r="F126" s="33" t="s">
        <v>149</v>
      </c>
      <c r="G126" s="33" t="s">
        <v>243</v>
      </c>
      <c r="H126" s="33" t="s">
        <v>151</v>
      </c>
      <c r="I126" s="33" t="s">
        <v>152</v>
      </c>
      <c r="J126" s="33" t="s">
        <v>159</v>
      </c>
      <c r="K126" s="33" t="s">
        <v>145</v>
      </c>
      <c r="L126" s="35" t="n">
        <v>5022.42</v>
      </c>
      <c r="M126" s="33" t="n">
        <v>4</v>
      </c>
      <c r="N126" s="33" t="s">
        <v>146</v>
      </c>
      <c r="O126" s="33" t="s">
        <v>147</v>
      </c>
    </row>
    <row r="127" customFormat="false" ht="15" hidden="false" customHeight="false" outlineLevel="0" collapsed="false">
      <c r="A127" s="33" t="s">
        <v>341</v>
      </c>
      <c r="B127" s="34" t="n">
        <v>45430</v>
      </c>
      <c r="C127" s="34" t="n">
        <v>45435</v>
      </c>
      <c r="D127" s="33" t="n">
        <v>24</v>
      </c>
      <c r="E127" s="33" t="s">
        <v>154</v>
      </c>
      <c r="F127" s="33" t="s">
        <v>169</v>
      </c>
      <c r="G127" s="33" t="s">
        <v>213</v>
      </c>
      <c r="H127" s="33" t="s">
        <v>195</v>
      </c>
      <c r="I127" s="33" t="s">
        <v>143</v>
      </c>
      <c r="J127" s="33" t="s">
        <v>159</v>
      </c>
      <c r="K127" s="33" t="s">
        <v>209</v>
      </c>
      <c r="L127" s="35" t="n">
        <v>4892</v>
      </c>
      <c r="M127" s="33" t="n">
        <v>4</v>
      </c>
      <c r="N127" s="33" t="s">
        <v>146</v>
      </c>
      <c r="O127" s="33" t="s">
        <v>147</v>
      </c>
    </row>
    <row r="128" customFormat="false" ht="15" hidden="false" customHeight="false" outlineLevel="0" collapsed="false">
      <c r="A128" s="33" t="s">
        <v>342</v>
      </c>
      <c r="B128" s="34" t="n">
        <v>45501</v>
      </c>
      <c r="C128" s="34" t="n">
        <v>45504</v>
      </c>
      <c r="D128" s="33" t="n">
        <v>4</v>
      </c>
      <c r="E128" s="33" t="s">
        <v>154</v>
      </c>
      <c r="F128" s="33" t="s">
        <v>155</v>
      </c>
      <c r="G128" s="33" t="s">
        <v>302</v>
      </c>
      <c r="H128" s="33" t="s">
        <v>157</v>
      </c>
      <c r="I128" s="33" t="s">
        <v>152</v>
      </c>
      <c r="J128" s="33" t="s">
        <v>159</v>
      </c>
      <c r="K128" s="33" t="s">
        <v>184</v>
      </c>
      <c r="L128" s="35" t="n">
        <v>2635.13</v>
      </c>
      <c r="M128" s="36"/>
      <c r="N128" s="33" t="s">
        <v>146</v>
      </c>
      <c r="O128" s="33" t="s">
        <v>147</v>
      </c>
    </row>
    <row r="129" customFormat="false" ht="15" hidden="false" customHeight="false" outlineLevel="0" collapsed="false">
      <c r="A129" s="33" t="s">
        <v>343</v>
      </c>
      <c r="B129" s="34" t="n">
        <v>45442</v>
      </c>
      <c r="C129" s="34" t="n">
        <v>45443</v>
      </c>
      <c r="D129" s="33" t="n">
        <v>34</v>
      </c>
      <c r="E129" s="33" t="s">
        <v>180</v>
      </c>
      <c r="F129" s="33" t="s">
        <v>203</v>
      </c>
      <c r="G129" s="33" t="s">
        <v>192</v>
      </c>
      <c r="H129" s="33" t="s">
        <v>205</v>
      </c>
      <c r="I129" s="33" t="s">
        <v>143</v>
      </c>
      <c r="J129" s="33" t="s">
        <v>159</v>
      </c>
      <c r="K129" s="33" t="s">
        <v>145</v>
      </c>
      <c r="L129" s="35" t="n">
        <v>963.2</v>
      </c>
      <c r="M129" s="33" t="n">
        <v>4</v>
      </c>
      <c r="N129" s="33" t="s">
        <v>146</v>
      </c>
      <c r="O129" s="33" t="s">
        <v>147</v>
      </c>
    </row>
    <row r="130" customFormat="false" ht="15" hidden="false" customHeight="false" outlineLevel="0" collapsed="false">
      <c r="A130" s="33" t="s">
        <v>344</v>
      </c>
      <c r="B130" s="34" t="n">
        <v>45608</v>
      </c>
      <c r="C130" s="34" t="n">
        <v>45609</v>
      </c>
      <c r="D130" s="33" t="n">
        <v>48</v>
      </c>
      <c r="E130" s="33" t="s">
        <v>154</v>
      </c>
      <c r="F130" s="33" t="s">
        <v>203</v>
      </c>
      <c r="G130" s="33" t="s">
        <v>241</v>
      </c>
      <c r="H130" s="33" t="s">
        <v>193</v>
      </c>
      <c r="I130" s="33" t="s">
        <v>143</v>
      </c>
      <c r="J130" s="33" t="s">
        <v>176</v>
      </c>
      <c r="K130" s="33" t="s">
        <v>145</v>
      </c>
      <c r="L130" s="35" t="n">
        <v>3057</v>
      </c>
      <c r="M130" s="33" t="n">
        <v>5</v>
      </c>
      <c r="N130" s="33" t="s">
        <v>146</v>
      </c>
      <c r="O130" s="33" t="s">
        <v>147</v>
      </c>
    </row>
    <row r="131" customFormat="false" ht="15" hidden="false" customHeight="false" outlineLevel="0" collapsed="false">
      <c r="A131" s="33" t="s">
        <v>345</v>
      </c>
      <c r="B131" s="34" t="n">
        <v>45344</v>
      </c>
      <c r="C131" s="34" t="n">
        <v>45350</v>
      </c>
      <c r="D131" s="33" t="n">
        <v>52</v>
      </c>
      <c r="E131" s="33" t="s">
        <v>139</v>
      </c>
      <c r="F131" s="33" t="s">
        <v>181</v>
      </c>
      <c r="G131" s="33" t="s">
        <v>237</v>
      </c>
      <c r="H131" s="33" t="s">
        <v>245</v>
      </c>
      <c r="I131" s="33" t="s">
        <v>152</v>
      </c>
      <c r="J131" s="33" t="s">
        <v>176</v>
      </c>
      <c r="K131" s="33" t="s">
        <v>184</v>
      </c>
      <c r="L131" s="35" t="n">
        <v>50018.3</v>
      </c>
      <c r="M131" s="36"/>
      <c r="N131" s="33" t="s">
        <v>146</v>
      </c>
      <c r="O131" s="33" t="s">
        <v>147</v>
      </c>
    </row>
    <row r="132" customFormat="false" ht="15" hidden="false" customHeight="false" outlineLevel="0" collapsed="false">
      <c r="A132" s="33" t="s">
        <v>346</v>
      </c>
      <c r="B132" s="34" t="n">
        <v>45484</v>
      </c>
      <c r="C132" s="34" t="n">
        <v>45486</v>
      </c>
      <c r="D132" s="33" t="n">
        <v>32</v>
      </c>
      <c r="E132" s="33" t="s">
        <v>279</v>
      </c>
      <c r="F132" s="33" t="s">
        <v>149</v>
      </c>
      <c r="G132" s="33" t="s">
        <v>243</v>
      </c>
      <c r="H132" s="33" t="s">
        <v>151</v>
      </c>
      <c r="I132" s="33" t="s">
        <v>143</v>
      </c>
      <c r="J132" s="33" t="s">
        <v>159</v>
      </c>
      <c r="K132" s="33" t="s">
        <v>160</v>
      </c>
      <c r="L132" s="35" t="n">
        <v>2835.91</v>
      </c>
      <c r="M132" s="33" t="n">
        <v>4</v>
      </c>
      <c r="N132" s="33" t="s">
        <v>146</v>
      </c>
      <c r="O132" s="33" t="s">
        <v>147</v>
      </c>
    </row>
    <row r="133" customFormat="false" ht="15" hidden="false" customHeight="false" outlineLevel="0" collapsed="false">
      <c r="A133" s="33" t="s">
        <v>347</v>
      </c>
      <c r="B133" s="34" t="n">
        <v>45619</v>
      </c>
      <c r="C133" s="34" t="n">
        <v>45625</v>
      </c>
      <c r="D133" s="33" t="n">
        <v>63</v>
      </c>
      <c r="E133" s="33" t="s">
        <v>180</v>
      </c>
      <c r="F133" s="33" t="s">
        <v>181</v>
      </c>
      <c r="G133" s="33" t="s">
        <v>237</v>
      </c>
      <c r="H133" s="33" t="s">
        <v>183</v>
      </c>
      <c r="I133" s="33" t="s">
        <v>152</v>
      </c>
      <c r="J133" s="33" t="s">
        <v>144</v>
      </c>
      <c r="K133" s="33" t="s">
        <v>160</v>
      </c>
      <c r="L133" s="35" t="n">
        <v>23616.67</v>
      </c>
      <c r="M133" s="33" t="n">
        <v>3</v>
      </c>
      <c r="N133" s="33" t="s">
        <v>146</v>
      </c>
      <c r="O133" s="33" t="s">
        <v>147</v>
      </c>
    </row>
    <row r="134" customFormat="false" ht="15" hidden="false" customHeight="false" outlineLevel="0" collapsed="false">
      <c r="A134" s="33" t="s">
        <v>348</v>
      </c>
      <c r="B134" s="34" t="n">
        <v>45551</v>
      </c>
      <c r="C134" s="34" t="n">
        <v>45554</v>
      </c>
      <c r="D134" s="33" t="n">
        <v>25</v>
      </c>
      <c r="E134" s="33" t="s">
        <v>139</v>
      </c>
      <c r="F134" s="33" t="s">
        <v>149</v>
      </c>
      <c r="G134" s="33" t="s">
        <v>150</v>
      </c>
      <c r="H134" s="33" t="s">
        <v>151</v>
      </c>
      <c r="I134" s="33" t="s">
        <v>143</v>
      </c>
      <c r="J134" s="33" t="s">
        <v>159</v>
      </c>
      <c r="K134" s="33" t="s">
        <v>184</v>
      </c>
      <c r="L134" s="35" t="n">
        <v>3890.64</v>
      </c>
      <c r="M134" s="33" t="n">
        <v>5</v>
      </c>
      <c r="N134" s="33" t="s">
        <v>210</v>
      </c>
      <c r="O134" s="33" t="s">
        <v>147</v>
      </c>
    </row>
    <row r="135" customFormat="false" ht="15" hidden="false" customHeight="false" outlineLevel="0" collapsed="false">
      <c r="A135" s="33" t="s">
        <v>349</v>
      </c>
      <c r="B135" s="34" t="n">
        <v>45524</v>
      </c>
      <c r="C135" s="34" t="n">
        <v>45530</v>
      </c>
      <c r="D135" s="33" t="n">
        <v>43</v>
      </c>
      <c r="E135" s="33" t="s">
        <v>139</v>
      </c>
      <c r="F135" s="33" t="s">
        <v>173</v>
      </c>
      <c r="G135" s="33" t="s">
        <v>198</v>
      </c>
      <c r="H135" s="33" t="s">
        <v>175</v>
      </c>
      <c r="I135" s="33" t="s">
        <v>152</v>
      </c>
      <c r="J135" s="33" t="s">
        <v>144</v>
      </c>
      <c r="K135" s="33" t="s">
        <v>209</v>
      </c>
      <c r="L135" s="35" t="n">
        <v>28208.55</v>
      </c>
      <c r="M135" s="33" t="n">
        <v>4</v>
      </c>
      <c r="N135" s="33" t="s">
        <v>210</v>
      </c>
      <c r="O135" s="33" t="s">
        <v>147</v>
      </c>
    </row>
    <row r="136" customFormat="false" ht="15" hidden="false" customHeight="false" outlineLevel="0" collapsed="false">
      <c r="A136" s="33" t="s">
        <v>350</v>
      </c>
      <c r="B136" s="34" t="n">
        <v>45542</v>
      </c>
      <c r="C136" s="34" t="n">
        <v>45543</v>
      </c>
      <c r="D136" s="33" t="n">
        <v>26</v>
      </c>
      <c r="E136" s="33" t="s">
        <v>154</v>
      </c>
      <c r="F136" s="33" t="s">
        <v>212</v>
      </c>
      <c r="G136" s="33" t="s">
        <v>170</v>
      </c>
      <c r="H136" s="33" t="s">
        <v>195</v>
      </c>
      <c r="I136" s="33" t="s">
        <v>152</v>
      </c>
      <c r="J136" s="33" t="s">
        <v>159</v>
      </c>
      <c r="K136" s="33" t="s">
        <v>145</v>
      </c>
      <c r="L136" s="35" t="n">
        <v>964.06</v>
      </c>
      <c r="M136" s="36"/>
      <c r="N136" s="33" t="s">
        <v>210</v>
      </c>
      <c r="O136" s="33" t="s">
        <v>147</v>
      </c>
    </row>
    <row r="137" customFormat="false" ht="15" hidden="false" customHeight="false" outlineLevel="0" collapsed="false">
      <c r="A137" s="33" t="s">
        <v>351</v>
      </c>
      <c r="B137" s="34" t="n">
        <v>45626</v>
      </c>
      <c r="C137" s="34" t="n">
        <v>45630</v>
      </c>
      <c r="D137" s="33" t="n">
        <v>33</v>
      </c>
      <c r="E137" s="33" t="s">
        <v>154</v>
      </c>
      <c r="F137" s="33" t="s">
        <v>140</v>
      </c>
      <c r="G137" s="33" t="s">
        <v>167</v>
      </c>
      <c r="H137" s="33" t="s">
        <v>290</v>
      </c>
      <c r="I137" s="33" t="s">
        <v>143</v>
      </c>
      <c r="J137" s="33" t="s">
        <v>176</v>
      </c>
      <c r="K137" s="33" t="s">
        <v>145</v>
      </c>
      <c r="L137" s="35" t="n">
        <v>29814.39</v>
      </c>
      <c r="M137" s="33" t="n">
        <v>3</v>
      </c>
      <c r="N137" s="33" t="s">
        <v>146</v>
      </c>
      <c r="O137" s="33" t="s">
        <v>147</v>
      </c>
    </row>
    <row r="138" customFormat="false" ht="15" hidden="false" customHeight="false" outlineLevel="0" collapsed="false">
      <c r="A138" s="33" t="s">
        <v>352</v>
      </c>
      <c r="B138" s="34" t="n">
        <v>45630</v>
      </c>
      <c r="C138" s="34" t="n">
        <v>45640</v>
      </c>
      <c r="D138" s="33" t="n">
        <v>42</v>
      </c>
      <c r="E138" s="33" t="s">
        <v>257</v>
      </c>
      <c r="F138" s="33" t="s">
        <v>169</v>
      </c>
      <c r="G138" s="33" t="s">
        <v>170</v>
      </c>
      <c r="H138" s="33" t="s">
        <v>164</v>
      </c>
      <c r="I138" s="33" t="s">
        <v>143</v>
      </c>
      <c r="J138" s="33" t="s">
        <v>144</v>
      </c>
      <c r="K138" s="33" t="s">
        <v>145</v>
      </c>
      <c r="L138" s="35" t="n">
        <v>23481.97</v>
      </c>
      <c r="M138" s="33" t="n">
        <v>4</v>
      </c>
      <c r="N138" s="33" t="s">
        <v>146</v>
      </c>
      <c r="O138" s="33" t="s">
        <v>247</v>
      </c>
    </row>
    <row r="139" customFormat="false" ht="15" hidden="false" customHeight="false" outlineLevel="0" collapsed="false">
      <c r="A139" s="33" t="s">
        <v>353</v>
      </c>
      <c r="B139" s="34" t="n">
        <v>45475</v>
      </c>
      <c r="C139" s="34" t="n">
        <v>45476</v>
      </c>
      <c r="D139" s="33" t="n">
        <v>31</v>
      </c>
      <c r="E139" s="33" t="s">
        <v>190</v>
      </c>
      <c r="F139" s="33" t="s">
        <v>149</v>
      </c>
      <c r="G139" s="33" t="s">
        <v>243</v>
      </c>
      <c r="H139" s="33" t="s">
        <v>186</v>
      </c>
      <c r="I139" s="33" t="s">
        <v>143</v>
      </c>
      <c r="J139" s="33" t="s">
        <v>176</v>
      </c>
      <c r="K139" s="33" t="s">
        <v>145</v>
      </c>
      <c r="L139" s="35" t="n">
        <v>5496.34</v>
      </c>
      <c r="M139" s="33" t="n">
        <v>4</v>
      </c>
      <c r="N139" s="33" t="s">
        <v>146</v>
      </c>
      <c r="O139" s="33" t="s">
        <v>247</v>
      </c>
    </row>
    <row r="140" customFormat="false" ht="15" hidden="false" customHeight="false" outlineLevel="0" collapsed="false">
      <c r="A140" s="33" t="s">
        <v>354</v>
      </c>
      <c r="B140" s="34" t="n">
        <v>45531</v>
      </c>
      <c r="C140" s="34" t="n">
        <v>45532</v>
      </c>
      <c r="D140" s="33" t="n">
        <v>39</v>
      </c>
      <c r="E140" s="33" t="s">
        <v>139</v>
      </c>
      <c r="F140" s="33" t="s">
        <v>203</v>
      </c>
      <c r="G140" s="33" t="s">
        <v>217</v>
      </c>
      <c r="H140" s="33" t="s">
        <v>193</v>
      </c>
      <c r="I140" s="33" t="s">
        <v>143</v>
      </c>
      <c r="J140" s="33" t="s">
        <v>159</v>
      </c>
      <c r="K140" s="33" t="s">
        <v>184</v>
      </c>
      <c r="L140" s="35" t="n">
        <v>897.45</v>
      </c>
      <c r="M140" s="33" t="n">
        <v>4</v>
      </c>
      <c r="N140" s="33" t="s">
        <v>146</v>
      </c>
      <c r="O140" s="33" t="s">
        <v>147</v>
      </c>
    </row>
    <row r="141" customFormat="false" ht="15" hidden="false" customHeight="false" outlineLevel="0" collapsed="false">
      <c r="A141" s="33" t="s">
        <v>355</v>
      </c>
      <c r="B141" s="34" t="n">
        <v>45346</v>
      </c>
      <c r="C141" s="34" t="n">
        <v>45344</v>
      </c>
      <c r="D141" s="33" t="n">
        <v>48</v>
      </c>
      <c r="E141" s="33" t="s">
        <v>139</v>
      </c>
      <c r="F141" s="33" t="s">
        <v>181</v>
      </c>
      <c r="G141" s="33" t="s">
        <v>188</v>
      </c>
      <c r="H141" s="33" t="s">
        <v>183</v>
      </c>
      <c r="I141" s="33" t="s">
        <v>152</v>
      </c>
      <c r="J141" s="33" t="s">
        <v>159</v>
      </c>
      <c r="K141" s="33" t="s">
        <v>160</v>
      </c>
      <c r="L141" s="35" t="n">
        <v>4785.23</v>
      </c>
      <c r="M141" s="33" t="n">
        <v>4</v>
      </c>
      <c r="N141" s="33" t="s">
        <v>146</v>
      </c>
      <c r="O141" s="33" t="s">
        <v>147</v>
      </c>
    </row>
    <row r="142" customFormat="false" ht="15" hidden="false" customHeight="false" outlineLevel="0" collapsed="false">
      <c r="A142" s="33" t="s">
        <v>356</v>
      </c>
      <c r="B142" s="34" t="n">
        <v>45445</v>
      </c>
      <c r="C142" s="34" t="n">
        <v>45450</v>
      </c>
      <c r="D142" s="33" t="n">
        <v>4</v>
      </c>
      <c r="E142" s="33" t="s">
        <v>139</v>
      </c>
      <c r="F142" s="33" t="s">
        <v>288</v>
      </c>
      <c r="G142" s="33" t="s">
        <v>156</v>
      </c>
      <c r="H142" s="33" t="s">
        <v>222</v>
      </c>
      <c r="I142" s="33" t="s">
        <v>143</v>
      </c>
      <c r="J142" s="33" t="s">
        <v>159</v>
      </c>
      <c r="K142" s="33" t="s">
        <v>145</v>
      </c>
      <c r="L142" s="35" t="n">
        <v>4783.37</v>
      </c>
      <c r="M142" s="33" t="n">
        <v>3</v>
      </c>
      <c r="N142" s="33" t="s">
        <v>210</v>
      </c>
      <c r="O142" s="33" t="s">
        <v>147</v>
      </c>
    </row>
    <row r="143" customFormat="false" ht="15" hidden="false" customHeight="false" outlineLevel="0" collapsed="false">
      <c r="A143" s="33" t="s">
        <v>357</v>
      </c>
      <c r="B143" s="34" t="n">
        <v>45643</v>
      </c>
      <c r="C143" s="34" t="n">
        <v>45644</v>
      </c>
      <c r="D143" s="33" t="n">
        <v>96</v>
      </c>
      <c r="E143" s="33" t="s">
        <v>154</v>
      </c>
      <c r="F143" s="33" t="s">
        <v>240</v>
      </c>
      <c r="G143" s="33" t="s">
        <v>241</v>
      </c>
      <c r="H143" s="33" t="s">
        <v>233</v>
      </c>
      <c r="I143" s="33" t="s">
        <v>143</v>
      </c>
      <c r="J143" s="33" t="s">
        <v>144</v>
      </c>
      <c r="K143" s="33" t="s">
        <v>209</v>
      </c>
      <c r="L143" s="35" t="n">
        <v>1557.07</v>
      </c>
      <c r="M143" s="33" t="n">
        <v>2</v>
      </c>
      <c r="N143" s="33" t="s">
        <v>146</v>
      </c>
      <c r="O143" s="33" t="s">
        <v>147</v>
      </c>
    </row>
    <row r="144" customFormat="false" ht="15" hidden="false" customHeight="false" outlineLevel="0" collapsed="false">
      <c r="A144" s="33" t="s">
        <v>358</v>
      </c>
      <c r="B144" s="34" t="n">
        <v>45572</v>
      </c>
      <c r="C144" s="34" t="n">
        <v>45575</v>
      </c>
      <c r="D144" s="33" t="n">
        <v>30</v>
      </c>
      <c r="E144" s="33" t="s">
        <v>139</v>
      </c>
      <c r="F144" s="33" t="s">
        <v>191</v>
      </c>
      <c r="G144" s="33" t="s">
        <v>204</v>
      </c>
      <c r="H144" s="33" t="s">
        <v>205</v>
      </c>
      <c r="I144" s="33" t="s">
        <v>143</v>
      </c>
      <c r="J144" s="33" t="s">
        <v>159</v>
      </c>
      <c r="K144" s="33" t="s">
        <v>145</v>
      </c>
      <c r="L144" s="35" t="n">
        <v>2606.15</v>
      </c>
      <c r="M144" s="33" t="n">
        <v>3</v>
      </c>
      <c r="N144" s="33" t="s">
        <v>146</v>
      </c>
      <c r="O144" s="33" t="s">
        <v>147</v>
      </c>
    </row>
    <row r="145" customFormat="false" ht="15" hidden="false" customHeight="false" outlineLevel="0" collapsed="false">
      <c r="A145" s="33" t="s">
        <v>359</v>
      </c>
      <c r="B145" s="34" t="n">
        <v>45292</v>
      </c>
      <c r="C145" s="34" t="n">
        <v>45294</v>
      </c>
      <c r="D145" s="33" t="n">
        <v>12</v>
      </c>
      <c r="E145" s="33" t="s">
        <v>139</v>
      </c>
      <c r="F145" s="33" t="s">
        <v>155</v>
      </c>
      <c r="G145" s="33" t="s">
        <v>302</v>
      </c>
      <c r="H145" s="33" t="s">
        <v>222</v>
      </c>
      <c r="I145" s="33" t="s">
        <v>143</v>
      </c>
      <c r="J145" s="33" t="s">
        <v>159</v>
      </c>
      <c r="K145" s="36"/>
      <c r="L145" s="35" t="n">
        <v>1749.01</v>
      </c>
      <c r="M145" s="33" t="n">
        <v>4</v>
      </c>
      <c r="N145" s="33" t="s">
        <v>146</v>
      </c>
      <c r="O145" s="33" t="s">
        <v>147</v>
      </c>
    </row>
    <row r="146" customFormat="false" ht="15" hidden="false" customHeight="false" outlineLevel="0" collapsed="false">
      <c r="A146" s="33" t="s">
        <v>360</v>
      </c>
      <c r="B146" s="34" t="n">
        <v>45307</v>
      </c>
      <c r="C146" s="34" t="n">
        <v>45308</v>
      </c>
      <c r="D146" s="33" t="n">
        <v>35</v>
      </c>
      <c r="E146" s="33" t="s">
        <v>154</v>
      </c>
      <c r="F146" s="33" t="s">
        <v>203</v>
      </c>
      <c r="G146" s="33" t="s">
        <v>241</v>
      </c>
      <c r="H146" s="33" t="s">
        <v>205</v>
      </c>
      <c r="I146" s="33" t="s">
        <v>143</v>
      </c>
      <c r="J146" s="33" t="s">
        <v>159</v>
      </c>
      <c r="K146" s="33" t="s">
        <v>184</v>
      </c>
      <c r="L146" s="35" t="n">
        <v>952.4</v>
      </c>
      <c r="M146" s="33" t="n">
        <v>3</v>
      </c>
      <c r="N146" s="33" t="s">
        <v>146</v>
      </c>
      <c r="O146" s="33" t="s">
        <v>147</v>
      </c>
    </row>
    <row r="147" customFormat="false" ht="15" hidden="false" customHeight="false" outlineLevel="0" collapsed="false">
      <c r="A147" s="33" t="s">
        <v>361</v>
      </c>
      <c r="B147" s="34" t="n">
        <v>45654</v>
      </c>
      <c r="C147" s="34" t="n">
        <v>45659</v>
      </c>
      <c r="D147" s="33" t="n">
        <v>47</v>
      </c>
      <c r="E147" s="33" t="s">
        <v>180</v>
      </c>
      <c r="F147" s="33" t="s">
        <v>181</v>
      </c>
      <c r="G147" s="33" t="s">
        <v>237</v>
      </c>
      <c r="H147" s="33" t="s">
        <v>245</v>
      </c>
      <c r="I147" s="33" t="s">
        <v>143</v>
      </c>
      <c r="J147" s="33" t="s">
        <v>159</v>
      </c>
      <c r="K147" s="33" t="s">
        <v>145</v>
      </c>
      <c r="L147" s="35" t="n">
        <v>12353.63</v>
      </c>
      <c r="M147" s="33" t="n">
        <v>5</v>
      </c>
      <c r="N147" s="33" t="s">
        <v>146</v>
      </c>
      <c r="O147" s="33" t="s">
        <v>206</v>
      </c>
    </row>
    <row r="148" customFormat="false" ht="15" hidden="false" customHeight="false" outlineLevel="0" collapsed="false">
      <c r="A148" s="33" t="s">
        <v>362</v>
      </c>
      <c r="B148" s="34" t="n">
        <v>45576</v>
      </c>
      <c r="C148" s="34" t="n">
        <v>45580</v>
      </c>
      <c r="D148" s="33" t="n">
        <v>6</v>
      </c>
      <c r="E148" s="33" t="s">
        <v>139</v>
      </c>
      <c r="F148" s="33" t="s">
        <v>155</v>
      </c>
      <c r="G148" s="33" t="s">
        <v>220</v>
      </c>
      <c r="H148" s="33" t="s">
        <v>157</v>
      </c>
      <c r="I148" s="33" t="s">
        <v>143</v>
      </c>
      <c r="J148" s="33" t="s">
        <v>144</v>
      </c>
      <c r="K148" s="33" t="s">
        <v>145</v>
      </c>
      <c r="L148" s="35" t="n">
        <v>5186.47</v>
      </c>
      <c r="M148" s="33" t="n">
        <v>3</v>
      </c>
      <c r="N148" s="33" t="s">
        <v>146</v>
      </c>
      <c r="O148" s="33" t="s">
        <v>147</v>
      </c>
    </row>
    <row r="149" customFormat="false" ht="15" hidden="false" customHeight="false" outlineLevel="0" collapsed="false">
      <c r="A149" s="33" t="s">
        <v>363</v>
      </c>
      <c r="B149" s="34" t="n">
        <v>45449</v>
      </c>
      <c r="C149" s="34" t="n">
        <v>45450</v>
      </c>
      <c r="D149" s="33" t="n">
        <v>31</v>
      </c>
      <c r="E149" s="33" t="s">
        <v>279</v>
      </c>
      <c r="F149" s="33" t="s">
        <v>149</v>
      </c>
      <c r="G149" s="33" t="s">
        <v>150</v>
      </c>
      <c r="H149" s="33" t="s">
        <v>151</v>
      </c>
      <c r="I149" s="33" t="s">
        <v>152</v>
      </c>
      <c r="J149" s="33" t="s">
        <v>159</v>
      </c>
      <c r="K149" s="33" t="s">
        <v>209</v>
      </c>
      <c r="L149" s="35" t="n">
        <v>1286</v>
      </c>
      <c r="M149" s="33" t="n">
        <v>3</v>
      </c>
      <c r="N149" s="33" t="s">
        <v>146</v>
      </c>
      <c r="O149" s="33" t="s">
        <v>147</v>
      </c>
    </row>
    <row r="150" customFormat="false" ht="15" hidden="false" customHeight="false" outlineLevel="0" collapsed="false">
      <c r="A150" s="33" t="s">
        <v>364</v>
      </c>
      <c r="B150" s="34" t="n">
        <v>45361</v>
      </c>
      <c r="C150" s="34" t="n">
        <v>45364</v>
      </c>
      <c r="D150" s="33" t="n">
        <v>70</v>
      </c>
      <c r="E150" s="33" t="s">
        <v>154</v>
      </c>
      <c r="F150" s="33" t="s">
        <v>181</v>
      </c>
      <c r="G150" s="33" t="s">
        <v>182</v>
      </c>
      <c r="H150" s="33" t="s">
        <v>183</v>
      </c>
      <c r="I150" s="33" t="s">
        <v>143</v>
      </c>
      <c r="J150" s="33" t="s">
        <v>159</v>
      </c>
      <c r="K150" s="33" t="s">
        <v>160</v>
      </c>
      <c r="L150" s="35" t="n">
        <v>7461.12</v>
      </c>
      <c r="M150" s="33" t="n">
        <v>4</v>
      </c>
      <c r="N150" s="33" t="s">
        <v>146</v>
      </c>
      <c r="O150" s="33" t="s">
        <v>147</v>
      </c>
    </row>
    <row r="151" customFormat="false" ht="15" hidden="false" customHeight="false" outlineLevel="0" collapsed="false">
      <c r="A151" s="33" t="s">
        <v>365</v>
      </c>
      <c r="B151" s="34" t="n">
        <v>45413</v>
      </c>
      <c r="C151" s="34" t="n">
        <v>45414</v>
      </c>
      <c r="D151" s="33" t="n">
        <v>60</v>
      </c>
      <c r="E151" s="33" t="s">
        <v>139</v>
      </c>
      <c r="F151" s="33" t="s">
        <v>334</v>
      </c>
      <c r="G151" s="33" t="s">
        <v>204</v>
      </c>
      <c r="H151" s="33" t="s">
        <v>205</v>
      </c>
      <c r="I151" s="33" t="s">
        <v>143</v>
      </c>
      <c r="J151" s="33" t="s">
        <v>159</v>
      </c>
      <c r="K151" s="33" t="s">
        <v>209</v>
      </c>
      <c r="L151" s="35" t="n">
        <v>733.03</v>
      </c>
      <c r="M151" s="33" t="n">
        <v>4</v>
      </c>
      <c r="N151" s="33" t="s">
        <v>146</v>
      </c>
      <c r="O151" s="33" t="s">
        <v>147</v>
      </c>
    </row>
    <row r="152" customFormat="false" ht="15" hidden="false" customHeight="false" outlineLevel="0" collapsed="false">
      <c r="A152" s="33" t="s">
        <v>366</v>
      </c>
      <c r="B152" s="34" t="n">
        <v>45386</v>
      </c>
      <c r="C152" s="34" t="n">
        <v>45388</v>
      </c>
      <c r="D152" s="33" t="n">
        <v>34</v>
      </c>
      <c r="E152" s="33" t="s">
        <v>139</v>
      </c>
      <c r="F152" s="33" t="s">
        <v>149</v>
      </c>
      <c r="G152" s="33" t="s">
        <v>243</v>
      </c>
      <c r="H152" s="33" t="s">
        <v>151</v>
      </c>
      <c r="I152" s="33" t="s">
        <v>143</v>
      </c>
      <c r="J152" s="33" t="s">
        <v>159</v>
      </c>
      <c r="K152" s="33" t="s">
        <v>145</v>
      </c>
      <c r="L152" s="35" t="n">
        <v>2996.65</v>
      </c>
      <c r="M152" s="33" t="n">
        <v>4</v>
      </c>
      <c r="N152" s="33" t="s">
        <v>146</v>
      </c>
      <c r="O152" s="33" t="s">
        <v>147</v>
      </c>
    </row>
    <row r="153" customFormat="false" ht="15" hidden="false" customHeight="false" outlineLevel="0" collapsed="false">
      <c r="A153" s="33" t="s">
        <v>367</v>
      </c>
      <c r="B153" s="34" t="n">
        <v>45603</v>
      </c>
      <c r="C153" s="34" t="n">
        <v>45604</v>
      </c>
      <c r="D153" s="33" t="n">
        <v>27</v>
      </c>
      <c r="E153" s="33" t="s">
        <v>139</v>
      </c>
      <c r="F153" s="33" t="s">
        <v>212</v>
      </c>
      <c r="G153" s="33" t="s">
        <v>163</v>
      </c>
      <c r="H153" s="33" t="s">
        <v>164</v>
      </c>
      <c r="I153" s="33" t="s">
        <v>143</v>
      </c>
      <c r="J153" s="33" t="s">
        <v>159</v>
      </c>
      <c r="K153" s="33" t="s">
        <v>145</v>
      </c>
      <c r="L153" s="35" t="n">
        <v>968.84</v>
      </c>
      <c r="M153" s="33" t="n">
        <v>5</v>
      </c>
      <c r="N153" s="33" t="s">
        <v>146</v>
      </c>
      <c r="O153" s="33" t="s">
        <v>147</v>
      </c>
    </row>
    <row r="154" customFormat="false" ht="15" hidden="false" customHeight="false" outlineLevel="0" collapsed="false">
      <c r="A154" s="33" t="s">
        <v>368</v>
      </c>
      <c r="B154" s="34" t="n">
        <v>45343</v>
      </c>
      <c r="C154" s="34" t="n">
        <v>45350</v>
      </c>
      <c r="D154" s="33" t="n">
        <v>58</v>
      </c>
      <c r="E154" s="33" t="s">
        <v>180</v>
      </c>
      <c r="F154" s="33" t="s">
        <v>181</v>
      </c>
      <c r="G154" s="33" t="s">
        <v>182</v>
      </c>
      <c r="H154" s="33" t="s">
        <v>183</v>
      </c>
      <c r="I154" s="33" t="s">
        <v>143</v>
      </c>
      <c r="J154" s="33" t="s">
        <v>159</v>
      </c>
      <c r="K154" s="33" t="s">
        <v>145</v>
      </c>
      <c r="L154" s="35" t="n">
        <v>18982.02</v>
      </c>
      <c r="M154" s="36"/>
      <c r="N154" s="33" t="s">
        <v>146</v>
      </c>
      <c r="O154" s="33" t="s">
        <v>147</v>
      </c>
    </row>
    <row r="155" customFormat="false" ht="15" hidden="false" customHeight="false" outlineLevel="0" collapsed="false">
      <c r="A155" s="33" t="s">
        <v>369</v>
      </c>
      <c r="B155" s="34" t="n">
        <v>45512</v>
      </c>
      <c r="C155" s="34" t="n">
        <v>45516</v>
      </c>
      <c r="D155" s="33" t="n">
        <v>36</v>
      </c>
      <c r="E155" s="33" t="s">
        <v>279</v>
      </c>
      <c r="F155" s="33" t="s">
        <v>212</v>
      </c>
      <c r="G155" s="33" t="s">
        <v>170</v>
      </c>
      <c r="H155" s="33" t="s">
        <v>164</v>
      </c>
      <c r="I155" s="33" t="s">
        <v>143</v>
      </c>
      <c r="J155" s="33" t="s">
        <v>159</v>
      </c>
      <c r="K155" s="33" t="s">
        <v>145</v>
      </c>
      <c r="L155" s="35" t="n">
        <v>4132.59</v>
      </c>
      <c r="M155" s="33" t="n">
        <v>3</v>
      </c>
      <c r="N155" s="33" t="s">
        <v>146</v>
      </c>
      <c r="O155" s="33" t="s">
        <v>147</v>
      </c>
    </row>
    <row r="156" customFormat="false" ht="15" hidden="false" customHeight="false" outlineLevel="0" collapsed="false">
      <c r="A156" s="33" t="s">
        <v>370</v>
      </c>
      <c r="B156" s="34" t="n">
        <v>45314</v>
      </c>
      <c r="C156" s="34" t="n">
        <v>45320</v>
      </c>
      <c r="D156" s="33" t="n">
        <v>36</v>
      </c>
      <c r="E156" s="33" t="s">
        <v>154</v>
      </c>
      <c r="F156" s="33" t="s">
        <v>169</v>
      </c>
      <c r="G156" s="33" t="s">
        <v>163</v>
      </c>
      <c r="H156" s="33" t="s">
        <v>171</v>
      </c>
      <c r="I156" s="33" t="s">
        <v>143</v>
      </c>
      <c r="J156" s="33" t="s">
        <v>159</v>
      </c>
      <c r="K156" s="33" t="s">
        <v>145</v>
      </c>
      <c r="L156" s="35" t="n">
        <v>6360.86</v>
      </c>
      <c r="M156" s="33" t="n">
        <v>4</v>
      </c>
      <c r="N156" s="33" t="s">
        <v>146</v>
      </c>
      <c r="O156" s="33" t="s">
        <v>147</v>
      </c>
    </row>
    <row r="157" customFormat="false" ht="15" hidden="false" customHeight="false" outlineLevel="0" collapsed="false">
      <c r="A157" s="33" t="s">
        <v>371</v>
      </c>
      <c r="B157" s="34" t="n">
        <v>45603</v>
      </c>
      <c r="C157" s="34" t="n">
        <v>45604</v>
      </c>
      <c r="D157" s="33" t="n">
        <v>63</v>
      </c>
      <c r="E157" s="33" t="s">
        <v>154</v>
      </c>
      <c r="F157" s="33" t="s">
        <v>240</v>
      </c>
      <c r="G157" s="33" t="s">
        <v>217</v>
      </c>
      <c r="H157" s="33" t="s">
        <v>233</v>
      </c>
      <c r="I157" s="33" t="s">
        <v>143</v>
      </c>
      <c r="J157" s="33" t="s">
        <v>159</v>
      </c>
      <c r="K157" s="33" t="s">
        <v>145</v>
      </c>
      <c r="L157" s="35" t="n">
        <v>645.6</v>
      </c>
      <c r="M157" s="33" t="n">
        <v>5</v>
      </c>
      <c r="N157" s="33" t="s">
        <v>146</v>
      </c>
      <c r="O157" s="33" t="s">
        <v>147</v>
      </c>
    </row>
    <row r="158" customFormat="false" ht="15" hidden="false" customHeight="false" outlineLevel="0" collapsed="false">
      <c r="A158" s="33" t="s">
        <v>372</v>
      </c>
      <c r="B158" s="34" t="n">
        <v>45364</v>
      </c>
      <c r="C158" s="34" t="n">
        <v>45369</v>
      </c>
      <c r="D158" s="33" t="n">
        <v>20</v>
      </c>
      <c r="E158" s="33" t="s">
        <v>154</v>
      </c>
      <c r="F158" s="33" t="s">
        <v>140</v>
      </c>
      <c r="G158" s="33" t="s">
        <v>316</v>
      </c>
      <c r="H158" s="33" t="s">
        <v>290</v>
      </c>
      <c r="I158" s="33" t="s">
        <v>143</v>
      </c>
      <c r="J158" s="33" t="s">
        <v>159</v>
      </c>
      <c r="K158" s="33" t="s">
        <v>160</v>
      </c>
      <c r="L158" s="35" t="n">
        <v>10125.25</v>
      </c>
      <c r="M158" s="33" t="n">
        <v>4</v>
      </c>
      <c r="N158" s="33" t="s">
        <v>146</v>
      </c>
      <c r="O158" s="33" t="s">
        <v>147</v>
      </c>
    </row>
    <row r="159" customFormat="false" ht="15" hidden="false" customHeight="false" outlineLevel="0" collapsed="false">
      <c r="A159" s="33" t="s">
        <v>373</v>
      </c>
      <c r="B159" s="34" t="n">
        <v>45632</v>
      </c>
      <c r="C159" s="34" t="n">
        <v>45637</v>
      </c>
      <c r="D159" s="33" t="n">
        <v>66</v>
      </c>
      <c r="E159" s="33" t="s">
        <v>154</v>
      </c>
      <c r="F159" s="33" t="s">
        <v>181</v>
      </c>
      <c r="G159" s="33" t="s">
        <v>237</v>
      </c>
      <c r="H159" s="33" t="s">
        <v>245</v>
      </c>
      <c r="I159" s="33" t="s">
        <v>152</v>
      </c>
      <c r="J159" s="33" t="s">
        <v>159</v>
      </c>
      <c r="K159" s="33" t="s">
        <v>160</v>
      </c>
      <c r="L159" s="35" t="n">
        <v>11527.97</v>
      </c>
      <c r="M159" s="33" t="n">
        <v>4</v>
      </c>
      <c r="N159" s="33" t="s">
        <v>146</v>
      </c>
      <c r="O159" s="33" t="s">
        <v>147</v>
      </c>
    </row>
    <row r="160" customFormat="false" ht="15" hidden="false" customHeight="false" outlineLevel="0" collapsed="false">
      <c r="A160" s="33" t="s">
        <v>374</v>
      </c>
      <c r="B160" s="34" t="n">
        <v>45351</v>
      </c>
      <c r="C160" s="34" t="n">
        <v>45356</v>
      </c>
      <c r="D160" s="33" t="n">
        <v>30</v>
      </c>
      <c r="E160" s="33" t="s">
        <v>139</v>
      </c>
      <c r="F160" s="33" t="s">
        <v>203</v>
      </c>
      <c r="G160" s="33" t="s">
        <v>204</v>
      </c>
      <c r="H160" s="33" t="s">
        <v>193</v>
      </c>
      <c r="I160" s="33" t="s">
        <v>143</v>
      </c>
      <c r="J160" s="33" t="s">
        <v>159</v>
      </c>
      <c r="K160" s="33" t="s">
        <v>145</v>
      </c>
      <c r="L160" s="35" t="n">
        <v>4219.85</v>
      </c>
      <c r="M160" s="33" t="n">
        <v>2</v>
      </c>
      <c r="N160" s="33" t="s">
        <v>146</v>
      </c>
      <c r="O160" s="33" t="s">
        <v>147</v>
      </c>
    </row>
    <row r="161" customFormat="false" ht="15" hidden="false" customHeight="false" outlineLevel="0" collapsed="false">
      <c r="A161" s="33" t="s">
        <v>375</v>
      </c>
      <c r="B161" s="34" t="n">
        <v>45457</v>
      </c>
      <c r="C161" s="34" t="n">
        <v>45461</v>
      </c>
      <c r="D161" s="33" t="n">
        <v>14</v>
      </c>
      <c r="E161" s="33" t="s">
        <v>139</v>
      </c>
      <c r="F161" s="33" t="s">
        <v>376</v>
      </c>
      <c r="G161" s="33" t="s">
        <v>156</v>
      </c>
      <c r="H161" s="33" t="s">
        <v>157</v>
      </c>
      <c r="I161" s="33" t="s">
        <v>143</v>
      </c>
      <c r="J161" s="33" t="s">
        <v>159</v>
      </c>
      <c r="K161" s="33" t="s">
        <v>184</v>
      </c>
      <c r="L161" s="35" t="n">
        <v>2951.86</v>
      </c>
      <c r="M161" s="33" t="n">
        <v>4</v>
      </c>
      <c r="N161" s="33" t="s">
        <v>146</v>
      </c>
      <c r="O161" s="33" t="s">
        <v>147</v>
      </c>
    </row>
    <row r="162" customFormat="false" ht="15" hidden="false" customHeight="false" outlineLevel="0" collapsed="false">
      <c r="A162" s="33" t="s">
        <v>377</v>
      </c>
      <c r="B162" s="34" t="n">
        <v>45417</v>
      </c>
      <c r="C162" s="34" t="n">
        <v>45422</v>
      </c>
      <c r="D162" s="33" t="n">
        <v>24</v>
      </c>
      <c r="E162" s="33" t="s">
        <v>154</v>
      </c>
      <c r="F162" s="33" t="s">
        <v>162</v>
      </c>
      <c r="G162" s="33" t="s">
        <v>230</v>
      </c>
      <c r="H162" s="33" t="s">
        <v>171</v>
      </c>
      <c r="I162" s="33" t="s">
        <v>143</v>
      </c>
      <c r="J162" s="33" t="s">
        <v>159</v>
      </c>
      <c r="K162" s="33" t="s">
        <v>160</v>
      </c>
      <c r="L162" s="35" t="n">
        <v>5425.97</v>
      </c>
      <c r="M162" s="33" t="n">
        <v>4</v>
      </c>
      <c r="N162" s="33" t="s">
        <v>146</v>
      </c>
      <c r="O162" s="33" t="s">
        <v>147</v>
      </c>
    </row>
    <row r="163" customFormat="false" ht="15" hidden="false" customHeight="false" outlineLevel="0" collapsed="false">
      <c r="A163" s="33" t="s">
        <v>378</v>
      </c>
      <c r="B163" s="34" t="n">
        <v>45539</v>
      </c>
      <c r="C163" s="34" t="n">
        <v>45543</v>
      </c>
      <c r="D163" s="33" t="n">
        <v>21</v>
      </c>
      <c r="E163" s="33" t="s">
        <v>139</v>
      </c>
      <c r="F163" s="33" t="s">
        <v>140</v>
      </c>
      <c r="G163" s="33" t="s">
        <v>167</v>
      </c>
      <c r="H163" s="33" t="s">
        <v>142</v>
      </c>
      <c r="I163" s="33" t="s">
        <v>143</v>
      </c>
      <c r="J163" s="33" t="s">
        <v>176</v>
      </c>
      <c r="K163" s="33" t="s">
        <v>145</v>
      </c>
      <c r="L163" s="35" t="n">
        <v>31096.53</v>
      </c>
      <c r="M163" s="33" t="n">
        <v>4</v>
      </c>
      <c r="N163" s="33" t="s">
        <v>146</v>
      </c>
      <c r="O163" s="33" t="s">
        <v>147</v>
      </c>
    </row>
    <row r="164" customFormat="false" ht="15" hidden="false" customHeight="false" outlineLevel="0" collapsed="false">
      <c r="A164" s="33" t="s">
        <v>379</v>
      </c>
      <c r="B164" s="34" t="n">
        <v>45402</v>
      </c>
      <c r="C164" s="34" t="n">
        <v>45413</v>
      </c>
      <c r="D164" s="33" t="n">
        <v>36</v>
      </c>
      <c r="E164" s="33" t="s">
        <v>154</v>
      </c>
      <c r="F164" s="33" t="s">
        <v>226</v>
      </c>
      <c r="G164" s="33" t="s">
        <v>258</v>
      </c>
      <c r="H164" s="33" t="s">
        <v>228</v>
      </c>
      <c r="I164" s="33" t="s">
        <v>143</v>
      </c>
      <c r="J164" s="33" t="s">
        <v>159</v>
      </c>
      <c r="K164" s="33" t="s">
        <v>160</v>
      </c>
      <c r="L164" s="35" t="n">
        <v>31786.56</v>
      </c>
      <c r="M164" s="33" t="n">
        <v>4</v>
      </c>
      <c r="N164" s="33" t="s">
        <v>146</v>
      </c>
      <c r="O164" s="33" t="s">
        <v>147</v>
      </c>
    </row>
    <row r="165" customFormat="false" ht="15" hidden="false" customHeight="false" outlineLevel="0" collapsed="false">
      <c r="A165" s="33" t="s">
        <v>380</v>
      </c>
      <c r="B165" s="34" t="n">
        <v>45583</v>
      </c>
      <c r="C165" s="34" t="n">
        <v>45584</v>
      </c>
      <c r="D165" s="33" t="n">
        <v>0</v>
      </c>
      <c r="E165" s="33" t="s">
        <v>154</v>
      </c>
      <c r="F165" s="33" t="s">
        <v>191</v>
      </c>
      <c r="G165" s="33" t="s">
        <v>232</v>
      </c>
      <c r="H165" s="33" t="s">
        <v>205</v>
      </c>
      <c r="I165" s="33" t="s">
        <v>143</v>
      </c>
      <c r="J165" s="33" t="s">
        <v>159</v>
      </c>
      <c r="K165" s="33" t="s">
        <v>145</v>
      </c>
      <c r="L165" s="35" t="n">
        <v>741.65</v>
      </c>
      <c r="M165" s="33" t="n">
        <v>4</v>
      </c>
      <c r="N165" s="33" t="s">
        <v>146</v>
      </c>
      <c r="O165" s="33" t="s">
        <v>147</v>
      </c>
    </row>
    <row r="166" customFormat="false" ht="15" hidden="false" customHeight="false" outlineLevel="0" collapsed="false">
      <c r="A166" s="33" t="s">
        <v>381</v>
      </c>
      <c r="B166" s="34" t="n">
        <v>45397</v>
      </c>
      <c r="C166" s="34" t="n">
        <v>45399</v>
      </c>
      <c r="D166" s="33" t="n">
        <v>26</v>
      </c>
      <c r="E166" s="33" t="s">
        <v>216</v>
      </c>
      <c r="F166" s="33" t="s">
        <v>162</v>
      </c>
      <c r="G166" s="33" t="s">
        <v>163</v>
      </c>
      <c r="H166" s="33" t="s">
        <v>195</v>
      </c>
      <c r="I166" s="33" t="s">
        <v>143</v>
      </c>
      <c r="J166" s="33" t="s">
        <v>159</v>
      </c>
      <c r="K166" s="33" t="s">
        <v>184</v>
      </c>
      <c r="L166" s="35" t="n">
        <v>2377.09</v>
      </c>
      <c r="M166" s="33" t="n">
        <v>5</v>
      </c>
      <c r="N166" s="33" t="s">
        <v>146</v>
      </c>
      <c r="O166" s="33" t="s">
        <v>147</v>
      </c>
    </row>
    <row r="167" customFormat="false" ht="15" hidden="false" customHeight="false" outlineLevel="0" collapsed="false">
      <c r="A167" s="33" t="s">
        <v>382</v>
      </c>
      <c r="B167" s="34" t="n">
        <v>45355</v>
      </c>
      <c r="C167" s="34" t="n">
        <v>45360</v>
      </c>
      <c r="D167" s="33" t="n">
        <v>7</v>
      </c>
      <c r="E167" s="33" t="s">
        <v>139</v>
      </c>
      <c r="F167" s="33" t="s">
        <v>155</v>
      </c>
      <c r="G167" s="33" t="s">
        <v>302</v>
      </c>
      <c r="H167" s="33" t="s">
        <v>157</v>
      </c>
      <c r="I167" s="33" t="s">
        <v>158</v>
      </c>
      <c r="J167" s="33" t="s">
        <v>159</v>
      </c>
      <c r="K167" s="33" t="s">
        <v>145</v>
      </c>
      <c r="L167" s="35" t="n">
        <v>3859.52</v>
      </c>
      <c r="M167" s="33" t="n">
        <v>4</v>
      </c>
      <c r="N167" s="33" t="s">
        <v>146</v>
      </c>
      <c r="O167" s="33" t="s">
        <v>147</v>
      </c>
    </row>
    <row r="168" customFormat="false" ht="15" hidden="false" customHeight="false" outlineLevel="0" collapsed="false">
      <c r="A168" s="33" t="s">
        <v>383</v>
      </c>
      <c r="B168" s="34" t="n">
        <v>45455</v>
      </c>
      <c r="C168" s="34" t="n">
        <v>45459</v>
      </c>
      <c r="D168" s="33" t="n">
        <v>66</v>
      </c>
      <c r="E168" s="33" t="s">
        <v>154</v>
      </c>
      <c r="F168" s="33" t="s">
        <v>169</v>
      </c>
      <c r="G168" s="33" t="s">
        <v>213</v>
      </c>
      <c r="H168" s="33" t="s">
        <v>195</v>
      </c>
      <c r="I168" s="33" t="s">
        <v>152</v>
      </c>
      <c r="J168" s="33" t="s">
        <v>159</v>
      </c>
      <c r="K168" s="33" t="s">
        <v>145</v>
      </c>
      <c r="L168" s="35" t="n">
        <v>4416.66</v>
      </c>
      <c r="M168" s="33" t="n">
        <v>3</v>
      </c>
      <c r="N168" s="33" t="s">
        <v>146</v>
      </c>
      <c r="O168" s="33" t="s">
        <v>147</v>
      </c>
    </row>
    <row r="169" customFormat="false" ht="15" hidden="false" customHeight="false" outlineLevel="0" collapsed="false">
      <c r="A169" s="33" t="s">
        <v>384</v>
      </c>
      <c r="B169" s="34" t="n">
        <v>45326</v>
      </c>
      <c r="C169" s="34" t="n">
        <v>45329</v>
      </c>
      <c r="D169" s="33" t="n">
        <v>29</v>
      </c>
      <c r="E169" s="33" t="s">
        <v>279</v>
      </c>
      <c r="F169" s="33" t="s">
        <v>173</v>
      </c>
      <c r="G169" s="33" t="s">
        <v>178</v>
      </c>
      <c r="H169" s="33" t="s">
        <v>175</v>
      </c>
      <c r="I169" s="33" t="s">
        <v>143</v>
      </c>
      <c r="J169" s="33" t="s">
        <v>159</v>
      </c>
      <c r="K169" s="33" t="s">
        <v>160</v>
      </c>
      <c r="L169" s="35" t="n">
        <v>7834.85</v>
      </c>
      <c r="M169" s="33" t="n">
        <v>4</v>
      </c>
      <c r="N169" s="33" t="s">
        <v>146</v>
      </c>
      <c r="O169" s="33" t="s">
        <v>147</v>
      </c>
    </row>
    <row r="170" customFormat="false" ht="15" hidden="false" customHeight="false" outlineLevel="0" collapsed="false">
      <c r="A170" s="33" t="s">
        <v>385</v>
      </c>
      <c r="B170" s="34" t="n">
        <v>45395</v>
      </c>
      <c r="C170" s="34" t="n">
        <v>45398</v>
      </c>
      <c r="D170" s="33" t="n">
        <v>68</v>
      </c>
      <c r="E170" s="33" t="s">
        <v>139</v>
      </c>
      <c r="F170" s="33" t="s">
        <v>226</v>
      </c>
      <c r="G170" s="33" t="s">
        <v>386</v>
      </c>
      <c r="H170" s="33" t="s">
        <v>228</v>
      </c>
      <c r="I170" s="33" t="s">
        <v>143</v>
      </c>
      <c r="J170" s="33" t="s">
        <v>159</v>
      </c>
      <c r="K170" s="33" t="s">
        <v>184</v>
      </c>
      <c r="L170" s="35" t="n">
        <v>9358.13</v>
      </c>
      <c r="M170" s="33" t="n">
        <v>5</v>
      </c>
      <c r="N170" s="33" t="s">
        <v>210</v>
      </c>
      <c r="O170" s="33" t="s">
        <v>147</v>
      </c>
    </row>
    <row r="171" customFormat="false" ht="15" hidden="false" customHeight="false" outlineLevel="0" collapsed="false">
      <c r="A171" s="33" t="s">
        <v>387</v>
      </c>
      <c r="B171" s="34" t="n">
        <v>45450</v>
      </c>
      <c r="C171" s="34" t="n">
        <v>45452</v>
      </c>
      <c r="D171" s="33" t="n">
        <v>33</v>
      </c>
      <c r="E171" s="33" t="s">
        <v>139</v>
      </c>
      <c r="F171" s="33" t="s">
        <v>191</v>
      </c>
      <c r="G171" s="33" t="s">
        <v>232</v>
      </c>
      <c r="H171" s="36"/>
      <c r="I171" s="33" t="s">
        <v>143</v>
      </c>
      <c r="J171" s="33" t="s">
        <v>159</v>
      </c>
      <c r="K171" s="33" t="s">
        <v>209</v>
      </c>
      <c r="L171" s="35" t="n">
        <v>1778.74</v>
      </c>
      <c r="M171" s="33" t="n">
        <v>4</v>
      </c>
      <c r="N171" s="33" t="s">
        <v>146</v>
      </c>
      <c r="O171" s="33" t="s">
        <v>147</v>
      </c>
    </row>
    <row r="172" customFormat="false" ht="15" hidden="false" customHeight="false" outlineLevel="0" collapsed="false">
      <c r="A172" s="33" t="s">
        <v>388</v>
      </c>
      <c r="B172" s="34" t="n">
        <v>45525</v>
      </c>
      <c r="C172" s="34" t="n">
        <v>45531</v>
      </c>
      <c r="D172" s="33" t="n">
        <v>48</v>
      </c>
      <c r="E172" s="33" t="s">
        <v>154</v>
      </c>
      <c r="F172" s="33" t="s">
        <v>140</v>
      </c>
      <c r="G172" s="33" t="s">
        <v>167</v>
      </c>
      <c r="H172" s="33" t="s">
        <v>290</v>
      </c>
      <c r="I172" s="33" t="s">
        <v>158</v>
      </c>
      <c r="J172" s="33" t="s">
        <v>144</v>
      </c>
      <c r="K172" s="33" t="s">
        <v>184</v>
      </c>
      <c r="L172" s="35" t="n">
        <v>20521.15</v>
      </c>
      <c r="M172" s="33" t="n">
        <v>4</v>
      </c>
      <c r="N172" s="33" t="s">
        <v>146</v>
      </c>
      <c r="O172" s="33" t="s">
        <v>147</v>
      </c>
    </row>
    <row r="173" customFormat="false" ht="15" hidden="false" customHeight="false" outlineLevel="0" collapsed="false">
      <c r="A173" s="33" t="s">
        <v>389</v>
      </c>
      <c r="B173" s="34" t="n">
        <v>45428</v>
      </c>
      <c r="C173" s="34" t="n">
        <v>45429</v>
      </c>
      <c r="D173" s="33" t="n">
        <v>46</v>
      </c>
      <c r="E173" s="33" t="s">
        <v>154</v>
      </c>
      <c r="F173" s="33" t="s">
        <v>203</v>
      </c>
      <c r="G173" s="33" t="s">
        <v>192</v>
      </c>
      <c r="H173" s="33" t="s">
        <v>205</v>
      </c>
      <c r="I173" s="33" t="s">
        <v>143</v>
      </c>
      <c r="J173" s="33" t="s">
        <v>159</v>
      </c>
      <c r="K173" s="33" t="s">
        <v>145</v>
      </c>
      <c r="L173" s="35" t="n">
        <v>1016.79</v>
      </c>
      <c r="M173" s="36"/>
      <c r="N173" s="33" t="s">
        <v>146</v>
      </c>
      <c r="O173" s="33" t="s">
        <v>147</v>
      </c>
    </row>
    <row r="174" customFormat="false" ht="15" hidden="false" customHeight="false" outlineLevel="0" collapsed="false">
      <c r="A174" s="33" t="s">
        <v>390</v>
      </c>
      <c r="B174" s="34" t="n">
        <v>45325</v>
      </c>
      <c r="C174" s="34" t="n">
        <v>45329</v>
      </c>
      <c r="D174" s="33" t="n">
        <v>3</v>
      </c>
      <c r="E174" s="33" t="s">
        <v>139</v>
      </c>
      <c r="F174" s="33" t="s">
        <v>155</v>
      </c>
      <c r="G174" s="33" t="s">
        <v>156</v>
      </c>
      <c r="H174" s="33" t="s">
        <v>157</v>
      </c>
      <c r="I174" s="33" t="s">
        <v>143</v>
      </c>
      <c r="J174" s="33" t="s">
        <v>144</v>
      </c>
      <c r="K174" s="33" t="s">
        <v>160</v>
      </c>
      <c r="L174" s="35" t="n">
        <v>6168.3</v>
      </c>
      <c r="M174" s="33" t="n">
        <v>5</v>
      </c>
      <c r="N174" s="33" t="s">
        <v>146</v>
      </c>
      <c r="O174" s="33" t="s">
        <v>147</v>
      </c>
    </row>
    <row r="175" customFormat="false" ht="15" hidden="false" customHeight="false" outlineLevel="0" collapsed="false">
      <c r="A175" s="33" t="s">
        <v>391</v>
      </c>
      <c r="B175" s="34" t="n">
        <v>45327</v>
      </c>
      <c r="C175" s="34" t="n">
        <v>45331</v>
      </c>
      <c r="D175" s="33" t="n">
        <v>51</v>
      </c>
      <c r="E175" s="33" t="s">
        <v>154</v>
      </c>
      <c r="F175" s="33" t="s">
        <v>226</v>
      </c>
      <c r="G175" s="33" t="s">
        <v>386</v>
      </c>
      <c r="H175" s="33" t="s">
        <v>228</v>
      </c>
      <c r="I175" s="33" t="s">
        <v>152</v>
      </c>
      <c r="J175" s="33" t="s">
        <v>144</v>
      </c>
      <c r="K175" s="33" t="s">
        <v>209</v>
      </c>
      <c r="L175" s="35" t="n">
        <v>22566.58</v>
      </c>
      <c r="M175" s="33" t="n">
        <v>3</v>
      </c>
      <c r="N175" s="33" t="s">
        <v>146</v>
      </c>
      <c r="O175" s="33" t="s">
        <v>147</v>
      </c>
    </row>
    <row r="176" customFormat="false" ht="15" hidden="false" customHeight="false" outlineLevel="0" collapsed="false">
      <c r="A176" s="33" t="s">
        <v>392</v>
      </c>
      <c r="B176" s="34" t="n">
        <v>45571</v>
      </c>
      <c r="C176" s="34" t="n">
        <v>45572</v>
      </c>
      <c r="D176" s="33" t="n">
        <v>51</v>
      </c>
      <c r="E176" s="33" t="s">
        <v>154</v>
      </c>
      <c r="F176" s="33" t="s">
        <v>203</v>
      </c>
      <c r="G176" s="33" t="s">
        <v>241</v>
      </c>
      <c r="H176" s="33" t="s">
        <v>205</v>
      </c>
      <c r="I176" s="33" t="s">
        <v>158</v>
      </c>
      <c r="J176" s="33" t="s">
        <v>159</v>
      </c>
      <c r="K176" s="33" t="s">
        <v>145</v>
      </c>
      <c r="L176" s="35" t="n">
        <v>1038.95</v>
      </c>
      <c r="M176" s="33" t="n">
        <v>3</v>
      </c>
      <c r="N176" s="33" t="s">
        <v>146</v>
      </c>
      <c r="O176" s="33" t="s">
        <v>147</v>
      </c>
    </row>
    <row r="177" customFormat="false" ht="15" hidden="false" customHeight="false" outlineLevel="0" collapsed="false">
      <c r="A177" s="33" t="s">
        <v>393</v>
      </c>
      <c r="B177" s="34" t="n">
        <v>45586</v>
      </c>
      <c r="C177" s="34" t="n">
        <v>45587</v>
      </c>
      <c r="D177" s="33" t="n">
        <v>47</v>
      </c>
      <c r="E177" s="33" t="s">
        <v>139</v>
      </c>
      <c r="F177" s="33" t="s">
        <v>203</v>
      </c>
      <c r="G177" s="33" t="s">
        <v>204</v>
      </c>
      <c r="H177" s="33" t="s">
        <v>233</v>
      </c>
      <c r="I177" s="33" t="s">
        <v>143</v>
      </c>
      <c r="J177" s="33" t="s">
        <v>159</v>
      </c>
      <c r="K177" s="33" t="s">
        <v>209</v>
      </c>
      <c r="L177" s="35" t="n">
        <v>904.52</v>
      </c>
      <c r="M177" s="33" t="n">
        <v>4</v>
      </c>
      <c r="N177" s="33" t="s">
        <v>146</v>
      </c>
      <c r="O177" s="33" t="s">
        <v>147</v>
      </c>
    </row>
    <row r="178" customFormat="false" ht="15" hidden="false" customHeight="false" outlineLevel="0" collapsed="false">
      <c r="A178" s="33" t="s">
        <v>394</v>
      </c>
      <c r="B178" s="34" t="n">
        <v>45491</v>
      </c>
      <c r="C178" s="34" t="n">
        <v>45494</v>
      </c>
      <c r="D178" s="33" t="n">
        <v>28</v>
      </c>
      <c r="E178" s="33" t="s">
        <v>139</v>
      </c>
      <c r="F178" s="33" t="s">
        <v>149</v>
      </c>
      <c r="G178" s="33" t="s">
        <v>243</v>
      </c>
      <c r="H178" s="33" t="s">
        <v>186</v>
      </c>
      <c r="I178" s="33" t="s">
        <v>152</v>
      </c>
      <c r="J178" s="33" t="s">
        <v>176</v>
      </c>
      <c r="K178" s="33" t="s">
        <v>184</v>
      </c>
      <c r="L178" s="35" t="n">
        <v>18005.55</v>
      </c>
      <c r="M178" s="33" t="n">
        <v>2</v>
      </c>
      <c r="N178" s="33" t="s">
        <v>146</v>
      </c>
      <c r="O178" s="33" t="s">
        <v>147</v>
      </c>
    </row>
    <row r="179" customFormat="false" ht="15" hidden="false" customHeight="false" outlineLevel="0" collapsed="false">
      <c r="A179" s="33" t="s">
        <v>395</v>
      </c>
      <c r="B179" s="34" t="n">
        <v>45343</v>
      </c>
      <c r="C179" s="34" t="n">
        <v>45345</v>
      </c>
      <c r="D179" s="33" t="n">
        <v>56</v>
      </c>
      <c r="E179" s="33" t="s">
        <v>139</v>
      </c>
      <c r="F179" s="33" t="s">
        <v>169</v>
      </c>
      <c r="G179" s="33" t="s">
        <v>230</v>
      </c>
      <c r="H179" s="33" t="s">
        <v>171</v>
      </c>
      <c r="I179" s="33" t="s">
        <v>152</v>
      </c>
      <c r="J179" s="33" t="s">
        <v>159</v>
      </c>
      <c r="K179" s="33" t="s">
        <v>145</v>
      </c>
      <c r="L179" s="35" t="n">
        <v>2436.02</v>
      </c>
      <c r="M179" s="33" t="n">
        <v>3</v>
      </c>
      <c r="N179" s="33" t="s">
        <v>146</v>
      </c>
      <c r="O179" s="33" t="s">
        <v>147</v>
      </c>
    </row>
    <row r="180" customFormat="false" ht="15" hidden="false" customHeight="false" outlineLevel="0" collapsed="false">
      <c r="A180" s="33" t="s">
        <v>396</v>
      </c>
      <c r="B180" s="34" t="n">
        <v>45324</v>
      </c>
      <c r="C180" s="34" t="n">
        <v>45337</v>
      </c>
      <c r="D180" s="33" t="n">
        <v>25</v>
      </c>
      <c r="E180" s="33" t="s">
        <v>139</v>
      </c>
      <c r="F180" s="33" t="s">
        <v>169</v>
      </c>
      <c r="G180" s="33" t="s">
        <v>170</v>
      </c>
      <c r="H180" s="33" t="s">
        <v>195</v>
      </c>
      <c r="I180" s="33" t="s">
        <v>143</v>
      </c>
      <c r="J180" s="33" t="s">
        <v>159</v>
      </c>
      <c r="K180" s="33" t="s">
        <v>160</v>
      </c>
      <c r="L180" s="35" t="n">
        <v>13919.67</v>
      </c>
      <c r="M180" s="33" t="n">
        <v>2</v>
      </c>
      <c r="N180" s="33" t="s">
        <v>146</v>
      </c>
      <c r="O180" s="33" t="s">
        <v>147</v>
      </c>
    </row>
    <row r="181" customFormat="false" ht="15" hidden="false" customHeight="false" outlineLevel="0" collapsed="false">
      <c r="A181" s="33" t="s">
        <v>397</v>
      </c>
      <c r="B181" s="34" t="n">
        <v>45594</v>
      </c>
      <c r="C181" s="34" t="n">
        <v>45598</v>
      </c>
      <c r="D181" s="33" t="n">
        <v>8</v>
      </c>
      <c r="E181" s="33" t="s">
        <v>139</v>
      </c>
      <c r="F181" s="33" t="s">
        <v>376</v>
      </c>
      <c r="G181" s="33" t="s">
        <v>302</v>
      </c>
      <c r="H181" s="33" t="s">
        <v>157</v>
      </c>
      <c r="I181" s="33" t="s">
        <v>143</v>
      </c>
      <c r="J181" s="33" t="s">
        <v>159</v>
      </c>
      <c r="K181" s="33" t="s">
        <v>145</v>
      </c>
      <c r="L181" s="35" t="n">
        <v>3564.29</v>
      </c>
      <c r="M181" s="33" t="n">
        <v>4</v>
      </c>
      <c r="N181" s="33" t="s">
        <v>146</v>
      </c>
      <c r="O181" s="33" t="s">
        <v>147</v>
      </c>
    </row>
    <row r="182" customFormat="false" ht="15" hidden="false" customHeight="false" outlineLevel="0" collapsed="false">
      <c r="A182" s="33" t="s">
        <v>398</v>
      </c>
      <c r="B182" s="34" t="n">
        <v>45498</v>
      </c>
      <c r="C182" s="34" t="n">
        <v>45499</v>
      </c>
      <c r="D182" s="33" t="n">
        <v>6</v>
      </c>
      <c r="E182" s="33" t="s">
        <v>139</v>
      </c>
      <c r="F182" s="33" t="s">
        <v>288</v>
      </c>
      <c r="G182" s="33" t="s">
        <v>156</v>
      </c>
      <c r="H182" s="33" t="s">
        <v>222</v>
      </c>
      <c r="I182" s="33" t="s">
        <v>143</v>
      </c>
      <c r="J182" s="33" t="s">
        <v>176</v>
      </c>
      <c r="K182" s="33" t="s">
        <v>145</v>
      </c>
      <c r="L182" s="35" t="n">
        <v>3034.95</v>
      </c>
      <c r="M182" s="33" t="n">
        <v>4</v>
      </c>
      <c r="N182" s="33" t="s">
        <v>146</v>
      </c>
      <c r="O182" s="33" t="s">
        <v>247</v>
      </c>
    </row>
    <row r="183" customFormat="false" ht="15" hidden="false" customHeight="false" outlineLevel="0" collapsed="false">
      <c r="A183" s="33" t="s">
        <v>399</v>
      </c>
      <c r="B183" s="34" t="n">
        <v>45344</v>
      </c>
      <c r="C183" s="34" t="n">
        <v>45350</v>
      </c>
      <c r="D183" s="33" t="n">
        <v>60</v>
      </c>
      <c r="E183" s="33" t="s">
        <v>139</v>
      </c>
      <c r="F183" s="33" t="s">
        <v>181</v>
      </c>
      <c r="G183" s="33" t="s">
        <v>188</v>
      </c>
      <c r="H183" s="33" t="s">
        <v>245</v>
      </c>
      <c r="I183" s="33" t="s">
        <v>152</v>
      </c>
      <c r="J183" s="33" t="s">
        <v>159</v>
      </c>
      <c r="K183" s="33" t="s">
        <v>145</v>
      </c>
      <c r="L183" s="35" t="n">
        <v>16299.07</v>
      </c>
      <c r="M183" s="33" t="n">
        <v>5</v>
      </c>
      <c r="N183" s="33" t="s">
        <v>146</v>
      </c>
      <c r="O183" s="33" t="s">
        <v>147</v>
      </c>
    </row>
    <row r="184" customFormat="false" ht="15" hidden="false" customHeight="false" outlineLevel="0" collapsed="false">
      <c r="A184" s="33" t="s">
        <v>400</v>
      </c>
      <c r="B184" s="34" t="n">
        <v>45529</v>
      </c>
      <c r="C184" s="34" t="n">
        <v>45530</v>
      </c>
      <c r="D184" s="36" t="n">
        <v>-3</v>
      </c>
      <c r="E184" s="33" t="s">
        <v>154</v>
      </c>
      <c r="F184" s="33" t="s">
        <v>203</v>
      </c>
      <c r="G184" s="33" t="s">
        <v>217</v>
      </c>
      <c r="H184" s="33" t="s">
        <v>193</v>
      </c>
      <c r="I184" s="33" t="s">
        <v>143</v>
      </c>
      <c r="J184" s="33" t="s">
        <v>144</v>
      </c>
      <c r="K184" s="33" t="s">
        <v>160</v>
      </c>
      <c r="L184" s="35" t="n">
        <v>1732.77</v>
      </c>
      <c r="M184" s="33" t="n">
        <v>5</v>
      </c>
      <c r="N184" s="33" t="s">
        <v>146</v>
      </c>
      <c r="O184" s="33" t="s">
        <v>147</v>
      </c>
    </row>
    <row r="185" customFormat="false" ht="15" hidden="false" customHeight="false" outlineLevel="0" collapsed="false">
      <c r="A185" s="33" t="s">
        <v>401</v>
      </c>
      <c r="B185" s="34" t="n">
        <v>45335</v>
      </c>
      <c r="C185" s="34" t="n">
        <v>45338</v>
      </c>
      <c r="D185" s="33" t="n">
        <v>38</v>
      </c>
      <c r="E185" s="33" t="s">
        <v>154</v>
      </c>
      <c r="F185" s="33" t="s">
        <v>226</v>
      </c>
      <c r="G185" s="33" t="s">
        <v>258</v>
      </c>
      <c r="H185" s="33" t="s">
        <v>228</v>
      </c>
      <c r="I185" s="33" t="s">
        <v>143</v>
      </c>
      <c r="J185" s="33" t="s">
        <v>144</v>
      </c>
      <c r="K185" s="33" t="s">
        <v>145</v>
      </c>
      <c r="L185" s="35" t="n">
        <v>15515.69</v>
      </c>
      <c r="M185" s="33" t="n">
        <v>4</v>
      </c>
      <c r="N185" s="33" t="s">
        <v>146</v>
      </c>
      <c r="O185" s="33" t="s">
        <v>147</v>
      </c>
    </row>
    <row r="186" customFormat="false" ht="15" hidden="false" customHeight="false" outlineLevel="0" collapsed="false">
      <c r="A186" s="33" t="s">
        <v>402</v>
      </c>
      <c r="B186" s="34" t="n">
        <v>45524</v>
      </c>
      <c r="C186" s="34" t="n">
        <v>45526</v>
      </c>
      <c r="D186" s="33" t="n">
        <v>75</v>
      </c>
      <c r="E186" s="33" t="s">
        <v>139</v>
      </c>
      <c r="F186" s="33" t="s">
        <v>181</v>
      </c>
      <c r="G186" s="33" t="s">
        <v>182</v>
      </c>
      <c r="H186" s="33" t="s">
        <v>245</v>
      </c>
      <c r="I186" s="33" t="s">
        <v>143</v>
      </c>
      <c r="J186" s="33" t="s">
        <v>159</v>
      </c>
      <c r="K186" s="33" t="s">
        <v>184</v>
      </c>
      <c r="L186" s="35" t="n">
        <v>4566.69</v>
      </c>
      <c r="M186" s="33" t="n">
        <v>3</v>
      </c>
      <c r="N186" s="33" t="s">
        <v>146</v>
      </c>
      <c r="O186" s="33" t="s">
        <v>247</v>
      </c>
    </row>
    <row r="187" customFormat="false" ht="15" hidden="false" customHeight="false" outlineLevel="0" collapsed="false">
      <c r="A187" s="33" t="s">
        <v>403</v>
      </c>
      <c r="B187" s="34" t="n">
        <v>45401</v>
      </c>
      <c r="C187" s="34" t="n">
        <v>45406</v>
      </c>
      <c r="D187" s="33" t="n">
        <v>64</v>
      </c>
      <c r="E187" s="33" t="s">
        <v>139</v>
      </c>
      <c r="F187" s="33" t="s">
        <v>226</v>
      </c>
      <c r="G187" s="33" t="s">
        <v>258</v>
      </c>
      <c r="H187" s="33" t="s">
        <v>263</v>
      </c>
      <c r="I187" s="33" t="s">
        <v>143</v>
      </c>
      <c r="J187" s="33" t="s">
        <v>144</v>
      </c>
      <c r="K187" s="33" t="s">
        <v>160</v>
      </c>
      <c r="L187" s="35" t="n">
        <v>26761.37</v>
      </c>
      <c r="M187" s="33" t="n">
        <v>5</v>
      </c>
      <c r="N187" s="33" t="s">
        <v>146</v>
      </c>
      <c r="O187" s="33" t="s">
        <v>295</v>
      </c>
    </row>
    <row r="188" customFormat="false" ht="15" hidden="false" customHeight="false" outlineLevel="0" collapsed="false">
      <c r="A188" s="33" t="s">
        <v>404</v>
      </c>
      <c r="B188" s="34" t="n">
        <v>45343</v>
      </c>
      <c r="C188" s="34" t="n">
        <v>45345</v>
      </c>
      <c r="D188" s="33" t="n">
        <v>71</v>
      </c>
      <c r="E188" s="33" t="s">
        <v>139</v>
      </c>
      <c r="F188" s="33" t="s">
        <v>203</v>
      </c>
      <c r="G188" s="33" t="s">
        <v>241</v>
      </c>
      <c r="H188" s="33" t="s">
        <v>233</v>
      </c>
      <c r="I188" s="33" t="s">
        <v>143</v>
      </c>
      <c r="J188" s="33" t="s">
        <v>144</v>
      </c>
      <c r="K188" s="33" t="s">
        <v>145</v>
      </c>
      <c r="L188" s="35" t="n">
        <v>3042.72</v>
      </c>
      <c r="M188" s="33" t="n">
        <v>3</v>
      </c>
      <c r="N188" s="33" t="s">
        <v>146</v>
      </c>
      <c r="O188" s="33" t="s">
        <v>147</v>
      </c>
    </row>
    <row r="189" customFormat="false" ht="15" hidden="false" customHeight="false" outlineLevel="0" collapsed="false">
      <c r="A189" s="33" t="s">
        <v>405</v>
      </c>
      <c r="B189" s="34" t="n">
        <v>45376</v>
      </c>
      <c r="C189" s="34" t="n">
        <v>45382</v>
      </c>
      <c r="D189" s="33" t="n">
        <v>20</v>
      </c>
      <c r="E189" s="33" t="s">
        <v>139</v>
      </c>
      <c r="F189" s="33" t="s">
        <v>173</v>
      </c>
      <c r="G189" s="33" t="s">
        <v>178</v>
      </c>
      <c r="H189" s="33" t="s">
        <v>175</v>
      </c>
      <c r="I189" s="33" t="s">
        <v>152</v>
      </c>
      <c r="J189" s="33" t="s">
        <v>159</v>
      </c>
      <c r="K189" s="33" t="s">
        <v>145</v>
      </c>
      <c r="L189" s="35" t="n">
        <v>13809.44</v>
      </c>
      <c r="M189" s="33" t="n">
        <v>4</v>
      </c>
      <c r="N189" s="33" t="s">
        <v>146</v>
      </c>
      <c r="O189" s="33" t="s">
        <v>147</v>
      </c>
    </row>
    <row r="190" customFormat="false" ht="15" hidden="false" customHeight="false" outlineLevel="0" collapsed="false">
      <c r="A190" s="33" t="s">
        <v>406</v>
      </c>
      <c r="B190" s="34" t="n">
        <v>45347</v>
      </c>
      <c r="C190" s="34" t="n">
        <v>45351</v>
      </c>
      <c r="D190" s="33" t="n">
        <v>68</v>
      </c>
      <c r="E190" s="33" t="s">
        <v>139</v>
      </c>
      <c r="F190" s="33" t="s">
        <v>173</v>
      </c>
      <c r="G190" s="33" t="s">
        <v>198</v>
      </c>
      <c r="H190" s="33" t="s">
        <v>199</v>
      </c>
      <c r="I190" s="33" t="s">
        <v>152</v>
      </c>
      <c r="J190" s="33" t="s">
        <v>159</v>
      </c>
      <c r="K190" s="33" t="s">
        <v>209</v>
      </c>
      <c r="L190" s="35" t="n">
        <v>9162.45</v>
      </c>
      <c r="M190" s="33" t="n">
        <v>4</v>
      </c>
      <c r="N190" s="33" t="s">
        <v>146</v>
      </c>
      <c r="O190" s="33" t="s">
        <v>147</v>
      </c>
    </row>
    <row r="191" customFormat="false" ht="15" hidden="false" customHeight="false" outlineLevel="0" collapsed="false">
      <c r="A191" s="33" t="s">
        <v>407</v>
      </c>
      <c r="B191" s="34" t="n">
        <v>45302</v>
      </c>
      <c r="C191" s="34" t="n">
        <v>45308</v>
      </c>
      <c r="D191" s="33" t="n">
        <v>20</v>
      </c>
      <c r="E191" s="33" t="s">
        <v>279</v>
      </c>
      <c r="F191" s="33" t="s">
        <v>140</v>
      </c>
      <c r="G191" s="33" t="s">
        <v>316</v>
      </c>
      <c r="H191" s="33" t="s">
        <v>290</v>
      </c>
      <c r="I191" s="33" t="s">
        <v>152</v>
      </c>
      <c r="J191" s="33" t="s">
        <v>144</v>
      </c>
      <c r="K191" s="33" t="s">
        <v>184</v>
      </c>
      <c r="L191" s="35" t="n">
        <v>21890.2</v>
      </c>
      <c r="M191" s="33" t="n">
        <v>4</v>
      </c>
      <c r="N191" s="33" t="s">
        <v>146</v>
      </c>
      <c r="O191" s="33" t="s">
        <v>147</v>
      </c>
    </row>
    <row r="192" customFormat="false" ht="15" hidden="false" customHeight="false" outlineLevel="0" collapsed="false">
      <c r="A192" s="33" t="s">
        <v>408</v>
      </c>
      <c r="B192" s="34" t="n">
        <v>45616</v>
      </c>
      <c r="C192" s="34" t="n">
        <v>45619</v>
      </c>
      <c r="D192" s="33" t="n">
        <v>56</v>
      </c>
      <c r="E192" s="33" t="s">
        <v>139</v>
      </c>
      <c r="F192" s="33" t="s">
        <v>203</v>
      </c>
      <c r="G192" s="33" t="s">
        <v>232</v>
      </c>
      <c r="H192" s="33" t="s">
        <v>205</v>
      </c>
      <c r="I192" s="33" t="s">
        <v>143</v>
      </c>
      <c r="J192" s="33" t="s">
        <v>144</v>
      </c>
      <c r="K192" s="33" t="s">
        <v>145</v>
      </c>
      <c r="L192" s="35" t="n">
        <v>4912.92</v>
      </c>
      <c r="M192" s="33" t="n">
        <v>4</v>
      </c>
      <c r="N192" s="33" t="s">
        <v>146</v>
      </c>
      <c r="O192" s="33" t="s">
        <v>247</v>
      </c>
    </row>
    <row r="193" customFormat="false" ht="15" hidden="false" customHeight="false" outlineLevel="0" collapsed="false">
      <c r="A193" s="33" t="s">
        <v>409</v>
      </c>
      <c r="B193" s="34" t="n">
        <v>45594</v>
      </c>
      <c r="C193" s="34" t="n">
        <v>45595</v>
      </c>
      <c r="D193" s="33" t="n">
        <v>48</v>
      </c>
      <c r="E193" s="33" t="s">
        <v>154</v>
      </c>
      <c r="F193" s="33" t="s">
        <v>203</v>
      </c>
      <c r="G193" s="33" t="s">
        <v>241</v>
      </c>
      <c r="H193" s="33" t="s">
        <v>233</v>
      </c>
      <c r="I193" s="33" t="s">
        <v>143</v>
      </c>
      <c r="J193" s="33" t="s">
        <v>144</v>
      </c>
      <c r="K193" s="33" t="s">
        <v>160</v>
      </c>
      <c r="L193" s="35" t="n">
        <v>1551.26</v>
      </c>
      <c r="M193" s="33" t="n">
        <v>4</v>
      </c>
      <c r="N193" s="33" t="s">
        <v>146</v>
      </c>
      <c r="O193" s="33" t="s">
        <v>147</v>
      </c>
    </row>
    <row r="194" customFormat="false" ht="15" hidden="false" customHeight="false" outlineLevel="0" collapsed="false">
      <c r="A194" s="33" t="s">
        <v>410</v>
      </c>
      <c r="B194" s="34" t="n">
        <v>45628</v>
      </c>
      <c r="C194" s="34" t="n">
        <v>45631</v>
      </c>
      <c r="D194" s="33" t="n">
        <v>42</v>
      </c>
      <c r="E194" s="33" t="s">
        <v>139</v>
      </c>
      <c r="F194" s="33" t="s">
        <v>203</v>
      </c>
      <c r="G194" s="33" t="s">
        <v>241</v>
      </c>
      <c r="H194" s="33" t="s">
        <v>205</v>
      </c>
      <c r="I194" s="33" t="s">
        <v>143</v>
      </c>
      <c r="J194" s="33" t="s">
        <v>159</v>
      </c>
      <c r="K194" s="33" t="s">
        <v>145</v>
      </c>
      <c r="L194" s="35" t="n">
        <v>3132.66</v>
      </c>
      <c r="M194" s="33" t="n">
        <v>3</v>
      </c>
      <c r="N194" s="33" t="s">
        <v>146</v>
      </c>
      <c r="O194" s="33" t="s">
        <v>147</v>
      </c>
    </row>
    <row r="195" customFormat="false" ht="15" hidden="false" customHeight="false" outlineLevel="0" collapsed="false">
      <c r="A195" s="33" t="s">
        <v>411</v>
      </c>
      <c r="B195" s="34" t="n">
        <v>45533</v>
      </c>
      <c r="C195" s="34" t="n">
        <v>45535</v>
      </c>
      <c r="D195" s="33" t="n">
        <v>4</v>
      </c>
      <c r="E195" s="33" t="s">
        <v>139</v>
      </c>
      <c r="F195" s="33" t="s">
        <v>155</v>
      </c>
      <c r="G195" s="33" t="s">
        <v>156</v>
      </c>
      <c r="H195" s="33" t="s">
        <v>157</v>
      </c>
      <c r="I195" s="33" t="s">
        <v>152</v>
      </c>
      <c r="J195" s="33" t="s">
        <v>144</v>
      </c>
      <c r="K195" s="36"/>
      <c r="L195" s="35" t="n">
        <v>3017.24</v>
      </c>
      <c r="M195" s="33" t="n">
        <v>5</v>
      </c>
      <c r="N195" s="33" t="s">
        <v>146</v>
      </c>
      <c r="O195" s="33" t="s">
        <v>147</v>
      </c>
    </row>
    <row r="196" customFormat="false" ht="15" hidden="false" customHeight="false" outlineLevel="0" collapsed="false">
      <c r="A196" s="33" t="s">
        <v>412</v>
      </c>
      <c r="B196" s="34" t="n">
        <v>45519</v>
      </c>
      <c r="C196" s="34" t="n">
        <v>45520</v>
      </c>
      <c r="D196" s="33" t="n">
        <v>28</v>
      </c>
      <c r="E196" s="33" t="s">
        <v>139</v>
      </c>
      <c r="F196" s="33" t="s">
        <v>149</v>
      </c>
      <c r="G196" s="33" t="s">
        <v>224</v>
      </c>
      <c r="H196" s="33" t="s">
        <v>151</v>
      </c>
      <c r="I196" s="33" t="s">
        <v>152</v>
      </c>
      <c r="J196" s="33" t="s">
        <v>144</v>
      </c>
      <c r="K196" s="33" t="s">
        <v>160</v>
      </c>
      <c r="L196" s="35" t="n">
        <v>2795.03</v>
      </c>
      <c r="M196" s="33" t="n">
        <v>4</v>
      </c>
      <c r="N196" s="33" t="s">
        <v>146</v>
      </c>
      <c r="O196" s="33" t="s">
        <v>147</v>
      </c>
    </row>
    <row r="197" customFormat="false" ht="15" hidden="false" customHeight="false" outlineLevel="0" collapsed="false">
      <c r="A197" s="33" t="s">
        <v>413</v>
      </c>
      <c r="B197" s="34" t="n">
        <v>45564</v>
      </c>
      <c r="C197" s="34" t="n">
        <v>45569</v>
      </c>
      <c r="D197" s="33" t="n">
        <v>28</v>
      </c>
      <c r="E197" s="33" t="s">
        <v>154</v>
      </c>
      <c r="F197" s="33" t="s">
        <v>173</v>
      </c>
      <c r="G197" s="33" t="s">
        <v>198</v>
      </c>
      <c r="H197" s="33" t="s">
        <v>199</v>
      </c>
      <c r="I197" s="33" t="s">
        <v>152</v>
      </c>
      <c r="J197" s="33" t="s">
        <v>159</v>
      </c>
      <c r="K197" s="33" t="s">
        <v>160</v>
      </c>
      <c r="L197" s="35" t="n">
        <v>12823.03</v>
      </c>
      <c r="M197" s="33" t="n">
        <v>3</v>
      </c>
      <c r="N197" s="33" t="s">
        <v>146</v>
      </c>
      <c r="O197" s="33" t="s">
        <v>147</v>
      </c>
    </row>
    <row r="198" customFormat="false" ht="15" hidden="false" customHeight="false" outlineLevel="0" collapsed="false">
      <c r="A198" s="33" t="s">
        <v>414</v>
      </c>
      <c r="B198" s="34" t="n">
        <v>45562</v>
      </c>
      <c r="C198" s="34" t="n">
        <v>45564</v>
      </c>
      <c r="D198" s="33" t="n">
        <v>58</v>
      </c>
      <c r="E198" s="33" t="s">
        <v>139</v>
      </c>
      <c r="F198" s="33" t="s">
        <v>173</v>
      </c>
      <c r="G198" s="33" t="s">
        <v>174</v>
      </c>
      <c r="H198" s="33" t="s">
        <v>175</v>
      </c>
      <c r="I198" s="33" t="s">
        <v>152</v>
      </c>
      <c r="J198" s="33" t="s">
        <v>144</v>
      </c>
      <c r="K198" s="33" t="s">
        <v>160</v>
      </c>
      <c r="L198" s="35" t="n">
        <v>8546.68</v>
      </c>
      <c r="M198" s="33" t="n">
        <v>5</v>
      </c>
      <c r="N198" s="33" t="s">
        <v>146</v>
      </c>
      <c r="O198" s="33" t="s">
        <v>147</v>
      </c>
    </row>
    <row r="199" customFormat="false" ht="15" hidden="false" customHeight="false" outlineLevel="0" collapsed="false">
      <c r="A199" s="33" t="s">
        <v>415</v>
      </c>
      <c r="B199" s="34" t="n">
        <v>45444</v>
      </c>
      <c r="C199" s="34" t="n">
        <v>45448</v>
      </c>
      <c r="D199" s="33" t="n">
        <v>37</v>
      </c>
      <c r="E199" s="33" t="s">
        <v>154</v>
      </c>
      <c r="F199" s="33" t="s">
        <v>140</v>
      </c>
      <c r="G199" s="33" t="s">
        <v>167</v>
      </c>
      <c r="H199" s="33" t="s">
        <v>142</v>
      </c>
      <c r="I199" s="33" t="s">
        <v>143</v>
      </c>
      <c r="J199" s="33" t="s">
        <v>159</v>
      </c>
      <c r="K199" s="33" t="s">
        <v>184</v>
      </c>
      <c r="L199" s="35" t="n">
        <v>7394.75</v>
      </c>
      <c r="M199" s="36"/>
      <c r="N199" s="33" t="s">
        <v>146</v>
      </c>
      <c r="O199" s="33" t="s">
        <v>147</v>
      </c>
    </row>
    <row r="200" customFormat="false" ht="15" hidden="false" customHeight="false" outlineLevel="0" collapsed="false">
      <c r="A200" s="33" t="s">
        <v>416</v>
      </c>
      <c r="B200" s="34" t="n">
        <v>45533</v>
      </c>
      <c r="C200" s="34" t="n">
        <v>45534</v>
      </c>
      <c r="D200" s="33" t="n">
        <v>14</v>
      </c>
      <c r="E200" s="33" t="s">
        <v>139</v>
      </c>
      <c r="F200" s="33" t="s">
        <v>240</v>
      </c>
      <c r="G200" s="33" t="s">
        <v>241</v>
      </c>
      <c r="H200" s="33" t="s">
        <v>233</v>
      </c>
      <c r="I200" s="33" t="s">
        <v>143</v>
      </c>
      <c r="J200" s="33" t="s">
        <v>144</v>
      </c>
      <c r="K200" s="33" t="s">
        <v>145</v>
      </c>
      <c r="L200" s="35" t="n">
        <v>1664.84</v>
      </c>
      <c r="M200" s="33" t="n">
        <v>4</v>
      </c>
      <c r="N200" s="33" t="s">
        <v>146</v>
      </c>
      <c r="O200" s="33" t="s">
        <v>295</v>
      </c>
    </row>
    <row r="201" customFormat="false" ht="15" hidden="false" customHeight="false" outlineLevel="0" collapsed="false">
      <c r="A201" s="33" t="s">
        <v>417</v>
      </c>
      <c r="B201" s="34" t="n">
        <v>45464</v>
      </c>
      <c r="C201" s="34" t="n">
        <v>45465</v>
      </c>
      <c r="D201" s="33" t="n">
        <v>51</v>
      </c>
      <c r="E201" s="33" t="s">
        <v>139</v>
      </c>
      <c r="F201" s="33" t="s">
        <v>203</v>
      </c>
      <c r="G201" s="33" t="s">
        <v>241</v>
      </c>
      <c r="H201" s="33" t="s">
        <v>193</v>
      </c>
      <c r="I201" s="33" t="s">
        <v>143</v>
      </c>
      <c r="J201" s="33" t="s">
        <v>159</v>
      </c>
      <c r="K201" s="36"/>
      <c r="L201" s="35" t="n">
        <v>1070.17</v>
      </c>
      <c r="M201" s="33" t="n">
        <v>2</v>
      </c>
      <c r="N201" s="33" t="s">
        <v>146</v>
      </c>
      <c r="O201" s="33" t="s">
        <v>147</v>
      </c>
    </row>
    <row r="202" customFormat="false" ht="15" hidden="false" customHeight="false" outlineLevel="0" collapsed="false">
      <c r="A202" s="33" t="s">
        <v>418</v>
      </c>
      <c r="B202" s="34" t="n">
        <v>45353</v>
      </c>
      <c r="C202" s="34" t="n">
        <v>45360</v>
      </c>
      <c r="D202" s="33" t="n">
        <v>44</v>
      </c>
      <c r="E202" s="33" t="s">
        <v>154</v>
      </c>
      <c r="F202" s="33" t="s">
        <v>140</v>
      </c>
      <c r="G202" s="33" t="s">
        <v>167</v>
      </c>
      <c r="H202" s="33" t="s">
        <v>290</v>
      </c>
      <c r="I202" s="33" t="s">
        <v>152</v>
      </c>
      <c r="J202" s="33" t="s">
        <v>159</v>
      </c>
      <c r="K202" s="33" t="s">
        <v>160</v>
      </c>
      <c r="L202" s="35" t="n">
        <v>17163.94</v>
      </c>
      <c r="M202" s="33" t="n">
        <v>5</v>
      </c>
      <c r="N202" s="33" t="s">
        <v>146</v>
      </c>
      <c r="O202" s="33" t="s">
        <v>147</v>
      </c>
    </row>
    <row r="203" customFormat="false" ht="15" hidden="false" customHeight="false" outlineLevel="0" collapsed="false">
      <c r="A203" s="33" t="s">
        <v>419</v>
      </c>
      <c r="B203" s="34" t="n">
        <v>45541</v>
      </c>
      <c r="C203" s="34" t="n">
        <v>45544</v>
      </c>
      <c r="D203" s="33" t="n">
        <v>71</v>
      </c>
      <c r="E203" s="33" t="s">
        <v>139</v>
      </c>
      <c r="F203" s="33" t="s">
        <v>169</v>
      </c>
      <c r="G203" s="33" t="s">
        <v>230</v>
      </c>
      <c r="H203" s="33" t="s">
        <v>164</v>
      </c>
      <c r="I203" s="33" t="s">
        <v>152</v>
      </c>
      <c r="J203" s="33" t="s">
        <v>159</v>
      </c>
      <c r="K203" s="33" t="s">
        <v>160</v>
      </c>
      <c r="L203" s="35" t="n">
        <v>3484.68</v>
      </c>
      <c r="M203" s="33" t="n">
        <v>4</v>
      </c>
      <c r="N203" s="33" t="s">
        <v>146</v>
      </c>
      <c r="O203" s="33" t="s">
        <v>147</v>
      </c>
    </row>
    <row r="204" customFormat="false" ht="15" hidden="false" customHeight="false" outlineLevel="0" collapsed="false">
      <c r="A204" s="33" t="s">
        <v>420</v>
      </c>
      <c r="B204" s="34" t="n">
        <v>45426</v>
      </c>
      <c r="C204" s="34" t="n">
        <v>45427</v>
      </c>
      <c r="D204" s="33" t="n">
        <v>52</v>
      </c>
      <c r="E204" s="33" t="s">
        <v>154</v>
      </c>
      <c r="F204" s="33" t="s">
        <v>203</v>
      </c>
      <c r="G204" s="33" t="s">
        <v>232</v>
      </c>
      <c r="H204" s="33" t="s">
        <v>193</v>
      </c>
      <c r="I204" s="33" t="s">
        <v>143</v>
      </c>
      <c r="J204" s="33" t="s">
        <v>159</v>
      </c>
      <c r="K204" s="33" t="s">
        <v>145</v>
      </c>
      <c r="L204" s="35" t="n">
        <v>1121.89</v>
      </c>
      <c r="M204" s="33" t="n">
        <v>3</v>
      </c>
      <c r="N204" s="33" t="s">
        <v>146</v>
      </c>
      <c r="O204" s="33" t="s">
        <v>147</v>
      </c>
    </row>
    <row r="205" customFormat="false" ht="15" hidden="false" customHeight="false" outlineLevel="0" collapsed="false">
      <c r="A205" s="33" t="s">
        <v>421</v>
      </c>
      <c r="B205" s="34" t="n">
        <v>45553</v>
      </c>
      <c r="C205" s="34" t="n">
        <v>45554</v>
      </c>
      <c r="D205" s="33" t="n">
        <v>90</v>
      </c>
      <c r="E205" s="33" t="s">
        <v>139</v>
      </c>
      <c r="F205" s="33" t="s">
        <v>181</v>
      </c>
      <c r="G205" s="33" t="s">
        <v>237</v>
      </c>
      <c r="H205" s="33" t="s">
        <v>245</v>
      </c>
      <c r="I205" s="33" t="s">
        <v>152</v>
      </c>
      <c r="J205" s="33" t="s">
        <v>144</v>
      </c>
      <c r="K205" s="33" t="s">
        <v>184</v>
      </c>
      <c r="L205" s="35" t="n">
        <v>4225.47</v>
      </c>
      <c r="M205" s="33" t="n">
        <v>4</v>
      </c>
      <c r="N205" s="33" t="s">
        <v>146</v>
      </c>
      <c r="O205" s="33" t="s">
        <v>147</v>
      </c>
    </row>
    <row r="206" customFormat="false" ht="15" hidden="false" customHeight="false" outlineLevel="0" collapsed="false">
      <c r="A206" s="33" t="s">
        <v>422</v>
      </c>
      <c r="B206" s="34" t="n">
        <v>45561</v>
      </c>
      <c r="C206" s="34" t="n">
        <v>45562</v>
      </c>
      <c r="D206" s="33" t="n">
        <v>19</v>
      </c>
      <c r="E206" s="33" t="s">
        <v>154</v>
      </c>
      <c r="F206" s="33" t="s">
        <v>203</v>
      </c>
      <c r="G206" s="33" t="s">
        <v>192</v>
      </c>
      <c r="H206" s="33" t="s">
        <v>233</v>
      </c>
      <c r="I206" s="33" t="s">
        <v>143</v>
      </c>
      <c r="J206" s="33" t="s">
        <v>144</v>
      </c>
      <c r="K206" s="33" t="s">
        <v>160</v>
      </c>
      <c r="L206" s="35" t="n">
        <v>1308.92</v>
      </c>
      <c r="M206" s="33" t="n">
        <v>4</v>
      </c>
      <c r="N206" s="33" t="s">
        <v>146</v>
      </c>
      <c r="O206" s="33" t="s">
        <v>147</v>
      </c>
    </row>
    <row r="207" customFormat="false" ht="15" hidden="false" customHeight="false" outlineLevel="0" collapsed="false">
      <c r="A207" s="33" t="s">
        <v>423</v>
      </c>
      <c r="B207" s="34" t="n">
        <v>45529</v>
      </c>
      <c r="C207" s="34" t="n">
        <v>45531</v>
      </c>
      <c r="D207" s="33" t="n">
        <v>35</v>
      </c>
      <c r="E207" s="33" t="s">
        <v>139</v>
      </c>
      <c r="F207" s="33" t="s">
        <v>140</v>
      </c>
      <c r="G207" s="33" t="s">
        <v>316</v>
      </c>
      <c r="H207" s="33" t="s">
        <v>290</v>
      </c>
      <c r="I207" s="33" t="s">
        <v>152</v>
      </c>
      <c r="J207" s="33" t="s">
        <v>176</v>
      </c>
      <c r="K207" s="33" t="s">
        <v>184</v>
      </c>
      <c r="L207" s="35" t="n">
        <v>14821.3</v>
      </c>
      <c r="M207" s="33" t="n">
        <v>5</v>
      </c>
      <c r="N207" s="33" t="s">
        <v>146</v>
      </c>
      <c r="O207" s="33" t="s">
        <v>147</v>
      </c>
    </row>
    <row r="208" customFormat="false" ht="15" hidden="false" customHeight="false" outlineLevel="0" collapsed="false">
      <c r="A208" s="33" t="s">
        <v>424</v>
      </c>
      <c r="B208" s="34" t="n">
        <v>45507</v>
      </c>
      <c r="C208" s="34" t="n">
        <v>45508</v>
      </c>
      <c r="D208" s="33" t="n">
        <v>55</v>
      </c>
      <c r="E208" s="33" t="s">
        <v>154</v>
      </c>
      <c r="F208" s="33" t="s">
        <v>169</v>
      </c>
      <c r="G208" s="33" t="s">
        <v>230</v>
      </c>
      <c r="H208" s="36"/>
      <c r="I208" s="33" t="s">
        <v>152</v>
      </c>
      <c r="J208" s="33" t="s">
        <v>159</v>
      </c>
      <c r="K208" s="36"/>
      <c r="L208" s="35" t="n">
        <v>1301.77</v>
      </c>
      <c r="M208" s="33" t="n">
        <v>5</v>
      </c>
      <c r="N208" s="33" t="s">
        <v>146</v>
      </c>
      <c r="O208" s="33" t="s">
        <v>147</v>
      </c>
    </row>
    <row r="209" customFormat="false" ht="15" hidden="false" customHeight="false" outlineLevel="0" collapsed="false">
      <c r="A209" s="33" t="s">
        <v>425</v>
      </c>
      <c r="B209" s="34" t="n">
        <v>45419</v>
      </c>
      <c r="C209" s="34" t="n">
        <v>45428</v>
      </c>
      <c r="D209" s="33" t="n">
        <v>52</v>
      </c>
      <c r="E209" s="33" t="s">
        <v>190</v>
      </c>
      <c r="F209" s="33" t="s">
        <v>181</v>
      </c>
      <c r="G209" s="33" t="s">
        <v>237</v>
      </c>
      <c r="H209" s="33" t="s">
        <v>245</v>
      </c>
      <c r="I209" s="33" t="s">
        <v>152</v>
      </c>
      <c r="J209" s="33" t="s">
        <v>159</v>
      </c>
      <c r="K209" s="33" t="s">
        <v>145</v>
      </c>
      <c r="L209" s="35" t="n">
        <v>21780.9</v>
      </c>
      <c r="M209" s="33" t="n">
        <v>4</v>
      </c>
      <c r="N209" s="33" t="s">
        <v>146</v>
      </c>
      <c r="O209" s="33" t="s">
        <v>147</v>
      </c>
    </row>
    <row r="210" customFormat="false" ht="15" hidden="false" customHeight="false" outlineLevel="0" collapsed="false">
      <c r="A210" s="33" t="s">
        <v>426</v>
      </c>
      <c r="B210" s="34" t="n">
        <v>45584</v>
      </c>
      <c r="C210" s="34" t="n">
        <v>45592</v>
      </c>
      <c r="D210" s="33" t="n">
        <v>31</v>
      </c>
      <c r="E210" s="33" t="s">
        <v>154</v>
      </c>
      <c r="F210" s="33" t="s">
        <v>140</v>
      </c>
      <c r="G210" s="33" t="s">
        <v>316</v>
      </c>
      <c r="H210" s="33" t="s">
        <v>142</v>
      </c>
      <c r="I210" s="33" t="s">
        <v>143</v>
      </c>
      <c r="J210" s="33" t="s">
        <v>159</v>
      </c>
      <c r="K210" s="33" t="s">
        <v>160</v>
      </c>
      <c r="L210" s="35" t="n">
        <v>15775.49</v>
      </c>
      <c r="M210" s="33" t="n">
        <v>4</v>
      </c>
      <c r="N210" s="33" t="s">
        <v>146</v>
      </c>
      <c r="O210" s="33" t="s">
        <v>147</v>
      </c>
    </row>
    <row r="211" customFormat="false" ht="15" hidden="false" customHeight="false" outlineLevel="0" collapsed="false">
      <c r="A211" s="33" t="s">
        <v>427</v>
      </c>
      <c r="B211" s="34" t="n">
        <v>45406</v>
      </c>
      <c r="C211" s="34" t="n">
        <v>45410</v>
      </c>
      <c r="D211" s="33" t="n">
        <v>49</v>
      </c>
      <c r="E211" s="33" t="s">
        <v>257</v>
      </c>
      <c r="F211" s="33" t="s">
        <v>169</v>
      </c>
      <c r="G211" s="33" t="s">
        <v>170</v>
      </c>
      <c r="H211" s="33" t="s">
        <v>195</v>
      </c>
      <c r="I211" s="33" t="s">
        <v>152</v>
      </c>
      <c r="J211" s="33" t="s">
        <v>159</v>
      </c>
      <c r="K211" s="33" t="s">
        <v>145</v>
      </c>
      <c r="L211" s="35" t="n">
        <v>4469.21</v>
      </c>
      <c r="M211" s="33" t="n">
        <v>5</v>
      </c>
      <c r="N211" s="33" t="s">
        <v>146</v>
      </c>
      <c r="O211" s="33" t="s">
        <v>147</v>
      </c>
    </row>
    <row r="212" customFormat="false" ht="15" hidden="false" customHeight="false" outlineLevel="0" collapsed="false">
      <c r="A212" s="33" t="s">
        <v>428</v>
      </c>
      <c r="B212" s="34" t="n">
        <v>45555</v>
      </c>
      <c r="C212" s="34" t="n">
        <v>45568</v>
      </c>
      <c r="D212" s="33" t="n">
        <v>91</v>
      </c>
      <c r="E212" s="33" t="s">
        <v>154</v>
      </c>
      <c r="F212" s="33" t="s">
        <v>140</v>
      </c>
      <c r="G212" s="33" t="s">
        <v>141</v>
      </c>
      <c r="H212" s="33" t="s">
        <v>290</v>
      </c>
      <c r="I212" s="33" t="s">
        <v>152</v>
      </c>
      <c r="J212" s="33" t="s">
        <v>159</v>
      </c>
      <c r="K212" s="33" t="s">
        <v>184</v>
      </c>
      <c r="L212" s="35" t="n">
        <v>28191.91</v>
      </c>
      <c r="M212" s="33" t="n">
        <v>4</v>
      </c>
      <c r="N212" s="33" t="s">
        <v>146</v>
      </c>
      <c r="O212" s="33" t="s">
        <v>147</v>
      </c>
    </row>
    <row r="213" customFormat="false" ht="15" hidden="false" customHeight="false" outlineLevel="0" collapsed="false">
      <c r="A213" s="33" t="s">
        <v>429</v>
      </c>
      <c r="B213" s="34" t="n">
        <v>45379</v>
      </c>
      <c r="C213" s="34" t="n">
        <v>45381</v>
      </c>
      <c r="D213" s="33" t="n">
        <v>36</v>
      </c>
      <c r="E213" s="33" t="s">
        <v>139</v>
      </c>
      <c r="F213" s="33" t="s">
        <v>149</v>
      </c>
      <c r="G213" s="33" t="s">
        <v>243</v>
      </c>
      <c r="H213" s="33" t="s">
        <v>186</v>
      </c>
      <c r="I213" s="33" t="s">
        <v>143</v>
      </c>
      <c r="J213" s="33" t="s">
        <v>159</v>
      </c>
      <c r="K213" s="33" t="s">
        <v>184</v>
      </c>
      <c r="L213" s="35" t="n">
        <v>4013.2</v>
      </c>
      <c r="M213" s="33" t="n">
        <v>4</v>
      </c>
      <c r="N213" s="33" t="s">
        <v>146</v>
      </c>
      <c r="O213" s="33" t="s">
        <v>247</v>
      </c>
    </row>
    <row r="214" customFormat="false" ht="15" hidden="false" customHeight="false" outlineLevel="0" collapsed="false">
      <c r="A214" s="33" t="s">
        <v>430</v>
      </c>
      <c r="B214" s="34" t="n">
        <v>45525</v>
      </c>
      <c r="C214" s="34" t="n">
        <v>45528</v>
      </c>
      <c r="D214" s="33" t="n">
        <v>70</v>
      </c>
      <c r="E214" s="33" t="s">
        <v>139</v>
      </c>
      <c r="F214" s="33" t="s">
        <v>140</v>
      </c>
      <c r="G214" s="33" t="s">
        <v>167</v>
      </c>
      <c r="H214" s="33" t="s">
        <v>142</v>
      </c>
      <c r="I214" s="33" t="s">
        <v>143</v>
      </c>
      <c r="J214" s="33" t="s">
        <v>144</v>
      </c>
      <c r="K214" s="33" t="s">
        <v>160</v>
      </c>
      <c r="L214" s="35" t="n">
        <v>9434.86</v>
      </c>
      <c r="M214" s="33" t="n">
        <v>4</v>
      </c>
      <c r="N214" s="33" t="s">
        <v>146</v>
      </c>
      <c r="O214" s="33" t="s">
        <v>147</v>
      </c>
    </row>
    <row r="215" customFormat="false" ht="15" hidden="false" customHeight="false" outlineLevel="0" collapsed="false">
      <c r="A215" s="33" t="s">
        <v>431</v>
      </c>
      <c r="B215" s="34" t="n">
        <v>45501</v>
      </c>
      <c r="C215" s="34" t="n">
        <v>45502</v>
      </c>
      <c r="D215" s="33" t="n">
        <v>40</v>
      </c>
      <c r="E215" s="33" t="s">
        <v>180</v>
      </c>
      <c r="F215" s="33" t="s">
        <v>173</v>
      </c>
      <c r="G215" s="33" t="s">
        <v>174</v>
      </c>
      <c r="H215" s="33" t="s">
        <v>175</v>
      </c>
      <c r="I215" s="33" t="s">
        <v>143</v>
      </c>
      <c r="J215" s="33" t="s">
        <v>159</v>
      </c>
      <c r="K215" s="33" t="s">
        <v>160</v>
      </c>
      <c r="L215" s="35" t="n">
        <v>2318.83</v>
      </c>
      <c r="M215" s="33" t="n">
        <v>4</v>
      </c>
      <c r="N215" s="33" t="s">
        <v>146</v>
      </c>
      <c r="O215" s="33" t="s">
        <v>247</v>
      </c>
    </row>
    <row r="216" customFormat="false" ht="15" hidden="false" customHeight="false" outlineLevel="0" collapsed="false">
      <c r="A216" s="33" t="s">
        <v>432</v>
      </c>
      <c r="B216" s="34" t="n">
        <v>45486</v>
      </c>
      <c r="C216" s="34" t="n">
        <v>45488</v>
      </c>
      <c r="D216" s="33" t="n">
        <v>22</v>
      </c>
      <c r="E216" s="33" t="s">
        <v>139</v>
      </c>
      <c r="F216" s="33" t="s">
        <v>203</v>
      </c>
      <c r="G216" s="33" t="s">
        <v>241</v>
      </c>
      <c r="H216" s="33" t="s">
        <v>205</v>
      </c>
      <c r="I216" s="33" t="s">
        <v>143</v>
      </c>
      <c r="J216" s="33" t="s">
        <v>144</v>
      </c>
      <c r="K216" s="33" t="s">
        <v>145</v>
      </c>
      <c r="L216" s="35" t="n">
        <v>2869.89</v>
      </c>
      <c r="M216" s="33" t="n">
        <v>2</v>
      </c>
      <c r="N216" s="33" t="s">
        <v>210</v>
      </c>
      <c r="O216" s="33" t="s">
        <v>147</v>
      </c>
    </row>
    <row r="217" customFormat="false" ht="15" hidden="false" customHeight="false" outlineLevel="0" collapsed="false">
      <c r="A217" s="33" t="s">
        <v>433</v>
      </c>
      <c r="B217" s="34" t="n">
        <v>45443</v>
      </c>
      <c r="C217" s="34" t="n">
        <v>45444</v>
      </c>
      <c r="D217" s="33" t="n">
        <v>29</v>
      </c>
      <c r="E217" s="33" t="s">
        <v>154</v>
      </c>
      <c r="F217" s="33" t="s">
        <v>203</v>
      </c>
      <c r="G217" s="33" t="s">
        <v>232</v>
      </c>
      <c r="H217" s="33" t="s">
        <v>233</v>
      </c>
      <c r="I217" s="33" t="s">
        <v>143</v>
      </c>
      <c r="J217" s="33" t="s">
        <v>144</v>
      </c>
      <c r="K217" s="33" t="s">
        <v>145</v>
      </c>
      <c r="L217" s="35" t="n">
        <v>1371.3</v>
      </c>
      <c r="M217" s="33" t="n">
        <v>4</v>
      </c>
      <c r="N217" s="33" t="s">
        <v>146</v>
      </c>
      <c r="O217" s="33" t="s">
        <v>147</v>
      </c>
    </row>
    <row r="218" customFormat="false" ht="15" hidden="false" customHeight="false" outlineLevel="0" collapsed="false">
      <c r="A218" s="33" t="s">
        <v>434</v>
      </c>
      <c r="B218" s="34" t="n">
        <v>45475</v>
      </c>
      <c r="C218" s="34" t="n">
        <v>45478</v>
      </c>
      <c r="D218" s="33" t="n">
        <v>79</v>
      </c>
      <c r="E218" s="33" t="s">
        <v>216</v>
      </c>
      <c r="F218" s="33" t="s">
        <v>181</v>
      </c>
      <c r="G218" s="33" t="s">
        <v>237</v>
      </c>
      <c r="H218" s="33" t="s">
        <v>245</v>
      </c>
      <c r="I218" s="33" t="s">
        <v>158</v>
      </c>
      <c r="J218" s="33" t="s">
        <v>159</v>
      </c>
      <c r="K218" s="33" t="s">
        <v>160</v>
      </c>
      <c r="L218" s="35" t="n">
        <v>8599.74</v>
      </c>
      <c r="M218" s="33" t="n">
        <v>4</v>
      </c>
      <c r="N218" s="33" t="s">
        <v>146</v>
      </c>
      <c r="O218" s="33" t="s">
        <v>147</v>
      </c>
    </row>
    <row r="219" customFormat="false" ht="15" hidden="false" customHeight="false" outlineLevel="0" collapsed="false">
      <c r="A219" s="33" t="s">
        <v>435</v>
      </c>
      <c r="B219" s="34" t="n">
        <v>45448</v>
      </c>
      <c r="C219" s="34" t="n">
        <v>45450</v>
      </c>
      <c r="D219" s="33" t="n">
        <v>0</v>
      </c>
      <c r="E219" s="33" t="s">
        <v>154</v>
      </c>
      <c r="F219" s="33" t="s">
        <v>173</v>
      </c>
      <c r="G219" s="33" t="s">
        <v>174</v>
      </c>
      <c r="H219" s="33" t="s">
        <v>199</v>
      </c>
      <c r="I219" s="33" t="s">
        <v>152</v>
      </c>
      <c r="J219" s="33" t="s">
        <v>144</v>
      </c>
      <c r="K219" s="33" t="s">
        <v>160</v>
      </c>
      <c r="L219" s="35" t="n">
        <v>9104.14</v>
      </c>
      <c r="M219" s="33" t="n">
        <v>5</v>
      </c>
      <c r="N219" s="33" t="s">
        <v>146</v>
      </c>
      <c r="O219" s="33" t="s">
        <v>147</v>
      </c>
    </row>
    <row r="220" customFormat="false" ht="15" hidden="false" customHeight="false" outlineLevel="0" collapsed="false">
      <c r="A220" s="33" t="s">
        <v>436</v>
      </c>
      <c r="B220" s="34" t="n">
        <v>45384</v>
      </c>
      <c r="C220" s="34" t="n">
        <v>45387</v>
      </c>
      <c r="D220" s="33" t="n">
        <v>48</v>
      </c>
      <c r="E220" s="33" t="s">
        <v>154</v>
      </c>
      <c r="F220" s="33" t="s">
        <v>203</v>
      </c>
      <c r="G220" s="33" t="s">
        <v>192</v>
      </c>
      <c r="H220" s="33" t="s">
        <v>205</v>
      </c>
      <c r="I220" s="33" t="s">
        <v>158</v>
      </c>
      <c r="J220" s="33" t="s">
        <v>159</v>
      </c>
      <c r="K220" s="33" t="s">
        <v>160</v>
      </c>
      <c r="L220" s="35" t="n">
        <v>2304.81</v>
      </c>
      <c r="M220" s="33" t="n">
        <v>3</v>
      </c>
      <c r="N220" s="33" t="s">
        <v>146</v>
      </c>
      <c r="O220" s="33" t="s">
        <v>147</v>
      </c>
    </row>
    <row r="221" customFormat="false" ht="15" hidden="false" customHeight="false" outlineLevel="0" collapsed="false">
      <c r="A221" s="33" t="s">
        <v>437</v>
      </c>
      <c r="B221" s="34" t="n">
        <v>45364</v>
      </c>
      <c r="C221" s="34" t="n">
        <v>45370</v>
      </c>
      <c r="D221" s="33" t="n">
        <v>39</v>
      </c>
      <c r="E221" s="33" t="s">
        <v>139</v>
      </c>
      <c r="F221" s="33" t="s">
        <v>149</v>
      </c>
      <c r="G221" s="33" t="s">
        <v>224</v>
      </c>
      <c r="H221" s="33" t="s">
        <v>186</v>
      </c>
      <c r="I221" s="33" t="s">
        <v>152</v>
      </c>
      <c r="J221" s="33" t="s">
        <v>144</v>
      </c>
      <c r="K221" s="33" t="s">
        <v>160</v>
      </c>
      <c r="L221" s="35" t="n">
        <v>15454.65</v>
      </c>
      <c r="M221" s="33" t="n">
        <v>5</v>
      </c>
      <c r="N221" s="33" t="s">
        <v>146</v>
      </c>
      <c r="O221" s="33" t="s">
        <v>147</v>
      </c>
    </row>
    <row r="222" customFormat="false" ht="15" hidden="false" customHeight="false" outlineLevel="0" collapsed="false">
      <c r="A222" s="33" t="s">
        <v>438</v>
      </c>
      <c r="B222" s="34" t="n">
        <v>45322</v>
      </c>
      <c r="C222" s="34" t="n">
        <v>45324</v>
      </c>
      <c r="D222" s="33" t="n">
        <v>5</v>
      </c>
      <c r="E222" s="33" t="s">
        <v>154</v>
      </c>
      <c r="F222" s="33" t="s">
        <v>155</v>
      </c>
      <c r="G222" s="33" t="s">
        <v>220</v>
      </c>
      <c r="H222" s="33" t="s">
        <v>222</v>
      </c>
      <c r="I222" s="33" t="s">
        <v>152</v>
      </c>
      <c r="J222" s="33" t="s">
        <v>144</v>
      </c>
      <c r="K222" s="36"/>
      <c r="L222" s="35" t="n">
        <v>3878.78</v>
      </c>
      <c r="M222" s="33" t="n">
        <v>5</v>
      </c>
      <c r="N222" s="33" t="s">
        <v>146</v>
      </c>
      <c r="O222" s="33" t="s">
        <v>147</v>
      </c>
    </row>
    <row r="223" customFormat="false" ht="15" hidden="false" customHeight="false" outlineLevel="0" collapsed="false">
      <c r="A223" s="33" t="s">
        <v>373</v>
      </c>
      <c r="B223" s="34" t="n">
        <v>45632</v>
      </c>
      <c r="C223" s="34" t="n">
        <v>45637</v>
      </c>
      <c r="D223" s="33" t="n">
        <v>66</v>
      </c>
      <c r="E223" s="33" t="s">
        <v>154</v>
      </c>
      <c r="F223" s="33" t="s">
        <v>181</v>
      </c>
      <c r="G223" s="33" t="s">
        <v>237</v>
      </c>
      <c r="H223" s="33" t="s">
        <v>245</v>
      </c>
      <c r="I223" s="33" t="s">
        <v>152</v>
      </c>
      <c r="J223" s="33" t="s">
        <v>159</v>
      </c>
      <c r="K223" s="33" t="s">
        <v>160</v>
      </c>
      <c r="L223" s="35" t="n">
        <v>11527.97</v>
      </c>
      <c r="M223" s="33" t="n">
        <v>4</v>
      </c>
      <c r="N223" s="33" t="s">
        <v>146</v>
      </c>
      <c r="O223" s="36"/>
    </row>
    <row r="224" customFormat="false" ht="15" hidden="false" customHeight="false" outlineLevel="0" collapsed="false">
      <c r="A224" s="33" t="s">
        <v>439</v>
      </c>
      <c r="B224" s="34" t="n">
        <v>45418</v>
      </c>
      <c r="C224" s="34" t="n">
        <v>45423</v>
      </c>
      <c r="D224" s="36"/>
      <c r="E224" s="33" t="s">
        <v>139</v>
      </c>
      <c r="F224" s="33" t="s">
        <v>140</v>
      </c>
      <c r="G224" s="33" t="s">
        <v>167</v>
      </c>
      <c r="H224" s="33" t="s">
        <v>290</v>
      </c>
      <c r="I224" s="33" t="s">
        <v>158</v>
      </c>
      <c r="J224" s="33" t="s">
        <v>159</v>
      </c>
      <c r="K224" s="33" t="s">
        <v>160</v>
      </c>
      <c r="L224" s="35" t="n">
        <v>12181.02</v>
      </c>
      <c r="M224" s="33" t="n">
        <v>5</v>
      </c>
      <c r="N224" s="33" t="s">
        <v>146</v>
      </c>
      <c r="O224" s="33" t="s">
        <v>247</v>
      </c>
    </row>
    <row r="225" customFormat="false" ht="15" hidden="false" customHeight="false" outlineLevel="0" collapsed="false">
      <c r="A225" s="33" t="s">
        <v>440</v>
      </c>
      <c r="B225" s="34" t="n">
        <v>45420</v>
      </c>
      <c r="C225" s="34" t="n">
        <v>45423</v>
      </c>
      <c r="D225" s="33" t="n">
        <v>4</v>
      </c>
      <c r="E225" s="33" t="s">
        <v>279</v>
      </c>
      <c r="F225" s="33" t="s">
        <v>155</v>
      </c>
      <c r="G225" s="33" t="s">
        <v>156</v>
      </c>
      <c r="H225" s="33" t="s">
        <v>222</v>
      </c>
      <c r="I225" s="33" t="s">
        <v>158</v>
      </c>
      <c r="J225" s="33" t="s">
        <v>144</v>
      </c>
      <c r="K225" s="33" t="s">
        <v>160</v>
      </c>
      <c r="L225" s="35" t="n">
        <v>4855.31</v>
      </c>
      <c r="M225" s="33" t="n">
        <v>5</v>
      </c>
      <c r="N225" s="33" t="s">
        <v>146</v>
      </c>
      <c r="O225" s="33" t="s">
        <v>147</v>
      </c>
    </row>
    <row r="226" customFormat="false" ht="15" hidden="false" customHeight="false" outlineLevel="0" collapsed="false">
      <c r="A226" s="33" t="s">
        <v>441</v>
      </c>
      <c r="B226" s="34" t="n">
        <v>45592</v>
      </c>
      <c r="C226" s="34" t="n">
        <v>45594</v>
      </c>
      <c r="D226" s="33" t="n">
        <v>67</v>
      </c>
      <c r="E226" s="33" t="s">
        <v>139</v>
      </c>
      <c r="F226" s="33" t="s">
        <v>203</v>
      </c>
      <c r="G226" s="33" t="s">
        <v>192</v>
      </c>
      <c r="H226" s="33" t="s">
        <v>205</v>
      </c>
      <c r="I226" s="33" t="s">
        <v>143</v>
      </c>
      <c r="J226" s="33" t="s">
        <v>159</v>
      </c>
      <c r="K226" s="33" t="s">
        <v>145</v>
      </c>
      <c r="L226" s="35" t="n">
        <v>1828.73</v>
      </c>
      <c r="M226" s="33" t="n">
        <v>4</v>
      </c>
      <c r="N226" s="33" t="s">
        <v>146</v>
      </c>
      <c r="O226" s="33" t="s">
        <v>147</v>
      </c>
    </row>
    <row r="227" customFormat="false" ht="15" hidden="false" customHeight="false" outlineLevel="0" collapsed="false">
      <c r="A227" s="33" t="s">
        <v>442</v>
      </c>
      <c r="B227" s="34" t="n">
        <v>45322</v>
      </c>
      <c r="C227" s="34" t="n">
        <v>45329</v>
      </c>
      <c r="D227" s="33" t="n">
        <v>62</v>
      </c>
      <c r="E227" s="33" t="s">
        <v>139</v>
      </c>
      <c r="F227" s="33" t="s">
        <v>140</v>
      </c>
      <c r="G227" s="33" t="s">
        <v>141</v>
      </c>
      <c r="H227" s="33" t="s">
        <v>290</v>
      </c>
      <c r="I227" s="33" t="s">
        <v>143</v>
      </c>
      <c r="J227" s="33" t="s">
        <v>144</v>
      </c>
      <c r="K227" s="33" t="s">
        <v>160</v>
      </c>
      <c r="L227" s="35" t="n">
        <v>29402.78</v>
      </c>
      <c r="M227" s="33" t="n">
        <v>3</v>
      </c>
      <c r="N227" s="33" t="s">
        <v>146</v>
      </c>
      <c r="O227" s="33" t="s">
        <v>147</v>
      </c>
    </row>
    <row r="228" customFormat="false" ht="15" hidden="false" customHeight="false" outlineLevel="0" collapsed="false">
      <c r="A228" s="33" t="s">
        <v>443</v>
      </c>
      <c r="B228" s="34" t="n">
        <v>45578</v>
      </c>
      <c r="C228" s="34" t="n">
        <v>45584</v>
      </c>
      <c r="D228" s="33" t="n">
        <v>40</v>
      </c>
      <c r="E228" s="33" t="s">
        <v>154</v>
      </c>
      <c r="F228" s="33" t="s">
        <v>181</v>
      </c>
      <c r="G228" s="33" t="s">
        <v>237</v>
      </c>
      <c r="H228" s="33" t="s">
        <v>245</v>
      </c>
      <c r="I228" s="33" t="s">
        <v>143</v>
      </c>
      <c r="J228" s="33" t="s">
        <v>159</v>
      </c>
      <c r="K228" s="33" t="s">
        <v>145</v>
      </c>
      <c r="L228" s="35" t="n">
        <v>15682.23</v>
      </c>
      <c r="M228" s="33" t="n">
        <v>3</v>
      </c>
      <c r="N228" s="33" t="s">
        <v>146</v>
      </c>
      <c r="O228" s="33" t="s">
        <v>147</v>
      </c>
    </row>
    <row r="229" customFormat="false" ht="15" hidden="false" customHeight="false" outlineLevel="0" collapsed="false">
      <c r="A229" s="33" t="s">
        <v>444</v>
      </c>
      <c r="B229" s="34" t="n">
        <v>45404</v>
      </c>
      <c r="C229" s="34" t="n">
        <v>45409</v>
      </c>
      <c r="D229" s="33" t="n">
        <v>1</v>
      </c>
      <c r="E229" s="33" t="s">
        <v>139</v>
      </c>
      <c r="F229" s="33" t="s">
        <v>169</v>
      </c>
      <c r="G229" s="33" t="s">
        <v>213</v>
      </c>
      <c r="H229" s="33" t="s">
        <v>171</v>
      </c>
      <c r="I229" s="33" t="s">
        <v>143</v>
      </c>
      <c r="J229" s="33" t="s">
        <v>144</v>
      </c>
      <c r="K229" s="36"/>
      <c r="L229" s="35" t="n">
        <v>9576.43</v>
      </c>
      <c r="M229" s="33" t="n">
        <v>5</v>
      </c>
      <c r="N229" s="33" t="s">
        <v>146</v>
      </c>
      <c r="O229" s="33" t="s">
        <v>147</v>
      </c>
    </row>
    <row r="230" customFormat="false" ht="15" hidden="false" customHeight="false" outlineLevel="0" collapsed="false">
      <c r="A230" s="33" t="s">
        <v>445</v>
      </c>
      <c r="B230" s="34" t="n">
        <v>45394</v>
      </c>
      <c r="C230" s="34" t="n">
        <v>45397</v>
      </c>
      <c r="D230" s="33" t="n">
        <v>69</v>
      </c>
      <c r="E230" s="33" t="s">
        <v>154</v>
      </c>
      <c r="F230" s="33" t="s">
        <v>140</v>
      </c>
      <c r="G230" s="33" t="s">
        <v>167</v>
      </c>
      <c r="H230" s="33" t="s">
        <v>290</v>
      </c>
      <c r="I230" s="33" t="s">
        <v>143</v>
      </c>
      <c r="J230" s="33" t="s">
        <v>159</v>
      </c>
      <c r="K230" s="33" t="s">
        <v>160</v>
      </c>
      <c r="L230" s="35" t="n">
        <v>7025.16</v>
      </c>
      <c r="M230" s="33" t="n">
        <v>4</v>
      </c>
      <c r="N230" s="33" t="s">
        <v>146</v>
      </c>
      <c r="O230" s="33" t="s">
        <v>147</v>
      </c>
    </row>
    <row r="231" customFormat="false" ht="15" hidden="false" customHeight="false" outlineLevel="0" collapsed="false">
      <c r="A231" s="33" t="s">
        <v>446</v>
      </c>
      <c r="B231" s="34" t="n">
        <v>45524</v>
      </c>
      <c r="C231" s="34" t="n">
        <v>45526</v>
      </c>
      <c r="D231" s="33" t="n">
        <v>28</v>
      </c>
      <c r="E231" s="33" t="s">
        <v>139</v>
      </c>
      <c r="F231" s="33" t="s">
        <v>149</v>
      </c>
      <c r="G231" s="33" t="s">
        <v>150</v>
      </c>
      <c r="H231" s="33" t="s">
        <v>186</v>
      </c>
      <c r="I231" s="33" t="s">
        <v>143</v>
      </c>
      <c r="J231" s="33" t="s">
        <v>159</v>
      </c>
      <c r="K231" s="33" t="s">
        <v>145</v>
      </c>
      <c r="L231" s="35" t="n">
        <v>3105.02</v>
      </c>
      <c r="M231" s="33" t="n">
        <v>4</v>
      </c>
      <c r="N231" s="33" t="s">
        <v>146</v>
      </c>
      <c r="O231" s="33" t="s">
        <v>147</v>
      </c>
    </row>
    <row r="232" customFormat="false" ht="15" hidden="false" customHeight="false" outlineLevel="0" collapsed="false">
      <c r="A232" s="33" t="s">
        <v>447</v>
      </c>
      <c r="B232" s="34" t="n">
        <v>45656</v>
      </c>
      <c r="C232" s="34" t="n">
        <v>45657</v>
      </c>
      <c r="D232" s="33" t="n">
        <v>41</v>
      </c>
      <c r="E232" s="33" t="s">
        <v>154</v>
      </c>
      <c r="F232" s="33" t="s">
        <v>169</v>
      </c>
      <c r="G232" s="33" t="s">
        <v>163</v>
      </c>
      <c r="H232" s="33" t="s">
        <v>164</v>
      </c>
      <c r="I232" s="33" t="s">
        <v>143</v>
      </c>
      <c r="J232" s="33" t="s">
        <v>144</v>
      </c>
      <c r="K232" s="33" t="s">
        <v>160</v>
      </c>
      <c r="L232" s="35" t="n">
        <v>1943.15</v>
      </c>
      <c r="M232" s="33" t="n">
        <v>4</v>
      </c>
      <c r="N232" s="33" t="s">
        <v>146</v>
      </c>
      <c r="O232" s="33" t="s">
        <v>147</v>
      </c>
    </row>
    <row r="233" customFormat="false" ht="15" hidden="false" customHeight="false" outlineLevel="0" collapsed="false">
      <c r="A233" s="33" t="s">
        <v>448</v>
      </c>
      <c r="B233" s="34" t="n">
        <v>45400</v>
      </c>
      <c r="C233" s="34" t="n">
        <v>45402</v>
      </c>
      <c r="D233" s="33" t="n">
        <v>58</v>
      </c>
      <c r="E233" s="33" t="s">
        <v>139</v>
      </c>
      <c r="F233" s="33" t="s">
        <v>173</v>
      </c>
      <c r="G233" s="33" t="s">
        <v>174</v>
      </c>
      <c r="H233" s="33" t="s">
        <v>175</v>
      </c>
      <c r="I233" s="33" t="s">
        <v>143</v>
      </c>
      <c r="J233" s="33" t="s">
        <v>159</v>
      </c>
      <c r="K233" s="33" t="s">
        <v>145</v>
      </c>
      <c r="L233" s="35" t="n">
        <v>5259.78</v>
      </c>
      <c r="M233" s="33" t="n">
        <v>3</v>
      </c>
      <c r="N233" s="33" t="s">
        <v>146</v>
      </c>
      <c r="O233" s="33" t="s">
        <v>147</v>
      </c>
    </row>
    <row r="234" customFormat="false" ht="15" hidden="false" customHeight="false" outlineLevel="0" collapsed="false">
      <c r="A234" s="33" t="s">
        <v>449</v>
      </c>
      <c r="B234" s="34" t="n">
        <v>45573</v>
      </c>
      <c r="C234" s="34" t="n">
        <v>45574</v>
      </c>
      <c r="D234" s="33" t="n">
        <v>74</v>
      </c>
      <c r="E234" s="33" t="s">
        <v>154</v>
      </c>
      <c r="F234" s="33" t="s">
        <v>240</v>
      </c>
      <c r="G234" s="33" t="s">
        <v>204</v>
      </c>
      <c r="H234" s="33" t="s">
        <v>205</v>
      </c>
      <c r="I234" s="33" t="s">
        <v>143</v>
      </c>
      <c r="J234" s="33" t="s">
        <v>159</v>
      </c>
      <c r="K234" s="33" t="s">
        <v>184</v>
      </c>
      <c r="L234" s="35" t="n">
        <v>771.97</v>
      </c>
      <c r="M234" s="33" t="n">
        <v>3</v>
      </c>
      <c r="N234" s="33" t="s">
        <v>146</v>
      </c>
      <c r="O234" s="33" t="s">
        <v>147</v>
      </c>
    </row>
    <row r="235" customFormat="false" ht="15" hidden="false" customHeight="false" outlineLevel="0" collapsed="false">
      <c r="A235" s="33" t="s">
        <v>450</v>
      </c>
      <c r="B235" s="34" t="n">
        <v>45628</v>
      </c>
      <c r="C235" s="34" t="n">
        <v>45629</v>
      </c>
      <c r="D235" s="33" t="n">
        <v>15</v>
      </c>
      <c r="E235" s="33" t="s">
        <v>139</v>
      </c>
      <c r="F235" s="33" t="s">
        <v>149</v>
      </c>
      <c r="G235" s="33" t="s">
        <v>224</v>
      </c>
      <c r="H235" s="33" t="s">
        <v>151</v>
      </c>
      <c r="I235" s="33" t="s">
        <v>143</v>
      </c>
      <c r="J235" s="33" t="s">
        <v>159</v>
      </c>
      <c r="K235" s="33" t="s">
        <v>209</v>
      </c>
      <c r="L235" s="35" t="n">
        <v>1454.5</v>
      </c>
      <c r="M235" s="33" t="n">
        <v>4</v>
      </c>
      <c r="N235" s="33" t="s">
        <v>146</v>
      </c>
      <c r="O235" s="33" t="s">
        <v>147</v>
      </c>
    </row>
    <row r="236" customFormat="false" ht="15" hidden="false" customHeight="false" outlineLevel="0" collapsed="false">
      <c r="A236" s="33" t="s">
        <v>451</v>
      </c>
      <c r="B236" s="34" t="n">
        <v>45618</v>
      </c>
      <c r="C236" s="34" t="n">
        <v>45622</v>
      </c>
      <c r="D236" s="33" t="n">
        <v>7</v>
      </c>
      <c r="E236" s="33" t="s">
        <v>154</v>
      </c>
      <c r="F236" s="33" t="s">
        <v>140</v>
      </c>
      <c r="G236" s="33" t="s">
        <v>167</v>
      </c>
      <c r="H236" s="33" t="s">
        <v>142</v>
      </c>
      <c r="I236" s="33" t="s">
        <v>143</v>
      </c>
      <c r="J236" s="33" t="s">
        <v>176</v>
      </c>
      <c r="K236" s="33" t="s">
        <v>145</v>
      </c>
      <c r="L236" s="35" t="n">
        <v>23540.98</v>
      </c>
      <c r="M236" s="33" t="n">
        <v>5</v>
      </c>
      <c r="N236" s="33" t="s">
        <v>146</v>
      </c>
      <c r="O236" s="33" t="s">
        <v>147</v>
      </c>
    </row>
    <row r="237" customFormat="false" ht="15" hidden="false" customHeight="false" outlineLevel="0" collapsed="false">
      <c r="A237" s="33" t="s">
        <v>452</v>
      </c>
      <c r="B237" s="34" t="n">
        <v>45585</v>
      </c>
      <c r="C237" s="34" t="n">
        <v>45593</v>
      </c>
      <c r="D237" s="33" t="n">
        <v>11</v>
      </c>
      <c r="E237" s="33" t="s">
        <v>154</v>
      </c>
      <c r="F237" s="33" t="s">
        <v>155</v>
      </c>
      <c r="G237" s="33" t="s">
        <v>156</v>
      </c>
      <c r="H237" s="33" t="s">
        <v>222</v>
      </c>
      <c r="I237" s="33" t="s">
        <v>152</v>
      </c>
      <c r="J237" s="33" t="s">
        <v>159</v>
      </c>
      <c r="K237" s="33" t="s">
        <v>145</v>
      </c>
      <c r="L237" s="35" t="n">
        <v>6968.8</v>
      </c>
      <c r="M237" s="33" t="n">
        <v>4</v>
      </c>
      <c r="N237" s="33" t="s">
        <v>146</v>
      </c>
      <c r="O237" s="33" t="s">
        <v>147</v>
      </c>
    </row>
    <row r="238" customFormat="false" ht="15" hidden="false" customHeight="false" outlineLevel="0" collapsed="false">
      <c r="A238" s="33" t="s">
        <v>453</v>
      </c>
      <c r="B238" s="34" t="n">
        <v>45356</v>
      </c>
      <c r="C238" s="34" t="n">
        <v>45358</v>
      </c>
      <c r="D238" s="33" t="n">
        <v>3</v>
      </c>
      <c r="E238" s="33" t="s">
        <v>154</v>
      </c>
      <c r="F238" s="33" t="s">
        <v>288</v>
      </c>
      <c r="G238" s="33" t="s">
        <v>220</v>
      </c>
      <c r="H238" s="33" t="s">
        <v>222</v>
      </c>
      <c r="I238" s="33" t="s">
        <v>143</v>
      </c>
      <c r="J238" s="33" t="s">
        <v>159</v>
      </c>
      <c r="K238" s="33" t="s">
        <v>184</v>
      </c>
      <c r="L238" s="35" t="n">
        <v>1901.6</v>
      </c>
      <c r="M238" s="36"/>
      <c r="N238" s="33" t="s">
        <v>146</v>
      </c>
      <c r="O238" s="33" t="s">
        <v>147</v>
      </c>
    </row>
    <row r="239" customFormat="false" ht="15" hidden="false" customHeight="false" outlineLevel="0" collapsed="false">
      <c r="A239" s="33" t="s">
        <v>454</v>
      </c>
      <c r="B239" s="34" t="n">
        <v>45598</v>
      </c>
      <c r="C239" s="34" t="n">
        <v>45599</v>
      </c>
      <c r="D239" s="33" t="n">
        <v>20</v>
      </c>
      <c r="E239" s="33" t="s">
        <v>139</v>
      </c>
      <c r="F239" s="33" t="s">
        <v>203</v>
      </c>
      <c r="G239" s="33" t="s">
        <v>204</v>
      </c>
      <c r="H239" s="33" t="s">
        <v>193</v>
      </c>
      <c r="I239" s="33" t="s">
        <v>143</v>
      </c>
      <c r="J239" s="33" t="s">
        <v>144</v>
      </c>
      <c r="K239" s="33" t="s">
        <v>145</v>
      </c>
      <c r="L239" s="35" t="n">
        <v>1689.1</v>
      </c>
      <c r="M239" s="36"/>
      <c r="N239" s="33" t="s">
        <v>146</v>
      </c>
      <c r="O239" s="33" t="s">
        <v>147</v>
      </c>
    </row>
    <row r="240" customFormat="false" ht="15" hidden="false" customHeight="false" outlineLevel="0" collapsed="false">
      <c r="A240" s="33" t="s">
        <v>455</v>
      </c>
      <c r="B240" s="34" t="n">
        <v>45451</v>
      </c>
      <c r="C240" s="34" t="n">
        <v>45454</v>
      </c>
      <c r="D240" s="33" t="n">
        <v>0</v>
      </c>
      <c r="E240" s="33" t="s">
        <v>154</v>
      </c>
      <c r="F240" s="33" t="s">
        <v>155</v>
      </c>
      <c r="G240" s="33" t="s">
        <v>302</v>
      </c>
      <c r="H240" s="33" t="s">
        <v>157</v>
      </c>
      <c r="I240" s="33" t="s">
        <v>152</v>
      </c>
      <c r="J240" s="33" t="s">
        <v>159</v>
      </c>
      <c r="K240" s="33" t="s">
        <v>209</v>
      </c>
      <c r="L240" s="35" t="n">
        <v>2466.14</v>
      </c>
      <c r="M240" s="33" t="n">
        <v>2</v>
      </c>
      <c r="N240" s="33" t="s">
        <v>146</v>
      </c>
      <c r="O240" s="33" t="s">
        <v>147</v>
      </c>
    </row>
    <row r="241" customFormat="false" ht="15" hidden="false" customHeight="false" outlineLevel="0" collapsed="false">
      <c r="A241" s="33" t="s">
        <v>456</v>
      </c>
      <c r="B241" s="34" t="n">
        <v>45301</v>
      </c>
      <c r="C241" s="34" t="n">
        <v>45302</v>
      </c>
      <c r="D241" s="33" t="n">
        <v>9</v>
      </c>
      <c r="E241" s="33" t="s">
        <v>154</v>
      </c>
      <c r="F241" s="33" t="s">
        <v>203</v>
      </c>
      <c r="G241" s="33" t="s">
        <v>204</v>
      </c>
      <c r="H241" s="33" t="s">
        <v>193</v>
      </c>
      <c r="I241" s="33" t="s">
        <v>143</v>
      </c>
      <c r="J241" s="33" t="s">
        <v>159</v>
      </c>
      <c r="K241" s="33" t="s">
        <v>145</v>
      </c>
      <c r="L241" s="35" t="n">
        <v>955.56</v>
      </c>
      <c r="M241" s="33" t="n">
        <v>4</v>
      </c>
      <c r="N241" s="33" t="s">
        <v>146</v>
      </c>
      <c r="O241" s="33" t="s">
        <v>147</v>
      </c>
    </row>
    <row r="242" customFormat="false" ht="15" hidden="false" customHeight="false" outlineLevel="0" collapsed="false">
      <c r="A242" s="33" t="s">
        <v>457</v>
      </c>
      <c r="B242" s="34" t="n">
        <v>45339</v>
      </c>
      <c r="C242" s="34" t="n">
        <v>45340</v>
      </c>
      <c r="D242" s="33" t="n">
        <v>12</v>
      </c>
      <c r="E242" s="33" t="s">
        <v>139</v>
      </c>
      <c r="F242" s="33" t="s">
        <v>203</v>
      </c>
      <c r="G242" s="33" t="s">
        <v>232</v>
      </c>
      <c r="H242" s="33" t="s">
        <v>205</v>
      </c>
      <c r="I242" s="33" t="s">
        <v>143</v>
      </c>
      <c r="J242" s="33" t="s">
        <v>159</v>
      </c>
      <c r="K242" s="33" t="s">
        <v>184</v>
      </c>
      <c r="L242" s="35" t="n">
        <v>717.48</v>
      </c>
      <c r="M242" s="36"/>
      <c r="N242" s="33" t="s">
        <v>146</v>
      </c>
      <c r="O242" s="33" t="s">
        <v>147</v>
      </c>
    </row>
    <row r="243" customFormat="false" ht="15" hidden="false" customHeight="false" outlineLevel="0" collapsed="false">
      <c r="A243" s="33" t="s">
        <v>458</v>
      </c>
      <c r="B243" s="34" t="n">
        <v>45481</v>
      </c>
      <c r="C243" s="34" t="n">
        <v>45482</v>
      </c>
      <c r="D243" s="36" t="n">
        <v>150</v>
      </c>
      <c r="E243" s="33" t="s">
        <v>139</v>
      </c>
      <c r="F243" s="33" t="s">
        <v>203</v>
      </c>
      <c r="G243" s="33" t="s">
        <v>192</v>
      </c>
      <c r="H243" s="33" t="s">
        <v>193</v>
      </c>
      <c r="I243" s="33" t="s">
        <v>143</v>
      </c>
      <c r="J243" s="33" t="s">
        <v>159</v>
      </c>
      <c r="K243" s="33" t="s">
        <v>145</v>
      </c>
      <c r="L243" s="35" t="n">
        <v>931</v>
      </c>
      <c r="M243" s="33" t="n">
        <v>3</v>
      </c>
      <c r="N243" s="33" t="s">
        <v>146</v>
      </c>
      <c r="O243" s="33" t="s">
        <v>147</v>
      </c>
    </row>
    <row r="244" customFormat="false" ht="15" hidden="false" customHeight="false" outlineLevel="0" collapsed="false">
      <c r="A244" s="33" t="s">
        <v>459</v>
      </c>
      <c r="B244" s="34" t="n">
        <v>45344</v>
      </c>
      <c r="C244" s="34" t="n">
        <v>45345</v>
      </c>
      <c r="D244" s="33" t="n">
        <v>23</v>
      </c>
      <c r="E244" s="33" t="s">
        <v>154</v>
      </c>
      <c r="F244" s="33" t="s">
        <v>203</v>
      </c>
      <c r="G244" s="33" t="s">
        <v>232</v>
      </c>
      <c r="H244" s="33" t="s">
        <v>193</v>
      </c>
      <c r="I244" s="33" t="s">
        <v>143</v>
      </c>
      <c r="J244" s="33" t="s">
        <v>159</v>
      </c>
      <c r="K244" s="33" t="s">
        <v>160</v>
      </c>
      <c r="L244" s="35" t="n">
        <v>825.52</v>
      </c>
      <c r="M244" s="33" t="n">
        <v>3</v>
      </c>
      <c r="N244" s="33" t="s">
        <v>146</v>
      </c>
      <c r="O244" s="33" t="s">
        <v>206</v>
      </c>
    </row>
    <row r="245" customFormat="false" ht="15" hidden="false" customHeight="false" outlineLevel="0" collapsed="false">
      <c r="A245" s="33" t="s">
        <v>460</v>
      </c>
      <c r="B245" s="34" t="n">
        <v>45293</v>
      </c>
      <c r="C245" s="34" t="n">
        <v>45294</v>
      </c>
      <c r="D245" s="33" t="n">
        <v>4</v>
      </c>
      <c r="E245" s="33" t="s">
        <v>139</v>
      </c>
      <c r="F245" s="33" t="s">
        <v>155</v>
      </c>
      <c r="G245" s="33" t="s">
        <v>220</v>
      </c>
      <c r="H245" s="33" t="s">
        <v>157</v>
      </c>
      <c r="I245" s="33" t="s">
        <v>143</v>
      </c>
      <c r="J245" s="33" t="s">
        <v>144</v>
      </c>
      <c r="K245" s="33" t="s">
        <v>160</v>
      </c>
      <c r="L245" s="35" t="n">
        <v>1867.3</v>
      </c>
      <c r="M245" s="33" t="n">
        <v>4</v>
      </c>
      <c r="N245" s="33" t="s">
        <v>146</v>
      </c>
      <c r="O245" s="33" t="s">
        <v>147</v>
      </c>
    </row>
    <row r="246" customFormat="false" ht="15" hidden="false" customHeight="false" outlineLevel="0" collapsed="false">
      <c r="A246" s="33" t="s">
        <v>461</v>
      </c>
      <c r="B246" s="34" t="n">
        <v>45331</v>
      </c>
      <c r="C246" s="34" t="n">
        <v>45332</v>
      </c>
      <c r="D246" s="33" t="n">
        <v>58</v>
      </c>
      <c r="E246" s="33" t="s">
        <v>154</v>
      </c>
      <c r="F246" s="33" t="s">
        <v>203</v>
      </c>
      <c r="G246" s="33" t="s">
        <v>204</v>
      </c>
      <c r="H246" s="33" t="s">
        <v>205</v>
      </c>
      <c r="I246" s="33" t="s">
        <v>143</v>
      </c>
      <c r="J246" s="33" t="s">
        <v>159</v>
      </c>
      <c r="K246" s="33" t="s">
        <v>160</v>
      </c>
      <c r="L246" s="35" t="n">
        <v>857.71</v>
      </c>
      <c r="M246" s="33" t="n">
        <v>3</v>
      </c>
      <c r="N246" s="33" t="s">
        <v>146</v>
      </c>
      <c r="O246" s="33" t="s">
        <v>147</v>
      </c>
    </row>
    <row r="247" customFormat="false" ht="15" hidden="false" customHeight="false" outlineLevel="0" collapsed="false">
      <c r="A247" s="33" t="s">
        <v>462</v>
      </c>
      <c r="B247" s="34" t="n">
        <v>45593</v>
      </c>
      <c r="C247" s="34" t="n">
        <v>45594</v>
      </c>
      <c r="D247" s="33" t="n">
        <v>57</v>
      </c>
      <c r="E247" s="33" t="s">
        <v>154</v>
      </c>
      <c r="F247" s="33" t="s">
        <v>334</v>
      </c>
      <c r="G247" s="33" t="s">
        <v>217</v>
      </c>
      <c r="H247" s="33" t="s">
        <v>205</v>
      </c>
      <c r="I247" s="33" t="s">
        <v>143</v>
      </c>
      <c r="J247" s="33" t="s">
        <v>159</v>
      </c>
      <c r="K247" s="33" t="s">
        <v>145</v>
      </c>
      <c r="L247" s="35" t="n">
        <v>760.5</v>
      </c>
      <c r="M247" s="33" t="n">
        <v>3</v>
      </c>
      <c r="N247" s="33" t="s">
        <v>146</v>
      </c>
      <c r="O247" s="33" t="s">
        <v>147</v>
      </c>
    </row>
    <row r="248" customFormat="false" ht="15" hidden="false" customHeight="false" outlineLevel="0" collapsed="false">
      <c r="A248" s="33" t="s">
        <v>463</v>
      </c>
      <c r="B248" s="34" t="n">
        <v>45361</v>
      </c>
      <c r="C248" s="34" t="n">
        <v>45362</v>
      </c>
      <c r="D248" s="33" t="n">
        <v>58</v>
      </c>
      <c r="E248" s="33" t="s">
        <v>139</v>
      </c>
      <c r="F248" s="33" t="s">
        <v>334</v>
      </c>
      <c r="G248" s="33" t="s">
        <v>204</v>
      </c>
      <c r="H248" s="33" t="s">
        <v>193</v>
      </c>
      <c r="I248" s="33" t="s">
        <v>143</v>
      </c>
      <c r="J248" s="33" t="s">
        <v>159</v>
      </c>
      <c r="K248" s="33" t="s">
        <v>145</v>
      </c>
      <c r="L248" s="35" t="n">
        <v>814</v>
      </c>
      <c r="M248" s="33" t="n">
        <v>4</v>
      </c>
      <c r="N248" s="33" t="s">
        <v>146</v>
      </c>
      <c r="O248" s="33" t="s">
        <v>147</v>
      </c>
    </row>
    <row r="249" customFormat="false" ht="15" hidden="false" customHeight="false" outlineLevel="0" collapsed="false">
      <c r="A249" s="33" t="s">
        <v>464</v>
      </c>
      <c r="B249" s="34" t="n">
        <v>45477</v>
      </c>
      <c r="C249" s="34" t="n">
        <v>45481</v>
      </c>
      <c r="D249" s="33" t="n">
        <v>12</v>
      </c>
      <c r="E249" s="33" t="s">
        <v>154</v>
      </c>
      <c r="F249" s="33" t="s">
        <v>155</v>
      </c>
      <c r="G249" s="33" t="s">
        <v>156</v>
      </c>
      <c r="H249" s="33" t="s">
        <v>222</v>
      </c>
      <c r="I249" s="33" t="s">
        <v>143</v>
      </c>
      <c r="J249" s="33" t="s">
        <v>159</v>
      </c>
      <c r="K249" s="33" t="s">
        <v>145</v>
      </c>
      <c r="L249" s="35" t="n">
        <v>3057.03</v>
      </c>
      <c r="M249" s="33" t="n">
        <v>5</v>
      </c>
      <c r="N249" s="33" t="s">
        <v>210</v>
      </c>
      <c r="O249" s="33" t="s">
        <v>147</v>
      </c>
    </row>
    <row r="250" customFormat="false" ht="15" hidden="false" customHeight="false" outlineLevel="0" collapsed="false">
      <c r="A250" s="33" t="s">
        <v>465</v>
      </c>
      <c r="B250" s="34" t="n">
        <v>45508</v>
      </c>
      <c r="C250" s="34" t="n">
        <v>45512</v>
      </c>
      <c r="D250" s="33" t="n">
        <v>30</v>
      </c>
      <c r="E250" s="33" t="s">
        <v>154</v>
      </c>
      <c r="F250" s="33" t="s">
        <v>169</v>
      </c>
      <c r="G250" s="33" t="s">
        <v>230</v>
      </c>
      <c r="H250" s="33" t="s">
        <v>195</v>
      </c>
      <c r="I250" s="33" t="s">
        <v>143</v>
      </c>
      <c r="J250" s="33" t="s">
        <v>159</v>
      </c>
      <c r="K250" s="33" t="s">
        <v>209</v>
      </c>
      <c r="L250" s="35" t="n">
        <v>4499.42</v>
      </c>
      <c r="M250" s="33" t="n">
        <v>4</v>
      </c>
      <c r="N250" s="33" t="s">
        <v>146</v>
      </c>
      <c r="O250" s="33" t="s">
        <v>147</v>
      </c>
    </row>
    <row r="251" customFormat="false" ht="15" hidden="false" customHeight="false" outlineLevel="0" collapsed="false">
      <c r="A251" s="33" t="s">
        <v>466</v>
      </c>
      <c r="B251" s="34" t="n">
        <v>45646</v>
      </c>
      <c r="C251" s="34" t="n">
        <v>45647</v>
      </c>
      <c r="D251" s="33" t="n">
        <v>24</v>
      </c>
      <c r="E251" s="33" t="s">
        <v>139</v>
      </c>
      <c r="F251" s="33" t="s">
        <v>203</v>
      </c>
      <c r="G251" s="33" t="s">
        <v>241</v>
      </c>
      <c r="H251" s="33" t="s">
        <v>193</v>
      </c>
      <c r="I251" s="33" t="s">
        <v>143</v>
      </c>
      <c r="J251" s="33" t="s">
        <v>159</v>
      </c>
      <c r="K251" s="33" t="s">
        <v>209</v>
      </c>
      <c r="L251" s="35" t="n">
        <v>919.69</v>
      </c>
      <c r="M251" s="36"/>
      <c r="N251" s="33" t="s">
        <v>146</v>
      </c>
      <c r="O251" s="33" t="s">
        <v>147</v>
      </c>
    </row>
    <row r="252" customFormat="false" ht="15" hidden="false" customHeight="false" outlineLevel="0" collapsed="false">
      <c r="A252" s="33" t="s">
        <v>467</v>
      </c>
      <c r="B252" s="34" t="n">
        <v>45448</v>
      </c>
      <c r="C252" s="34" t="n">
        <v>45449</v>
      </c>
      <c r="D252" s="33" t="n">
        <v>69</v>
      </c>
      <c r="E252" s="33" t="s">
        <v>154</v>
      </c>
      <c r="F252" s="33" t="s">
        <v>173</v>
      </c>
      <c r="G252" s="33" t="s">
        <v>198</v>
      </c>
      <c r="H252" s="33" t="s">
        <v>175</v>
      </c>
      <c r="I252" s="33" t="s">
        <v>152</v>
      </c>
      <c r="J252" s="33" t="s">
        <v>159</v>
      </c>
      <c r="K252" s="33" t="s">
        <v>145</v>
      </c>
      <c r="L252" s="35" t="n">
        <v>2529.28</v>
      </c>
      <c r="M252" s="33" t="n">
        <v>4</v>
      </c>
      <c r="N252" s="33" t="s">
        <v>146</v>
      </c>
      <c r="O252" s="33" t="s">
        <v>206</v>
      </c>
    </row>
    <row r="253" customFormat="false" ht="15" hidden="false" customHeight="false" outlineLevel="0" collapsed="false">
      <c r="A253" s="33" t="s">
        <v>468</v>
      </c>
      <c r="B253" s="34" t="n">
        <v>45564</v>
      </c>
      <c r="C253" s="34" t="n">
        <v>45567</v>
      </c>
      <c r="D253" s="33" t="n">
        <v>45</v>
      </c>
      <c r="E253" s="33" t="s">
        <v>139</v>
      </c>
      <c r="F253" s="33" t="s">
        <v>181</v>
      </c>
      <c r="G253" s="33" t="s">
        <v>237</v>
      </c>
      <c r="H253" s="33" t="s">
        <v>183</v>
      </c>
      <c r="I253" s="33" t="s">
        <v>152</v>
      </c>
      <c r="J253" s="33" t="s">
        <v>159</v>
      </c>
      <c r="K253" s="33" t="s">
        <v>145</v>
      </c>
      <c r="L253" s="35" t="n">
        <v>7075.34</v>
      </c>
      <c r="M253" s="33" t="n">
        <v>5</v>
      </c>
      <c r="N253" s="33" t="s">
        <v>146</v>
      </c>
      <c r="O253" s="33" t="s">
        <v>147</v>
      </c>
    </row>
    <row r="254" customFormat="false" ht="15" hidden="false" customHeight="false" outlineLevel="0" collapsed="false">
      <c r="A254" s="33" t="s">
        <v>469</v>
      </c>
      <c r="B254" s="34" t="n">
        <v>45642</v>
      </c>
      <c r="C254" s="34" t="n">
        <v>45652</v>
      </c>
      <c r="D254" s="33" t="n">
        <v>54</v>
      </c>
      <c r="E254" s="33" t="s">
        <v>139</v>
      </c>
      <c r="F254" s="33" t="s">
        <v>181</v>
      </c>
      <c r="G254" s="33" t="s">
        <v>182</v>
      </c>
      <c r="H254" s="33" t="s">
        <v>183</v>
      </c>
      <c r="I254" s="33" t="s">
        <v>143</v>
      </c>
      <c r="J254" s="33" t="s">
        <v>159</v>
      </c>
      <c r="K254" s="33" t="s">
        <v>184</v>
      </c>
      <c r="L254" s="35" t="n">
        <v>18581.65</v>
      </c>
      <c r="M254" s="33" t="n">
        <v>3</v>
      </c>
      <c r="N254" s="33" t="s">
        <v>210</v>
      </c>
      <c r="O254" s="33" t="s">
        <v>147</v>
      </c>
    </row>
    <row r="255" customFormat="false" ht="15" hidden="false" customHeight="false" outlineLevel="0" collapsed="false">
      <c r="A255" s="33" t="s">
        <v>470</v>
      </c>
      <c r="B255" s="34" t="n">
        <v>45309</v>
      </c>
      <c r="C255" s="34" t="n">
        <v>45311</v>
      </c>
      <c r="D255" s="33" t="n">
        <v>12</v>
      </c>
      <c r="E255" s="33" t="s">
        <v>139</v>
      </c>
      <c r="F255" s="33" t="s">
        <v>155</v>
      </c>
      <c r="G255" s="33" t="s">
        <v>156</v>
      </c>
      <c r="H255" s="33" t="s">
        <v>157</v>
      </c>
      <c r="I255" s="33" t="s">
        <v>143</v>
      </c>
      <c r="J255" s="33" t="s">
        <v>144</v>
      </c>
      <c r="K255" s="33" t="s">
        <v>209</v>
      </c>
      <c r="L255" s="35" t="n">
        <v>3843.25</v>
      </c>
      <c r="M255" s="33" t="n">
        <v>4</v>
      </c>
      <c r="N255" s="33" t="s">
        <v>146</v>
      </c>
      <c r="O255" s="33" t="s">
        <v>147</v>
      </c>
    </row>
    <row r="256" customFormat="false" ht="15" hidden="false" customHeight="false" outlineLevel="0" collapsed="false">
      <c r="A256" s="33" t="s">
        <v>471</v>
      </c>
      <c r="B256" s="34" t="n">
        <v>45328</v>
      </c>
      <c r="C256" s="34" t="n">
        <v>45329</v>
      </c>
      <c r="D256" s="33" t="n">
        <v>46</v>
      </c>
      <c r="E256" s="33" t="s">
        <v>154</v>
      </c>
      <c r="F256" s="33" t="s">
        <v>169</v>
      </c>
      <c r="G256" s="33" t="s">
        <v>230</v>
      </c>
      <c r="H256" s="33" t="s">
        <v>164</v>
      </c>
      <c r="I256" s="33" t="s">
        <v>152</v>
      </c>
      <c r="J256" s="33" t="s">
        <v>159</v>
      </c>
      <c r="K256" s="33" t="s">
        <v>145</v>
      </c>
      <c r="L256" s="35" t="n">
        <v>945.18</v>
      </c>
      <c r="M256" s="33" t="n">
        <v>4</v>
      </c>
      <c r="N256" s="33" t="s">
        <v>210</v>
      </c>
      <c r="O256" s="33" t="s">
        <v>147</v>
      </c>
    </row>
    <row r="257" customFormat="false" ht="15" hidden="false" customHeight="false" outlineLevel="0" collapsed="false">
      <c r="A257" s="33" t="s">
        <v>472</v>
      </c>
      <c r="B257" s="34" t="n">
        <v>45393</v>
      </c>
      <c r="C257" s="34" t="n">
        <v>45399</v>
      </c>
      <c r="D257" s="36"/>
      <c r="E257" s="33" t="s">
        <v>154</v>
      </c>
      <c r="F257" s="33" t="s">
        <v>169</v>
      </c>
      <c r="G257" s="33" t="s">
        <v>163</v>
      </c>
      <c r="H257" s="33" t="s">
        <v>171</v>
      </c>
      <c r="I257" s="33" t="s">
        <v>143</v>
      </c>
      <c r="J257" s="33" t="s">
        <v>144</v>
      </c>
      <c r="K257" s="33" t="s">
        <v>160</v>
      </c>
      <c r="L257" s="35" t="n">
        <v>11070.66</v>
      </c>
      <c r="M257" s="33" t="n">
        <v>5</v>
      </c>
      <c r="N257" s="33" t="s">
        <v>146</v>
      </c>
      <c r="O257" s="33" t="s">
        <v>147</v>
      </c>
    </row>
    <row r="258" customFormat="false" ht="15" hidden="false" customHeight="false" outlineLevel="0" collapsed="false">
      <c r="A258" s="33" t="s">
        <v>473</v>
      </c>
      <c r="B258" s="34" t="n">
        <v>45490</v>
      </c>
      <c r="C258" s="34" t="n">
        <v>45492</v>
      </c>
      <c r="D258" s="33" t="n">
        <v>72</v>
      </c>
      <c r="E258" s="33" t="s">
        <v>139</v>
      </c>
      <c r="F258" s="33" t="s">
        <v>140</v>
      </c>
      <c r="G258" s="33" t="s">
        <v>316</v>
      </c>
      <c r="H258" s="33" t="s">
        <v>290</v>
      </c>
      <c r="I258" s="33" t="s">
        <v>143</v>
      </c>
      <c r="J258" s="33" t="s">
        <v>144</v>
      </c>
      <c r="K258" s="33" t="s">
        <v>160</v>
      </c>
      <c r="L258" s="35" t="n">
        <v>7944.49</v>
      </c>
      <c r="M258" s="33" t="n">
        <v>5</v>
      </c>
      <c r="N258" s="33" t="s">
        <v>146</v>
      </c>
      <c r="O258" s="33" t="s">
        <v>147</v>
      </c>
    </row>
    <row r="259" customFormat="false" ht="15" hidden="false" customHeight="false" outlineLevel="0" collapsed="false">
      <c r="A259" s="33" t="s">
        <v>474</v>
      </c>
      <c r="B259" s="34" t="n">
        <v>45355</v>
      </c>
      <c r="C259" s="34" t="n">
        <v>45356</v>
      </c>
      <c r="D259" s="33" t="n">
        <v>69</v>
      </c>
      <c r="E259" s="33" t="s">
        <v>154</v>
      </c>
      <c r="F259" s="33" t="s">
        <v>203</v>
      </c>
      <c r="G259" s="33" t="s">
        <v>241</v>
      </c>
      <c r="H259" s="33" t="s">
        <v>233</v>
      </c>
      <c r="I259" s="33" t="s">
        <v>143</v>
      </c>
      <c r="J259" s="33" t="s">
        <v>159</v>
      </c>
      <c r="K259" s="33" t="s">
        <v>145</v>
      </c>
      <c r="L259" s="35" t="n">
        <v>939.95</v>
      </c>
      <c r="M259" s="33" t="n">
        <v>3</v>
      </c>
      <c r="N259" s="33" t="s">
        <v>146</v>
      </c>
      <c r="O259" s="33" t="s">
        <v>147</v>
      </c>
    </row>
    <row r="260" customFormat="false" ht="15" hidden="false" customHeight="false" outlineLevel="0" collapsed="false">
      <c r="A260" s="33" t="s">
        <v>475</v>
      </c>
      <c r="B260" s="34" t="n">
        <v>45437</v>
      </c>
      <c r="C260" s="34" t="n">
        <v>45439</v>
      </c>
      <c r="D260" s="33" t="n">
        <v>8</v>
      </c>
      <c r="E260" s="33" t="s">
        <v>154</v>
      </c>
      <c r="F260" s="33" t="s">
        <v>155</v>
      </c>
      <c r="G260" s="33" t="s">
        <v>302</v>
      </c>
      <c r="H260" s="33" t="s">
        <v>222</v>
      </c>
      <c r="I260" s="33" t="s">
        <v>143</v>
      </c>
      <c r="J260" s="33" t="s">
        <v>176</v>
      </c>
      <c r="K260" s="33" t="s">
        <v>145</v>
      </c>
      <c r="L260" s="35" t="n">
        <v>5492.5</v>
      </c>
      <c r="M260" s="33" t="n">
        <v>3</v>
      </c>
      <c r="N260" s="33" t="s">
        <v>146</v>
      </c>
      <c r="O260" s="33" t="s">
        <v>147</v>
      </c>
    </row>
    <row r="261" customFormat="false" ht="15" hidden="false" customHeight="false" outlineLevel="0" collapsed="false">
      <c r="A261" s="33" t="s">
        <v>476</v>
      </c>
      <c r="B261" s="34" t="n">
        <v>45482</v>
      </c>
      <c r="C261" s="34" t="n">
        <v>45485</v>
      </c>
      <c r="D261" s="33" t="n">
        <v>62</v>
      </c>
      <c r="E261" s="33" t="s">
        <v>139</v>
      </c>
      <c r="F261" s="33" t="s">
        <v>203</v>
      </c>
      <c r="G261" s="33" t="s">
        <v>241</v>
      </c>
      <c r="H261" s="33" t="s">
        <v>205</v>
      </c>
      <c r="I261" s="33" t="s">
        <v>143</v>
      </c>
      <c r="J261" s="33" t="s">
        <v>159</v>
      </c>
      <c r="K261" s="33" t="s">
        <v>160</v>
      </c>
      <c r="L261" s="35" t="n">
        <v>2446.53</v>
      </c>
      <c r="M261" s="33" t="n">
        <v>3</v>
      </c>
      <c r="N261" s="33" t="s">
        <v>146</v>
      </c>
      <c r="O261" s="33" t="s">
        <v>147</v>
      </c>
    </row>
    <row r="262" customFormat="false" ht="15" hidden="false" customHeight="false" outlineLevel="0" collapsed="false">
      <c r="A262" s="33" t="s">
        <v>477</v>
      </c>
      <c r="B262" s="34" t="n">
        <v>45473</v>
      </c>
      <c r="C262" s="34" t="n">
        <v>45474</v>
      </c>
      <c r="D262" s="33" t="n">
        <v>72</v>
      </c>
      <c r="E262" s="33" t="s">
        <v>139</v>
      </c>
      <c r="F262" s="33" t="s">
        <v>203</v>
      </c>
      <c r="G262" s="33" t="s">
        <v>241</v>
      </c>
      <c r="H262" s="33" t="s">
        <v>233</v>
      </c>
      <c r="I262" s="33" t="s">
        <v>143</v>
      </c>
      <c r="J262" s="33" t="s">
        <v>159</v>
      </c>
      <c r="K262" s="33" t="s">
        <v>160</v>
      </c>
      <c r="L262" s="35" t="n">
        <v>1040.67</v>
      </c>
      <c r="M262" s="33" t="n">
        <v>2</v>
      </c>
      <c r="N262" s="33" t="s">
        <v>146</v>
      </c>
      <c r="O262" s="33" t="s">
        <v>147</v>
      </c>
    </row>
    <row r="263" customFormat="false" ht="15" hidden="false" customHeight="false" outlineLevel="0" collapsed="false">
      <c r="A263" s="33" t="s">
        <v>478</v>
      </c>
      <c r="B263" s="34" t="n">
        <v>45597</v>
      </c>
      <c r="C263" s="34" t="n">
        <v>45600</v>
      </c>
      <c r="D263" s="33" t="n">
        <v>56</v>
      </c>
      <c r="E263" s="33" t="s">
        <v>154</v>
      </c>
      <c r="F263" s="33" t="s">
        <v>181</v>
      </c>
      <c r="G263" s="33" t="s">
        <v>188</v>
      </c>
      <c r="H263" s="33" t="s">
        <v>183</v>
      </c>
      <c r="I263" s="33" t="s">
        <v>152</v>
      </c>
      <c r="J263" s="33" t="s">
        <v>144</v>
      </c>
      <c r="K263" s="33" t="s">
        <v>145</v>
      </c>
      <c r="L263" s="35" t="n">
        <v>13716.76</v>
      </c>
      <c r="M263" s="36"/>
      <c r="N263" s="33" t="s">
        <v>146</v>
      </c>
      <c r="O263" s="33" t="s">
        <v>147</v>
      </c>
    </row>
    <row r="264" customFormat="false" ht="15" hidden="false" customHeight="false" outlineLevel="0" collapsed="false">
      <c r="A264" s="33" t="s">
        <v>479</v>
      </c>
      <c r="B264" s="34" t="n">
        <v>45519</v>
      </c>
      <c r="C264" s="34" t="n">
        <v>45524</v>
      </c>
      <c r="D264" s="33" t="n">
        <v>77</v>
      </c>
      <c r="E264" s="33" t="s">
        <v>154</v>
      </c>
      <c r="F264" s="33" t="s">
        <v>181</v>
      </c>
      <c r="G264" s="33" t="s">
        <v>237</v>
      </c>
      <c r="H264" s="33" t="s">
        <v>183</v>
      </c>
      <c r="I264" s="33" t="s">
        <v>152</v>
      </c>
      <c r="J264" s="33" t="s">
        <v>144</v>
      </c>
      <c r="K264" s="33" t="s">
        <v>209</v>
      </c>
      <c r="L264" s="35" t="n">
        <v>20528.99</v>
      </c>
      <c r="M264" s="33" t="n">
        <v>4</v>
      </c>
      <c r="N264" s="33" t="s">
        <v>146</v>
      </c>
      <c r="O264" s="33" t="s">
        <v>147</v>
      </c>
    </row>
    <row r="265" customFormat="false" ht="15" hidden="false" customHeight="false" outlineLevel="0" collapsed="false">
      <c r="A265" s="33" t="s">
        <v>480</v>
      </c>
      <c r="B265" s="34" t="n">
        <v>45399</v>
      </c>
      <c r="C265" s="34" t="n">
        <v>45402</v>
      </c>
      <c r="D265" s="33" t="n">
        <v>24</v>
      </c>
      <c r="E265" s="33" t="s">
        <v>139</v>
      </c>
      <c r="F265" s="33" t="s">
        <v>149</v>
      </c>
      <c r="G265" s="33" t="s">
        <v>224</v>
      </c>
      <c r="H265" s="33" t="s">
        <v>186</v>
      </c>
      <c r="I265" s="33" t="s">
        <v>143</v>
      </c>
      <c r="J265" s="33" t="s">
        <v>159</v>
      </c>
      <c r="K265" s="33" t="s">
        <v>184</v>
      </c>
      <c r="L265" s="35" t="n">
        <v>4639.16</v>
      </c>
      <c r="M265" s="36"/>
      <c r="N265" s="33" t="s">
        <v>146</v>
      </c>
      <c r="O265" s="33" t="s">
        <v>147</v>
      </c>
    </row>
    <row r="266" customFormat="false" ht="15" hidden="false" customHeight="false" outlineLevel="0" collapsed="false">
      <c r="A266" s="33" t="s">
        <v>481</v>
      </c>
      <c r="B266" s="34" t="n">
        <v>45455</v>
      </c>
      <c r="C266" s="34" t="n">
        <v>45457</v>
      </c>
      <c r="D266" s="33" t="n">
        <v>3</v>
      </c>
      <c r="E266" s="33" t="s">
        <v>154</v>
      </c>
      <c r="F266" s="33" t="s">
        <v>155</v>
      </c>
      <c r="G266" s="33" t="s">
        <v>302</v>
      </c>
      <c r="H266" s="33" t="s">
        <v>222</v>
      </c>
      <c r="I266" s="33" t="s">
        <v>143</v>
      </c>
      <c r="J266" s="33" t="s">
        <v>159</v>
      </c>
      <c r="K266" s="33" t="s">
        <v>145</v>
      </c>
      <c r="L266" s="35" t="n">
        <v>1595.79</v>
      </c>
      <c r="M266" s="33" t="n">
        <v>3</v>
      </c>
      <c r="N266" s="33" t="s">
        <v>146</v>
      </c>
      <c r="O266" s="36"/>
    </row>
    <row r="267" customFormat="false" ht="15" hidden="false" customHeight="false" outlineLevel="0" collapsed="false">
      <c r="A267" s="33" t="s">
        <v>482</v>
      </c>
      <c r="B267" s="34" t="n">
        <v>45407</v>
      </c>
      <c r="C267" s="34" t="n">
        <v>45409</v>
      </c>
      <c r="D267" s="33" t="n">
        <v>35</v>
      </c>
      <c r="E267" s="33" t="s">
        <v>139</v>
      </c>
      <c r="F267" s="33" t="s">
        <v>149</v>
      </c>
      <c r="G267" s="33" t="s">
        <v>150</v>
      </c>
      <c r="H267" s="33" t="s">
        <v>186</v>
      </c>
      <c r="I267" s="33" t="s">
        <v>143</v>
      </c>
      <c r="J267" s="33" t="s">
        <v>159</v>
      </c>
      <c r="K267" s="33" t="s">
        <v>160</v>
      </c>
      <c r="L267" s="35" t="n">
        <v>3364.61</v>
      </c>
      <c r="M267" s="33" t="n">
        <v>4</v>
      </c>
      <c r="N267" s="33" t="s">
        <v>146</v>
      </c>
      <c r="O267" s="33" t="s">
        <v>147</v>
      </c>
    </row>
    <row r="268" customFormat="false" ht="15" hidden="false" customHeight="false" outlineLevel="0" collapsed="false">
      <c r="A268" s="33" t="s">
        <v>483</v>
      </c>
      <c r="B268" s="34" t="n">
        <v>45616</v>
      </c>
      <c r="C268" s="34" t="n">
        <v>45617</v>
      </c>
      <c r="D268" s="33" t="n">
        <v>4</v>
      </c>
      <c r="E268" s="33" t="s">
        <v>139</v>
      </c>
      <c r="F268" s="33" t="s">
        <v>155</v>
      </c>
      <c r="G268" s="33" t="s">
        <v>302</v>
      </c>
      <c r="H268" s="33" t="s">
        <v>157</v>
      </c>
      <c r="I268" s="33" t="s">
        <v>158</v>
      </c>
      <c r="J268" s="33" t="s">
        <v>159</v>
      </c>
      <c r="K268" s="33" t="s">
        <v>160</v>
      </c>
      <c r="L268" s="35" t="n">
        <v>824.58</v>
      </c>
      <c r="M268" s="33" t="n">
        <v>3</v>
      </c>
      <c r="N268" s="33" t="s">
        <v>146</v>
      </c>
      <c r="O268" s="33" t="s">
        <v>147</v>
      </c>
    </row>
    <row r="269" customFormat="false" ht="15" hidden="false" customHeight="false" outlineLevel="0" collapsed="false">
      <c r="A269" s="33" t="s">
        <v>484</v>
      </c>
      <c r="B269" s="34" t="n">
        <v>45656</v>
      </c>
      <c r="C269" s="34" t="n">
        <v>45658</v>
      </c>
      <c r="D269" s="33" t="n">
        <v>27</v>
      </c>
      <c r="E269" s="33" t="s">
        <v>190</v>
      </c>
      <c r="F269" s="33" t="s">
        <v>149</v>
      </c>
      <c r="G269" s="33" t="s">
        <v>224</v>
      </c>
      <c r="H269" s="33" t="s">
        <v>151</v>
      </c>
      <c r="I269" s="33" t="s">
        <v>143</v>
      </c>
      <c r="J269" s="33" t="s">
        <v>176</v>
      </c>
      <c r="K269" s="33" t="s">
        <v>184</v>
      </c>
      <c r="L269" s="35" t="n">
        <v>9165.33</v>
      </c>
      <c r="M269" s="36"/>
      <c r="N269" s="33" t="s">
        <v>146</v>
      </c>
      <c r="O269" s="33" t="s">
        <v>147</v>
      </c>
    </row>
    <row r="270" customFormat="false" ht="15" hidden="false" customHeight="false" outlineLevel="0" collapsed="false">
      <c r="A270" s="33" t="s">
        <v>485</v>
      </c>
      <c r="B270" s="34" t="n">
        <v>45491</v>
      </c>
      <c r="C270" s="34" t="n">
        <v>45495</v>
      </c>
      <c r="D270" s="33" t="n">
        <v>52</v>
      </c>
      <c r="E270" s="33" t="s">
        <v>139</v>
      </c>
      <c r="F270" s="33" t="s">
        <v>181</v>
      </c>
      <c r="G270" s="33" t="s">
        <v>237</v>
      </c>
      <c r="H270" s="36"/>
      <c r="I270" s="33" t="s">
        <v>143</v>
      </c>
      <c r="J270" s="33" t="s">
        <v>176</v>
      </c>
      <c r="K270" s="33" t="s">
        <v>145</v>
      </c>
      <c r="L270" s="35" t="n">
        <v>31377.57</v>
      </c>
      <c r="M270" s="33" t="n">
        <v>3</v>
      </c>
      <c r="N270" s="33" t="s">
        <v>146</v>
      </c>
      <c r="O270" s="33" t="s">
        <v>147</v>
      </c>
    </row>
    <row r="271" customFormat="false" ht="15" hidden="false" customHeight="false" outlineLevel="0" collapsed="false">
      <c r="A271" s="33" t="s">
        <v>486</v>
      </c>
      <c r="B271" s="34" t="n">
        <v>45439</v>
      </c>
      <c r="C271" s="34" t="n">
        <v>45447</v>
      </c>
      <c r="D271" s="33" t="n">
        <v>55</v>
      </c>
      <c r="E271" s="33" t="s">
        <v>180</v>
      </c>
      <c r="F271" s="33" t="s">
        <v>140</v>
      </c>
      <c r="G271" s="33" t="s">
        <v>141</v>
      </c>
      <c r="H271" s="33" t="s">
        <v>142</v>
      </c>
      <c r="I271" s="33" t="s">
        <v>143</v>
      </c>
      <c r="J271" s="33" t="s">
        <v>159</v>
      </c>
      <c r="K271" s="33" t="s">
        <v>184</v>
      </c>
      <c r="L271" s="35" t="n">
        <v>18094.51</v>
      </c>
      <c r="M271" s="33" t="n">
        <v>4</v>
      </c>
      <c r="N271" s="33" t="s">
        <v>146</v>
      </c>
      <c r="O271" s="33" t="s">
        <v>147</v>
      </c>
    </row>
    <row r="272" customFormat="false" ht="15" hidden="false" customHeight="false" outlineLevel="0" collapsed="false">
      <c r="A272" s="33" t="s">
        <v>487</v>
      </c>
      <c r="B272" s="34" t="n">
        <v>45480</v>
      </c>
      <c r="C272" s="34" t="n">
        <v>45484</v>
      </c>
      <c r="D272" s="33" t="n">
        <v>69</v>
      </c>
      <c r="E272" s="33" t="s">
        <v>139</v>
      </c>
      <c r="F272" s="33" t="s">
        <v>181</v>
      </c>
      <c r="G272" s="33" t="s">
        <v>182</v>
      </c>
      <c r="H272" s="33" t="s">
        <v>245</v>
      </c>
      <c r="I272" s="33" t="s">
        <v>152</v>
      </c>
      <c r="J272" s="33" t="s">
        <v>176</v>
      </c>
      <c r="K272" s="33" t="s">
        <v>145</v>
      </c>
      <c r="L272" s="35" t="n">
        <v>26505.08</v>
      </c>
      <c r="M272" s="33" t="n">
        <v>4</v>
      </c>
      <c r="N272" s="33" t="s">
        <v>146</v>
      </c>
      <c r="O272" s="33" t="s">
        <v>147</v>
      </c>
    </row>
    <row r="273" customFormat="false" ht="15" hidden="false" customHeight="false" outlineLevel="0" collapsed="false">
      <c r="A273" s="33" t="s">
        <v>488</v>
      </c>
      <c r="B273" s="34" t="n">
        <v>45568</v>
      </c>
      <c r="C273" s="34" t="n">
        <v>45570</v>
      </c>
      <c r="D273" s="33" t="n">
        <v>69</v>
      </c>
      <c r="E273" s="33" t="s">
        <v>139</v>
      </c>
      <c r="F273" s="33" t="s">
        <v>181</v>
      </c>
      <c r="G273" s="33" t="s">
        <v>188</v>
      </c>
      <c r="H273" s="33" t="s">
        <v>183</v>
      </c>
      <c r="I273" s="33" t="s">
        <v>143</v>
      </c>
      <c r="J273" s="33" t="s">
        <v>176</v>
      </c>
      <c r="K273" s="33" t="s">
        <v>160</v>
      </c>
      <c r="L273" s="35" t="n">
        <v>15225.97</v>
      </c>
      <c r="M273" s="33" t="n">
        <v>5</v>
      </c>
      <c r="N273" s="33" t="s">
        <v>146</v>
      </c>
      <c r="O273" s="33" t="s">
        <v>147</v>
      </c>
    </row>
    <row r="274" customFormat="false" ht="15" hidden="false" customHeight="false" outlineLevel="0" collapsed="false">
      <c r="A274" s="33" t="s">
        <v>489</v>
      </c>
      <c r="B274" s="34" t="n">
        <v>45424</v>
      </c>
      <c r="C274" s="34" t="n">
        <v>45426</v>
      </c>
      <c r="D274" s="33" t="n">
        <v>44</v>
      </c>
      <c r="E274" s="33" t="s">
        <v>154</v>
      </c>
      <c r="F274" s="33" t="s">
        <v>203</v>
      </c>
      <c r="G274" s="33" t="s">
        <v>204</v>
      </c>
      <c r="H274" s="33" t="s">
        <v>205</v>
      </c>
      <c r="I274" s="33" t="s">
        <v>143</v>
      </c>
      <c r="J274" s="33" t="s">
        <v>176</v>
      </c>
      <c r="K274" s="33" t="s">
        <v>145</v>
      </c>
      <c r="L274" s="35" t="n">
        <v>6777.92</v>
      </c>
      <c r="M274" s="36" t="n">
        <v>6</v>
      </c>
      <c r="N274" s="33" t="s">
        <v>146</v>
      </c>
      <c r="O274" s="33" t="s">
        <v>147</v>
      </c>
    </row>
    <row r="275" customFormat="false" ht="15" hidden="false" customHeight="false" outlineLevel="0" collapsed="false">
      <c r="A275" s="33" t="s">
        <v>490</v>
      </c>
      <c r="B275" s="34" t="n">
        <v>45292</v>
      </c>
      <c r="C275" s="34" t="n">
        <v>45295</v>
      </c>
      <c r="D275" s="33" t="n">
        <v>10</v>
      </c>
      <c r="E275" s="33" t="s">
        <v>139</v>
      </c>
      <c r="F275" s="33" t="s">
        <v>155</v>
      </c>
      <c r="G275" s="33" t="s">
        <v>156</v>
      </c>
      <c r="H275" s="33" t="s">
        <v>157</v>
      </c>
      <c r="I275" s="33" t="s">
        <v>158</v>
      </c>
      <c r="J275" s="33" t="s">
        <v>159</v>
      </c>
      <c r="K275" s="33" t="s">
        <v>145</v>
      </c>
      <c r="L275" s="35" t="n">
        <v>2663.31</v>
      </c>
      <c r="M275" s="33" t="n">
        <v>3</v>
      </c>
      <c r="N275" s="33" t="s">
        <v>210</v>
      </c>
      <c r="O275" s="33" t="s">
        <v>147</v>
      </c>
    </row>
    <row r="276" customFormat="false" ht="15" hidden="false" customHeight="false" outlineLevel="0" collapsed="false">
      <c r="A276" s="33" t="s">
        <v>491</v>
      </c>
      <c r="B276" s="34" t="n">
        <v>45377</v>
      </c>
      <c r="C276" s="34" t="n">
        <v>45381</v>
      </c>
      <c r="D276" s="33" t="n">
        <v>67</v>
      </c>
      <c r="E276" s="33" t="s">
        <v>154</v>
      </c>
      <c r="F276" s="33" t="s">
        <v>173</v>
      </c>
      <c r="G276" s="33" t="s">
        <v>178</v>
      </c>
      <c r="H276" s="33" t="s">
        <v>175</v>
      </c>
      <c r="I276" s="33" t="s">
        <v>152</v>
      </c>
      <c r="J276" s="33" t="s">
        <v>159</v>
      </c>
      <c r="K276" s="33" t="s">
        <v>160</v>
      </c>
      <c r="L276" s="35" t="n">
        <v>8903.5</v>
      </c>
      <c r="M276" s="33" t="n">
        <v>4</v>
      </c>
      <c r="N276" s="33" t="s">
        <v>146</v>
      </c>
      <c r="O276" s="33" t="s">
        <v>147</v>
      </c>
    </row>
    <row r="277" customFormat="false" ht="15" hidden="false" customHeight="false" outlineLevel="0" collapsed="false">
      <c r="A277" s="33" t="s">
        <v>492</v>
      </c>
      <c r="B277" s="34" t="n">
        <v>45506</v>
      </c>
      <c r="C277" s="34" t="n">
        <v>45511</v>
      </c>
      <c r="D277" s="33" t="n">
        <v>1</v>
      </c>
      <c r="E277" s="33" t="s">
        <v>139</v>
      </c>
      <c r="F277" s="33" t="s">
        <v>155</v>
      </c>
      <c r="G277" s="33" t="s">
        <v>220</v>
      </c>
      <c r="H277" s="33" t="s">
        <v>222</v>
      </c>
      <c r="I277" s="33" t="s">
        <v>143</v>
      </c>
      <c r="J277" s="33" t="s">
        <v>144</v>
      </c>
      <c r="K277" s="33" t="s">
        <v>184</v>
      </c>
      <c r="L277" s="35" t="n">
        <v>8203.93</v>
      </c>
      <c r="M277" s="33" t="n">
        <v>4</v>
      </c>
      <c r="N277" s="33" t="s">
        <v>146</v>
      </c>
      <c r="O277" s="33" t="s">
        <v>147</v>
      </c>
    </row>
    <row r="278" customFormat="false" ht="15" hidden="false" customHeight="false" outlineLevel="0" collapsed="false">
      <c r="A278" s="33" t="s">
        <v>493</v>
      </c>
      <c r="B278" s="34" t="n">
        <v>45382</v>
      </c>
      <c r="C278" s="34" t="n">
        <v>45387</v>
      </c>
      <c r="D278" s="33" t="n">
        <v>10</v>
      </c>
      <c r="E278" s="33" t="s">
        <v>139</v>
      </c>
      <c r="F278" s="33" t="s">
        <v>203</v>
      </c>
      <c r="G278" s="33" t="s">
        <v>241</v>
      </c>
      <c r="H278" s="33" t="s">
        <v>193</v>
      </c>
      <c r="I278" s="33" t="s">
        <v>143</v>
      </c>
      <c r="J278" s="33" t="s">
        <v>144</v>
      </c>
      <c r="K278" s="33" t="s">
        <v>145</v>
      </c>
      <c r="L278" s="35" t="n">
        <v>8670.5</v>
      </c>
      <c r="M278" s="33" t="n">
        <v>5</v>
      </c>
      <c r="N278" s="33" t="s">
        <v>210</v>
      </c>
      <c r="O278" s="33" t="s">
        <v>147</v>
      </c>
    </row>
    <row r="279" customFormat="false" ht="15" hidden="false" customHeight="false" outlineLevel="0" collapsed="false">
      <c r="A279" s="33" t="s">
        <v>494</v>
      </c>
      <c r="B279" s="34" t="n">
        <v>45510</v>
      </c>
      <c r="C279" s="34" t="n">
        <v>45511</v>
      </c>
      <c r="D279" s="33" t="n">
        <v>4</v>
      </c>
      <c r="E279" s="33" t="s">
        <v>154</v>
      </c>
      <c r="F279" s="33" t="s">
        <v>155</v>
      </c>
      <c r="G279" s="33" t="s">
        <v>156</v>
      </c>
      <c r="H279" s="33" t="s">
        <v>222</v>
      </c>
      <c r="I279" s="33" t="s">
        <v>152</v>
      </c>
      <c r="J279" s="33" t="s">
        <v>159</v>
      </c>
      <c r="K279" s="33" t="s">
        <v>145</v>
      </c>
      <c r="L279" s="35" t="n">
        <v>885.65</v>
      </c>
      <c r="M279" s="33" t="n">
        <v>4</v>
      </c>
      <c r="N279" s="33" t="s">
        <v>146</v>
      </c>
      <c r="O279" s="33" t="s">
        <v>147</v>
      </c>
    </row>
    <row r="280" customFormat="false" ht="15" hidden="false" customHeight="false" outlineLevel="0" collapsed="false">
      <c r="A280" s="33" t="s">
        <v>495</v>
      </c>
      <c r="B280" s="34" t="n">
        <v>45339</v>
      </c>
      <c r="C280" s="34" t="n">
        <v>45341</v>
      </c>
      <c r="D280" s="33" t="n">
        <v>45</v>
      </c>
      <c r="E280" s="33" t="s">
        <v>139</v>
      </c>
      <c r="F280" s="33" t="s">
        <v>169</v>
      </c>
      <c r="G280" s="33" t="s">
        <v>163</v>
      </c>
      <c r="H280" s="33" t="s">
        <v>195</v>
      </c>
      <c r="I280" s="33" t="s">
        <v>143</v>
      </c>
      <c r="J280" s="33" t="s">
        <v>144</v>
      </c>
      <c r="K280" s="33" t="s">
        <v>160</v>
      </c>
      <c r="L280" s="35" t="n">
        <v>3720.8</v>
      </c>
      <c r="M280" s="33" t="n">
        <v>3</v>
      </c>
      <c r="N280" s="33" t="s">
        <v>146</v>
      </c>
      <c r="O280" s="33" t="s">
        <v>147</v>
      </c>
    </row>
    <row r="281" customFormat="false" ht="15" hidden="false" customHeight="false" outlineLevel="0" collapsed="false">
      <c r="A281" s="33" t="s">
        <v>496</v>
      </c>
      <c r="B281" s="34" t="n">
        <v>45474</v>
      </c>
      <c r="C281" s="34" t="n">
        <v>45477</v>
      </c>
      <c r="D281" s="33" t="n">
        <v>79</v>
      </c>
      <c r="E281" s="33" t="s">
        <v>139</v>
      </c>
      <c r="F281" s="33" t="s">
        <v>173</v>
      </c>
      <c r="G281" s="33" t="s">
        <v>178</v>
      </c>
      <c r="H281" s="33" t="s">
        <v>175</v>
      </c>
      <c r="I281" s="33" t="s">
        <v>143</v>
      </c>
      <c r="J281" s="33" t="s">
        <v>159</v>
      </c>
      <c r="K281" s="33" t="s">
        <v>160</v>
      </c>
      <c r="L281" s="35" t="n">
        <v>7457.49</v>
      </c>
      <c r="M281" s="33" t="n">
        <v>3</v>
      </c>
      <c r="N281" s="33" t="s">
        <v>146</v>
      </c>
      <c r="O281" s="33" t="s">
        <v>147</v>
      </c>
    </row>
    <row r="282" customFormat="false" ht="15" hidden="false" customHeight="false" outlineLevel="0" collapsed="false">
      <c r="A282" s="33" t="s">
        <v>497</v>
      </c>
      <c r="B282" s="34" t="n">
        <v>45410</v>
      </c>
      <c r="C282" s="34" t="n">
        <v>45415</v>
      </c>
      <c r="D282" s="33" t="n">
        <v>32</v>
      </c>
      <c r="E282" s="33" t="s">
        <v>139</v>
      </c>
      <c r="F282" s="33" t="s">
        <v>181</v>
      </c>
      <c r="G282" s="33" t="s">
        <v>182</v>
      </c>
      <c r="H282" s="33" t="s">
        <v>183</v>
      </c>
      <c r="I282" s="33" t="s">
        <v>143</v>
      </c>
      <c r="J282" s="33" t="s">
        <v>159</v>
      </c>
      <c r="K282" s="33" t="s">
        <v>145</v>
      </c>
      <c r="L282" s="35" t="n">
        <v>13243.87</v>
      </c>
      <c r="M282" s="33" t="n">
        <v>4</v>
      </c>
      <c r="N282" s="33" t="s">
        <v>146</v>
      </c>
      <c r="O282" s="33" t="s">
        <v>206</v>
      </c>
    </row>
    <row r="283" customFormat="false" ht="15" hidden="false" customHeight="false" outlineLevel="0" collapsed="false">
      <c r="A283" s="33" t="s">
        <v>388</v>
      </c>
      <c r="B283" s="34" t="n">
        <v>45525</v>
      </c>
      <c r="C283" s="34" t="n">
        <v>45531</v>
      </c>
      <c r="D283" s="33" t="n">
        <v>48</v>
      </c>
      <c r="E283" s="33" t="s">
        <v>154</v>
      </c>
      <c r="F283" s="33" t="s">
        <v>140</v>
      </c>
      <c r="G283" s="33" t="s">
        <v>167</v>
      </c>
      <c r="H283" s="33" t="s">
        <v>290</v>
      </c>
      <c r="I283" s="33" t="s">
        <v>158</v>
      </c>
      <c r="J283" s="33" t="s">
        <v>144</v>
      </c>
      <c r="K283" s="33" t="s">
        <v>184</v>
      </c>
      <c r="L283" s="35" t="n">
        <v>20521.15</v>
      </c>
      <c r="M283" s="33" t="n">
        <v>4</v>
      </c>
      <c r="N283" s="33" t="s">
        <v>146</v>
      </c>
      <c r="O283" s="33" t="s">
        <v>147</v>
      </c>
    </row>
    <row r="284" customFormat="false" ht="15" hidden="false" customHeight="false" outlineLevel="0" collapsed="false">
      <c r="A284" s="33" t="s">
        <v>498</v>
      </c>
      <c r="B284" s="34" t="n">
        <v>45512</v>
      </c>
      <c r="C284" s="34" t="n">
        <v>45514</v>
      </c>
      <c r="D284" s="33" t="n">
        <v>35</v>
      </c>
      <c r="E284" s="33" t="s">
        <v>139</v>
      </c>
      <c r="F284" s="33" t="s">
        <v>149</v>
      </c>
      <c r="G284" s="33" t="s">
        <v>243</v>
      </c>
      <c r="H284" s="33" t="s">
        <v>151</v>
      </c>
      <c r="I284" s="33" t="s">
        <v>143</v>
      </c>
      <c r="J284" s="33" t="s">
        <v>159</v>
      </c>
      <c r="K284" s="33" t="s">
        <v>145</v>
      </c>
      <c r="L284" s="35" t="n">
        <v>3225.68</v>
      </c>
      <c r="M284" s="33" t="n">
        <v>5</v>
      </c>
      <c r="N284" s="33" t="s">
        <v>146</v>
      </c>
      <c r="O284" s="33" t="s">
        <v>147</v>
      </c>
    </row>
    <row r="285" customFormat="false" ht="15" hidden="false" customHeight="false" outlineLevel="0" collapsed="false">
      <c r="A285" s="33" t="s">
        <v>499</v>
      </c>
      <c r="B285" s="34" t="n">
        <v>45538</v>
      </c>
      <c r="C285" s="34" t="n">
        <v>45541</v>
      </c>
      <c r="D285" s="33" t="n">
        <v>11</v>
      </c>
      <c r="E285" s="33" t="s">
        <v>139</v>
      </c>
      <c r="F285" s="33" t="s">
        <v>376</v>
      </c>
      <c r="G285" s="33" t="s">
        <v>156</v>
      </c>
      <c r="H285" s="33" t="s">
        <v>222</v>
      </c>
      <c r="I285" s="33" t="s">
        <v>152</v>
      </c>
      <c r="J285" s="33" t="s">
        <v>159</v>
      </c>
      <c r="K285" s="33" t="s">
        <v>160</v>
      </c>
      <c r="L285" s="35" t="n">
        <v>3072.14</v>
      </c>
      <c r="M285" s="33" t="n">
        <v>3</v>
      </c>
      <c r="N285" s="33" t="s">
        <v>146</v>
      </c>
      <c r="O285" s="33" t="s">
        <v>206</v>
      </c>
    </row>
    <row r="286" customFormat="false" ht="15" hidden="false" customHeight="false" outlineLevel="0" collapsed="false">
      <c r="A286" s="33" t="s">
        <v>500</v>
      </c>
      <c r="B286" s="34" t="n">
        <v>45390</v>
      </c>
      <c r="C286" s="34" t="n">
        <v>45394</v>
      </c>
      <c r="D286" s="33" t="n">
        <v>60</v>
      </c>
      <c r="E286" s="33" t="s">
        <v>154</v>
      </c>
      <c r="F286" s="33" t="s">
        <v>169</v>
      </c>
      <c r="G286" s="33" t="s">
        <v>163</v>
      </c>
      <c r="H286" s="33" t="s">
        <v>195</v>
      </c>
      <c r="I286" s="33" t="s">
        <v>152</v>
      </c>
      <c r="J286" s="33" t="s">
        <v>159</v>
      </c>
      <c r="K286" s="33" t="s">
        <v>145</v>
      </c>
      <c r="L286" s="35" t="n">
        <v>5406.01</v>
      </c>
      <c r="M286" s="33" t="n">
        <v>5</v>
      </c>
      <c r="N286" s="33" t="s">
        <v>146</v>
      </c>
      <c r="O286" s="33" t="s">
        <v>147</v>
      </c>
    </row>
    <row r="287" customFormat="false" ht="15" hidden="false" customHeight="false" outlineLevel="0" collapsed="false">
      <c r="A287" s="33" t="s">
        <v>501</v>
      </c>
      <c r="B287" s="34" t="n">
        <v>45400</v>
      </c>
      <c r="C287" s="34" t="n">
        <v>45401</v>
      </c>
      <c r="D287" s="33" t="n">
        <v>33</v>
      </c>
      <c r="E287" s="33" t="s">
        <v>139</v>
      </c>
      <c r="F287" s="33" t="s">
        <v>149</v>
      </c>
      <c r="G287" s="33" t="s">
        <v>224</v>
      </c>
      <c r="H287" s="33" t="s">
        <v>186</v>
      </c>
      <c r="I287" s="33" t="s">
        <v>143</v>
      </c>
      <c r="J287" s="33" t="s">
        <v>144</v>
      </c>
      <c r="K287" s="33" t="s">
        <v>145</v>
      </c>
      <c r="L287" s="35" t="n">
        <v>3160.48</v>
      </c>
      <c r="M287" s="33" t="n">
        <v>4</v>
      </c>
      <c r="N287" s="33" t="s">
        <v>210</v>
      </c>
      <c r="O287" s="33" t="s">
        <v>147</v>
      </c>
    </row>
    <row r="288" customFormat="false" ht="15" hidden="false" customHeight="false" outlineLevel="0" collapsed="false">
      <c r="A288" s="33" t="s">
        <v>502</v>
      </c>
      <c r="B288" s="34" t="n">
        <v>45631</v>
      </c>
      <c r="C288" s="34" t="n">
        <v>45633</v>
      </c>
      <c r="D288" s="33" t="n">
        <v>30</v>
      </c>
      <c r="E288" s="33" t="s">
        <v>139</v>
      </c>
      <c r="F288" s="33" t="s">
        <v>149</v>
      </c>
      <c r="G288" s="33" t="s">
        <v>150</v>
      </c>
      <c r="H288" s="33" t="s">
        <v>151</v>
      </c>
      <c r="I288" s="33" t="s">
        <v>152</v>
      </c>
      <c r="J288" s="33" t="s">
        <v>159</v>
      </c>
      <c r="K288" s="33" t="s">
        <v>160</v>
      </c>
      <c r="L288" s="35" t="n">
        <v>3283.08</v>
      </c>
      <c r="M288" s="33" t="n">
        <v>4</v>
      </c>
      <c r="N288" s="33" t="s">
        <v>146</v>
      </c>
      <c r="O288" s="33" t="s">
        <v>147</v>
      </c>
    </row>
    <row r="289" customFormat="false" ht="15" hidden="false" customHeight="false" outlineLevel="0" collapsed="false">
      <c r="A289" s="33" t="s">
        <v>503</v>
      </c>
      <c r="B289" s="34" t="n">
        <v>45556</v>
      </c>
      <c r="C289" s="34" t="n">
        <v>45557</v>
      </c>
      <c r="D289" s="33" t="n">
        <v>37</v>
      </c>
      <c r="E289" s="33" t="s">
        <v>154</v>
      </c>
      <c r="F289" s="33" t="s">
        <v>203</v>
      </c>
      <c r="G289" s="33" t="s">
        <v>241</v>
      </c>
      <c r="H289" s="33" t="s">
        <v>193</v>
      </c>
      <c r="I289" s="33" t="s">
        <v>158</v>
      </c>
      <c r="J289" s="33" t="s">
        <v>144</v>
      </c>
      <c r="K289" s="33" t="s">
        <v>160</v>
      </c>
      <c r="L289" s="35" t="n">
        <v>1544.53</v>
      </c>
      <c r="M289" s="33" t="n">
        <v>4</v>
      </c>
      <c r="N289" s="33" t="s">
        <v>146</v>
      </c>
      <c r="O289" s="33" t="s">
        <v>147</v>
      </c>
    </row>
    <row r="290" customFormat="false" ht="15" hidden="false" customHeight="false" outlineLevel="0" collapsed="false">
      <c r="A290" s="33" t="s">
        <v>504</v>
      </c>
      <c r="B290" s="34" t="n">
        <v>45352</v>
      </c>
      <c r="C290" s="34" t="n">
        <v>45353</v>
      </c>
      <c r="D290" s="33" t="n">
        <v>25</v>
      </c>
      <c r="E290" s="33" t="s">
        <v>139</v>
      </c>
      <c r="F290" s="33" t="s">
        <v>140</v>
      </c>
      <c r="G290" s="33" t="s">
        <v>167</v>
      </c>
      <c r="H290" s="33" t="s">
        <v>290</v>
      </c>
      <c r="I290" s="33" t="s">
        <v>143</v>
      </c>
      <c r="J290" s="33" t="s">
        <v>176</v>
      </c>
      <c r="K290" s="33" t="s">
        <v>160</v>
      </c>
      <c r="L290" s="35" t="n">
        <v>8220.46</v>
      </c>
      <c r="M290" s="33" t="n">
        <v>5</v>
      </c>
      <c r="N290" s="33" t="s">
        <v>146</v>
      </c>
      <c r="O290" s="33" t="s">
        <v>147</v>
      </c>
    </row>
    <row r="291" customFormat="false" ht="15" hidden="false" customHeight="false" outlineLevel="0" collapsed="false">
      <c r="A291" s="33" t="s">
        <v>505</v>
      </c>
      <c r="B291" s="34" t="n">
        <v>45342</v>
      </c>
      <c r="C291" s="34" t="n">
        <v>45349</v>
      </c>
      <c r="D291" s="33" t="n">
        <v>17</v>
      </c>
      <c r="E291" s="33" t="s">
        <v>154</v>
      </c>
      <c r="F291" s="33" t="s">
        <v>169</v>
      </c>
      <c r="G291" s="33" t="s">
        <v>230</v>
      </c>
      <c r="H291" s="33" t="s">
        <v>164</v>
      </c>
      <c r="I291" s="33" t="s">
        <v>143</v>
      </c>
      <c r="J291" s="33" t="s">
        <v>159</v>
      </c>
      <c r="K291" s="33" t="s">
        <v>145</v>
      </c>
      <c r="L291" s="35" t="n">
        <v>8124.8</v>
      </c>
      <c r="M291" s="33" t="n">
        <v>5</v>
      </c>
      <c r="N291" s="33" t="s">
        <v>146</v>
      </c>
      <c r="O291" s="33" t="s">
        <v>147</v>
      </c>
    </row>
    <row r="292" customFormat="false" ht="15" hidden="false" customHeight="false" outlineLevel="0" collapsed="false">
      <c r="A292" s="33" t="s">
        <v>506</v>
      </c>
      <c r="B292" s="34" t="n">
        <v>45352</v>
      </c>
      <c r="C292" s="34" t="n">
        <v>45353</v>
      </c>
      <c r="D292" s="33" t="n">
        <v>12</v>
      </c>
      <c r="E292" s="33" t="s">
        <v>139</v>
      </c>
      <c r="F292" s="33" t="s">
        <v>155</v>
      </c>
      <c r="G292" s="33" t="s">
        <v>302</v>
      </c>
      <c r="H292" s="33" t="s">
        <v>222</v>
      </c>
      <c r="I292" s="33" t="s">
        <v>152</v>
      </c>
      <c r="J292" s="33" t="s">
        <v>159</v>
      </c>
      <c r="K292" s="33" t="s">
        <v>160</v>
      </c>
      <c r="L292" s="35" t="n">
        <v>821.09</v>
      </c>
      <c r="M292" s="33" t="n">
        <v>3</v>
      </c>
      <c r="N292" s="33" t="s">
        <v>146</v>
      </c>
      <c r="O292" s="33" t="s">
        <v>147</v>
      </c>
    </row>
    <row r="293" customFormat="false" ht="15" hidden="false" customHeight="false" outlineLevel="0" collapsed="false">
      <c r="A293" s="33" t="s">
        <v>507</v>
      </c>
      <c r="B293" s="34" t="n">
        <v>45501</v>
      </c>
      <c r="C293" s="34" t="n">
        <v>45502</v>
      </c>
      <c r="D293" s="33" t="n">
        <v>75</v>
      </c>
      <c r="E293" s="33" t="s">
        <v>180</v>
      </c>
      <c r="F293" s="33" t="s">
        <v>334</v>
      </c>
      <c r="G293" s="33" t="s">
        <v>204</v>
      </c>
      <c r="H293" s="33" t="s">
        <v>193</v>
      </c>
      <c r="I293" s="33" t="s">
        <v>143</v>
      </c>
      <c r="J293" s="33" t="s">
        <v>159</v>
      </c>
      <c r="K293" s="33" t="s">
        <v>184</v>
      </c>
      <c r="L293" s="35" t="n">
        <v>964.35</v>
      </c>
      <c r="M293" s="33" t="n">
        <v>4</v>
      </c>
      <c r="N293" s="33" t="s">
        <v>146</v>
      </c>
      <c r="O293" s="33" t="s">
        <v>147</v>
      </c>
    </row>
    <row r="294" customFormat="false" ht="15" hidden="false" customHeight="false" outlineLevel="0" collapsed="false">
      <c r="A294" s="33" t="s">
        <v>508</v>
      </c>
      <c r="B294" s="34" t="n">
        <v>45451</v>
      </c>
      <c r="C294" s="34" t="n">
        <v>45454</v>
      </c>
      <c r="D294" s="33" t="n">
        <v>6</v>
      </c>
      <c r="E294" s="33" t="s">
        <v>154</v>
      </c>
      <c r="F294" s="33" t="s">
        <v>376</v>
      </c>
      <c r="G294" s="33" t="s">
        <v>156</v>
      </c>
      <c r="H294" s="33" t="s">
        <v>222</v>
      </c>
      <c r="I294" s="33" t="s">
        <v>143</v>
      </c>
      <c r="J294" s="33" t="s">
        <v>159</v>
      </c>
      <c r="K294" s="33" t="s">
        <v>145</v>
      </c>
      <c r="L294" s="35" t="n">
        <v>2544.84</v>
      </c>
      <c r="M294" s="33" t="n">
        <v>5</v>
      </c>
      <c r="N294" s="33" t="s">
        <v>210</v>
      </c>
      <c r="O294" s="33" t="s">
        <v>147</v>
      </c>
    </row>
    <row r="295" customFormat="false" ht="15" hidden="false" customHeight="false" outlineLevel="0" collapsed="false">
      <c r="A295" s="33" t="s">
        <v>509</v>
      </c>
      <c r="B295" s="34" t="n">
        <v>45599</v>
      </c>
      <c r="C295" s="34" t="n">
        <v>45604</v>
      </c>
      <c r="D295" s="33" t="n">
        <v>27</v>
      </c>
      <c r="E295" s="33" t="s">
        <v>139</v>
      </c>
      <c r="F295" s="33" t="s">
        <v>173</v>
      </c>
      <c r="G295" s="33" t="s">
        <v>198</v>
      </c>
      <c r="H295" s="36"/>
      <c r="I295" s="33" t="s">
        <v>143</v>
      </c>
      <c r="J295" s="33" t="s">
        <v>159</v>
      </c>
      <c r="K295" s="33" t="s">
        <v>184</v>
      </c>
      <c r="L295" s="35" t="n">
        <v>11631.09</v>
      </c>
      <c r="M295" s="33" t="n">
        <v>5</v>
      </c>
      <c r="N295" s="33" t="s">
        <v>146</v>
      </c>
      <c r="O295" s="33" t="s">
        <v>147</v>
      </c>
    </row>
    <row r="296" customFormat="false" ht="15" hidden="false" customHeight="false" outlineLevel="0" collapsed="false">
      <c r="A296" s="33" t="s">
        <v>510</v>
      </c>
      <c r="B296" s="34" t="n">
        <v>45594</v>
      </c>
      <c r="C296" s="34" t="n">
        <v>45597</v>
      </c>
      <c r="D296" s="33" t="n">
        <v>21</v>
      </c>
      <c r="E296" s="33" t="s">
        <v>139</v>
      </c>
      <c r="F296" s="33" t="s">
        <v>149</v>
      </c>
      <c r="G296" s="33" t="s">
        <v>150</v>
      </c>
      <c r="H296" s="33" t="s">
        <v>151</v>
      </c>
      <c r="I296" s="33" t="s">
        <v>143</v>
      </c>
      <c r="J296" s="33" t="s">
        <v>159</v>
      </c>
      <c r="K296" s="33" t="s">
        <v>145</v>
      </c>
      <c r="L296" s="35" t="n">
        <v>4860.51</v>
      </c>
      <c r="M296" s="33" t="n">
        <v>4</v>
      </c>
      <c r="N296" s="33" t="s">
        <v>146</v>
      </c>
      <c r="O296" s="33" t="s">
        <v>247</v>
      </c>
    </row>
    <row r="297" customFormat="false" ht="15" hidden="false" customHeight="false" outlineLevel="0" collapsed="false">
      <c r="A297" s="33" t="s">
        <v>511</v>
      </c>
      <c r="B297" s="34" t="n">
        <v>45489</v>
      </c>
      <c r="C297" s="34" t="n">
        <v>45493</v>
      </c>
      <c r="D297" s="33" t="n">
        <v>10</v>
      </c>
      <c r="E297" s="33" t="s">
        <v>154</v>
      </c>
      <c r="F297" s="33" t="s">
        <v>376</v>
      </c>
      <c r="G297" s="33" t="s">
        <v>302</v>
      </c>
      <c r="H297" s="33" t="s">
        <v>222</v>
      </c>
      <c r="I297" s="33" t="s">
        <v>152</v>
      </c>
      <c r="J297" s="33" t="s">
        <v>176</v>
      </c>
      <c r="K297" s="33" t="s">
        <v>160</v>
      </c>
      <c r="L297" s="35" t="n">
        <v>11696.22</v>
      </c>
      <c r="M297" s="33" t="n">
        <v>4</v>
      </c>
      <c r="N297" s="33" t="s">
        <v>146</v>
      </c>
      <c r="O297" s="33" t="s">
        <v>295</v>
      </c>
    </row>
    <row r="298" customFormat="false" ht="15" hidden="false" customHeight="false" outlineLevel="0" collapsed="false">
      <c r="A298" s="33" t="s">
        <v>512</v>
      </c>
      <c r="B298" s="34" t="n">
        <v>45548</v>
      </c>
      <c r="C298" s="34" t="n">
        <v>45553</v>
      </c>
      <c r="D298" s="33" t="n">
        <v>53</v>
      </c>
      <c r="E298" s="33" t="s">
        <v>180</v>
      </c>
      <c r="F298" s="33" t="s">
        <v>140</v>
      </c>
      <c r="G298" s="33" t="s">
        <v>167</v>
      </c>
      <c r="H298" s="33" t="s">
        <v>290</v>
      </c>
      <c r="I298" s="33" t="s">
        <v>143</v>
      </c>
      <c r="J298" s="33" t="s">
        <v>176</v>
      </c>
      <c r="K298" s="33" t="s">
        <v>145</v>
      </c>
      <c r="L298" s="35" t="n">
        <v>40109.3</v>
      </c>
      <c r="M298" s="33" t="n">
        <v>5</v>
      </c>
      <c r="N298" s="33" t="s">
        <v>146</v>
      </c>
      <c r="O298" s="33" t="s">
        <v>147</v>
      </c>
    </row>
    <row r="299" customFormat="false" ht="15" hidden="false" customHeight="false" outlineLevel="0" collapsed="false">
      <c r="A299" s="33" t="s">
        <v>513</v>
      </c>
      <c r="B299" s="34" t="n">
        <v>45606</v>
      </c>
      <c r="C299" s="34" t="n">
        <v>45617</v>
      </c>
      <c r="D299" s="33" t="n">
        <v>91</v>
      </c>
      <c r="E299" s="33" t="s">
        <v>154</v>
      </c>
      <c r="F299" s="33" t="s">
        <v>162</v>
      </c>
      <c r="G299" s="33" t="s">
        <v>163</v>
      </c>
      <c r="H299" s="33" t="s">
        <v>171</v>
      </c>
      <c r="I299" s="33" t="s">
        <v>143</v>
      </c>
      <c r="J299" s="33" t="s">
        <v>159</v>
      </c>
      <c r="K299" s="33" t="s">
        <v>184</v>
      </c>
      <c r="L299" s="35" t="n">
        <v>12266.38</v>
      </c>
      <c r="M299" s="33" t="n">
        <v>4</v>
      </c>
      <c r="N299" s="33" t="s">
        <v>146</v>
      </c>
      <c r="O299" s="33" t="s">
        <v>147</v>
      </c>
    </row>
    <row r="300" customFormat="false" ht="15" hidden="false" customHeight="false" outlineLevel="0" collapsed="false">
      <c r="A300" s="33" t="s">
        <v>514</v>
      </c>
      <c r="B300" s="34" t="n">
        <v>45544</v>
      </c>
      <c r="C300" s="34" t="n">
        <v>45545</v>
      </c>
      <c r="D300" s="33" t="n">
        <v>90</v>
      </c>
      <c r="E300" s="33" t="s">
        <v>139</v>
      </c>
      <c r="F300" s="33" t="s">
        <v>203</v>
      </c>
      <c r="G300" s="33" t="s">
        <v>232</v>
      </c>
      <c r="H300" s="33" t="s">
        <v>233</v>
      </c>
      <c r="I300" s="33" t="s">
        <v>143</v>
      </c>
      <c r="J300" s="33" t="s">
        <v>159</v>
      </c>
      <c r="K300" s="33" t="s">
        <v>160</v>
      </c>
      <c r="L300" s="35" t="n">
        <v>1116.94</v>
      </c>
      <c r="M300" s="33" t="n">
        <v>4</v>
      </c>
      <c r="N300" s="33" t="s">
        <v>146</v>
      </c>
      <c r="O300" s="33" t="s">
        <v>147</v>
      </c>
    </row>
    <row r="301" customFormat="false" ht="15" hidden="false" customHeight="false" outlineLevel="0" collapsed="false">
      <c r="A301" s="33" t="s">
        <v>515</v>
      </c>
      <c r="B301" s="34" t="n">
        <v>45467</v>
      </c>
      <c r="C301" s="34" t="n">
        <v>45475</v>
      </c>
      <c r="D301" s="33" t="n">
        <v>48</v>
      </c>
      <c r="E301" s="33" t="s">
        <v>139</v>
      </c>
      <c r="F301" s="33" t="s">
        <v>169</v>
      </c>
      <c r="G301" s="33" t="s">
        <v>163</v>
      </c>
      <c r="H301" s="33" t="s">
        <v>195</v>
      </c>
      <c r="I301" s="33" t="s">
        <v>152</v>
      </c>
      <c r="J301" s="33" t="s">
        <v>159</v>
      </c>
      <c r="K301" s="33" t="s">
        <v>209</v>
      </c>
      <c r="L301" s="35" t="n">
        <v>10204.82</v>
      </c>
      <c r="M301" s="33" t="n">
        <v>4</v>
      </c>
      <c r="N301" s="33" t="s">
        <v>146</v>
      </c>
      <c r="O301" s="33" t="s">
        <v>147</v>
      </c>
    </row>
    <row r="302" customFormat="false" ht="15" hidden="false" customHeight="false" outlineLevel="0" collapsed="false">
      <c r="A302" s="33" t="s">
        <v>516</v>
      </c>
      <c r="B302" s="34" t="n">
        <v>45537</v>
      </c>
      <c r="C302" s="34" t="n">
        <v>45538</v>
      </c>
      <c r="D302" s="33" t="n">
        <v>6</v>
      </c>
      <c r="E302" s="33" t="s">
        <v>139</v>
      </c>
      <c r="F302" s="33" t="s">
        <v>155</v>
      </c>
      <c r="G302" s="33" t="s">
        <v>302</v>
      </c>
      <c r="H302" s="33" t="s">
        <v>222</v>
      </c>
      <c r="I302" s="33" t="s">
        <v>158</v>
      </c>
      <c r="J302" s="33" t="s">
        <v>159</v>
      </c>
      <c r="K302" s="33" t="s">
        <v>160</v>
      </c>
      <c r="L302" s="35" t="n">
        <v>980.86</v>
      </c>
      <c r="M302" s="33" t="n">
        <v>5</v>
      </c>
      <c r="N302" s="33" t="s">
        <v>146</v>
      </c>
      <c r="O302" s="33" t="s">
        <v>147</v>
      </c>
    </row>
    <row r="303" customFormat="false" ht="15" hidden="false" customHeight="false" outlineLevel="0" collapsed="false">
      <c r="A303" s="33" t="s">
        <v>517</v>
      </c>
      <c r="B303" s="34" t="n">
        <v>45476</v>
      </c>
      <c r="C303" s="34" t="n">
        <v>45479</v>
      </c>
      <c r="D303" s="33" t="n">
        <v>36</v>
      </c>
      <c r="E303" s="33" t="s">
        <v>139</v>
      </c>
      <c r="F303" s="33" t="s">
        <v>169</v>
      </c>
      <c r="G303" s="33" t="s">
        <v>230</v>
      </c>
      <c r="H303" s="33" t="s">
        <v>195</v>
      </c>
      <c r="I303" s="33" t="s">
        <v>152</v>
      </c>
      <c r="J303" s="33" t="s">
        <v>159</v>
      </c>
      <c r="K303" s="33" t="s">
        <v>184</v>
      </c>
      <c r="L303" s="35" t="n">
        <v>3208.51</v>
      </c>
      <c r="M303" s="33" t="n">
        <v>4</v>
      </c>
      <c r="N303" s="33" t="s">
        <v>146</v>
      </c>
      <c r="O303" s="33" t="s">
        <v>147</v>
      </c>
    </row>
    <row r="304" customFormat="false" ht="15" hidden="false" customHeight="false" outlineLevel="0" collapsed="false">
      <c r="A304" s="33" t="s">
        <v>518</v>
      </c>
      <c r="B304" s="34" t="n">
        <v>45319</v>
      </c>
      <c r="C304" s="34" t="n">
        <v>45322</v>
      </c>
      <c r="D304" s="33" t="n">
        <v>47</v>
      </c>
      <c r="E304" s="33" t="s">
        <v>139</v>
      </c>
      <c r="F304" s="33" t="s">
        <v>140</v>
      </c>
      <c r="G304" s="33" t="s">
        <v>167</v>
      </c>
      <c r="H304" s="33" t="s">
        <v>142</v>
      </c>
      <c r="I304" s="33" t="s">
        <v>158</v>
      </c>
      <c r="J304" s="33" t="s">
        <v>159</v>
      </c>
      <c r="K304" s="33" t="s">
        <v>145</v>
      </c>
      <c r="L304" s="35" t="n">
        <v>6324.98</v>
      </c>
      <c r="M304" s="33" t="n">
        <v>3</v>
      </c>
      <c r="N304" s="33" t="s">
        <v>146</v>
      </c>
      <c r="O304" s="33" t="s">
        <v>147</v>
      </c>
    </row>
    <row r="305" customFormat="false" ht="15" hidden="false" customHeight="false" outlineLevel="0" collapsed="false">
      <c r="A305" s="33" t="s">
        <v>519</v>
      </c>
      <c r="B305" s="34" t="n">
        <v>45468</v>
      </c>
      <c r="C305" s="34" t="n">
        <v>45469</v>
      </c>
      <c r="D305" s="33" t="n">
        <v>44</v>
      </c>
      <c r="E305" s="33" t="s">
        <v>154</v>
      </c>
      <c r="F305" s="33" t="s">
        <v>203</v>
      </c>
      <c r="G305" s="33" t="s">
        <v>204</v>
      </c>
      <c r="H305" s="33" t="s">
        <v>233</v>
      </c>
      <c r="I305" s="33" t="s">
        <v>143</v>
      </c>
      <c r="J305" s="33" t="s">
        <v>159</v>
      </c>
      <c r="K305" s="33" t="s">
        <v>145</v>
      </c>
      <c r="L305" s="35" t="n">
        <v>869.85</v>
      </c>
      <c r="M305" s="33" t="n">
        <v>3</v>
      </c>
      <c r="N305" s="33" t="s">
        <v>146</v>
      </c>
      <c r="O305" s="33" t="s">
        <v>247</v>
      </c>
    </row>
    <row r="306" customFormat="false" ht="15" hidden="false" customHeight="false" outlineLevel="0" collapsed="false">
      <c r="A306" s="33" t="s">
        <v>520</v>
      </c>
      <c r="B306" s="34" t="n">
        <v>45566</v>
      </c>
      <c r="C306" s="34" t="n">
        <v>45567</v>
      </c>
      <c r="D306" s="33" t="n">
        <v>96</v>
      </c>
      <c r="E306" s="33" t="s">
        <v>139</v>
      </c>
      <c r="F306" s="33" t="s">
        <v>203</v>
      </c>
      <c r="G306" s="33" t="s">
        <v>232</v>
      </c>
      <c r="H306" s="33" t="s">
        <v>205</v>
      </c>
      <c r="I306" s="33" t="s">
        <v>143</v>
      </c>
      <c r="J306" s="33" t="s">
        <v>144</v>
      </c>
      <c r="K306" s="33" t="s">
        <v>145</v>
      </c>
      <c r="L306" s="35" t="n">
        <v>1763.34</v>
      </c>
      <c r="M306" s="33" t="n">
        <v>2</v>
      </c>
      <c r="N306" s="33" t="s">
        <v>146</v>
      </c>
      <c r="O306" s="33" t="s">
        <v>147</v>
      </c>
    </row>
    <row r="307" customFormat="false" ht="15" hidden="false" customHeight="false" outlineLevel="0" collapsed="false">
      <c r="A307" s="33" t="s">
        <v>521</v>
      </c>
      <c r="B307" s="34" t="n">
        <v>45312</v>
      </c>
      <c r="C307" s="34" t="n">
        <v>45314</v>
      </c>
      <c r="D307" s="33" t="n">
        <v>58</v>
      </c>
      <c r="E307" s="33" t="s">
        <v>139</v>
      </c>
      <c r="F307" s="33" t="s">
        <v>203</v>
      </c>
      <c r="G307" s="33" t="s">
        <v>217</v>
      </c>
      <c r="H307" s="33" t="s">
        <v>193</v>
      </c>
      <c r="I307" s="33" t="s">
        <v>143</v>
      </c>
      <c r="J307" s="33" t="s">
        <v>159</v>
      </c>
      <c r="K307" s="33" t="s">
        <v>160</v>
      </c>
      <c r="L307" s="35" t="n">
        <v>1602.88</v>
      </c>
      <c r="M307" s="33" t="n">
        <v>2</v>
      </c>
      <c r="N307" s="33" t="s">
        <v>146</v>
      </c>
      <c r="O307" s="33" t="s">
        <v>147</v>
      </c>
    </row>
    <row r="308" customFormat="false" ht="15" hidden="false" customHeight="false" outlineLevel="0" collapsed="false">
      <c r="A308" s="33" t="s">
        <v>522</v>
      </c>
      <c r="B308" s="34" t="n">
        <v>45382</v>
      </c>
      <c r="C308" s="34" t="n">
        <v>45385</v>
      </c>
      <c r="D308" s="33" t="n">
        <v>35</v>
      </c>
      <c r="E308" s="33" t="s">
        <v>154</v>
      </c>
      <c r="F308" s="33" t="s">
        <v>212</v>
      </c>
      <c r="G308" s="33" t="s">
        <v>230</v>
      </c>
      <c r="H308" s="33" t="s">
        <v>171</v>
      </c>
      <c r="I308" s="33" t="s">
        <v>152</v>
      </c>
      <c r="J308" s="33" t="s">
        <v>159</v>
      </c>
      <c r="K308" s="33" t="s">
        <v>145</v>
      </c>
      <c r="L308" s="35" t="n">
        <v>3296.71</v>
      </c>
      <c r="M308" s="33" t="n">
        <v>2</v>
      </c>
      <c r="N308" s="33" t="s">
        <v>146</v>
      </c>
      <c r="O308" s="33" t="s">
        <v>147</v>
      </c>
    </row>
    <row r="309" customFormat="false" ht="15" hidden="false" customHeight="false" outlineLevel="0" collapsed="false">
      <c r="A309" s="33" t="s">
        <v>523</v>
      </c>
      <c r="B309" s="34" t="n">
        <v>45634</v>
      </c>
      <c r="C309" s="34" t="n">
        <v>45636</v>
      </c>
      <c r="D309" s="33" t="n">
        <v>38</v>
      </c>
      <c r="E309" s="33" t="s">
        <v>139</v>
      </c>
      <c r="F309" s="33" t="s">
        <v>191</v>
      </c>
      <c r="G309" s="33" t="s">
        <v>232</v>
      </c>
      <c r="H309" s="33" t="s">
        <v>205</v>
      </c>
      <c r="I309" s="33" t="s">
        <v>143</v>
      </c>
      <c r="J309" s="33" t="s">
        <v>159</v>
      </c>
      <c r="K309" s="33" t="s">
        <v>160</v>
      </c>
      <c r="L309" s="35" t="n">
        <v>2013.52</v>
      </c>
      <c r="M309" s="33" t="n">
        <v>3</v>
      </c>
      <c r="N309" s="33" t="s">
        <v>146</v>
      </c>
      <c r="O309" s="33" t="s">
        <v>147</v>
      </c>
    </row>
    <row r="310" customFormat="false" ht="15" hidden="false" customHeight="false" outlineLevel="0" collapsed="false">
      <c r="A310" s="33" t="s">
        <v>524</v>
      </c>
      <c r="B310" s="34" t="n">
        <v>45394</v>
      </c>
      <c r="C310" s="34" t="n">
        <v>45396</v>
      </c>
      <c r="D310" s="33" t="n">
        <v>38</v>
      </c>
      <c r="E310" s="33" t="s">
        <v>154</v>
      </c>
      <c r="F310" s="33" t="s">
        <v>169</v>
      </c>
      <c r="G310" s="33" t="s">
        <v>230</v>
      </c>
      <c r="H310" s="33" t="s">
        <v>171</v>
      </c>
      <c r="I310" s="33" t="s">
        <v>143</v>
      </c>
      <c r="J310" s="33" t="s">
        <v>159</v>
      </c>
      <c r="K310" s="33" t="s">
        <v>184</v>
      </c>
      <c r="L310" s="35" t="n">
        <v>2248.67</v>
      </c>
      <c r="M310" s="33" t="n">
        <v>3</v>
      </c>
      <c r="N310" s="33" t="s">
        <v>146</v>
      </c>
      <c r="O310" s="33" t="s">
        <v>147</v>
      </c>
    </row>
    <row r="311" customFormat="false" ht="15" hidden="false" customHeight="false" outlineLevel="0" collapsed="false">
      <c r="A311" s="33" t="s">
        <v>525</v>
      </c>
      <c r="B311" s="34" t="n">
        <v>45408</v>
      </c>
      <c r="C311" s="34" t="n">
        <v>45409</v>
      </c>
      <c r="D311" s="33" t="n">
        <v>28</v>
      </c>
      <c r="E311" s="33" t="s">
        <v>139</v>
      </c>
      <c r="F311" s="33" t="s">
        <v>203</v>
      </c>
      <c r="G311" s="33" t="s">
        <v>217</v>
      </c>
      <c r="H311" s="33" t="s">
        <v>193</v>
      </c>
      <c r="I311" s="33" t="s">
        <v>143</v>
      </c>
      <c r="J311" s="33" t="s">
        <v>159</v>
      </c>
      <c r="K311" s="36"/>
      <c r="L311" s="35" t="n">
        <v>769.46</v>
      </c>
      <c r="M311" s="33" t="n">
        <v>3</v>
      </c>
      <c r="N311" s="33" t="s">
        <v>146</v>
      </c>
      <c r="O311" s="33" t="s">
        <v>147</v>
      </c>
    </row>
    <row r="312" customFormat="false" ht="15" hidden="false" customHeight="false" outlineLevel="0" collapsed="false">
      <c r="A312" s="33" t="s">
        <v>526</v>
      </c>
      <c r="B312" s="34" t="n">
        <v>45602</v>
      </c>
      <c r="C312" s="34" t="n">
        <v>45608</v>
      </c>
      <c r="D312" s="33" t="n">
        <v>23</v>
      </c>
      <c r="E312" s="33" t="s">
        <v>154</v>
      </c>
      <c r="F312" s="33" t="s">
        <v>140</v>
      </c>
      <c r="G312" s="33" t="s">
        <v>316</v>
      </c>
      <c r="H312" s="33" t="s">
        <v>290</v>
      </c>
      <c r="I312" s="33" t="s">
        <v>152</v>
      </c>
      <c r="J312" s="33" t="s">
        <v>144</v>
      </c>
      <c r="K312" s="33" t="s">
        <v>145</v>
      </c>
      <c r="L312" s="35" t="n">
        <v>25901.13</v>
      </c>
      <c r="M312" s="33" t="n">
        <v>5</v>
      </c>
      <c r="N312" s="33" t="s">
        <v>210</v>
      </c>
      <c r="O312" s="33" t="s">
        <v>147</v>
      </c>
    </row>
    <row r="313" customFormat="false" ht="15" hidden="false" customHeight="false" outlineLevel="0" collapsed="false">
      <c r="A313" s="33" t="s">
        <v>527</v>
      </c>
      <c r="B313" s="34" t="n">
        <v>45558</v>
      </c>
      <c r="C313" s="34" t="n">
        <v>45559</v>
      </c>
      <c r="D313" s="33" t="n">
        <v>55</v>
      </c>
      <c r="E313" s="33" t="s">
        <v>154</v>
      </c>
      <c r="F313" s="33" t="s">
        <v>203</v>
      </c>
      <c r="G313" s="33" t="s">
        <v>232</v>
      </c>
      <c r="H313" s="33" t="s">
        <v>193</v>
      </c>
      <c r="I313" s="33" t="s">
        <v>143</v>
      </c>
      <c r="J313" s="33" t="s">
        <v>159</v>
      </c>
      <c r="K313" s="33" t="s">
        <v>145</v>
      </c>
      <c r="L313" s="35" t="n">
        <v>994.22</v>
      </c>
      <c r="M313" s="33" t="n">
        <v>4</v>
      </c>
      <c r="N313" s="33" t="s">
        <v>146</v>
      </c>
      <c r="O313" s="33" t="s">
        <v>147</v>
      </c>
    </row>
    <row r="314" customFormat="false" ht="15" hidden="false" customHeight="false" outlineLevel="0" collapsed="false">
      <c r="A314" s="33" t="s">
        <v>528</v>
      </c>
      <c r="B314" s="34" t="n">
        <v>45468</v>
      </c>
      <c r="C314" s="34" t="n">
        <v>45470</v>
      </c>
      <c r="D314" s="33" t="n">
        <v>61</v>
      </c>
      <c r="E314" s="33" t="s">
        <v>139</v>
      </c>
      <c r="F314" s="33" t="s">
        <v>181</v>
      </c>
      <c r="G314" s="33" t="s">
        <v>237</v>
      </c>
      <c r="H314" s="33" t="s">
        <v>183</v>
      </c>
      <c r="I314" s="33" t="s">
        <v>143</v>
      </c>
      <c r="J314" s="33" t="s">
        <v>159</v>
      </c>
      <c r="K314" s="33" t="s">
        <v>184</v>
      </c>
      <c r="L314" s="35" t="n">
        <v>5436.81</v>
      </c>
      <c r="M314" s="33" t="n">
        <v>5</v>
      </c>
      <c r="N314" s="33" t="s">
        <v>210</v>
      </c>
      <c r="O314" s="33" t="s">
        <v>147</v>
      </c>
    </row>
    <row r="315" customFormat="false" ht="15" hidden="false" customHeight="false" outlineLevel="0" collapsed="false">
      <c r="A315" s="33" t="s">
        <v>529</v>
      </c>
      <c r="B315" s="34" t="n">
        <v>45502</v>
      </c>
      <c r="C315" s="34" t="n">
        <v>45503</v>
      </c>
      <c r="D315" s="33" t="n">
        <v>7</v>
      </c>
      <c r="E315" s="33" t="s">
        <v>139</v>
      </c>
      <c r="F315" s="33" t="s">
        <v>155</v>
      </c>
      <c r="G315" s="33" t="s">
        <v>220</v>
      </c>
      <c r="H315" s="33" t="s">
        <v>222</v>
      </c>
      <c r="I315" s="33" t="s">
        <v>152</v>
      </c>
      <c r="J315" s="33" t="s">
        <v>144</v>
      </c>
      <c r="K315" s="33" t="s">
        <v>145</v>
      </c>
      <c r="L315" s="35" t="n">
        <v>1147.93</v>
      </c>
      <c r="M315" s="33" t="n">
        <v>4</v>
      </c>
      <c r="N315" s="33" t="s">
        <v>146</v>
      </c>
      <c r="O315" s="33" t="s">
        <v>147</v>
      </c>
    </row>
    <row r="316" customFormat="false" ht="15" hidden="false" customHeight="false" outlineLevel="0" collapsed="false">
      <c r="A316" s="33" t="s">
        <v>530</v>
      </c>
      <c r="B316" s="34" t="n">
        <v>45304</v>
      </c>
      <c r="C316" s="34" t="n">
        <v>45305</v>
      </c>
      <c r="D316" s="33" t="n">
        <v>42</v>
      </c>
      <c r="E316" s="33" t="s">
        <v>154</v>
      </c>
      <c r="F316" s="33" t="s">
        <v>203</v>
      </c>
      <c r="G316" s="33" t="s">
        <v>192</v>
      </c>
      <c r="H316" s="33" t="s">
        <v>193</v>
      </c>
      <c r="I316" s="33" t="s">
        <v>143</v>
      </c>
      <c r="J316" s="33" t="s">
        <v>176</v>
      </c>
      <c r="K316" s="33" t="s">
        <v>160</v>
      </c>
      <c r="L316" s="35" t="n">
        <v>2615.54</v>
      </c>
      <c r="M316" s="33" t="n">
        <v>3</v>
      </c>
      <c r="N316" s="33" t="s">
        <v>146</v>
      </c>
      <c r="O316" s="33" t="s">
        <v>147</v>
      </c>
    </row>
    <row r="317" customFormat="false" ht="15" hidden="false" customHeight="false" outlineLevel="0" collapsed="false">
      <c r="A317" s="33" t="s">
        <v>531</v>
      </c>
      <c r="B317" s="34" t="n">
        <v>45536</v>
      </c>
      <c r="C317" s="34" t="n">
        <v>45539</v>
      </c>
      <c r="D317" s="33" t="n">
        <v>1</v>
      </c>
      <c r="E317" s="33" t="s">
        <v>139</v>
      </c>
      <c r="F317" s="33" t="s">
        <v>155</v>
      </c>
      <c r="G317" s="33" t="s">
        <v>302</v>
      </c>
      <c r="H317" s="33" t="s">
        <v>222</v>
      </c>
      <c r="I317" s="33" t="s">
        <v>152</v>
      </c>
      <c r="J317" s="33" t="s">
        <v>176</v>
      </c>
      <c r="K317" s="33" t="s">
        <v>145</v>
      </c>
      <c r="L317" s="35" t="n">
        <v>8812.01</v>
      </c>
      <c r="M317" s="33" t="n">
        <v>4</v>
      </c>
      <c r="N317" s="33" t="s">
        <v>146</v>
      </c>
      <c r="O317" s="33" t="s">
        <v>147</v>
      </c>
    </row>
    <row r="318" customFormat="false" ht="15" hidden="false" customHeight="false" outlineLevel="0" collapsed="false">
      <c r="A318" s="33" t="s">
        <v>532</v>
      </c>
      <c r="B318" s="34" t="n">
        <v>45329</v>
      </c>
      <c r="C318" s="34" t="n">
        <v>45332</v>
      </c>
      <c r="D318" s="33" t="n">
        <v>61</v>
      </c>
      <c r="E318" s="33" t="s">
        <v>139</v>
      </c>
      <c r="F318" s="33" t="s">
        <v>169</v>
      </c>
      <c r="G318" s="33" t="s">
        <v>163</v>
      </c>
      <c r="H318" s="33" t="s">
        <v>195</v>
      </c>
      <c r="I318" s="33" t="s">
        <v>143</v>
      </c>
      <c r="J318" s="33" t="s">
        <v>159</v>
      </c>
      <c r="K318" s="33" t="s">
        <v>160</v>
      </c>
      <c r="L318" s="35" t="n">
        <v>3594.59</v>
      </c>
      <c r="M318" s="36"/>
      <c r="N318" s="33" t="s">
        <v>146</v>
      </c>
      <c r="O318" s="33" t="s">
        <v>147</v>
      </c>
    </row>
    <row r="319" customFormat="false" ht="15" hidden="false" customHeight="false" outlineLevel="0" collapsed="false">
      <c r="A319" s="33" t="s">
        <v>533</v>
      </c>
      <c r="B319" s="34" t="n">
        <v>45640</v>
      </c>
      <c r="C319" s="34" t="n">
        <v>45645</v>
      </c>
      <c r="D319" s="33" t="n">
        <v>45</v>
      </c>
      <c r="E319" s="33" t="s">
        <v>139</v>
      </c>
      <c r="F319" s="33" t="s">
        <v>181</v>
      </c>
      <c r="G319" s="33" t="s">
        <v>188</v>
      </c>
      <c r="H319" s="33" t="s">
        <v>245</v>
      </c>
      <c r="I319" s="33" t="s">
        <v>152</v>
      </c>
      <c r="J319" s="33" t="s">
        <v>159</v>
      </c>
      <c r="K319" s="33" t="s">
        <v>209</v>
      </c>
      <c r="L319" s="35" t="n">
        <v>13427.67</v>
      </c>
      <c r="M319" s="33" t="n">
        <v>3</v>
      </c>
      <c r="N319" s="33" t="s">
        <v>210</v>
      </c>
      <c r="O319" s="33" t="s">
        <v>147</v>
      </c>
    </row>
    <row r="320" customFormat="false" ht="15" hidden="false" customHeight="false" outlineLevel="0" collapsed="false">
      <c r="A320" s="33" t="s">
        <v>534</v>
      </c>
      <c r="B320" s="34" t="n">
        <v>45432</v>
      </c>
      <c r="C320" s="34" t="n">
        <v>45446</v>
      </c>
      <c r="D320" s="33" t="n">
        <v>60</v>
      </c>
      <c r="E320" s="33" t="s">
        <v>139</v>
      </c>
      <c r="F320" s="33" t="s">
        <v>181</v>
      </c>
      <c r="G320" s="33" t="s">
        <v>237</v>
      </c>
      <c r="H320" s="33" t="s">
        <v>183</v>
      </c>
      <c r="I320" s="33" t="s">
        <v>143</v>
      </c>
      <c r="J320" s="33" t="s">
        <v>159</v>
      </c>
      <c r="K320" s="33" t="s">
        <v>145</v>
      </c>
      <c r="L320" s="35" t="n">
        <v>32516.49</v>
      </c>
      <c r="M320" s="33" t="n">
        <v>4</v>
      </c>
      <c r="N320" s="33" t="s">
        <v>146</v>
      </c>
      <c r="O320" s="33" t="s">
        <v>147</v>
      </c>
    </row>
    <row r="321" customFormat="false" ht="15" hidden="false" customHeight="false" outlineLevel="0" collapsed="false">
      <c r="A321" s="33" t="s">
        <v>535</v>
      </c>
      <c r="B321" s="34" t="n">
        <v>45379</v>
      </c>
      <c r="C321" s="34" t="n">
        <v>45384</v>
      </c>
      <c r="D321" s="33" t="n">
        <v>13</v>
      </c>
      <c r="E321" s="33" t="s">
        <v>154</v>
      </c>
      <c r="F321" s="33" t="s">
        <v>173</v>
      </c>
      <c r="G321" s="33" t="s">
        <v>178</v>
      </c>
      <c r="H321" s="33" t="s">
        <v>175</v>
      </c>
      <c r="I321" s="33" t="s">
        <v>143</v>
      </c>
      <c r="J321" s="33" t="s">
        <v>159</v>
      </c>
      <c r="K321" s="33" t="s">
        <v>160</v>
      </c>
      <c r="L321" s="35" t="n">
        <v>10624.09</v>
      </c>
      <c r="M321" s="33" t="n">
        <v>4</v>
      </c>
      <c r="N321" s="33" t="s">
        <v>146</v>
      </c>
      <c r="O321" s="33" t="s">
        <v>147</v>
      </c>
    </row>
    <row r="322" customFormat="false" ht="15" hidden="false" customHeight="false" outlineLevel="0" collapsed="false">
      <c r="A322" s="33" t="s">
        <v>536</v>
      </c>
      <c r="B322" s="34" t="n">
        <v>45402</v>
      </c>
      <c r="C322" s="34" t="n">
        <v>45408</v>
      </c>
      <c r="D322" s="33" t="n">
        <v>70</v>
      </c>
      <c r="E322" s="33" t="s">
        <v>139</v>
      </c>
      <c r="F322" s="33" t="s">
        <v>173</v>
      </c>
      <c r="G322" s="33" t="s">
        <v>198</v>
      </c>
      <c r="H322" s="33" t="s">
        <v>175</v>
      </c>
      <c r="I322" s="33" t="s">
        <v>143</v>
      </c>
      <c r="J322" s="33" t="s">
        <v>159</v>
      </c>
      <c r="K322" s="33" t="s">
        <v>160</v>
      </c>
      <c r="L322" s="35" t="n">
        <v>15317.04</v>
      </c>
      <c r="M322" s="33" t="n">
        <v>2</v>
      </c>
      <c r="N322" s="33" t="s">
        <v>146</v>
      </c>
      <c r="O322" s="33" t="s">
        <v>147</v>
      </c>
    </row>
    <row r="323" customFormat="false" ht="15" hidden="false" customHeight="false" outlineLevel="0" collapsed="false">
      <c r="A323" s="33" t="s">
        <v>537</v>
      </c>
      <c r="B323" s="34" t="n">
        <v>45458</v>
      </c>
      <c r="C323" s="34" t="n">
        <v>45460</v>
      </c>
      <c r="D323" s="33" t="n">
        <v>86</v>
      </c>
      <c r="E323" s="33" t="s">
        <v>154</v>
      </c>
      <c r="F323" s="33" t="s">
        <v>181</v>
      </c>
      <c r="G323" s="33" t="s">
        <v>182</v>
      </c>
      <c r="H323" s="33" t="s">
        <v>245</v>
      </c>
      <c r="I323" s="33" t="s">
        <v>143</v>
      </c>
      <c r="J323" s="33" t="s">
        <v>159</v>
      </c>
      <c r="K323" s="33" t="s">
        <v>145</v>
      </c>
      <c r="L323" s="35" t="n">
        <v>4808.55</v>
      </c>
      <c r="M323" s="33" t="n">
        <v>4</v>
      </c>
      <c r="N323" s="33" t="s">
        <v>146</v>
      </c>
      <c r="O323" s="33" t="s">
        <v>147</v>
      </c>
    </row>
    <row r="324" customFormat="false" ht="15" hidden="false" customHeight="false" outlineLevel="0" collapsed="false">
      <c r="A324" s="33" t="s">
        <v>538</v>
      </c>
      <c r="B324" s="34" t="n">
        <v>45566</v>
      </c>
      <c r="C324" s="34" t="n">
        <v>45572</v>
      </c>
      <c r="D324" s="33" t="n">
        <v>28</v>
      </c>
      <c r="E324" s="33" t="s">
        <v>139</v>
      </c>
      <c r="F324" s="33" t="s">
        <v>173</v>
      </c>
      <c r="G324" s="33" t="s">
        <v>178</v>
      </c>
      <c r="H324" s="33" t="s">
        <v>199</v>
      </c>
      <c r="I324" s="33" t="s">
        <v>143</v>
      </c>
      <c r="J324" s="33" t="s">
        <v>159</v>
      </c>
      <c r="K324" s="33" t="s">
        <v>209</v>
      </c>
      <c r="L324" s="35" t="n">
        <v>16220.61</v>
      </c>
      <c r="M324" s="33" t="n">
        <v>4</v>
      </c>
      <c r="N324" s="33" t="s">
        <v>146</v>
      </c>
      <c r="O324" s="33" t="s">
        <v>147</v>
      </c>
    </row>
    <row r="325" customFormat="false" ht="15" hidden="false" customHeight="false" outlineLevel="0" collapsed="false">
      <c r="A325" s="33" t="s">
        <v>539</v>
      </c>
      <c r="B325" s="34" t="n">
        <v>45381</v>
      </c>
      <c r="C325" s="34" t="n">
        <v>45382</v>
      </c>
      <c r="D325" s="33" t="n">
        <v>79</v>
      </c>
      <c r="E325" s="33" t="s">
        <v>139</v>
      </c>
      <c r="F325" s="33" t="s">
        <v>203</v>
      </c>
      <c r="G325" s="33" t="s">
        <v>192</v>
      </c>
      <c r="H325" s="33" t="s">
        <v>233</v>
      </c>
      <c r="I325" s="33" t="s">
        <v>143</v>
      </c>
      <c r="J325" s="33" t="s">
        <v>159</v>
      </c>
      <c r="K325" s="33" t="s">
        <v>145</v>
      </c>
      <c r="L325" s="35" t="n">
        <v>1046.92</v>
      </c>
      <c r="M325" s="33" t="n">
        <v>3</v>
      </c>
      <c r="N325" s="33" t="s">
        <v>146</v>
      </c>
      <c r="O325" s="33" t="s">
        <v>147</v>
      </c>
    </row>
    <row r="326" customFormat="false" ht="15" hidden="false" customHeight="false" outlineLevel="0" collapsed="false">
      <c r="A326" s="33" t="s">
        <v>540</v>
      </c>
      <c r="B326" s="34" t="n">
        <v>45641</v>
      </c>
      <c r="C326" s="34" t="n">
        <v>45643</v>
      </c>
      <c r="D326" s="33" t="n">
        <v>4</v>
      </c>
      <c r="E326" s="33" t="s">
        <v>139</v>
      </c>
      <c r="F326" s="33" t="s">
        <v>155</v>
      </c>
      <c r="G326" s="33" t="s">
        <v>220</v>
      </c>
      <c r="H326" s="33" t="s">
        <v>222</v>
      </c>
      <c r="I326" s="33" t="s">
        <v>152</v>
      </c>
      <c r="J326" s="33" t="s">
        <v>159</v>
      </c>
      <c r="K326" s="33" t="s">
        <v>145</v>
      </c>
      <c r="L326" s="35" t="n">
        <v>1580.62</v>
      </c>
      <c r="M326" s="33" t="n">
        <v>4</v>
      </c>
      <c r="N326" s="33" t="s">
        <v>146</v>
      </c>
      <c r="O326" s="33" t="s">
        <v>206</v>
      </c>
    </row>
    <row r="327" customFormat="false" ht="15" hidden="false" customHeight="false" outlineLevel="0" collapsed="false">
      <c r="A327" s="33" t="s">
        <v>541</v>
      </c>
      <c r="B327" s="34" t="n">
        <v>45399</v>
      </c>
      <c r="C327" s="34" t="n">
        <v>45403</v>
      </c>
      <c r="D327" s="33" t="n">
        <v>48</v>
      </c>
      <c r="E327" s="33" t="s">
        <v>139</v>
      </c>
      <c r="F327" s="33" t="s">
        <v>173</v>
      </c>
      <c r="G327" s="33" t="s">
        <v>174</v>
      </c>
      <c r="H327" s="33" t="s">
        <v>199</v>
      </c>
      <c r="I327" s="33" t="s">
        <v>143</v>
      </c>
      <c r="J327" s="33" t="s">
        <v>159</v>
      </c>
      <c r="K327" s="33" t="s">
        <v>160</v>
      </c>
      <c r="L327" s="35" t="n">
        <v>10884.57</v>
      </c>
      <c r="M327" s="33" t="n">
        <v>5</v>
      </c>
      <c r="N327" s="33" t="s">
        <v>146</v>
      </c>
      <c r="O327" s="33" t="s">
        <v>147</v>
      </c>
    </row>
    <row r="328" customFormat="false" ht="15" hidden="false" customHeight="false" outlineLevel="0" collapsed="false">
      <c r="A328" s="33" t="s">
        <v>542</v>
      </c>
      <c r="B328" s="34" t="n">
        <v>45328</v>
      </c>
      <c r="C328" s="34" t="n">
        <v>45331</v>
      </c>
      <c r="D328" s="33" t="n">
        <v>46</v>
      </c>
      <c r="E328" s="33" t="s">
        <v>154</v>
      </c>
      <c r="F328" s="33" t="s">
        <v>173</v>
      </c>
      <c r="G328" s="33" t="s">
        <v>174</v>
      </c>
      <c r="H328" s="33" t="s">
        <v>199</v>
      </c>
      <c r="I328" s="33" t="s">
        <v>143</v>
      </c>
      <c r="J328" s="33" t="s">
        <v>144</v>
      </c>
      <c r="K328" s="33" t="s">
        <v>145</v>
      </c>
      <c r="L328" s="35" t="n">
        <v>14076.11</v>
      </c>
      <c r="M328" s="33" t="n">
        <v>5</v>
      </c>
      <c r="N328" s="33" t="s">
        <v>146</v>
      </c>
      <c r="O328" s="33" t="s">
        <v>147</v>
      </c>
    </row>
    <row r="329" customFormat="false" ht="15" hidden="false" customHeight="false" outlineLevel="0" collapsed="false">
      <c r="A329" s="33" t="s">
        <v>543</v>
      </c>
      <c r="B329" s="34" t="n">
        <v>45326</v>
      </c>
      <c r="C329" s="34" t="n">
        <v>45327</v>
      </c>
      <c r="D329" s="33" t="n">
        <v>32</v>
      </c>
      <c r="E329" s="33" t="s">
        <v>139</v>
      </c>
      <c r="F329" s="33" t="s">
        <v>149</v>
      </c>
      <c r="G329" s="33" t="s">
        <v>224</v>
      </c>
      <c r="H329" s="33" t="s">
        <v>186</v>
      </c>
      <c r="I329" s="33" t="s">
        <v>152</v>
      </c>
      <c r="J329" s="33" t="s">
        <v>159</v>
      </c>
      <c r="K329" s="33" t="s">
        <v>184</v>
      </c>
      <c r="L329" s="35" t="n">
        <v>1482.63</v>
      </c>
      <c r="M329" s="33" t="n">
        <v>4</v>
      </c>
      <c r="N329" s="33" t="s">
        <v>146</v>
      </c>
      <c r="O329" s="33" t="s">
        <v>147</v>
      </c>
    </row>
    <row r="330" customFormat="false" ht="15" hidden="false" customHeight="false" outlineLevel="0" collapsed="false">
      <c r="A330" s="33" t="s">
        <v>544</v>
      </c>
      <c r="B330" s="34" t="n">
        <v>45444</v>
      </c>
      <c r="C330" s="34" t="n">
        <v>45445</v>
      </c>
      <c r="D330" s="33" t="n">
        <v>45</v>
      </c>
      <c r="E330" s="33" t="s">
        <v>154</v>
      </c>
      <c r="F330" s="33" t="s">
        <v>203</v>
      </c>
      <c r="G330" s="33" t="s">
        <v>192</v>
      </c>
      <c r="H330" s="33" t="s">
        <v>233</v>
      </c>
      <c r="I330" s="33" t="s">
        <v>158</v>
      </c>
      <c r="J330" s="33" t="s">
        <v>144</v>
      </c>
      <c r="K330" s="33" t="s">
        <v>145</v>
      </c>
      <c r="L330" s="35" t="n">
        <v>1935.36</v>
      </c>
      <c r="M330" s="33" t="n">
        <v>5</v>
      </c>
      <c r="N330" s="33" t="s">
        <v>146</v>
      </c>
      <c r="O330" s="33" t="s">
        <v>147</v>
      </c>
    </row>
    <row r="331" customFormat="false" ht="15" hidden="false" customHeight="false" outlineLevel="0" collapsed="false">
      <c r="A331" s="33" t="s">
        <v>545</v>
      </c>
      <c r="B331" s="34" t="n">
        <v>45574</v>
      </c>
      <c r="C331" s="34" t="n">
        <v>45575</v>
      </c>
      <c r="D331" s="33" t="n">
        <v>61</v>
      </c>
      <c r="E331" s="33" t="s">
        <v>257</v>
      </c>
      <c r="F331" s="33" t="s">
        <v>181</v>
      </c>
      <c r="G331" s="33" t="s">
        <v>182</v>
      </c>
      <c r="H331" s="33" t="s">
        <v>183</v>
      </c>
      <c r="I331" s="33" t="s">
        <v>152</v>
      </c>
      <c r="J331" s="33" t="s">
        <v>176</v>
      </c>
      <c r="K331" s="33" t="s">
        <v>145</v>
      </c>
      <c r="L331" s="35" t="n">
        <v>8930.17</v>
      </c>
      <c r="M331" s="33" t="n">
        <v>5</v>
      </c>
      <c r="N331" s="33" t="s">
        <v>146</v>
      </c>
      <c r="O331" s="33" t="s">
        <v>147</v>
      </c>
    </row>
    <row r="332" customFormat="false" ht="15" hidden="false" customHeight="false" outlineLevel="0" collapsed="false">
      <c r="A332" s="33" t="s">
        <v>546</v>
      </c>
      <c r="B332" s="34" t="n">
        <v>45394</v>
      </c>
      <c r="C332" s="34" t="n">
        <v>45399</v>
      </c>
      <c r="D332" s="36"/>
      <c r="E332" s="33" t="s">
        <v>154</v>
      </c>
      <c r="F332" s="33" t="s">
        <v>169</v>
      </c>
      <c r="G332" s="33" t="s">
        <v>230</v>
      </c>
      <c r="H332" s="33" t="s">
        <v>164</v>
      </c>
      <c r="I332" s="33" t="s">
        <v>143</v>
      </c>
      <c r="J332" s="33" t="s">
        <v>176</v>
      </c>
      <c r="K332" s="33" t="s">
        <v>145</v>
      </c>
      <c r="L332" s="35" t="n">
        <v>15112.9</v>
      </c>
      <c r="M332" s="33" t="n">
        <v>5</v>
      </c>
      <c r="N332" s="33" t="s">
        <v>146</v>
      </c>
      <c r="O332" s="33" t="s">
        <v>247</v>
      </c>
    </row>
    <row r="333" customFormat="false" ht="15" hidden="false" customHeight="false" outlineLevel="0" collapsed="false">
      <c r="A333" s="33" t="s">
        <v>547</v>
      </c>
      <c r="B333" s="34" t="n">
        <v>45370</v>
      </c>
      <c r="C333" s="34" t="n">
        <v>45373</v>
      </c>
      <c r="D333" s="33" t="n">
        <v>34</v>
      </c>
      <c r="E333" s="33" t="s">
        <v>154</v>
      </c>
      <c r="F333" s="33" t="s">
        <v>226</v>
      </c>
      <c r="G333" s="33" t="s">
        <v>227</v>
      </c>
      <c r="H333" s="33" t="s">
        <v>263</v>
      </c>
      <c r="I333" s="33" t="s">
        <v>158</v>
      </c>
      <c r="J333" s="33" t="s">
        <v>159</v>
      </c>
      <c r="K333" s="33" t="s">
        <v>160</v>
      </c>
      <c r="L333" s="35" t="n">
        <v>8452.96</v>
      </c>
      <c r="M333" s="33" t="n">
        <v>4</v>
      </c>
      <c r="N333" s="33" t="s">
        <v>146</v>
      </c>
      <c r="O333" s="33" t="s">
        <v>147</v>
      </c>
    </row>
    <row r="334" customFormat="false" ht="15" hidden="false" customHeight="false" outlineLevel="0" collapsed="false">
      <c r="A334" s="33" t="s">
        <v>548</v>
      </c>
      <c r="B334" s="34" t="n">
        <v>45580</v>
      </c>
      <c r="C334" s="34" t="n">
        <v>45583</v>
      </c>
      <c r="D334" s="33" t="n">
        <v>32</v>
      </c>
      <c r="E334" s="33" t="s">
        <v>190</v>
      </c>
      <c r="F334" s="33" t="s">
        <v>212</v>
      </c>
      <c r="G334" s="33" t="s">
        <v>230</v>
      </c>
      <c r="H334" s="33" t="s">
        <v>164</v>
      </c>
      <c r="I334" s="33" t="s">
        <v>143</v>
      </c>
      <c r="J334" s="33" t="s">
        <v>159</v>
      </c>
      <c r="K334" s="33" t="s">
        <v>145</v>
      </c>
      <c r="L334" s="35" t="n">
        <v>3915.71</v>
      </c>
      <c r="M334" s="33" t="n">
        <v>3</v>
      </c>
      <c r="N334" s="33" t="s">
        <v>146</v>
      </c>
      <c r="O334" s="33" t="s">
        <v>247</v>
      </c>
    </row>
    <row r="335" customFormat="false" ht="15" hidden="false" customHeight="false" outlineLevel="0" collapsed="false">
      <c r="A335" s="33" t="s">
        <v>549</v>
      </c>
      <c r="B335" s="34" t="n">
        <v>45402</v>
      </c>
      <c r="C335" s="34" t="n">
        <v>45406</v>
      </c>
      <c r="D335" s="33" t="n">
        <v>40</v>
      </c>
      <c r="E335" s="33" t="s">
        <v>154</v>
      </c>
      <c r="F335" s="33" t="s">
        <v>140</v>
      </c>
      <c r="G335" s="33" t="s">
        <v>316</v>
      </c>
      <c r="H335" s="33" t="s">
        <v>290</v>
      </c>
      <c r="I335" s="33" t="s">
        <v>143</v>
      </c>
      <c r="J335" s="33" t="s">
        <v>144</v>
      </c>
      <c r="K335" s="33" t="s">
        <v>145</v>
      </c>
      <c r="L335" s="35" t="n">
        <v>15504.91</v>
      </c>
      <c r="M335" s="33" t="n">
        <v>5</v>
      </c>
      <c r="N335" s="33" t="s">
        <v>146</v>
      </c>
      <c r="O335" s="33" t="s">
        <v>147</v>
      </c>
    </row>
    <row r="336" customFormat="false" ht="15" hidden="false" customHeight="false" outlineLevel="0" collapsed="false">
      <c r="A336" s="33" t="s">
        <v>550</v>
      </c>
      <c r="B336" s="34" t="n">
        <v>45366</v>
      </c>
      <c r="C336" s="34" t="n">
        <v>45367</v>
      </c>
      <c r="D336" s="33" t="n">
        <v>51</v>
      </c>
      <c r="E336" s="33" t="s">
        <v>139</v>
      </c>
      <c r="F336" s="33" t="s">
        <v>240</v>
      </c>
      <c r="G336" s="33" t="s">
        <v>241</v>
      </c>
      <c r="H336" s="33" t="s">
        <v>205</v>
      </c>
      <c r="I336" s="33" t="s">
        <v>143</v>
      </c>
      <c r="J336" s="33" t="s">
        <v>159</v>
      </c>
      <c r="K336" s="33" t="s">
        <v>145</v>
      </c>
      <c r="L336" s="35" t="n">
        <v>883.31</v>
      </c>
      <c r="M336" s="33" t="n">
        <v>3</v>
      </c>
      <c r="N336" s="33" t="s">
        <v>146</v>
      </c>
      <c r="O336" s="33" t="s">
        <v>147</v>
      </c>
    </row>
    <row r="337" customFormat="false" ht="15" hidden="false" customHeight="false" outlineLevel="0" collapsed="false">
      <c r="A337" s="33" t="s">
        <v>551</v>
      </c>
      <c r="B337" s="34" t="n">
        <v>45529</v>
      </c>
      <c r="C337" s="34" t="n">
        <v>45530</v>
      </c>
      <c r="D337" s="33" t="n">
        <v>32</v>
      </c>
      <c r="E337" s="33" t="s">
        <v>139</v>
      </c>
      <c r="F337" s="33" t="s">
        <v>173</v>
      </c>
      <c r="G337" s="33" t="s">
        <v>198</v>
      </c>
      <c r="H337" s="33" t="s">
        <v>199</v>
      </c>
      <c r="I337" s="33" t="s">
        <v>152</v>
      </c>
      <c r="J337" s="33" t="s">
        <v>159</v>
      </c>
      <c r="K337" s="33" t="s">
        <v>160</v>
      </c>
      <c r="L337" s="35" t="n">
        <v>2546.66</v>
      </c>
      <c r="M337" s="33" t="n">
        <v>4</v>
      </c>
      <c r="N337" s="33" t="s">
        <v>146</v>
      </c>
      <c r="O337" s="36"/>
    </row>
    <row r="338" customFormat="false" ht="15" hidden="false" customHeight="false" outlineLevel="0" collapsed="false">
      <c r="A338" s="33" t="s">
        <v>552</v>
      </c>
      <c r="B338" s="34" t="n">
        <v>45566</v>
      </c>
      <c r="C338" s="34" t="n">
        <v>45570</v>
      </c>
      <c r="D338" s="33" t="n">
        <v>60</v>
      </c>
      <c r="E338" s="33" t="s">
        <v>139</v>
      </c>
      <c r="F338" s="33" t="s">
        <v>173</v>
      </c>
      <c r="G338" s="33" t="s">
        <v>174</v>
      </c>
      <c r="H338" s="33" t="s">
        <v>175</v>
      </c>
      <c r="I338" s="33" t="s">
        <v>143</v>
      </c>
      <c r="J338" s="33" t="s">
        <v>159</v>
      </c>
      <c r="K338" s="33" t="s">
        <v>184</v>
      </c>
      <c r="L338" s="35" t="n">
        <v>8624.38</v>
      </c>
      <c r="M338" s="33" t="n">
        <v>5</v>
      </c>
      <c r="N338" s="33" t="s">
        <v>146</v>
      </c>
      <c r="O338" s="33" t="s">
        <v>147</v>
      </c>
    </row>
    <row r="339" customFormat="false" ht="15" hidden="false" customHeight="false" outlineLevel="0" collapsed="false">
      <c r="A339" s="33" t="s">
        <v>553</v>
      </c>
      <c r="B339" s="34" t="n">
        <v>45521</v>
      </c>
      <c r="C339" s="34" t="n">
        <v>45529</v>
      </c>
      <c r="D339" s="33" t="n">
        <v>30</v>
      </c>
      <c r="E339" s="33" t="s">
        <v>154</v>
      </c>
      <c r="F339" s="33" t="s">
        <v>169</v>
      </c>
      <c r="G339" s="33" t="s">
        <v>163</v>
      </c>
      <c r="H339" s="33" t="s">
        <v>164</v>
      </c>
      <c r="I339" s="33" t="s">
        <v>143</v>
      </c>
      <c r="J339" s="33" t="s">
        <v>159</v>
      </c>
      <c r="K339" s="33" t="s">
        <v>145</v>
      </c>
      <c r="L339" s="35" t="n">
        <v>8248.52</v>
      </c>
      <c r="M339" s="33" t="n">
        <v>4</v>
      </c>
      <c r="N339" s="33" t="s">
        <v>146</v>
      </c>
      <c r="O339" s="33" t="s">
        <v>147</v>
      </c>
    </row>
    <row r="340" customFormat="false" ht="15" hidden="false" customHeight="false" outlineLevel="0" collapsed="false">
      <c r="A340" s="33" t="s">
        <v>554</v>
      </c>
      <c r="B340" s="34" t="n">
        <v>45444</v>
      </c>
      <c r="C340" s="34" t="n">
        <v>45447</v>
      </c>
      <c r="D340" s="33" t="n">
        <v>4</v>
      </c>
      <c r="E340" s="33" t="s">
        <v>154</v>
      </c>
      <c r="F340" s="33" t="s">
        <v>155</v>
      </c>
      <c r="G340" s="33" t="s">
        <v>302</v>
      </c>
      <c r="H340" s="33" t="s">
        <v>222</v>
      </c>
      <c r="I340" s="33" t="s">
        <v>158</v>
      </c>
      <c r="J340" s="33" t="s">
        <v>159</v>
      </c>
      <c r="K340" s="33" t="s">
        <v>160</v>
      </c>
      <c r="L340" s="35" t="n">
        <v>2308.84</v>
      </c>
      <c r="M340" s="33" t="n">
        <v>4</v>
      </c>
      <c r="N340" s="33" t="s">
        <v>146</v>
      </c>
      <c r="O340" s="33" t="s">
        <v>147</v>
      </c>
    </row>
    <row r="341" customFormat="false" ht="15" hidden="false" customHeight="false" outlineLevel="0" collapsed="false">
      <c r="A341" s="33" t="s">
        <v>555</v>
      </c>
      <c r="B341" s="34" t="n">
        <v>45314</v>
      </c>
      <c r="C341" s="34" t="n">
        <v>45319</v>
      </c>
      <c r="D341" s="33" t="n">
        <v>73</v>
      </c>
      <c r="E341" s="33" t="s">
        <v>154</v>
      </c>
      <c r="F341" s="33" t="s">
        <v>169</v>
      </c>
      <c r="G341" s="33" t="s">
        <v>170</v>
      </c>
      <c r="H341" s="33" t="s">
        <v>171</v>
      </c>
      <c r="I341" s="33" t="s">
        <v>152</v>
      </c>
      <c r="J341" s="33" t="s">
        <v>159</v>
      </c>
      <c r="K341" s="33" t="s">
        <v>160</v>
      </c>
      <c r="L341" s="35" t="n">
        <v>5239.03</v>
      </c>
      <c r="M341" s="33" t="n">
        <v>5</v>
      </c>
      <c r="N341" s="33" t="s">
        <v>210</v>
      </c>
      <c r="O341" s="33" t="s">
        <v>147</v>
      </c>
    </row>
    <row r="342" customFormat="false" ht="15" hidden="false" customHeight="false" outlineLevel="0" collapsed="false">
      <c r="A342" s="33" t="s">
        <v>556</v>
      </c>
      <c r="B342" s="34" t="n">
        <v>45365</v>
      </c>
      <c r="C342" s="34" t="n">
        <v>45367</v>
      </c>
      <c r="D342" s="33" t="n">
        <v>5</v>
      </c>
      <c r="E342" s="33" t="s">
        <v>154</v>
      </c>
      <c r="F342" s="33" t="s">
        <v>155</v>
      </c>
      <c r="G342" s="33" t="s">
        <v>156</v>
      </c>
      <c r="H342" s="33" t="s">
        <v>222</v>
      </c>
      <c r="I342" s="33" t="s">
        <v>152</v>
      </c>
      <c r="J342" s="33" t="s">
        <v>159</v>
      </c>
      <c r="K342" s="33" t="s">
        <v>209</v>
      </c>
      <c r="L342" s="35" t="n">
        <v>1586</v>
      </c>
      <c r="M342" s="33" t="n">
        <v>4</v>
      </c>
      <c r="N342" s="33" t="s">
        <v>146</v>
      </c>
      <c r="O342" s="33" t="s">
        <v>147</v>
      </c>
    </row>
    <row r="343" customFormat="false" ht="15" hidden="false" customHeight="false" outlineLevel="0" collapsed="false">
      <c r="A343" s="33" t="s">
        <v>557</v>
      </c>
      <c r="B343" s="34" t="n">
        <v>45363</v>
      </c>
      <c r="C343" s="34" t="n">
        <v>45364</v>
      </c>
      <c r="D343" s="33" t="n">
        <v>51</v>
      </c>
      <c r="E343" s="33" t="s">
        <v>139</v>
      </c>
      <c r="F343" s="33" t="s">
        <v>173</v>
      </c>
      <c r="G343" s="33" t="s">
        <v>178</v>
      </c>
      <c r="H343" s="33" t="s">
        <v>199</v>
      </c>
      <c r="I343" s="33" t="s">
        <v>152</v>
      </c>
      <c r="J343" s="33" t="s">
        <v>159</v>
      </c>
      <c r="K343" s="33" t="s">
        <v>184</v>
      </c>
      <c r="L343" s="35" t="n">
        <v>2672.52</v>
      </c>
      <c r="M343" s="33" t="n">
        <v>5</v>
      </c>
      <c r="N343" s="33" t="s">
        <v>146</v>
      </c>
      <c r="O343" s="33" t="s">
        <v>147</v>
      </c>
    </row>
    <row r="344" customFormat="false" ht="15" hidden="false" customHeight="false" outlineLevel="0" collapsed="false">
      <c r="A344" s="33" t="s">
        <v>558</v>
      </c>
      <c r="B344" s="34" t="n">
        <v>45559</v>
      </c>
      <c r="C344" s="34" t="n">
        <v>45560</v>
      </c>
      <c r="D344" s="33" t="n">
        <v>8</v>
      </c>
      <c r="E344" s="33" t="s">
        <v>139</v>
      </c>
      <c r="F344" s="33" t="s">
        <v>155</v>
      </c>
      <c r="G344" s="33" t="s">
        <v>220</v>
      </c>
      <c r="H344" s="33" t="s">
        <v>157</v>
      </c>
      <c r="I344" s="33" t="s">
        <v>152</v>
      </c>
      <c r="J344" s="33" t="s">
        <v>159</v>
      </c>
      <c r="K344" s="33" t="s">
        <v>160</v>
      </c>
      <c r="L344" s="35" t="n">
        <v>913.35</v>
      </c>
      <c r="M344" s="33" t="n">
        <v>5</v>
      </c>
      <c r="N344" s="33" t="s">
        <v>146</v>
      </c>
      <c r="O344" s="33" t="s">
        <v>147</v>
      </c>
    </row>
    <row r="345" customFormat="false" ht="15" hidden="false" customHeight="false" outlineLevel="0" collapsed="false">
      <c r="A345" s="33" t="s">
        <v>559</v>
      </c>
      <c r="B345" s="34" t="n">
        <v>45620</v>
      </c>
      <c r="C345" s="34" t="n">
        <v>45627</v>
      </c>
      <c r="D345" s="33" t="n">
        <v>29</v>
      </c>
      <c r="E345" s="33" t="s">
        <v>279</v>
      </c>
      <c r="F345" s="33" t="s">
        <v>149</v>
      </c>
      <c r="G345" s="33" t="s">
        <v>150</v>
      </c>
      <c r="H345" s="33" t="s">
        <v>186</v>
      </c>
      <c r="I345" s="33" t="s">
        <v>143</v>
      </c>
      <c r="J345" s="33" t="s">
        <v>159</v>
      </c>
      <c r="K345" s="33" t="s">
        <v>145</v>
      </c>
      <c r="L345" s="35" t="n">
        <v>9142.27</v>
      </c>
      <c r="M345" s="36"/>
      <c r="N345" s="33" t="s">
        <v>146</v>
      </c>
      <c r="O345" s="33" t="s">
        <v>147</v>
      </c>
    </row>
    <row r="346" customFormat="false" ht="15" hidden="false" customHeight="false" outlineLevel="0" collapsed="false">
      <c r="A346" s="33" t="s">
        <v>560</v>
      </c>
      <c r="B346" s="34" t="n">
        <v>45343</v>
      </c>
      <c r="C346" s="34" t="n">
        <v>45344</v>
      </c>
      <c r="D346" s="33" t="n">
        <v>82</v>
      </c>
      <c r="E346" s="33" t="s">
        <v>139</v>
      </c>
      <c r="F346" s="33" t="s">
        <v>203</v>
      </c>
      <c r="G346" s="33" t="s">
        <v>217</v>
      </c>
      <c r="H346" s="33" t="s">
        <v>205</v>
      </c>
      <c r="I346" s="33" t="s">
        <v>143</v>
      </c>
      <c r="J346" s="33" t="s">
        <v>159</v>
      </c>
      <c r="K346" s="33" t="s">
        <v>145</v>
      </c>
      <c r="L346" s="35" t="n">
        <v>1068.15</v>
      </c>
      <c r="M346" s="36"/>
      <c r="N346" s="33" t="s">
        <v>146</v>
      </c>
      <c r="O346" s="33" t="s">
        <v>147</v>
      </c>
    </row>
    <row r="347" customFormat="false" ht="15" hidden="false" customHeight="false" outlineLevel="0" collapsed="false">
      <c r="A347" s="33" t="s">
        <v>561</v>
      </c>
      <c r="B347" s="34" t="n">
        <v>45297</v>
      </c>
      <c r="C347" s="34" t="n">
        <v>45303</v>
      </c>
      <c r="D347" s="33" t="n">
        <v>63</v>
      </c>
      <c r="E347" s="33" t="s">
        <v>139</v>
      </c>
      <c r="F347" s="33" t="s">
        <v>226</v>
      </c>
      <c r="G347" s="33" t="s">
        <v>227</v>
      </c>
      <c r="H347" s="33" t="s">
        <v>263</v>
      </c>
      <c r="I347" s="33" t="s">
        <v>152</v>
      </c>
      <c r="J347" s="33" t="s">
        <v>176</v>
      </c>
      <c r="K347" s="33" t="s">
        <v>160</v>
      </c>
      <c r="L347" s="35" t="n">
        <v>65817.81</v>
      </c>
      <c r="M347" s="36"/>
      <c r="N347" s="33" t="s">
        <v>146</v>
      </c>
      <c r="O347" s="33" t="s">
        <v>247</v>
      </c>
    </row>
    <row r="348" customFormat="false" ht="15" hidden="false" customHeight="false" outlineLevel="0" collapsed="false">
      <c r="A348" s="33" t="s">
        <v>562</v>
      </c>
      <c r="B348" s="34" t="n">
        <v>45335</v>
      </c>
      <c r="C348" s="34" t="n">
        <v>45337</v>
      </c>
      <c r="D348" s="33" t="n">
        <v>5</v>
      </c>
      <c r="E348" s="33" t="s">
        <v>154</v>
      </c>
      <c r="F348" s="33" t="s">
        <v>155</v>
      </c>
      <c r="G348" s="33" t="s">
        <v>156</v>
      </c>
      <c r="H348" s="33" t="s">
        <v>222</v>
      </c>
      <c r="I348" s="33" t="s">
        <v>143</v>
      </c>
      <c r="J348" s="33" t="s">
        <v>159</v>
      </c>
      <c r="K348" s="33" t="s">
        <v>184</v>
      </c>
      <c r="L348" s="35" t="n">
        <v>1961.28</v>
      </c>
      <c r="M348" s="33" t="n">
        <v>5</v>
      </c>
      <c r="N348" s="33" t="s">
        <v>146</v>
      </c>
      <c r="O348" s="33" t="s">
        <v>147</v>
      </c>
    </row>
    <row r="349" customFormat="false" ht="15" hidden="false" customHeight="false" outlineLevel="0" collapsed="false">
      <c r="A349" s="33" t="s">
        <v>563</v>
      </c>
      <c r="B349" s="34" t="n">
        <v>45609</v>
      </c>
      <c r="C349" s="34" t="n">
        <v>45610</v>
      </c>
      <c r="D349" s="33" t="n">
        <v>46</v>
      </c>
      <c r="E349" s="33" t="s">
        <v>154</v>
      </c>
      <c r="F349" s="33" t="s">
        <v>169</v>
      </c>
      <c r="G349" s="33" t="s">
        <v>230</v>
      </c>
      <c r="H349" s="33" t="s">
        <v>164</v>
      </c>
      <c r="I349" s="33" t="s">
        <v>143</v>
      </c>
      <c r="J349" s="33" t="s">
        <v>159</v>
      </c>
      <c r="K349" s="33" t="s">
        <v>160</v>
      </c>
      <c r="L349" s="35" t="n">
        <v>1330.44</v>
      </c>
      <c r="M349" s="33" t="n">
        <v>5</v>
      </c>
      <c r="N349" s="33" t="s">
        <v>146</v>
      </c>
      <c r="O349" s="33" t="s">
        <v>147</v>
      </c>
    </row>
    <row r="350" customFormat="false" ht="15" hidden="false" customHeight="false" outlineLevel="0" collapsed="false">
      <c r="A350" s="33" t="s">
        <v>564</v>
      </c>
      <c r="B350" s="34" t="n">
        <v>45396</v>
      </c>
      <c r="C350" s="34" t="n">
        <v>45399</v>
      </c>
      <c r="D350" s="33" t="n">
        <v>14</v>
      </c>
      <c r="E350" s="33" t="s">
        <v>154</v>
      </c>
      <c r="F350" s="33" t="s">
        <v>203</v>
      </c>
      <c r="G350" s="33" t="s">
        <v>192</v>
      </c>
      <c r="H350" s="33" t="s">
        <v>233</v>
      </c>
      <c r="I350" s="33" t="s">
        <v>143</v>
      </c>
      <c r="J350" s="33" t="s">
        <v>144</v>
      </c>
      <c r="K350" s="33" t="s">
        <v>184</v>
      </c>
      <c r="L350" s="35" t="n">
        <v>4480.67</v>
      </c>
      <c r="M350" s="36"/>
      <c r="N350" s="33" t="s">
        <v>146</v>
      </c>
      <c r="O350" s="33" t="s">
        <v>147</v>
      </c>
    </row>
    <row r="351" customFormat="false" ht="15" hidden="false" customHeight="false" outlineLevel="0" collapsed="false">
      <c r="A351" s="33" t="s">
        <v>565</v>
      </c>
      <c r="B351" s="34" t="n">
        <v>45316</v>
      </c>
      <c r="C351" s="34" t="n">
        <v>45318</v>
      </c>
      <c r="D351" s="33" t="n">
        <v>53</v>
      </c>
      <c r="E351" s="33" t="s">
        <v>139</v>
      </c>
      <c r="F351" s="33" t="s">
        <v>181</v>
      </c>
      <c r="G351" s="33" t="s">
        <v>188</v>
      </c>
      <c r="H351" s="33" t="s">
        <v>245</v>
      </c>
      <c r="I351" s="33" t="s">
        <v>152</v>
      </c>
      <c r="J351" s="33" t="s">
        <v>144</v>
      </c>
      <c r="K351" s="33" t="s">
        <v>145</v>
      </c>
      <c r="L351" s="35" t="n">
        <v>8555.62</v>
      </c>
      <c r="M351" s="36" t="n">
        <v>6</v>
      </c>
      <c r="N351" s="33" t="s">
        <v>146</v>
      </c>
      <c r="O351" s="33" t="s">
        <v>147</v>
      </c>
    </row>
    <row r="352" customFormat="false" ht="15" hidden="false" customHeight="false" outlineLevel="0" collapsed="false">
      <c r="A352" s="33" t="s">
        <v>566</v>
      </c>
      <c r="B352" s="34" t="n">
        <v>45599</v>
      </c>
      <c r="C352" s="34" t="n">
        <v>45600</v>
      </c>
      <c r="D352" s="33" t="n">
        <v>35</v>
      </c>
      <c r="E352" s="33" t="s">
        <v>154</v>
      </c>
      <c r="F352" s="33" t="s">
        <v>140</v>
      </c>
      <c r="G352" s="33" t="s">
        <v>167</v>
      </c>
      <c r="H352" s="33" t="s">
        <v>142</v>
      </c>
      <c r="I352" s="33" t="s">
        <v>143</v>
      </c>
      <c r="J352" s="33" t="s">
        <v>176</v>
      </c>
      <c r="K352" s="33" t="s">
        <v>145</v>
      </c>
      <c r="L352" s="35" t="n">
        <v>7957.8</v>
      </c>
      <c r="M352" s="33" t="n">
        <v>5</v>
      </c>
      <c r="N352" s="33" t="s">
        <v>146</v>
      </c>
      <c r="O352" s="33" t="s">
        <v>147</v>
      </c>
    </row>
    <row r="353" customFormat="false" ht="15" hidden="false" customHeight="false" outlineLevel="0" collapsed="false">
      <c r="A353" s="33" t="s">
        <v>567</v>
      </c>
      <c r="B353" s="34" t="n">
        <v>45486</v>
      </c>
      <c r="C353" s="34" t="n">
        <v>45491</v>
      </c>
      <c r="D353" s="33" t="n">
        <v>27</v>
      </c>
      <c r="E353" s="33" t="s">
        <v>154</v>
      </c>
      <c r="F353" s="33" t="s">
        <v>173</v>
      </c>
      <c r="G353" s="33" t="s">
        <v>178</v>
      </c>
      <c r="H353" s="33" t="s">
        <v>175</v>
      </c>
      <c r="I353" s="33" t="s">
        <v>152</v>
      </c>
      <c r="J353" s="33" t="s">
        <v>144</v>
      </c>
      <c r="K353" s="33" t="s">
        <v>160</v>
      </c>
      <c r="L353" s="35" t="n">
        <v>26663.12</v>
      </c>
      <c r="M353" s="33" t="n">
        <v>5</v>
      </c>
      <c r="N353" s="33" t="s">
        <v>146</v>
      </c>
      <c r="O353" s="33" t="s">
        <v>147</v>
      </c>
    </row>
    <row r="354" customFormat="false" ht="15" hidden="false" customHeight="false" outlineLevel="0" collapsed="false">
      <c r="A354" s="33" t="s">
        <v>568</v>
      </c>
      <c r="B354" s="34" t="n">
        <v>45522</v>
      </c>
      <c r="C354" s="34" t="n">
        <v>45527</v>
      </c>
      <c r="D354" s="33" t="n">
        <v>71</v>
      </c>
      <c r="E354" s="33" t="s">
        <v>154</v>
      </c>
      <c r="F354" s="33" t="s">
        <v>181</v>
      </c>
      <c r="G354" s="33" t="s">
        <v>237</v>
      </c>
      <c r="H354" s="33" t="s">
        <v>245</v>
      </c>
      <c r="I354" s="33" t="s">
        <v>143</v>
      </c>
      <c r="J354" s="33" t="s">
        <v>159</v>
      </c>
      <c r="K354" s="33" t="s">
        <v>145</v>
      </c>
      <c r="L354" s="35" t="n">
        <v>13964</v>
      </c>
      <c r="M354" s="33" t="n">
        <v>3</v>
      </c>
      <c r="N354" s="33" t="s">
        <v>146</v>
      </c>
      <c r="O354" s="33" t="s">
        <v>247</v>
      </c>
    </row>
    <row r="355" customFormat="false" ht="15" hidden="false" customHeight="false" outlineLevel="0" collapsed="false">
      <c r="A355" s="33" t="s">
        <v>569</v>
      </c>
      <c r="B355" s="34" t="n">
        <v>45341</v>
      </c>
      <c r="C355" s="34" t="n">
        <v>45343</v>
      </c>
      <c r="D355" s="33" t="n">
        <v>25</v>
      </c>
      <c r="E355" s="33" t="s">
        <v>139</v>
      </c>
      <c r="F355" s="33" t="s">
        <v>149</v>
      </c>
      <c r="G355" s="33" t="s">
        <v>150</v>
      </c>
      <c r="H355" s="33" t="s">
        <v>186</v>
      </c>
      <c r="I355" s="33" t="s">
        <v>152</v>
      </c>
      <c r="J355" s="33" t="s">
        <v>159</v>
      </c>
      <c r="K355" s="33" t="s">
        <v>184</v>
      </c>
      <c r="L355" s="35" t="n">
        <v>2789.32</v>
      </c>
      <c r="M355" s="33" t="n">
        <v>5</v>
      </c>
      <c r="N355" s="33" t="s">
        <v>146</v>
      </c>
      <c r="O355" s="33" t="s">
        <v>147</v>
      </c>
    </row>
    <row r="356" customFormat="false" ht="15" hidden="false" customHeight="false" outlineLevel="0" collapsed="false">
      <c r="A356" s="33" t="s">
        <v>570</v>
      </c>
      <c r="B356" s="34" t="n">
        <v>45342</v>
      </c>
      <c r="C356" s="34" t="n">
        <v>45347</v>
      </c>
      <c r="D356" s="33" t="n">
        <v>62</v>
      </c>
      <c r="E356" s="33" t="s">
        <v>154</v>
      </c>
      <c r="F356" s="33" t="s">
        <v>181</v>
      </c>
      <c r="G356" s="33" t="s">
        <v>188</v>
      </c>
      <c r="H356" s="33" t="s">
        <v>183</v>
      </c>
      <c r="I356" s="33" t="s">
        <v>152</v>
      </c>
      <c r="J356" s="33" t="s">
        <v>144</v>
      </c>
      <c r="K356" s="33" t="s">
        <v>184</v>
      </c>
      <c r="L356" s="35" t="n">
        <v>20646.59</v>
      </c>
      <c r="M356" s="33" t="n">
        <v>5</v>
      </c>
      <c r="N356" s="33" t="s">
        <v>146</v>
      </c>
      <c r="O356" s="36"/>
    </row>
    <row r="357" customFormat="false" ht="15" hidden="false" customHeight="false" outlineLevel="0" collapsed="false">
      <c r="A357" s="33" t="s">
        <v>571</v>
      </c>
      <c r="B357" s="34" t="n">
        <v>45573</v>
      </c>
      <c r="C357" s="34" t="n">
        <v>45574</v>
      </c>
      <c r="D357" s="33" t="n">
        <v>36</v>
      </c>
      <c r="E357" s="33" t="s">
        <v>154</v>
      </c>
      <c r="F357" s="33" t="s">
        <v>203</v>
      </c>
      <c r="G357" s="33" t="s">
        <v>241</v>
      </c>
      <c r="H357" s="33" t="s">
        <v>193</v>
      </c>
      <c r="I357" s="33" t="s">
        <v>143</v>
      </c>
      <c r="J357" s="33" t="s">
        <v>176</v>
      </c>
      <c r="K357" s="33" t="s">
        <v>184</v>
      </c>
      <c r="L357" s="35" t="n">
        <v>2979.72</v>
      </c>
      <c r="M357" s="33" t="n">
        <v>3</v>
      </c>
      <c r="N357" s="33" t="s">
        <v>146</v>
      </c>
      <c r="O357" s="33" t="s">
        <v>147</v>
      </c>
    </row>
    <row r="358" customFormat="false" ht="15" hidden="false" customHeight="false" outlineLevel="0" collapsed="false">
      <c r="A358" s="33" t="s">
        <v>572</v>
      </c>
      <c r="B358" s="34" t="n">
        <v>45551</v>
      </c>
      <c r="C358" s="34" t="n">
        <v>45554</v>
      </c>
      <c r="D358" s="33" t="n">
        <v>68</v>
      </c>
      <c r="E358" s="33" t="s">
        <v>139</v>
      </c>
      <c r="F358" s="33" t="s">
        <v>173</v>
      </c>
      <c r="G358" s="33" t="s">
        <v>178</v>
      </c>
      <c r="H358" s="33" t="s">
        <v>199</v>
      </c>
      <c r="I358" s="33" t="s">
        <v>143</v>
      </c>
      <c r="J358" s="33" t="s">
        <v>176</v>
      </c>
      <c r="K358" s="33" t="s">
        <v>160</v>
      </c>
      <c r="L358" s="35" t="n">
        <v>27332.79</v>
      </c>
      <c r="M358" s="33" t="n">
        <v>4</v>
      </c>
      <c r="N358" s="33" t="s">
        <v>146</v>
      </c>
      <c r="O358" s="33" t="s">
        <v>147</v>
      </c>
    </row>
    <row r="359" customFormat="false" ht="15" hidden="false" customHeight="false" outlineLevel="0" collapsed="false">
      <c r="A359" s="33" t="s">
        <v>573</v>
      </c>
      <c r="B359" s="34" t="n">
        <v>45316</v>
      </c>
      <c r="C359" s="34" t="n">
        <v>45317</v>
      </c>
      <c r="D359" s="33" t="n">
        <v>0</v>
      </c>
      <c r="E359" s="33" t="s">
        <v>257</v>
      </c>
      <c r="F359" s="33" t="s">
        <v>155</v>
      </c>
      <c r="G359" s="33" t="s">
        <v>156</v>
      </c>
      <c r="H359" s="33" t="s">
        <v>222</v>
      </c>
      <c r="I359" s="33" t="s">
        <v>152</v>
      </c>
      <c r="J359" s="33" t="s">
        <v>159</v>
      </c>
      <c r="K359" s="33" t="s">
        <v>209</v>
      </c>
      <c r="L359" s="35" t="n">
        <v>618.14</v>
      </c>
      <c r="M359" s="33" t="n">
        <v>2</v>
      </c>
      <c r="N359" s="33" t="s">
        <v>146</v>
      </c>
      <c r="O359" s="33" t="s">
        <v>147</v>
      </c>
    </row>
    <row r="360" customFormat="false" ht="15" hidden="false" customHeight="false" outlineLevel="0" collapsed="false">
      <c r="A360" s="33" t="s">
        <v>574</v>
      </c>
      <c r="B360" s="34" t="n">
        <v>45368</v>
      </c>
      <c r="C360" s="34" t="n">
        <v>45369</v>
      </c>
      <c r="D360" s="33" t="n">
        <v>69</v>
      </c>
      <c r="E360" s="33" t="s">
        <v>154</v>
      </c>
      <c r="F360" s="33" t="s">
        <v>203</v>
      </c>
      <c r="G360" s="33" t="s">
        <v>241</v>
      </c>
      <c r="H360" s="33" t="s">
        <v>205</v>
      </c>
      <c r="I360" s="33" t="s">
        <v>143</v>
      </c>
      <c r="J360" s="33" t="s">
        <v>159</v>
      </c>
      <c r="K360" s="33" t="s">
        <v>160</v>
      </c>
      <c r="L360" s="35" t="n">
        <v>982.19</v>
      </c>
      <c r="M360" s="33" t="n">
        <v>4</v>
      </c>
      <c r="N360" s="33" t="s">
        <v>146</v>
      </c>
      <c r="O360" s="33" t="s">
        <v>147</v>
      </c>
    </row>
    <row r="361" customFormat="false" ht="15" hidden="false" customHeight="false" outlineLevel="0" collapsed="false">
      <c r="A361" s="33" t="s">
        <v>575</v>
      </c>
      <c r="B361" s="34" t="n">
        <v>45389</v>
      </c>
      <c r="C361" s="34" t="n">
        <v>45392</v>
      </c>
      <c r="D361" s="33" t="n">
        <v>45</v>
      </c>
      <c r="E361" s="33" t="s">
        <v>154</v>
      </c>
      <c r="F361" s="33" t="s">
        <v>173</v>
      </c>
      <c r="G361" s="33" t="s">
        <v>178</v>
      </c>
      <c r="H361" s="33" t="s">
        <v>175</v>
      </c>
      <c r="I361" s="33" t="s">
        <v>152</v>
      </c>
      <c r="J361" s="33" t="s">
        <v>159</v>
      </c>
      <c r="K361" s="33" t="s">
        <v>184</v>
      </c>
      <c r="L361" s="35" t="n">
        <v>8629.12</v>
      </c>
      <c r="M361" s="33" t="n">
        <v>4</v>
      </c>
      <c r="N361" s="33" t="s">
        <v>146</v>
      </c>
      <c r="O361" s="33" t="s">
        <v>147</v>
      </c>
    </row>
    <row r="362" customFormat="false" ht="15" hidden="false" customHeight="false" outlineLevel="0" collapsed="false">
      <c r="A362" s="33" t="s">
        <v>576</v>
      </c>
      <c r="B362" s="34" t="n">
        <v>45576</v>
      </c>
      <c r="C362" s="34" t="n">
        <v>45580</v>
      </c>
      <c r="D362" s="33" t="n">
        <v>20</v>
      </c>
      <c r="E362" s="33" t="s">
        <v>139</v>
      </c>
      <c r="F362" s="33" t="s">
        <v>140</v>
      </c>
      <c r="G362" s="33" t="s">
        <v>167</v>
      </c>
      <c r="H362" s="33" t="s">
        <v>290</v>
      </c>
      <c r="I362" s="33" t="s">
        <v>143</v>
      </c>
      <c r="J362" s="33" t="s">
        <v>159</v>
      </c>
      <c r="K362" s="33" t="s">
        <v>160</v>
      </c>
      <c r="L362" s="35" t="n">
        <v>9615.01</v>
      </c>
      <c r="M362" s="33" t="n">
        <v>5</v>
      </c>
      <c r="N362" s="33" t="s">
        <v>210</v>
      </c>
      <c r="O362" s="33" t="s">
        <v>247</v>
      </c>
    </row>
    <row r="363" customFormat="false" ht="15" hidden="false" customHeight="false" outlineLevel="0" collapsed="false">
      <c r="A363" s="33" t="s">
        <v>577</v>
      </c>
      <c r="B363" s="34" t="n">
        <v>45522</v>
      </c>
      <c r="C363" s="34" t="n">
        <v>45532</v>
      </c>
      <c r="D363" s="33" t="n">
        <v>69</v>
      </c>
      <c r="E363" s="33" t="s">
        <v>154</v>
      </c>
      <c r="F363" s="33" t="s">
        <v>173</v>
      </c>
      <c r="G363" s="33" t="s">
        <v>198</v>
      </c>
      <c r="H363" s="36"/>
      <c r="I363" s="33" t="s">
        <v>143</v>
      </c>
      <c r="J363" s="33" t="s">
        <v>159</v>
      </c>
      <c r="K363" s="33" t="s">
        <v>209</v>
      </c>
      <c r="L363" s="35" t="n">
        <v>24539.34</v>
      </c>
      <c r="M363" s="33" t="n">
        <v>4</v>
      </c>
      <c r="N363" s="33" t="s">
        <v>210</v>
      </c>
      <c r="O363" s="33" t="s">
        <v>147</v>
      </c>
    </row>
    <row r="364" customFormat="false" ht="15" hidden="false" customHeight="false" outlineLevel="0" collapsed="false">
      <c r="A364" s="33" t="s">
        <v>578</v>
      </c>
      <c r="B364" s="34" t="n">
        <v>45652</v>
      </c>
      <c r="C364" s="34" t="n">
        <v>45654</v>
      </c>
      <c r="D364" s="33" t="n">
        <v>14</v>
      </c>
      <c r="E364" s="33" t="s">
        <v>257</v>
      </c>
      <c r="F364" s="33" t="s">
        <v>203</v>
      </c>
      <c r="G364" s="33" t="s">
        <v>192</v>
      </c>
      <c r="H364" s="33" t="s">
        <v>193</v>
      </c>
      <c r="I364" s="33" t="s">
        <v>143</v>
      </c>
      <c r="J364" s="33" t="s">
        <v>159</v>
      </c>
      <c r="K364" s="33" t="s">
        <v>160</v>
      </c>
      <c r="L364" s="35" t="n">
        <v>2219.68</v>
      </c>
      <c r="M364" s="33" t="n">
        <v>5</v>
      </c>
      <c r="N364" s="33" t="s">
        <v>146</v>
      </c>
      <c r="O364" s="33" t="s">
        <v>247</v>
      </c>
    </row>
    <row r="365" customFormat="false" ht="15" hidden="false" customHeight="false" outlineLevel="0" collapsed="false">
      <c r="A365" s="33" t="s">
        <v>579</v>
      </c>
      <c r="B365" s="34" t="n">
        <v>45488</v>
      </c>
      <c r="C365" s="34" t="n">
        <v>45489</v>
      </c>
      <c r="D365" s="33" t="n">
        <v>73</v>
      </c>
      <c r="E365" s="33" t="s">
        <v>139</v>
      </c>
      <c r="F365" s="33" t="s">
        <v>203</v>
      </c>
      <c r="G365" s="33" t="s">
        <v>192</v>
      </c>
      <c r="H365" s="33" t="s">
        <v>233</v>
      </c>
      <c r="I365" s="33" t="s">
        <v>143</v>
      </c>
      <c r="J365" s="33" t="s">
        <v>159</v>
      </c>
      <c r="K365" s="33" t="s">
        <v>184</v>
      </c>
      <c r="L365" s="35" t="n">
        <v>794.31</v>
      </c>
      <c r="M365" s="33" t="n">
        <v>4</v>
      </c>
      <c r="N365" s="33" t="s">
        <v>146</v>
      </c>
      <c r="O365" s="33" t="s">
        <v>147</v>
      </c>
    </row>
    <row r="366" customFormat="false" ht="15" hidden="false" customHeight="false" outlineLevel="0" collapsed="false">
      <c r="A366" s="33" t="s">
        <v>580</v>
      </c>
      <c r="B366" s="34" t="n">
        <v>45560</v>
      </c>
      <c r="C366" s="34" t="n">
        <v>45568</v>
      </c>
      <c r="D366" s="33" t="n">
        <v>34</v>
      </c>
      <c r="E366" s="33" t="s">
        <v>154</v>
      </c>
      <c r="F366" s="33" t="s">
        <v>173</v>
      </c>
      <c r="G366" s="33" t="s">
        <v>178</v>
      </c>
      <c r="H366" s="33" t="s">
        <v>199</v>
      </c>
      <c r="I366" s="33" t="s">
        <v>143</v>
      </c>
      <c r="J366" s="33" t="s">
        <v>159</v>
      </c>
      <c r="K366" s="33" t="s">
        <v>160</v>
      </c>
      <c r="L366" s="35" t="n">
        <v>21389.33</v>
      </c>
      <c r="M366" s="36"/>
      <c r="N366" s="33" t="s">
        <v>146</v>
      </c>
      <c r="O366" s="33" t="s">
        <v>147</v>
      </c>
    </row>
    <row r="367" customFormat="false" ht="15" hidden="false" customHeight="false" outlineLevel="0" collapsed="false">
      <c r="A367" s="33" t="s">
        <v>581</v>
      </c>
      <c r="B367" s="34" t="n">
        <v>45432</v>
      </c>
      <c r="C367" s="34" t="n">
        <v>45433</v>
      </c>
      <c r="D367" s="33" t="n">
        <v>67</v>
      </c>
      <c r="E367" s="33" t="s">
        <v>139</v>
      </c>
      <c r="F367" s="33" t="s">
        <v>203</v>
      </c>
      <c r="G367" s="33" t="s">
        <v>204</v>
      </c>
      <c r="H367" s="33" t="s">
        <v>193</v>
      </c>
      <c r="I367" s="33" t="s">
        <v>152</v>
      </c>
      <c r="J367" s="33" t="s">
        <v>159</v>
      </c>
      <c r="K367" s="33" t="s">
        <v>184</v>
      </c>
      <c r="L367" s="35" t="n">
        <v>699.47</v>
      </c>
      <c r="M367" s="33" t="n">
        <v>5</v>
      </c>
      <c r="N367" s="33" t="s">
        <v>146</v>
      </c>
      <c r="O367" s="33" t="s">
        <v>147</v>
      </c>
    </row>
    <row r="368" customFormat="false" ht="15" hidden="false" customHeight="false" outlineLevel="0" collapsed="false">
      <c r="A368" s="33" t="s">
        <v>582</v>
      </c>
      <c r="B368" s="34" t="n">
        <v>45324</v>
      </c>
      <c r="C368" s="34" t="n">
        <v>45328</v>
      </c>
      <c r="D368" s="33" t="n">
        <v>46</v>
      </c>
      <c r="E368" s="33" t="s">
        <v>139</v>
      </c>
      <c r="F368" s="33" t="s">
        <v>173</v>
      </c>
      <c r="G368" s="33" t="s">
        <v>198</v>
      </c>
      <c r="H368" s="33" t="s">
        <v>175</v>
      </c>
      <c r="I368" s="33" t="s">
        <v>158</v>
      </c>
      <c r="J368" s="33" t="s">
        <v>159</v>
      </c>
      <c r="K368" s="33" t="s">
        <v>184</v>
      </c>
      <c r="L368" s="35" t="n">
        <v>13073.73</v>
      </c>
      <c r="M368" s="33" t="n">
        <v>4</v>
      </c>
      <c r="N368" s="33" t="s">
        <v>146</v>
      </c>
      <c r="O368" s="33" t="s">
        <v>147</v>
      </c>
    </row>
    <row r="369" customFormat="false" ht="15" hidden="false" customHeight="false" outlineLevel="0" collapsed="false">
      <c r="A369" s="33" t="s">
        <v>583</v>
      </c>
      <c r="B369" s="34" t="n">
        <v>45518</v>
      </c>
      <c r="C369" s="34" t="n">
        <v>45519</v>
      </c>
      <c r="D369" s="33" t="n">
        <v>34</v>
      </c>
      <c r="E369" s="33" t="s">
        <v>154</v>
      </c>
      <c r="F369" s="33" t="s">
        <v>173</v>
      </c>
      <c r="G369" s="33" t="s">
        <v>198</v>
      </c>
      <c r="H369" s="33" t="s">
        <v>175</v>
      </c>
      <c r="I369" s="33" t="s">
        <v>158</v>
      </c>
      <c r="J369" s="33" t="s">
        <v>159</v>
      </c>
      <c r="K369" s="36"/>
      <c r="L369" s="35" t="n">
        <v>2648.16</v>
      </c>
      <c r="M369" s="33" t="n">
        <v>5</v>
      </c>
      <c r="N369" s="33" t="s">
        <v>146</v>
      </c>
      <c r="O369" s="33" t="s">
        <v>147</v>
      </c>
    </row>
    <row r="370" customFormat="false" ht="15" hidden="false" customHeight="false" outlineLevel="0" collapsed="false">
      <c r="A370" s="33" t="s">
        <v>584</v>
      </c>
      <c r="B370" s="34" t="n">
        <v>45634</v>
      </c>
      <c r="C370" s="34" t="n">
        <v>45635</v>
      </c>
      <c r="D370" s="33" t="n">
        <v>70</v>
      </c>
      <c r="E370" s="33" t="s">
        <v>154</v>
      </c>
      <c r="F370" s="33" t="s">
        <v>203</v>
      </c>
      <c r="G370" s="33" t="s">
        <v>241</v>
      </c>
      <c r="H370" s="33" t="s">
        <v>233</v>
      </c>
      <c r="I370" s="33" t="s">
        <v>143</v>
      </c>
      <c r="J370" s="33" t="s">
        <v>144</v>
      </c>
      <c r="K370" s="33" t="s">
        <v>145</v>
      </c>
      <c r="L370" s="35" t="n">
        <v>1651.29</v>
      </c>
      <c r="M370" s="33" t="n">
        <v>3</v>
      </c>
      <c r="N370" s="33" t="s">
        <v>146</v>
      </c>
      <c r="O370" s="33" t="s">
        <v>247</v>
      </c>
    </row>
    <row r="371" customFormat="false" ht="15" hidden="false" customHeight="false" outlineLevel="0" collapsed="false">
      <c r="A371" s="33" t="s">
        <v>585</v>
      </c>
      <c r="B371" s="34" t="n">
        <v>45598</v>
      </c>
      <c r="C371" s="34" t="n">
        <v>45599</v>
      </c>
      <c r="D371" s="33" t="n">
        <v>38</v>
      </c>
      <c r="E371" s="33" t="s">
        <v>180</v>
      </c>
      <c r="F371" s="33" t="s">
        <v>203</v>
      </c>
      <c r="G371" s="33" t="s">
        <v>192</v>
      </c>
      <c r="H371" s="33" t="s">
        <v>205</v>
      </c>
      <c r="I371" s="33" t="s">
        <v>158</v>
      </c>
      <c r="J371" s="33" t="s">
        <v>144</v>
      </c>
      <c r="K371" s="33" t="s">
        <v>160</v>
      </c>
      <c r="L371" s="35" t="n">
        <v>1931.47</v>
      </c>
      <c r="M371" s="33" t="n">
        <v>3</v>
      </c>
      <c r="N371" s="33" t="s">
        <v>146</v>
      </c>
      <c r="O371" s="33" t="s">
        <v>147</v>
      </c>
    </row>
    <row r="372" customFormat="false" ht="15" hidden="false" customHeight="false" outlineLevel="0" collapsed="false">
      <c r="A372" s="33" t="s">
        <v>586</v>
      </c>
      <c r="B372" s="34" t="n">
        <v>45407</v>
      </c>
      <c r="C372" s="34" t="n">
        <v>45411</v>
      </c>
      <c r="D372" s="33" t="n">
        <v>24</v>
      </c>
      <c r="E372" s="33" t="s">
        <v>139</v>
      </c>
      <c r="F372" s="33" t="s">
        <v>169</v>
      </c>
      <c r="G372" s="33" t="s">
        <v>170</v>
      </c>
      <c r="H372" s="33" t="s">
        <v>164</v>
      </c>
      <c r="I372" s="33" t="s">
        <v>158</v>
      </c>
      <c r="J372" s="33" t="s">
        <v>159</v>
      </c>
      <c r="K372" s="33" t="s">
        <v>145</v>
      </c>
      <c r="L372" s="35" t="n">
        <v>4932.96</v>
      </c>
      <c r="M372" s="33" t="n">
        <v>5</v>
      </c>
      <c r="N372" s="33" t="s">
        <v>146</v>
      </c>
      <c r="O372" s="33" t="s">
        <v>147</v>
      </c>
    </row>
    <row r="373" customFormat="false" ht="15" hidden="false" customHeight="false" outlineLevel="0" collapsed="false">
      <c r="A373" s="33" t="s">
        <v>587</v>
      </c>
      <c r="B373" s="34" t="n">
        <v>45305</v>
      </c>
      <c r="C373" s="34" t="n">
        <v>45311</v>
      </c>
      <c r="D373" s="33" t="n">
        <v>4</v>
      </c>
      <c r="E373" s="33" t="s">
        <v>139</v>
      </c>
      <c r="F373" s="33" t="s">
        <v>155</v>
      </c>
      <c r="G373" s="33" t="s">
        <v>220</v>
      </c>
      <c r="H373" s="33" t="s">
        <v>222</v>
      </c>
      <c r="I373" s="33" t="s">
        <v>143</v>
      </c>
      <c r="J373" s="33" t="s">
        <v>176</v>
      </c>
      <c r="K373" s="33" t="s">
        <v>160</v>
      </c>
      <c r="L373" s="35" t="n">
        <v>17597.48</v>
      </c>
      <c r="M373" s="33" t="n">
        <v>4</v>
      </c>
      <c r="N373" s="33" t="s">
        <v>146</v>
      </c>
      <c r="O373" s="33" t="s">
        <v>147</v>
      </c>
    </row>
    <row r="374" customFormat="false" ht="15" hidden="false" customHeight="false" outlineLevel="0" collapsed="false">
      <c r="A374" s="33" t="s">
        <v>588</v>
      </c>
      <c r="B374" s="34" t="n">
        <v>45630</v>
      </c>
      <c r="C374" s="34" t="n">
        <v>45631</v>
      </c>
      <c r="D374" s="33" t="n">
        <v>32</v>
      </c>
      <c r="E374" s="33" t="s">
        <v>139</v>
      </c>
      <c r="F374" s="33" t="s">
        <v>191</v>
      </c>
      <c r="G374" s="33" t="s">
        <v>217</v>
      </c>
      <c r="H374" s="33" t="s">
        <v>205</v>
      </c>
      <c r="I374" s="33" t="s">
        <v>143</v>
      </c>
      <c r="J374" s="33" t="s">
        <v>159</v>
      </c>
      <c r="K374" s="36"/>
      <c r="L374" s="35" t="n">
        <v>976.34</v>
      </c>
      <c r="M374" s="33" t="n">
        <v>2</v>
      </c>
      <c r="N374" s="33" t="s">
        <v>146</v>
      </c>
      <c r="O374" s="33" t="s">
        <v>147</v>
      </c>
    </row>
    <row r="375" customFormat="false" ht="15" hidden="false" customHeight="false" outlineLevel="0" collapsed="false">
      <c r="A375" s="33" t="s">
        <v>589</v>
      </c>
      <c r="B375" s="34" t="n">
        <v>45555</v>
      </c>
      <c r="C375" s="34" t="n">
        <v>45556</v>
      </c>
      <c r="D375" s="33" t="n">
        <v>48</v>
      </c>
      <c r="E375" s="33" t="s">
        <v>139</v>
      </c>
      <c r="F375" s="33" t="s">
        <v>162</v>
      </c>
      <c r="G375" s="33" t="s">
        <v>163</v>
      </c>
      <c r="H375" s="33" t="s">
        <v>164</v>
      </c>
      <c r="I375" s="33" t="s">
        <v>143</v>
      </c>
      <c r="J375" s="33" t="s">
        <v>159</v>
      </c>
      <c r="K375" s="33" t="s">
        <v>145</v>
      </c>
      <c r="L375" s="35" t="n">
        <v>1081.07</v>
      </c>
      <c r="M375" s="33" t="n">
        <v>3</v>
      </c>
      <c r="N375" s="33" t="s">
        <v>146</v>
      </c>
      <c r="O375" s="33" t="s">
        <v>147</v>
      </c>
    </row>
    <row r="376" customFormat="false" ht="15" hidden="false" customHeight="false" outlineLevel="0" collapsed="false">
      <c r="A376" s="33" t="s">
        <v>590</v>
      </c>
      <c r="B376" s="34" t="n">
        <v>45585</v>
      </c>
      <c r="C376" s="34" t="n">
        <v>45586</v>
      </c>
      <c r="D376" s="33" t="n">
        <v>48</v>
      </c>
      <c r="E376" s="33" t="s">
        <v>139</v>
      </c>
      <c r="F376" s="33" t="s">
        <v>169</v>
      </c>
      <c r="G376" s="33" t="s">
        <v>230</v>
      </c>
      <c r="H376" s="33" t="s">
        <v>171</v>
      </c>
      <c r="I376" s="33" t="s">
        <v>152</v>
      </c>
      <c r="J376" s="33" t="s">
        <v>159</v>
      </c>
      <c r="K376" s="33" t="s">
        <v>145</v>
      </c>
      <c r="L376" s="35" t="n">
        <v>1010.36</v>
      </c>
      <c r="M376" s="33" t="n">
        <v>5</v>
      </c>
      <c r="N376" s="33" t="s">
        <v>146</v>
      </c>
      <c r="O376" s="33" t="s">
        <v>147</v>
      </c>
    </row>
    <row r="377" customFormat="false" ht="15" hidden="false" customHeight="false" outlineLevel="0" collapsed="false">
      <c r="A377" s="33" t="s">
        <v>591</v>
      </c>
      <c r="B377" s="34" t="n">
        <v>45450</v>
      </c>
      <c r="C377" s="34" t="n">
        <v>45453</v>
      </c>
      <c r="D377" s="33" t="n">
        <v>55</v>
      </c>
      <c r="E377" s="33" t="s">
        <v>154</v>
      </c>
      <c r="F377" s="33" t="s">
        <v>169</v>
      </c>
      <c r="G377" s="33" t="s">
        <v>163</v>
      </c>
      <c r="H377" s="33" t="s">
        <v>171</v>
      </c>
      <c r="I377" s="33" t="s">
        <v>143</v>
      </c>
      <c r="J377" s="33" t="s">
        <v>159</v>
      </c>
      <c r="K377" s="33" t="s">
        <v>145</v>
      </c>
      <c r="L377" s="35" t="n">
        <v>2669.25</v>
      </c>
      <c r="M377" s="33" t="n">
        <v>4</v>
      </c>
      <c r="N377" s="33" t="s">
        <v>146</v>
      </c>
      <c r="O377" s="33" t="s">
        <v>147</v>
      </c>
    </row>
    <row r="378" customFormat="false" ht="15" hidden="false" customHeight="false" outlineLevel="0" collapsed="false">
      <c r="A378" s="33" t="s">
        <v>592</v>
      </c>
      <c r="B378" s="34" t="n">
        <v>45612</v>
      </c>
      <c r="C378" s="34" t="n">
        <v>45613</v>
      </c>
      <c r="D378" s="33" t="n">
        <v>47</v>
      </c>
      <c r="E378" s="33" t="s">
        <v>154</v>
      </c>
      <c r="F378" s="33" t="s">
        <v>140</v>
      </c>
      <c r="G378" s="33" t="s">
        <v>167</v>
      </c>
      <c r="H378" s="33" t="s">
        <v>290</v>
      </c>
      <c r="I378" s="33" t="s">
        <v>152</v>
      </c>
      <c r="J378" s="33" t="s">
        <v>159</v>
      </c>
      <c r="K378" s="33" t="s">
        <v>209</v>
      </c>
      <c r="L378" s="35" t="n">
        <v>2413.49</v>
      </c>
      <c r="M378" s="33" t="n">
        <v>4</v>
      </c>
      <c r="N378" s="33" t="s">
        <v>146</v>
      </c>
      <c r="O378" s="33" t="s">
        <v>147</v>
      </c>
    </row>
    <row r="379" customFormat="false" ht="15" hidden="false" customHeight="false" outlineLevel="0" collapsed="false">
      <c r="A379" s="33" t="s">
        <v>593</v>
      </c>
      <c r="B379" s="34" t="n">
        <v>45602</v>
      </c>
      <c r="C379" s="34" t="n">
        <v>45604</v>
      </c>
      <c r="D379" s="33" t="n">
        <v>63</v>
      </c>
      <c r="E379" s="33" t="s">
        <v>279</v>
      </c>
      <c r="F379" s="33" t="s">
        <v>140</v>
      </c>
      <c r="G379" s="33" t="s">
        <v>141</v>
      </c>
      <c r="H379" s="33" t="s">
        <v>142</v>
      </c>
      <c r="I379" s="33" t="s">
        <v>143</v>
      </c>
      <c r="J379" s="33" t="s">
        <v>159</v>
      </c>
      <c r="K379" s="33" t="s">
        <v>145</v>
      </c>
      <c r="L379" s="35" t="n">
        <v>5416.28</v>
      </c>
      <c r="M379" s="33" t="n">
        <v>3</v>
      </c>
      <c r="N379" s="33" t="s">
        <v>146</v>
      </c>
      <c r="O379" s="33" t="s">
        <v>147</v>
      </c>
    </row>
    <row r="380" customFormat="false" ht="15" hidden="false" customHeight="false" outlineLevel="0" collapsed="false">
      <c r="A380" s="33" t="s">
        <v>594</v>
      </c>
      <c r="B380" s="34" t="n">
        <v>45455</v>
      </c>
      <c r="C380" s="34" t="n">
        <v>45456</v>
      </c>
      <c r="D380" s="33" t="n">
        <v>74</v>
      </c>
      <c r="E380" s="33" t="s">
        <v>154</v>
      </c>
      <c r="F380" s="33" t="s">
        <v>334</v>
      </c>
      <c r="G380" s="33" t="s">
        <v>217</v>
      </c>
      <c r="H380" s="33" t="s">
        <v>233</v>
      </c>
      <c r="I380" s="33" t="s">
        <v>143</v>
      </c>
      <c r="J380" s="33" t="s">
        <v>159</v>
      </c>
      <c r="K380" s="33" t="s">
        <v>145</v>
      </c>
      <c r="L380" s="35" t="n">
        <v>872.74</v>
      </c>
      <c r="M380" s="33" t="n">
        <v>3</v>
      </c>
      <c r="N380" s="33" t="s">
        <v>146</v>
      </c>
      <c r="O380" s="33" t="s">
        <v>147</v>
      </c>
    </row>
    <row r="381" customFormat="false" ht="15" hidden="false" customHeight="false" outlineLevel="0" collapsed="false">
      <c r="A381" s="33" t="s">
        <v>595</v>
      </c>
      <c r="B381" s="34" t="n">
        <v>45450</v>
      </c>
      <c r="C381" s="34" t="n">
        <v>45453</v>
      </c>
      <c r="D381" s="33" t="n">
        <v>13</v>
      </c>
      <c r="E381" s="33" t="s">
        <v>154</v>
      </c>
      <c r="F381" s="33" t="s">
        <v>155</v>
      </c>
      <c r="G381" s="33" t="s">
        <v>220</v>
      </c>
      <c r="H381" s="33" t="s">
        <v>157</v>
      </c>
      <c r="I381" s="33" t="s">
        <v>152</v>
      </c>
      <c r="J381" s="33" t="s">
        <v>159</v>
      </c>
      <c r="K381" s="33" t="s">
        <v>145</v>
      </c>
      <c r="L381" s="35" t="n">
        <v>2907.77</v>
      </c>
      <c r="M381" s="33" t="n">
        <v>3</v>
      </c>
      <c r="N381" s="33" t="s">
        <v>146</v>
      </c>
      <c r="O381" s="33" t="s">
        <v>147</v>
      </c>
    </row>
    <row r="382" customFormat="false" ht="15" hidden="false" customHeight="false" outlineLevel="0" collapsed="false">
      <c r="A382" s="33" t="s">
        <v>596</v>
      </c>
      <c r="B382" s="34" t="n">
        <v>45392</v>
      </c>
      <c r="C382" s="34" t="n">
        <v>45393</v>
      </c>
      <c r="D382" s="33" t="n">
        <v>28</v>
      </c>
      <c r="E382" s="33" t="s">
        <v>180</v>
      </c>
      <c r="F382" s="33" t="s">
        <v>203</v>
      </c>
      <c r="G382" s="33" t="s">
        <v>232</v>
      </c>
      <c r="H382" s="33" t="s">
        <v>233</v>
      </c>
      <c r="I382" s="33" t="s">
        <v>152</v>
      </c>
      <c r="J382" s="33" t="s">
        <v>144</v>
      </c>
      <c r="K382" s="33" t="s">
        <v>184</v>
      </c>
      <c r="L382" s="35" t="n">
        <v>1598.72</v>
      </c>
      <c r="M382" s="33" t="n">
        <v>4</v>
      </c>
      <c r="N382" s="33" t="s">
        <v>146</v>
      </c>
      <c r="O382" s="33" t="s">
        <v>147</v>
      </c>
    </row>
    <row r="383" customFormat="false" ht="15" hidden="false" customHeight="false" outlineLevel="0" collapsed="false">
      <c r="A383" s="33" t="s">
        <v>597</v>
      </c>
      <c r="B383" s="34" t="n">
        <v>45308</v>
      </c>
      <c r="C383" s="34" t="n">
        <v>45313</v>
      </c>
      <c r="D383" s="33" t="n">
        <v>21</v>
      </c>
      <c r="E383" s="33" t="s">
        <v>154</v>
      </c>
      <c r="F383" s="33" t="s">
        <v>140</v>
      </c>
      <c r="G383" s="33" t="s">
        <v>167</v>
      </c>
      <c r="H383" s="33" t="s">
        <v>142</v>
      </c>
      <c r="I383" s="33" t="s">
        <v>143</v>
      </c>
      <c r="J383" s="33" t="s">
        <v>159</v>
      </c>
      <c r="K383" s="33" t="s">
        <v>160</v>
      </c>
      <c r="L383" s="35" t="n">
        <v>7577.61</v>
      </c>
      <c r="M383" s="33" t="n">
        <v>3</v>
      </c>
      <c r="N383" s="33" t="s">
        <v>146</v>
      </c>
      <c r="O383" s="33" t="s">
        <v>147</v>
      </c>
    </row>
    <row r="384" customFormat="false" ht="15" hidden="false" customHeight="false" outlineLevel="0" collapsed="false">
      <c r="A384" s="33" t="s">
        <v>598</v>
      </c>
      <c r="B384" s="34" t="n">
        <v>45560</v>
      </c>
      <c r="C384" s="34" t="n">
        <v>45571</v>
      </c>
      <c r="D384" s="33" t="n">
        <v>76</v>
      </c>
      <c r="E384" s="33" t="s">
        <v>139</v>
      </c>
      <c r="F384" s="33" t="s">
        <v>226</v>
      </c>
      <c r="G384" s="33" t="s">
        <v>227</v>
      </c>
      <c r="H384" s="33" t="s">
        <v>263</v>
      </c>
      <c r="I384" s="33" t="s">
        <v>143</v>
      </c>
      <c r="J384" s="33" t="s">
        <v>159</v>
      </c>
      <c r="K384" s="33" t="s">
        <v>160</v>
      </c>
      <c r="L384" s="35" t="n">
        <v>41098.23</v>
      </c>
      <c r="M384" s="33" t="n">
        <v>4</v>
      </c>
      <c r="N384" s="33" t="s">
        <v>146</v>
      </c>
      <c r="O384" s="33" t="s">
        <v>147</v>
      </c>
    </row>
    <row r="385" customFormat="false" ht="15" hidden="false" customHeight="false" outlineLevel="0" collapsed="false">
      <c r="A385" s="33" t="s">
        <v>599</v>
      </c>
      <c r="B385" s="34" t="n">
        <v>45495</v>
      </c>
      <c r="C385" s="34" t="n">
        <v>45496</v>
      </c>
      <c r="D385" s="33" t="n">
        <v>11</v>
      </c>
      <c r="E385" s="33" t="s">
        <v>154</v>
      </c>
      <c r="F385" s="33" t="s">
        <v>288</v>
      </c>
      <c r="G385" s="33" t="s">
        <v>302</v>
      </c>
      <c r="H385" s="33" t="s">
        <v>157</v>
      </c>
      <c r="I385" s="33" t="s">
        <v>143</v>
      </c>
      <c r="J385" s="33" t="s">
        <v>159</v>
      </c>
      <c r="K385" s="33" t="s">
        <v>145</v>
      </c>
      <c r="L385" s="35" t="n">
        <v>613.26</v>
      </c>
      <c r="M385" s="33" t="n">
        <v>4</v>
      </c>
      <c r="N385" s="33" t="s">
        <v>210</v>
      </c>
      <c r="O385" s="33" t="s">
        <v>147</v>
      </c>
    </row>
    <row r="386" customFormat="false" ht="15" hidden="false" customHeight="false" outlineLevel="0" collapsed="false">
      <c r="A386" s="33" t="s">
        <v>600</v>
      </c>
      <c r="B386" s="34" t="n">
        <v>45441</v>
      </c>
      <c r="C386" s="34" t="n">
        <v>45446</v>
      </c>
      <c r="D386" s="33" t="n">
        <v>29</v>
      </c>
      <c r="E386" s="33" t="s">
        <v>139</v>
      </c>
      <c r="F386" s="33" t="s">
        <v>149</v>
      </c>
      <c r="G386" s="33" t="s">
        <v>224</v>
      </c>
      <c r="H386" s="33" t="s">
        <v>151</v>
      </c>
      <c r="I386" s="33" t="s">
        <v>143</v>
      </c>
      <c r="J386" s="33" t="s">
        <v>176</v>
      </c>
      <c r="K386" s="33" t="s">
        <v>145</v>
      </c>
      <c r="L386" s="35" t="n">
        <v>24429.3</v>
      </c>
      <c r="M386" s="33" t="n">
        <v>5</v>
      </c>
      <c r="N386" s="33" t="s">
        <v>146</v>
      </c>
      <c r="O386" s="33" t="s">
        <v>147</v>
      </c>
    </row>
    <row r="387" customFormat="false" ht="15" hidden="false" customHeight="false" outlineLevel="0" collapsed="false">
      <c r="A387" s="33" t="s">
        <v>601</v>
      </c>
      <c r="B387" s="34" t="n">
        <v>45650</v>
      </c>
      <c r="C387" s="34" t="n">
        <v>45656</v>
      </c>
      <c r="D387" s="33" t="n">
        <v>42</v>
      </c>
      <c r="E387" s="33" t="s">
        <v>139</v>
      </c>
      <c r="F387" s="33" t="s">
        <v>169</v>
      </c>
      <c r="G387" s="33" t="s">
        <v>170</v>
      </c>
      <c r="H387" s="33" t="s">
        <v>164</v>
      </c>
      <c r="I387" s="33" t="s">
        <v>152</v>
      </c>
      <c r="J387" s="33" t="s">
        <v>159</v>
      </c>
      <c r="K387" s="33" t="s">
        <v>160</v>
      </c>
      <c r="L387" s="35" t="n">
        <v>4822.98</v>
      </c>
      <c r="M387" s="33" t="n">
        <v>3</v>
      </c>
      <c r="N387" s="33" t="s">
        <v>146</v>
      </c>
      <c r="O387" s="33" t="s">
        <v>147</v>
      </c>
    </row>
    <row r="388" customFormat="false" ht="15" hidden="false" customHeight="false" outlineLevel="0" collapsed="false">
      <c r="A388" s="33" t="s">
        <v>602</v>
      </c>
      <c r="B388" s="34" t="n">
        <v>45593</v>
      </c>
      <c r="C388" s="34" t="n">
        <v>45596</v>
      </c>
      <c r="D388" s="33" t="n">
        <v>28</v>
      </c>
      <c r="E388" s="33" t="s">
        <v>190</v>
      </c>
      <c r="F388" s="33" t="s">
        <v>173</v>
      </c>
      <c r="G388" s="33" t="s">
        <v>178</v>
      </c>
      <c r="H388" s="33" t="s">
        <v>175</v>
      </c>
      <c r="I388" s="33" t="s">
        <v>143</v>
      </c>
      <c r="J388" s="33" t="s">
        <v>159</v>
      </c>
      <c r="K388" s="33" t="s">
        <v>160</v>
      </c>
      <c r="L388" s="35" t="n">
        <v>6377.84</v>
      </c>
      <c r="M388" s="33" t="n">
        <v>5</v>
      </c>
      <c r="N388" s="33" t="s">
        <v>146</v>
      </c>
      <c r="O388" s="33" t="s">
        <v>247</v>
      </c>
    </row>
    <row r="389" customFormat="false" ht="15" hidden="false" customHeight="false" outlineLevel="0" collapsed="false">
      <c r="A389" s="33" t="s">
        <v>603</v>
      </c>
      <c r="B389" s="34" t="n">
        <v>45463</v>
      </c>
      <c r="C389" s="34" t="n">
        <v>45468</v>
      </c>
      <c r="D389" s="33" t="n">
        <v>8</v>
      </c>
      <c r="E389" s="33" t="s">
        <v>154</v>
      </c>
      <c r="F389" s="33" t="s">
        <v>155</v>
      </c>
      <c r="G389" s="33" t="s">
        <v>302</v>
      </c>
      <c r="H389" s="33" t="s">
        <v>222</v>
      </c>
      <c r="I389" s="33" t="s">
        <v>152</v>
      </c>
      <c r="J389" s="33" t="s">
        <v>159</v>
      </c>
      <c r="K389" s="33" t="s">
        <v>145</v>
      </c>
      <c r="L389" s="35" t="n">
        <v>3751.92</v>
      </c>
      <c r="M389" s="33" t="n">
        <v>5</v>
      </c>
      <c r="N389" s="33" t="s">
        <v>146</v>
      </c>
      <c r="O389" s="33" t="s">
        <v>206</v>
      </c>
    </row>
    <row r="390" customFormat="false" ht="15" hidden="false" customHeight="false" outlineLevel="0" collapsed="false">
      <c r="A390" s="33" t="s">
        <v>604</v>
      </c>
      <c r="B390" s="34" t="n">
        <v>45396</v>
      </c>
      <c r="C390" s="34" t="n">
        <v>45403</v>
      </c>
      <c r="D390" s="33" t="n">
        <v>57</v>
      </c>
      <c r="E390" s="33" t="s">
        <v>216</v>
      </c>
      <c r="F390" s="33" t="s">
        <v>173</v>
      </c>
      <c r="G390" s="33" t="s">
        <v>174</v>
      </c>
      <c r="H390" s="33" t="s">
        <v>175</v>
      </c>
      <c r="I390" s="33" t="s">
        <v>152</v>
      </c>
      <c r="J390" s="33" t="s">
        <v>144</v>
      </c>
      <c r="K390" s="33" t="s">
        <v>160</v>
      </c>
      <c r="L390" s="35" t="n">
        <v>34859.11</v>
      </c>
      <c r="M390" s="33" t="n">
        <v>5</v>
      </c>
      <c r="N390" s="33" t="s">
        <v>146</v>
      </c>
      <c r="O390" s="33" t="s">
        <v>147</v>
      </c>
    </row>
    <row r="391" customFormat="false" ht="15" hidden="false" customHeight="false" outlineLevel="0" collapsed="false">
      <c r="A391" s="33" t="s">
        <v>605</v>
      </c>
      <c r="B391" s="34" t="n">
        <v>45602</v>
      </c>
      <c r="C391" s="34" t="n">
        <v>45604</v>
      </c>
      <c r="D391" s="36"/>
      <c r="E391" s="33" t="s">
        <v>216</v>
      </c>
      <c r="F391" s="33" t="s">
        <v>155</v>
      </c>
      <c r="G391" s="33" t="s">
        <v>156</v>
      </c>
      <c r="H391" s="33" t="s">
        <v>157</v>
      </c>
      <c r="I391" s="33" t="s">
        <v>143</v>
      </c>
      <c r="J391" s="33" t="s">
        <v>159</v>
      </c>
      <c r="K391" s="33" t="s">
        <v>145</v>
      </c>
      <c r="L391" s="35" t="n">
        <v>1737.68</v>
      </c>
      <c r="M391" s="33" t="n">
        <v>4</v>
      </c>
      <c r="N391" s="33" t="s">
        <v>210</v>
      </c>
      <c r="O391" s="33" t="s">
        <v>147</v>
      </c>
    </row>
    <row r="392" customFormat="false" ht="15" hidden="false" customHeight="false" outlineLevel="0" collapsed="false">
      <c r="A392" s="33" t="s">
        <v>606</v>
      </c>
      <c r="B392" s="34" t="n">
        <v>45343</v>
      </c>
      <c r="C392" s="34" t="n">
        <v>45348</v>
      </c>
      <c r="D392" s="33" t="n">
        <v>3</v>
      </c>
      <c r="E392" s="33" t="s">
        <v>139</v>
      </c>
      <c r="F392" s="33" t="s">
        <v>155</v>
      </c>
      <c r="G392" s="33" t="s">
        <v>302</v>
      </c>
      <c r="H392" s="33" t="s">
        <v>157</v>
      </c>
      <c r="I392" s="33" t="s">
        <v>143</v>
      </c>
      <c r="J392" s="33" t="s">
        <v>159</v>
      </c>
      <c r="K392" s="33" t="s">
        <v>160</v>
      </c>
      <c r="L392" s="35" t="n">
        <v>3694.87</v>
      </c>
      <c r="M392" s="33" t="n">
        <v>4</v>
      </c>
      <c r="N392" s="33" t="s">
        <v>146</v>
      </c>
      <c r="O392" s="33" t="s">
        <v>147</v>
      </c>
    </row>
    <row r="393" customFormat="false" ht="15" hidden="false" customHeight="false" outlineLevel="0" collapsed="false">
      <c r="A393" s="33" t="s">
        <v>607</v>
      </c>
      <c r="B393" s="34" t="n">
        <v>45583</v>
      </c>
      <c r="C393" s="34" t="n">
        <v>45586</v>
      </c>
      <c r="D393" s="33" t="n">
        <v>46</v>
      </c>
      <c r="E393" s="33" t="s">
        <v>154</v>
      </c>
      <c r="F393" s="33" t="s">
        <v>173</v>
      </c>
      <c r="G393" s="33" t="s">
        <v>198</v>
      </c>
      <c r="H393" s="33" t="s">
        <v>175</v>
      </c>
      <c r="I393" s="33" t="s">
        <v>152</v>
      </c>
      <c r="J393" s="33" t="s">
        <v>159</v>
      </c>
      <c r="K393" s="33" t="s">
        <v>184</v>
      </c>
      <c r="L393" s="35" t="n">
        <v>7148.64</v>
      </c>
      <c r="M393" s="33" t="n">
        <v>5</v>
      </c>
      <c r="N393" s="33" t="s">
        <v>146</v>
      </c>
      <c r="O393" s="33" t="s">
        <v>147</v>
      </c>
    </row>
    <row r="394" customFormat="false" ht="15" hidden="false" customHeight="false" outlineLevel="0" collapsed="false">
      <c r="A394" s="33" t="s">
        <v>608</v>
      </c>
      <c r="B394" s="34" t="n">
        <v>45495</v>
      </c>
      <c r="C394" s="34" t="n">
        <v>45498</v>
      </c>
      <c r="D394" s="33" t="n">
        <v>23</v>
      </c>
      <c r="E394" s="33" t="s">
        <v>154</v>
      </c>
      <c r="F394" s="33" t="s">
        <v>191</v>
      </c>
      <c r="G394" s="33" t="s">
        <v>241</v>
      </c>
      <c r="H394" s="33" t="s">
        <v>233</v>
      </c>
      <c r="I394" s="33" t="s">
        <v>143</v>
      </c>
      <c r="J394" s="33" t="s">
        <v>159</v>
      </c>
      <c r="K394" s="33" t="s">
        <v>184</v>
      </c>
      <c r="L394" s="35" t="n">
        <v>3080.95</v>
      </c>
      <c r="M394" s="33" t="n">
        <v>3</v>
      </c>
      <c r="N394" s="33" t="s">
        <v>146</v>
      </c>
      <c r="O394" s="33" t="s">
        <v>147</v>
      </c>
    </row>
    <row r="395" customFormat="false" ht="15" hidden="false" customHeight="false" outlineLevel="0" collapsed="false">
      <c r="A395" s="33" t="s">
        <v>609</v>
      </c>
      <c r="B395" s="34" t="n">
        <v>45643</v>
      </c>
      <c r="C395" s="34" t="n">
        <v>45646</v>
      </c>
      <c r="D395" s="33" t="n">
        <v>10</v>
      </c>
      <c r="E395" s="33" t="s">
        <v>154</v>
      </c>
      <c r="F395" s="33" t="s">
        <v>155</v>
      </c>
      <c r="G395" s="33" t="s">
        <v>156</v>
      </c>
      <c r="H395" s="33" t="s">
        <v>222</v>
      </c>
      <c r="I395" s="33" t="s">
        <v>152</v>
      </c>
      <c r="J395" s="33" t="s">
        <v>144</v>
      </c>
      <c r="K395" s="33" t="s">
        <v>184</v>
      </c>
      <c r="L395" s="35" t="n">
        <v>4940.22</v>
      </c>
      <c r="M395" s="33" t="n">
        <v>4</v>
      </c>
      <c r="N395" s="33" t="s">
        <v>146</v>
      </c>
      <c r="O395" s="33" t="s">
        <v>147</v>
      </c>
    </row>
    <row r="396" customFormat="false" ht="15" hidden="false" customHeight="false" outlineLevel="0" collapsed="false">
      <c r="A396" s="33" t="s">
        <v>610</v>
      </c>
      <c r="B396" s="34" t="n">
        <v>45301</v>
      </c>
      <c r="C396" s="34" t="n">
        <v>45305</v>
      </c>
      <c r="D396" s="33" t="n">
        <v>36</v>
      </c>
      <c r="E396" s="33" t="s">
        <v>139</v>
      </c>
      <c r="F396" s="33" t="s">
        <v>173</v>
      </c>
      <c r="G396" s="33" t="s">
        <v>174</v>
      </c>
      <c r="H396" s="33" t="s">
        <v>175</v>
      </c>
      <c r="I396" s="33" t="s">
        <v>152</v>
      </c>
      <c r="J396" s="33" t="s">
        <v>159</v>
      </c>
      <c r="K396" s="33" t="s">
        <v>145</v>
      </c>
      <c r="L396" s="35" t="n">
        <v>10879.77</v>
      </c>
      <c r="M396" s="33" t="n">
        <v>5</v>
      </c>
      <c r="N396" s="33" t="s">
        <v>146</v>
      </c>
      <c r="O396" s="33" t="s">
        <v>147</v>
      </c>
    </row>
    <row r="397" customFormat="false" ht="15" hidden="false" customHeight="false" outlineLevel="0" collapsed="false">
      <c r="A397" s="33" t="s">
        <v>611</v>
      </c>
      <c r="B397" s="34" t="n">
        <v>45638</v>
      </c>
      <c r="C397" s="34" t="n">
        <v>45642</v>
      </c>
      <c r="D397" s="33" t="n">
        <v>2</v>
      </c>
      <c r="E397" s="33" t="s">
        <v>154</v>
      </c>
      <c r="F397" s="33" t="s">
        <v>288</v>
      </c>
      <c r="G397" s="33" t="s">
        <v>302</v>
      </c>
      <c r="H397" s="33" t="s">
        <v>157</v>
      </c>
      <c r="I397" s="33" t="s">
        <v>143</v>
      </c>
      <c r="J397" s="33" t="s">
        <v>159</v>
      </c>
      <c r="K397" s="33" t="s">
        <v>209</v>
      </c>
      <c r="L397" s="35" t="n">
        <v>3970.15</v>
      </c>
      <c r="M397" s="33" t="n">
        <v>4</v>
      </c>
      <c r="N397" s="33" t="s">
        <v>146</v>
      </c>
      <c r="O397" s="33" t="s">
        <v>147</v>
      </c>
    </row>
    <row r="398" customFormat="false" ht="15" hidden="false" customHeight="false" outlineLevel="0" collapsed="false">
      <c r="A398" s="33" t="s">
        <v>612</v>
      </c>
      <c r="B398" s="34" t="n">
        <v>45293</v>
      </c>
      <c r="C398" s="34" t="n">
        <v>45302</v>
      </c>
      <c r="D398" s="33" t="n">
        <v>0</v>
      </c>
      <c r="E398" s="33" t="s">
        <v>279</v>
      </c>
      <c r="F398" s="33" t="s">
        <v>155</v>
      </c>
      <c r="G398" s="33" t="s">
        <v>220</v>
      </c>
      <c r="H398" s="33" t="s">
        <v>157</v>
      </c>
      <c r="I398" s="33" t="s">
        <v>143</v>
      </c>
      <c r="J398" s="33" t="s">
        <v>159</v>
      </c>
      <c r="K398" s="33" t="s">
        <v>145</v>
      </c>
      <c r="L398" s="35" t="n">
        <v>10247.22</v>
      </c>
      <c r="M398" s="33" t="n">
        <v>4</v>
      </c>
      <c r="N398" s="33" t="s">
        <v>146</v>
      </c>
      <c r="O398" s="33" t="s">
        <v>147</v>
      </c>
    </row>
    <row r="399" customFormat="false" ht="15" hidden="false" customHeight="false" outlineLevel="0" collapsed="false">
      <c r="A399" s="33" t="s">
        <v>613</v>
      </c>
      <c r="B399" s="34" t="n">
        <v>45509</v>
      </c>
      <c r="C399" s="34" t="n">
        <v>45510</v>
      </c>
      <c r="D399" s="33" t="n">
        <v>5</v>
      </c>
      <c r="E399" s="33" t="s">
        <v>154</v>
      </c>
      <c r="F399" s="33" t="s">
        <v>155</v>
      </c>
      <c r="G399" s="33" t="s">
        <v>156</v>
      </c>
      <c r="H399" s="33" t="s">
        <v>222</v>
      </c>
      <c r="I399" s="33" t="s">
        <v>152</v>
      </c>
      <c r="J399" s="33" t="s">
        <v>159</v>
      </c>
      <c r="K399" s="33" t="s">
        <v>145</v>
      </c>
      <c r="L399" s="35" t="n">
        <v>952.76</v>
      </c>
      <c r="M399" s="33" t="n">
        <v>5</v>
      </c>
      <c r="N399" s="33" t="s">
        <v>146</v>
      </c>
      <c r="O399" s="33" t="s">
        <v>147</v>
      </c>
    </row>
    <row r="400" customFormat="false" ht="15" hidden="false" customHeight="false" outlineLevel="0" collapsed="false">
      <c r="A400" s="33" t="s">
        <v>614</v>
      </c>
      <c r="B400" s="34" t="n">
        <v>45596</v>
      </c>
      <c r="C400" s="34" t="n">
        <v>45597</v>
      </c>
      <c r="D400" s="33" t="n">
        <v>36</v>
      </c>
      <c r="E400" s="33" t="s">
        <v>154</v>
      </c>
      <c r="F400" s="33" t="s">
        <v>203</v>
      </c>
      <c r="G400" s="33" t="s">
        <v>192</v>
      </c>
      <c r="H400" s="33" t="s">
        <v>193</v>
      </c>
      <c r="I400" s="33" t="s">
        <v>143</v>
      </c>
      <c r="J400" s="33" t="s">
        <v>159</v>
      </c>
      <c r="K400" s="33" t="s">
        <v>160</v>
      </c>
      <c r="L400" s="35" t="n">
        <v>878.61</v>
      </c>
      <c r="M400" s="33" t="n">
        <v>2</v>
      </c>
      <c r="N400" s="33" t="s">
        <v>146</v>
      </c>
      <c r="O400" s="33" t="s">
        <v>147</v>
      </c>
    </row>
    <row r="401" customFormat="false" ht="15" hidden="false" customHeight="false" outlineLevel="0" collapsed="false">
      <c r="A401" s="33" t="s">
        <v>615</v>
      </c>
      <c r="B401" s="34" t="n">
        <v>45539</v>
      </c>
      <c r="C401" s="34" t="n">
        <v>45544</v>
      </c>
      <c r="D401" s="33" t="n">
        <v>58</v>
      </c>
      <c r="E401" s="33" t="s">
        <v>139</v>
      </c>
      <c r="F401" s="33" t="s">
        <v>173</v>
      </c>
      <c r="G401" s="33" t="s">
        <v>198</v>
      </c>
      <c r="H401" s="33" t="s">
        <v>199</v>
      </c>
      <c r="I401" s="33" t="s">
        <v>143</v>
      </c>
      <c r="J401" s="33" t="s">
        <v>159</v>
      </c>
      <c r="K401" s="33" t="s">
        <v>160</v>
      </c>
      <c r="L401" s="35" t="n">
        <v>14833.94</v>
      </c>
      <c r="M401" s="33" t="n">
        <v>5</v>
      </c>
      <c r="N401" s="33" t="s">
        <v>146</v>
      </c>
      <c r="O401" s="33" t="s">
        <v>147</v>
      </c>
    </row>
    <row r="402" customFormat="false" ht="15" hidden="false" customHeight="false" outlineLevel="0" collapsed="false">
      <c r="A402" s="33" t="s">
        <v>616</v>
      </c>
      <c r="B402" s="34" t="n">
        <v>45643</v>
      </c>
      <c r="C402" s="34" t="n">
        <v>45647</v>
      </c>
      <c r="D402" s="33" t="n">
        <v>25</v>
      </c>
      <c r="E402" s="33" t="s">
        <v>139</v>
      </c>
      <c r="F402" s="33" t="s">
        <v>149</v>
      </c>
      <c r="G402" s="33" t="s">
        <v>243</v>
      </c>
      <c r="H402" s="33" t="s">
        <v>186</v>
      </c>
      <c r="I402" s="33" t="s">
        <v>158</v>
      </c>
      <c r="J402" s="33" t="s">
        <v>159</v>
      </c>
      <c r="K402" s="33" t="s">
        <v>145</v>
      </c>
      <c r="L402" s="35" t="n">
        <v>6461.74</v>
      </c>
      <c r="M402" s="33" t="n">
        <v>4</v>
      </c>
      <c r="N402" s="33" t="s">
        <v>146</v>
      </c>
      <c r="O402" s="33" t="s">
        <v>147</v>
      </c>
    </row>
    <row r="403" customFormat="false" ht="15" hidden="false" customHeight="false" outlineLevel="0" collapsed="false">
      <c r="A403" s="33" t="s">
        <v>617</v>
      </c>
      <c r="B403" s="34" t="n">
        <v>45459</v>
      </c>
      <c r="C403" s="34" t="n">
        <v>45464</v>
      </c>
      <c r="D403" s="33" t="n">
        <v>45</v>
      </c>
      <c r="E403" s="33" t="s">
        <v>154</v>
      </c>
      <c r="F403" s="33" t="s">
        <v>212</v>
      </c>
      <c r="G403" s="33" t="s">
        <v>170</v>
      </c>
      <c r="H403" s="33" t="s">
        <v>171</v>
      </c>
      <c r="I403" s="33" t="s">
        <v>143</v>
      </c>
      <c r="J403" s="33" t="s">
        <v>144</v>
      </c>
      <c r="K403" s="33" t="s">
        <v>160</v>
      </c>
      <c r="L403" s="35" t="n">
        <v>9943.34</v>
      </c>
      <c r="M403" s="33" t="n">
        <v>4</v>
      </c>
      <c r="N403" s="33" t="s">
        <v>146</v>
      </c>
      <c r="O403" s="33" t="s">
        <v>147</v>
      </c>
    </row>
    <row r="404" customFormat="false" ht="15" hidden="false" customHeight="false" outlineLevel="0" collapsed="false">
      <c r="A404" s="33" t="s">
        <v>618</v>
      </c>
      <c r="B404" s="34" t="n">
        <v>45463</v>
      </c>
      <c r="C404" s="34" t="n">
        <v>45465</v>
      </c>
      <c r="D404" s="33" t="n">
        <v>66</v>
      </c>
      <c r="E404" s="33" t="s">
        <v>139</v>
      </c>
      <c r="F404" s="33" t="s">
        <v>203</v>
      </c>
      <c r="G404" s="33" t="s">
        <v>204</v>
      </c>
      <c r="H404" s="33" t="s">
        <v>233</v>
      </c>
      <c r="I404" s="33" t="s">
        <v>143</v>
      </c>
      <c r="J404" s="33" t="s">
        <v>159</v>
      </c>
      <c r="K404" s="33" t="s">
        <v>145</v>
      </c>
      <c r="L404" s="35" t="n">
        <v>1944.8</v>
      </c>
      <c r="M404" s="33" t="n">
        <v>4</v>
      </c>
      <c r="N404" s="33" t="s">
        <v>146</v>
      </c>
      <c r="O404" s="33" t="s">
        <v>247</v>
      </c>
    </row>
    <row r="405" customFormat="false" ht="15" hidden="false" customHeight="false" outlineLevel="0" collapsed="false">
      <c r="A405" s="33" t="s">
        <v>619</v>
      </c>
      <c r="B405" s="34" t="n">
        <v>45432</v>
      </c>
      <c r="C405" s="34" t="n">
        <v>45436</v>
      </c>
      <c r="D405" s="33" t="n">
        <v>6</v>
      </c>
      <c r="E405" s="33" t="s">
        <v>154</v>
      </c>
      <c r="F405" s="33" t="s">
        <v>155</v>
      </c>
      <c r="G405" s="33" t="s">
        <v>156</v>
      </c>
      <c r="H405" s="33" t="s">
        <v>157</v>
      </c>
      <c r="I405" s="33" t="s">
        <v>152</v>
      </c>
      <c r="J405" s="33" t="s">
        <v>159</v>
      </c>
      <c r="K405" s="33" t="s">
        <v>209</v>
      </c>
      <c r="L405" s="35" t="n">
        <v>2907.02</v>
      </c>
      <c r="M405" s="33" t="n">
        <v>5</v>
      </c>
      <c r="N405" s="33" t="s">
        <v>146</v>
      </c>
      <c r="O405" s="33" t="s">
        <v>147</v>
      </c>
    </row>
    <row r="406" customFormat="false" ht="15" hidden="false" customHeight="false" outlineLevel="0" collapsed="false">
      <c r="A406" s="33" t="s">
        <v>620</v>
      </c>
      <c r="B406" s="34" t="n">
        <v>45492</v>
      </c>
      <c r="C406" s="34" t="n">
        <v>45493</v>
      </c>
      <c r="D406" s="33" t="n">
        <v>25</v>
      </c>
      <c r="E406" s="33" t="s">
        <v>139</v>
      </c>
      <c r="F406" s="33" t="s">
        <v>149</v>
      </c>
      <c r="G406" s="33" t="s">
        <v>150</v>
      </c>
      <c r="H406" s="33" t="s">
        <v>186</v>
      </c>
      <c r="I406" s="33" t="s">
        <v>143</v>
      </c>
      <c r="J406" s="33" t="s">
        <v>159</v>
      </c>
      <c r="K406" s="33" t="s">
        <v>209</v>
      </c>
      <c r="L406" s="35" t="n">
        <v>1560.45</v>
      </c>
      <c r="M406" s="33" t="n">
        <v>3</v>
      </c>
      <c r="N406" s="33" t="s">
        <v>146</v>
      </c>
      <c r="O406" s="33" t="s">
        <v>147</v>
      </c>
    </row>
    <row r="407" customFormat="false" ht="15" hidden="false" customHeight="false" outlineLevel="0" collapsed="false">
      <c r="A407" s="33" t="s">
        <v>621</v>
      </c>
      <c r="B407" s="34" t="n">
        <v>45476</v>
      </c>
      <c r="C407" s="34" t="n">
        <v>45485</v>
      </c>
      <c r="D407" s="33" t="n">
        <v>26</v>
      </c>
      <c r="E407" s="33" t="s">
        <v>154</v>
      </c>
      <c r="F407" s="33" t="s">
        <v>169</v>
      </c>
      <c r="G407" s="33" t="s">
        <v>230</v>
      </c>
      <c r="H407" s="33" t="s">
        <v>171</v>
      </c>
      <c r="I407" s="33" t="s">
        <v>152</v>
      </c>
      <c r="J407" s="33" t="s">
        <v>159</v>
      </c>
      <c r="K407" s="33" t="s">
        <v>145</v>
      </c>
      <c r="L407" s="35" t="n">
        <v>9315.21</v>
      </c>
      <c r="M407" s="33" t="n">
        <v>4</v>
      </c>
      <c r="N407" s="33" t="s">
        <v>146</v>
      </c>
      <c r="O407" s="33" t="s">
        <v>147</v>
      </c>
    </row>
    <row r="408" customFormat="false" ht="15" hidden="false" customHeight="false" outlineLevel="0" collapsed="false">
      <c r="A408" s="33" t="s">
        <v>622</v>
      </c>
      <c r="B408" s="34" t="n">
        <v>45585</v>
      </c>
      <c r="C408" s="34" t="n">
        <v>45589</v>
      </c>
      <c r="D408" s="33" t="n">
        <v>88</v>
      </c>
      <c r="E408" s="33" t="s">
        <v>139</v>
      </c>
      <c r="F408" s="33" t="s">
        <v>226</v>
      </c>
      <c r="G408" s="33" t="s">
        <v>227</v>
      </c>
      <c r="H408" s="33" t="s">
        <v>263</v>
      </c>
      <c r="I408" s="33" t="s">
        <v>152</v>
      </c>
      <c r="J408" s="33" t="s">
        <v>159</v>
      </c>
      <c r="K408" s="33" t="s">
        <v>160</v>
      </c>
      <c r="L408" s="35" t="n">
        <v>12295.51</v>
      </c>
      <c r="M408" s="33" t="n">
        <v>1</v>
      </c>
      <c r="N408" s="33" t="s">
        <v>146</v>
      </c>
      <c r="O408" s="33" t="s">
        <v>147</v>
      </c>
    </row>
    <row r="409" customFormat="false" ht="15" hidden="false" customHeight="false" outlineLevel="0" collapsed="false">
      <c r="A409" s="33" t="s">
        <v>623</v>
      </c>
      <c r="B409" s="34" t="n">
        <v>45487</v>
      </c>
      <c r="C409" s="34" t="n">
        <v>45494</v>
      </c>
      <c r="D409" s="33" t="n">
        <v>33</v>
      </c>
      <c r="E409" s="33" t="s">
        <v>154</v>
      </c>
      <c r="F409" s="33" t="s">
        <v>169</v>
      </c>
      <c r="G409" s="33" t="s">
        <v>163</v>
      </c>
      <c r="H409" s="33" t="s">
        <v>195</v>
      </c>
      <c r="I409" s="33" t="s">
        <v>143</v>
      </c>
      <c r="J409" s="33" t="s">
        <v>159</v>
      </c>
      <c r="K409" s="33" t="s">
        <v>160</v>
      </c>
      <c r="L409" s="35" t="n">
        <v>7049.62</v>
      </c>
      <c r="M409" s="33" t="n">
        <v>4</v>
      </c>
      <c r="N409" s="33" t="s">
        <v>146</v>
      </c>
      <c r="O409" s="33" t="s">
        <v>147</v>
      </c>
    </row>
    <row r="410" customFormat="false" ht="15" hidden="false" customHeight="false" outlineLevel="0" collapsed="false">
      <c r="A410" s="33" t="s">
        <v>624</v>
      </c>
      <c r="B410" s="34" t="n">
        <v>45388</v>
      </c>
      <c r="C410" s="34" t="n">
        <v>45391</v>
      </c>
      <c r="D410" s="33" t="n">
        <v>20</v>
      </c>
      <c r="E410" s="33" t="s">
        <v>139</v>
      </c>
      <c r="F410" s="33" t="s">
        <v>173</v>
      </c>
      <c r="G410" s="33" t="s">
        <v>174</v>
      </c>
      <c r="H410" s="33" t="s">
        <v>199</v>
      </c>
      <c r="I410" s="33" t="s">
        <v>143</v>
      </c>
      <c r="J410" s="33" t="s">
        <v>159</v>
      </c>
      <c r="K410" s="33" t="s">
        <v>160</v>
      </c>
      <c r="L410" s="35" t="n">
        <v>7899.66</v>
      </c>
      <c r="M410" s="33" t="n">
        <v>3</v>
      </c>
      <c r="N410" s="33" t="s">
        <v>146</v>
      </c>
      <c r="O410" s="33" t="s">
        <v>147</v>
      </c>
    </row>
    <row r="411" customFormat="false" ht="15" hidden="false" customHeight="false" outlineLevel="0" collapsed="false">
      <c r="A411" s="33" t="s">
        <v>625</v>
      </c>
      <c r="B411" s="34" t="n">
        <v>45406</v>
      </c>
      <c r="C411" s="34" t="n">
        <v>45414</v>
      </c>
      <c r="D411" s="33" t="n">
        <v>19</v>
      </c>
      <c r="E411" s="33" t="s">
        <v>154</v>
      </c>
      <c r="F411" s="33" t="s">
        <v>169</v>
      </c>
      <c r="G411" s="33" t="s">
        <v>163</v>
      </c>
      <c r="H411" s="33" t="s">
        <v>164</v>
      </c>
      <c r="I411" s="33" t="s">
        <v>143</v>
      </c>
      <c r="J411" s="33" t="s">
        <v>159</v>
      </c>
      <c r="K411" s="33" t="s">
        <v>160</v>
      </c>
      <c r="L411" s="35" t="n">
        <v>8949.56</v>
      </c>
      <c r="M411" s="33" t="n">
        <v>4</v>
      </c>
      <c r="N411" s="33" t="s">
        <v>146</v>
      </c>
      <c r="O411" s="33" t="s">
        <v>147</v>
      </c>
    </row>
    <row r="412" customFormat="false" ht="15" hidden="false" customHeight="false" outlineLevel="0" collapsed="false">
      <c r="A412" s="33" t="s">
        <v>626</v>
      </c>
      <c r="B412" s="34" t="n">
        <v>45608</v>
      </c>
      <c r="C412" s="34" t="n">
        <v>45613</v>
      </c>
      <c r="D412" s="33" t="n">
        <v>38</v>
      </c>
      <c r="E412" s="33" t="s">
        <v>154</v>
      </c>
      <c r="F412" s="33" t="s">
        <v>173</v>
      </c>
      <c r="G412" s="33" t="s">
        <v>178</v>
      </c>
      <c r="H412" s="33" t="s">
        <v>175</v>
      </c>
      <c r="I412" s="33" t="s">
        <v>152</v>
      </c>
      <c r="J412" s="33" t="s">
        <v>159</v>
      </c>
      <c r="K412" s="33" t="s">
        <v>184</v>
      </c>
      <c r="L412" s="35" t="n">
        <v>15353.04</v>
      </c>
      <c r="M412" s="33" t="n">
        <v>4</v>
      </c>
      <c r="N412" s="33" t="s">
        <v>146</v>
      </c>
      <c r="O412" s="33" t="s">
        <v>147</v>
      </c>
    </row>
    <row r="413" customFormat="false" ht="15" hidden="false" customHeight="false" outlineLevel="0" collapsed="false">
      <c r="A413" s="33" t="s">
        <v>627</v>
      </c>
      <c r="B413" s="34" t="n">
        <v>45550</v>
      </c>
      <c r="C413" s="34" t="n">
        <v>45553</v>
      </c>
      <c r="D413" s="33" t="n">
        <v>58</v>
      </c>
      <c r="E413" s="33" t="s">
        <v>139</v>
      </c>
      <c r="F413" s="33" t="s">
        <v>169</v>
      </c>
      <c r="G413" s="33" t="s">
        <v>163</v>
      </c>
      <c r="H413" s="33" t="s">
        <v>171</v>
      </c>
      <c r="I413" s="33" t="s">
        <v>152</v>
      </c>
      <c r="J413" s="33" t="s">
        <v>159</v>
      </c>
      <c r="K413" s="33" t="s">
        <v>145</v>
      </c>
      <c r="L413" s="35" t="n">
        <v>3339.97</v>
      </c>
      <c r="M413" s="33" t="n">
        <v>5</v>
      </c>
      <c r="N413" s="33" t="s">
        <v>146</v>
      </c>
      <c r="O413" s="33" t="s">
        <v>147</v>
      </c>
    </row>
    <row r="414" customFormat="false" ht="15" hidden="false" customHeight="false" outlineLevel="0" collapsed="false">
      <c r="A414" s="33" t="s">
        <v>628</v>
      </c>
      <c r="B414" s="34" t="n">
        <v>45441</v>
      </c>
      <c r="C414" s="34" t="n">
        <v>45444</v>
      </c>
      <c r="D414" s="33" t="n">
        <v>94</v>
      </c>
      <c r="E414" s="33" t="s">
        <v>139</v>
      </c>
      <c r="F414" s="33" t="s">
        <v>181</v>
      </c>
      <c r="G414" s="33" t="s">
        <v>182</v>
      </c>
      <c r="H414" s="33" t="s">
        <v>245</v>
      </c>
      <c r="I414" s="33" t="s">
        <v>152</v>
      </c>
      <c r="J414" s="33" t="s">
        <v>159</v>
      </c>
      <c r="K414" s="33" t="s">
        <v>160</v>
      </c>
      <c r="L414" s="35" t="n">
        <v>7879.63</v>
      </c>
      <c r="M414" s="33" t="n">
        <v>3</v>
      </c>
      <c r="N414" s="33" t="s">
        <v>146</v>
      </c>
      <c r="O414" s="33" t="s">
        <v>147</v>
      </c>
    </row>
    <row r="415" customFormat="false" ht="15" hidden="false" customHeight="false" outlineLevel="0" collapsed="false">
      <c r="A415" s="33" t="s">
        <v>629</v>
      </c>
      <c r="B415" s="34" t="n">
        <v>45530</v>
      </c>
      <c r="C415" s="34" t="n">
        <v>45532</v>
      </c>
      <c r="D415" s="33" t="n">
        <v>24</v>
      </c>
      <c r="E415" s="33" t="s">
        <v>139</v>
      </c>
      <c r="F415" s="33" t="s">
        <v>149</v>
      </c>
      <c r="G415" s="33" t="s">
        <v>150</v>
      </c>
      <c r="H415" s="33" t="s">
        <v>151</v>
      </c>
      <c r="I415" s="33" t="s">
        <v>143</v>
      </c>
      <c r="J415" s="33" t="s">
        <v>159</v>
      </c>
      <c r="K415" s="33" t="s">
        <v>209</v>
      </c>
      <c r="L415" s="35" t="n">
        <v>3364.43</v>
      </c>
      <c r="M415" s="33" t="n">
        <v>3</v>
      </c>
      <c r="N415" s="33" t="s">
        <v>146</v>
      </c>
      <c r="O415" s="33" t="s">
        <v>147</v>
      </c>
    </row>
    <row r="416" customFormat="false" ht="15" hidden="false" customHeight="false" outlineLevel="0" collapsed="false">
      <c r="A416" s="33" t="s">
        <v>630</v>
      </c>
      <c r="B416" s="34" t="n">
        <v>45406</v>
      </c>
      <c r="C416" s="34" t="n">
        <v>45407</v>
      </c>
      <c r="D416" s="33" t="n">
        <v>27</v>
      </c>
      <c r="E416" s="33" t="s">
        <v>257</v>
      </c>
      <c r="F416" s="33" t="s">
        <v>203</v>
      </c>
      <c r="G416" s="33" t="s">
        <v>241</v>
      </c>
      <c r="H416" s="33" t="s">
        <v>205</v>
      </c>
      <c r="I416" s="33" t="s">
        <v>143</v>
      </c>
      <c r="J416" s="33" t="s">
        <v>159</v>
      </c>
      <c r="K416" s="33" t="s">
        <v>145</v>
      </c>
      <c r="L416" s="35" t="n">
        <v>973</v>
      </c>
      <c r="M416" s="33" t="n">
        <v>2</v>
      </c>
      <c r="N416" s="33" t="s">
        <v>146</v>
      </c>
      <c r="O416" s="33" t="s">
        <v>147</v>
      </c>
    </row>
    <row r="417" customFormat="false" ht="15" hidden="false" customHeight="false" outlineLevel="0" collapsed="false">
      <c r="A417" s="33" t="s">
        <v>631</v>
      </c>
      <c r="B417" s="34" t="n">
        <v>45368</v>
      </c>
      <c r="C417" s="34" t="n">
        <v>45370</v>
      </c>
      <c r="D417" s="33" t="n">
        <v>53</v>
      </c>
      <c r="E417" s="33" t="s">
        <v>139</v>
      </c>
      <c r="F417" s="33" t="s">
        <v>173</v>
      </c>
      <c r="G417" s="33" t="s">
        <v>178</v>
      </c>
      <c r="H417" s="33" t="s">
        <v>199</v>
      </c>
      <c r="I417" s="33" t="s">
        <v>158</v>
      </c>
      <c r="J417" s="33" t="s">
        <v>159</v>
      </c>
      <c r="K417" s="33" t="s">
        <v>160</v>
      </c>
      <c r="L417" s="35" t="n">
        <v>5357.84</v>
      </c>
      <c r="M417" s="33" t="n">
        <v>5</v>
      </c>
      <c r="N417" s="33" t="s">
        <v>146</v>
      </c>
      <c r="O417" s="33" t="s">
        <v>147</v>
      </c>
    </row>
    <row r="418" customFormat="false" ht="15" hidden="false" customHeight="false" outlineLevel="0" collapsed="false">
      <c r="A418" s="33" t="s">
        <v>632</v>
      </c>
      <c r="B418" s="34" t="n">
        <v>45356</v>
      </c>
      <c r="C418" s="34" t="n">
        <v>45359</v>
      </c>
      <c r="D418" s="33" t="n">
        <v>21</v>
      </c>
      <c r="E418" s="33" t="s">
        <v>257</v>
      </c>
      <c r="F418" s="33" t="s">
        <v>334</v>
      </c>
      <c r="G418" s="33" t="s">
        <v>217</v>
      </c>
      <c r="H418" s="33" t="s">
        <v>193</v>
      </c>
      <c r="I418" s="33" t="s">
        <v>143</v>
      </c>
      <c r="J418" s="33" t="s">
        <v>159</v>
      </c>
      <c r="K418" s="33" t="s">
        <v>145</v>
      </c>
      <c r="L418" s="35" t="n">
        <v>2434.04</v>
      </c>
      <c r="M418" s="33" t="n">
        <v>2</v>
      </c>
      <c r="N418" s="33" t="s">
        <v>146</v>
      </c>
      <c r="O418" s="33" t="s">
        <v>147</v>
      </c>
    </row>
    <row r="419" customFormat="false" ht="15" hidden="false" customHeight="false" outlineLevel="0" collapsed="false">
      <c r="A419" s="33" t="s">
        <v>633</v>
      </c>
      <c r="B419" s="34" t="n">
        <v>45340</v>
      </c>
      <c r="C419" s="34" t="n">
        <v>45342</v>
      </c>
      <c r="D419" s="33" t="n">
        <v>4</v>
      </c>
      <c r="E419" s="33" t="s">
        <v>139</v>
      </c>
      <c r="F419" s="33" t="s">
        <v>155</v>
      </c>
      <c r="G419" s="33" t="s">
        <v>302</v>
      </c>
      <c r="H419" s="33" t="s">
        <v>222</v>
      </c>
      <c r="I419" s="33" t="s">
        <v>143</v>
      </c>
      <c r="J419" s="33" t="s">
        <v>159</v>
      </c>
      <c r="K419" s="33" t="s">
        <v>209</v>
      </c>
      <c r="L419" s="35" t="n">
        <v>1444.03</v>
      </c>
      <c r="M419" s="36"/>
      <c r="N419" s="33" t="s">
        <v>210</v>
      </c>
      <c r="O419" s="33" t="s">
        <v>147</v>
      </c>
    </row>
    <row r="420" customFormat="false" ht="15" hidden="false" customHeight="false" outlineLevel="0" collapsed="false">
      <c r="A420" s="33" t="s">
        <v>634</v>
      </c>
      <c r="B420" s="34" t="n">
        <v>45362</v>
      </c>
      <c r="C420" s="34" t="n">
        <v>45363</v>
      </c>
      <c r="D420" s="33" t="n">
        <v>55</v>
      </c>
      <c r="E420" s="33" t="s">
        <v>154</v>
      </c>
      <c r="F420" s="33" t="s">
        <v>203</v>
      </c>
      <c r="G420" s="33" t="s">
        <v>217</v>
      </c>
      <c r="H420" s="33" t="s">
        <v>193</v>
      </c>
      <c r="I420" s="33" t="s">
        <v>143</v>
      </c>
      <c r="J420" s="33" t="s">
        <v>159</v>
      </c>
      <c r="K420" s="33" t="s">
        <v>209</v>
      </c>
      <c r="L420" s="35" t="n">
        <v>848.79</v>
      </c>
      <c r="M420" s="33" t="n">
        <v>4</v>
      </c>
      <c r="N420" s="33" t="s">
        <v>146</v>
      </c>
      <c r="O420" s="33" t="s">
        <v>147</v>
      </c>
    </row>
    <row r="421" customFormat="false" ht="15" hidden="false" customHeight="false" outlineLevel="0" collapsed="false">
      <c r="A421" s="33" t="s">
        <v>635</v>
      </c>
      <c r="B421" s="34" t="n">
        <v>45644</v>
      </c>
      <c r="C421" s="34" t="n">
        <v>45650</v>
      </c>
      <c r="D421" s="33" t="n">
        <v>54</v>
      </c>
      <c r="E421" s="33" t="s">
        <v>139</v>
      </c>
      <c r="F421" s="33" t="s">
        <v>140</v>
      </c>
      <c r="G421" s="33" t="s">
        <v>141</v>
      </c>
      <c r="H421" s="33" t="s">
        <v>142</v>
      </c>
      <c r="I421" s="33" t="s">
        <v>158</v>
      </c>
      <c r="J421" s="33" t="s">
        <v>159</v>
      </c>
      <c r="K421" s="33" t="s">
        <v>160</v>
      </c>
      <c r="L421" s="35" t="n">
        <v>14012.8</v>
      </c>
      <c r="M421" s="33" t="n">
        <v>4</v>
      </c>
      <c r="N421" s="33" t="s">
        <v>146</v>
      </c>
      <c r="O421" s="33" t="s">
        <v>147</v>
      </c>
    </row>
    <row r="422" customFormat="false" ht="15" hidden="false" customHeight="false" outlineLevel="0" collapsed="false">
      <c r="A422" s="33" t="s">
        <v>636</v>
      </c>
      <c r="B422" s="34" t="n">
        <v>45538</v>
      </c>
      <c r="C422" s="34" t="n">
        <v>45540</v>
      </c>
      <c r="D422" s="33" t="n">
        <v>54</v>
      </c>
      <c r="E422" s="33" t="s">
        <v>139</v>
      </c>
      <c r="F422" s="33" t="s">
        <v>140</v>
      </c>
      <c r="G422" s="33" t="s">
        <v>167</v>
      </c>
      <c r="H422" s="33" t="s">
        <v>142</v>
      </c>
      <c r="I422" s="33" t="s">
        <v>143</v>
      </c>
      <c r="J422" s="33" t="s">
        <v>159</v>
      </c>
      <c r="K422" s="33" t="s">
        <v>209</v>
      </c>
      <c r="L422" s="35" t="n">
        <v>4365.24</v>
      </c>
      <c r="M422" s="33" t="n">
        <v>3</v>
      </c>
      <c r="N422" s="33" t="s">
        <v>146</v>
      </c>
      <c r="O422" s="33" t="s">
        <v>147</v>
      </c>
    </row>
    <row r="423" customFormat="false" ht="15" hidden="false" customHeight="false" outlineLevel="0" collapsed="false">
      <c r="A423" s="33" t="s">
        <v>637</v>
      </c>
      <c r="B423" s="34" t="n">
        <v>45397</v>
      </c>
      <c r="C423" s="34" t="n">
        <v>45398</v>
      </c>
      <c r="D423" s="33" t="n">
        <v>4</v>
      </c>
      <c r="E423" s="33" t="s">
        <v>154</v>
      </c>
      <c r="F423" s="33" t="s">
        <v>155</v>
      </c>
      <c r="G423" s="33" t="s">
        <v>302</v>
      </c>
      <c r="H423" s="33" t="s">
        <v>157</v>
      </c>
      <c r="I423" s="33" t="s">
        <v>152</v>
      </c>
      <c r="J423" s="33" t="s">
        <v>159</v>
      </c>
      <c r="K423" s="33" t="s">
        <v>184</v>
      </c>
      <c r="L423" s="35" t="n">
        <v>786.71</v>
      </c>
      <c r="M423" s="36"/>
      <c r="N423" s="33" t="s">
        <v>210</v>
      </c>
      <c r="O423" s="33" t="s">
        <v>147</v>
      </c>
    </row>
    <row r="424" customFormat="false" ht="15" hidden="false" customHeight="false" outlineLevel="0" collapsed="false">
      <c r="A424" s="33" t="s">
        <v>638</v>
      </c>
      <c r="B424" s="34" t="n">
        <v>45509</v>
      </c>
      <c r="C424" s="34" t="n">
        <v>45515</v>
      </c>
      <c r="D424" s="33" t="n">
        <v>67</v>
      </c>
      <c r="E424" s="33" t="s">
        <v>139</v>
      </c>
      <c r="F424" s="33" t="s">
        <v>169</v>
      </c>
      <c r="G424" s="33" t="s">
        <v>213</v>
      </c>
      <c r="H424" s="33" t="s">
        <v>164</v>
      </c>
      <c r="I424" s="33" t="s">
        <v>143</v>
      </c>
      <c r="J424" s="33" t="s">
        <v>159</v>
      </c>
      <c r="K424" s="33" t="s">
        <v>209</v>
      </c>
      <c r="L424" s="35" t="n">
        <v>6539.76</v>
      </c>
      <c r="M424" s="33" t="n">
        <v>4</v>
      </c>
      <c r="N424" s="33" t="s">
        <v>146</v>
      </c>
      <c r="O424" s="33" t="s">
        <v>147</v>
      </c>
    </row>
    <row r="425" customFormat="false" ht="15" hidden="false" customHeight="false" outlineLevel="0" collapsed="false">
      <c r="A425" s="33" t="s">
        <v>639</v>
      </c>
      <c r="B425" s="34" t="n">
        <v>45426</v>
      </c>
      <c r="C425" s="34" t="n">
        <v>45434</v>
      </c>
      <c r="D425" s="33" t="n">
        <v>61</v>
      </c>
      <c r="E425" s="33" t="s">
        <v>154</v>
      </c>
      <c r="F425" s="33" t="s">
        <v>226</v>
      </c>
      <c r="G425" s="33" t="s">
        <v>386</v>
      </c>
      <c r="H425" s="33" t="s">
        <v>228</v>
      </c>
      <c r="I425" s="33" t="s">
        <v>152</v>
      </c>
      <c r="J425" s="33" t="s">
        <v>176</v>
      </c>
      <c r="K425" s="33" t="s">
        <v>145</v>
      </c>
      <c r="L425" s="35" t="n">
        <v>67312.86</v>
      </c>
      <c r="M425" s="33" t="n">
        <v>4</v>
      </c>
      <c r="N425" s="33" t="s">
        <v>210</v>
      </c>
      <c r="O425" s="33" t="s">
        <v>147</v>
      </c>
    </row>
    <row r="426" customFormat="false" ht="15" hidden="false" customHeight="false" outlineLevel="0" collapsed="false">
      <c r="A426" s="33" t="s">
        <v>640</v>
      </c>
      <c r="B426" s="34" t="n">
        <v>45421</v>
      </c>
      <c r="C426" s="34" t="n">
        <v>45422</v>
      </c>
      <c r="D426" s="36" t="n">
        <v>150</v>
      </c>
      <c r="E426" s="33" t="s">
        <v>139</v>
      </c>
      <c r="F426" s="33" t="s">
        <v>169</v>
      </c>
      <c r="G426" s="33" t="s">
        <v>213</v>
      </c>
      <c r="H426" s="33" t="s">
        <v>164</v>
      </c>
      <c r="I426" s="33" t="s">
        <v>143</v>
      </c>
      <c r="J426" s="33" t="s">
        <v>144</v>
      </c>
      <c r="K426" s="33" t="s">
        <v>145</v>
      </c>
      <c r="L426" s="35" t="n">
        <v>2061.14</v>
      </c>
      <c r="M426" s="33" t="n">
        <v>3</v>
      </c>
      <c r="N426" s="33" t="s">
        <v>146</v>
      </c>
      <c r="O426" s="33" t="s">
        <v>147</v>
      </c>
    </row>
    <row r="427" customFormat="false" ht="15" hidden="false" customHeight="false" outlineLevel="0" collapsed="false">
      <c r="A427" s="33" t="s">
        <v>641</v>
      </c>
      <c r="B427" s="34" t="n">
        <v>45456</v>
      </c>
      <c r="C427" s="34" t="n">
        <v>45463</v>
      </c>
      <c r="D427" s="33" t="n">
        <v>83</v>
      </c>
      <c r="E427" s="33" t="s">
        <v>154</v>
      </c>
      <c r="F427" s="33" t="s">
        <v>169</v>
      </c>
      <c r="G427" s="33" t="s">
        <v>213</v>
      </c>
      <c r="H427" s="33" t="s">
        <v>164</v>
      </c>
      <c r="I427" s="33" t="s">
        <v>143</v>
      </c>
      <c r="J427" s="33" t="s">
        <v>159</v>
      </c>
      <c r="K427" s="33" t="s">
        <v>184</v>
      </c>
      <c r="L427" s="35" t="n">
        <v>7286.83</v>
      </c>
      <c r="M427" s="33" t="n">
        <v>4</v>
      </c>
      <c r="N427" s="33" t="s">
        <v>146</v>
      </c>
      <c r="O427" s="33" t="s">
        <v>206</v>
      </c>
    </row>
    <row r="428" customFormat="false" ht="15" hidden="false" customHeight="false" outlineLevel="0" collapsed="false">
      <c r="A428" s="33" t="s">
        <v>642</v>
      </c>
      <c r="B428" s="34" t="n">
        <v>45347</v>
      </c>
      <c r="C428" s="34" t="n">
        <v>45352</v>
      </c>
      <c r="D428" s="33" t="n">
        <v>57</v>
      </c>
      <c r="E428" s="33" t="s">
        <v>139</v>
      </c>
      <c r="F428" s="33" t="s">
        <v>226</v>
      </c>
      <c r="G428" s="33" t="s">
        <v>386</v>
      </c>
      <c r="H428" s="33" t="s">
        <v>228</v>
      </c>
      <c r="I428" s="33" t="s">
        <v>143</v>
      </c>
      <c r="J428" s="33" t="s">
        <v>159</v>
      </c>
      <c r="K428" s="33" t="s">
        <v>209</v>
      </c>
      <c r="L428" s="35" t="n">
        <v>18013.96</v>
      </c>
      <c r="M428" s="33" t="n">
        <v>3</v>
      </c>
      <c r="N428" s="33" t="s">
        <v>146</v>
      </c>
      <c r="O428" s="33" t="s">
        <v>147</v>
      </c>
    </row>
    <row r="429" customFormat="false" ht="15" hidden="false" customHeight="false" outlineLevel="0" collapsed="false">
      <c r="A429" s="33" t="s">
        <v>643</v>
      </c>
      <c r="B429" s="34" t="n">
        <v>45618</v>
      </c>
      <c r="C429" s="34" t="n">
        <v>45619</v>
      </c>
      <c r="D429" s="33" t="n">
        <v>64</v>
      </c>
      <c r="E429" s="33" t="s">
        <v>139</v>
      </c>
      <c r="F429" s="33" t="s">
        <v>173</v>
      </c>
      <c r="G429" s="33" t="s">
        <v>178</v>
      </c>
      <c r="H429" s="33" t="s">
        <v>175</v>
      </c>
      <c r="I429" s="33" t="s">
        <v>158</v>
      </c>
      <c r="J429" s="33" t="s">
        <v>159</v>
      </c>
      <c r="K429" s="33" t="s">
        <v>160</v>
      </c>
      <c r="L429" s="35" t="n">
        <v>2574.23</v>
      </c>
      <c r="M429" s="33" t="n">
        <v>4</v>
      </c>
      <c r="N429" s="33" t="s">
        <v>146</v>
      </c>
      <c r="O429" s="33" t="s">
        <v>147</v>
      </c>
    </row>
    <row r="430" customFormat="false" ht="15" hidden="false" customHeight="false" outlineLevel="0" collapsed="false">
      <c r="A430" s="33" t="s">
        <v>644</v>
      </c>
      <c r="B430" s="34" t="n">
        <v>45601</v>
      </c>
      <c r="C430" s="34" t="n">
        <v>45613</v>
      </c>
      <c r="D430" s="33" t="n">
        <v>52</v>
      </c>
      <c r="E430" s="33" t="s">
        <v>139</v>
      </c>
      <c r="F430" s="33" t="s">
        <v>181</v>
      </c>
      <c r="G430" s="33" t="s">
        <v>237</v>
      </c>
      <c r="H430" s="33" t="s">
        <v>245</v>
      </c>
      <c r="I430" s="33" t="s">
        <v>158</v>
      </c>
      <c r="J430" s="33" t="s">
        <v>159</v>
      </c>
      <c r="K430" s="33" t="s">
        <v>184</v>
      </c>
      <c r="L430" s="35" t="n">
        <v>28429.48</v>
      </c>
      <c r="M430" s="33" t="n">
        <v>4</v>
      </c>
      <c r="N430" s="33" t="s">
        <v>210</v>
      </c>
      <c r="O430" s="33" t="s">
        <v>147</v>
      </c>
    </row>
    <row r="431" customFormat="false" ht="15" hidden="false" customHeight="false" outlineLevel="0" collapsed="false">
      <c r="A431" s="33" t="s">
        <v>645</v>
      </c>
      <c r="B431" s="34" t="n">
        <v>45466</v>
      </c>
      <c r="C431" s="34" t="n">
        <v>45468</v>
      </c>
      <c r="D431" s="33" t="n">
        <v>31</v>
      </c>
      <c r="E431" s="33" t="s">
        <v>154</v>
      </c>
      <c r="F431" s="33" t="s">
        <v>140</v>
      </c>
      <c r="G431" s="33" t="s">
        <v>316</v>
      </c>
      <c r="H431" s="33" t="s">
        <v>142</v>
      </c>
      <c r="I431" s="33" t="s">
        <v>143</v>
      </c>
      <c r="J431" s="33" t="s">
        <v>159</v>
      </c>
      <c r="K431" s="33" t="s">
        <v>145</v>
      </c>
      <c r="L431" s="35" t="n">
        <v>4910.05</v>
      </c>
      <c r="M431" s="33" t="n">
        <v>5</v>
      </c>
      <c r="N431" s="33" t="s">
        <v>146</v>
      </c>
      <c r="O431" s="33" t="s">
        <v>147</v>
      </c>
    </row>
    <row r="432" customFormat="false" ht="15" hidden="false" customHeight="false" outlineLevel="0" collapsed="false">
      <c r="A432" s="33" t="s">
        <v>646</v>
      </c>
      <c r="B432" s="34" t="n">
        <v>45489</v>
      </c>
      <c r="C432" s="34" t="n">
        <v>45492</v>
      </c>
      <c r="D432" s="33" t="n">
        <v>35</v>
      </c>
      <c r="E432" s="33" t="s">
        <v>139</v>
      </c>
      <c r="F432" s="33" t="s">
        <v>149</v>
      </c>
      <c r="G432" s="33" t="s">
        <v>243</v>
      </c>
      <c r="H432" s="33" t="s">
        <v>186</v>
      </c>
      <c r="I432" s="33" t="s">
        <v>143</v>
      </c>
      <c r="J432" s="33" t="s">
        <v>159</v>
      </c>
      <c r="K432" s="33" t="s">
        <v>145</v>
      </c>
      <c r="L432" s="35" t="n">
        <v>3801.48</v>
      </c>
      <c r="M432" s="33" t="n">
        <v>3</v>
      </c>
      <c r="N432" s="33" t="s">
        <v>210</v>
      </c>
      <c r="O432" s="33" t="s">
        <v>147</v>
      </c>
    </row>
    <row r="433" customFormat="false" ht="15" hidden="false" customHeight="false" outlineLevel="0" collapsed="false">
      <c r="A433" s="33" t="s">
        <v>647</v>
      </c>
      <c r="B433" s="34" t="n">
        <v>45537</v>
      </c>
      <c r="C433" s="34" t="n">
        <v>45542</v>
      </c>
      <c r="D433" s="33" t="n">
        <v>79</v>
      </c>
      <c r="E433" s="33" t="s">
        <v>154</v>
      </c>
      <c r="F433" s="33" t="s">
        <v>173</v>
      </c>
      <c r="G433" s="33" t="s">
        <v>198</v>
      </c>
      <c r="H433" s="33" t="s">
        <v>199</v>
      </c>
      <c r="I433" s="33" t="s">
        <v>152</v>
      </c>
      <c r="J433" s="33" t="s">
        <v>159</v>
      </c>
      <c r="K433" s="33" t="s">
        <v>184</v>
      </c>
      <c r="L433" s="35" t="n">
        <v>14367.19</v>
      </c>
      <c r="M433" s="33" t="n">
        <v>3</v>
      </c>
      <c r="N433" s="33" t="s">
        <v>146</v>
      </c>
      <c r="O433" s="33" t="s">
        <v>147</v>
      </c>
    </row>
    <row r="434" customFormat="false" ht="15" hidden="false" customHeight="false" outlineLevel="0" collapsed="false">
      <c r="A434" s="33" t="s">
        <v>648</v>
      </c>
      <c r="B434" s="34" t="n">
        <v>45530</v>
      </c>
      <c r="C434" s="34" t="n">
        <v>45533</v>
      </c>
      <c r="D434" s="33" t="n">
        <v>1</v>
      </c>
      <c r="E434" s="33" t="s">
        <v>139</v>
      </c>
      <c r="F434" s="33" t="s">
        <v>155</v>
      </c>
      <c r="G434" s="33" t="s">
        <v>156</v>
      </c>
      <c r="H434" s="33" t="s">
        <v>222</v>
      </c>
      <c r="I434" s="33" t="s">
        <v>152</v>
      </c>
      <c r="J434" s="33" t="s">
        <v>159</v>
      </c>
      <c r="K434" s="33" t="s">
        <v>209</v>
      </c>
      <c r="L434" s="35" t="n">
        <v>2783.68</v>
      </c>
      <c r="M434" s="33" t="n">
        <v>3</v>
      </c>
      <c r="N434" s="33" t="s">
        <v>146</v>
      </c>
      <c r="O434" s="33" t="s">
        <v>147</v>
      </c>
    </row>
    <row r="435" customFormat="false" ht="15" hidden="false" customHeight="false" outlineLevel="0" collapsed="false">
      <c r="A435" s="33" t="s">
        <v>649</v>
      </c>
      <c r="B435" s="34" t="n">
        <v>45604</v>
      </c>
      <c r="C435" s="34" t="n">
        <v>45605</v>
      </c>
      <c r="D435" s="33" t="n">
        <v>9</v>
      </c>
      <c r="E435" s="33" t="s">
        <v>154</v>
      </c>
      <c r="F435" s="33" t="s">
        <v>155</v>
      </c>
      <c r="G435" s="33" t="s">
        <v>302</v>
      </c>
      <c r="H435" s="33" t="s">
        <v>222</v>
      </c>
      <c r="I435" s="33" t="s">
        <v>143</v>
      </c>
      <c r="J435" s="33" t="s">
        <v>176</v>
      </c>
      <c r="K435" s="33" t="s">
        <v>145</v>
      </c>
      <c r="L435" s="35" t="n">
        <v>2955.73</v>
      </c>
      <c r="M435" s="33" t="n">
        <v>4</v>
      </c>
      <c r="N435" s="33" t="s">
        <v>146</v>
      </c>
      <c r="O435" s="33" t="s">
        <v>147</v>
      </c>
    </row>
    <row r="436" customFormat="false" ht="15" hidden="false" customHeight="false" outlineLevel="0" collapsed="false">
      <c r="A436" s="33" t="s">
        <v>650</v>
      </c>
      <c r="B436" s="34" t="n">
        <v>45626</v>
      </c>
      <c r="C436" s="34" t="n">
        <v>45631</v>
      </c>
      <c r="D436" s="33" t="n">
        <v>26</v>
      </c>
      <c r="E436" s="33" t="s">
        <v>154</v>
      </c>
      <c r="F436" s="33" t="s">
        <v>140</v>
      </c>
      <c r="G436" s="33" t="s">
        <v>167</v>
      </c>
      <c r="H436" s="33" t="s">
        <v>142</v>
      </c>
      <c r="I436" s="33" t="s">
        <v>143</v>
      </c>
      <c r="J436" s="33" t="s">
        <v>159</v>
      </c>
      <c r="K436" s="33" t="s">
        <v>160</v>
      </c>
      <c r="L436" s="35" t="n">
        <v>12340.2</v>
      </c>
      <c r="M436" s="33" t="n">
        <v>3</v>
      </c>
      <c r="N436" s="33" t="s">
        <v>146</v>
      </c>
      <c r="O436" s="33" t="s">
        <v>147</v>
      </c>
    </row>
    <row r="437" customFormat="false" ht="15" hidden="false" customHeight="false" outlineLevel="0" collapsed="false">
      <c r="A437" s="33" t="s">
        <v>651</v>
      </c>
      <c r="B437" s="34" t="n">
        <v>45426</v>
      </c>
      <c r="C437" s="34" t="n">
        <v>45427</v>
      </c>
      <c r="D437" s="33" t="n">
        <v>59</v>
      </c>
      <c r="E437" s="33" t="s">
        <v>139</v>
      </c>
      <c r="F437" s="33" t="s">
        <v>181</v>
      </c>
      <c r="G437" s="33" t="s">
        <v>182</v>
      </c>
      <c r="H437" s="33" t="s">
        <v>183</v>
      </c>
      <c r="I437" s="33" t="s">
        <v>152</v>
      </c>
      <c r="J437" s="33" t="s">
        <v>159</v>
      </c>
      <c r="K437" s="33" t="s">
        <v>160</v>
      </c>
      <c r="L437" s="35" t="n">
        <v>2214.6</v>
      </c>
      <c r="M437" s="33" t="n">
        <v>2</v>
      </c>
      <c r="N437" s="33" t="s">
        <v>146</v>
      </c>
      <c r="O437" s="33" t="s">
        <v>147</v>
      </c>
    </row>
    <row r="438" customFormat="false" ht="15" hidden="false" customHeight="false" outlineLevel="0" collapsed="false">
      <c r="A438" s="33" t="s">
        <v>652</v>
      </c>
      <c r="B438" s="34" t="n">
        <v>45562</v>
      </c>
      <c r="C438" s="34" t="n">
        <v>45564</v>
      </c>
      <c r="D438" s="33" t="n">
        <v>53</v>
      </c>
      <c r="E438" s="33" t="s">
        <v>154</v>
      </c>
      <c r="F438" s="33" t="s">
        <v>226</v>
      </c>
      <c r="G438" s="33" t="s">
        <v>227</v>
      </c>
      <c r="H438" s="33" t="s">
        <v>228</v>
      </c>
      <c r="I438" s="33" t="s">
        <v>143</v>
      </c>
      <c r="J438" s="33" t="s">
        <v>144</v>
      </c>
      <c r="K438" s="33" t="s">
        <v>145</v>
      </c>
      <c r="L438" s="35" t="n">
        <v>13182.17</v>
      </c>
      <c r="M438" s="33" t="n">
        <v>4</v>
      </c>
      <c r="N438" s="33" t="s">
        <v>146</v>
      </c>
      <c r="O438" s="33" t="s">
        <v>147</v>
      </c>
    </row>
    <row r="439" customFormat="false" ht="15" hidden="false" customHeight="false" outlineLevel="0" collapsed="false">
      <c r="A439" s="33" t="s">
        <v>653</v>
      </c>
      <c r="B439" s="34" t="n">
        <v>45614</v>
      </c>
      <c r="C439" s="34" t="n">
        <v>45616</v>
      </c>
      <c r="D439" s="33" t="n">
        <v>40</v>
      </c>
      <c r="E439" s="33" t="s">
        <v>139</v>
      </c>
      <c r="F439" s="33" t="s">
        <v>169</v>
      </c>
      <c r="G439" s="33" t="s">
        <v>163</v>
      </c>
      <c r="H439" s="33" t="s">
        <v>195</v>
      </c>
      <c r="I439" s="33" t="s">
        <v>143</v>
      </c>
      <c r="J439" s="33" t="s">
        <v>144</v>
      </c>
      <c r="K439" s="33" t="s">
        <v>145</v>
      </c>
      <c r="L439" s="35" t="n">
        <v>4340.86</v>
      </c>
      <c r="M439" s="33" t="n">
        <v>4</v>
      </c>
      <c r="N439" s="33" t="s">
        <v>146</v>
      </c>
      <c r="O439" s="33" t="s">
        <v>147</v>
      </c>
    </row>
    <row r="440" customFormat="false" ht="15" hidden="false" customHeight="false" outlineLevel="0" collapsed="false">
      <c r="A440" s="33" t="s">
        <v>654</v>
      </c>
      <c r="B440" s="34" t="n">
        <v>45497</v>
      </c>
      <c r="C440" s="34" t="n">
        <v>45499</v>
      </c>
      <c r="D440" s="33" t="n">
        <v>5</v>
      </c>
      <c r="E440" s="33" t="s">
        <v>154</v>
      </c>
      <c r="F440" s="33" t="s">
        <v>376</v>
      </c>
      <c r="G440" s="33" t="s">
        <v>156</v>
      </c>
      <c r="H440" s="33" t="s">
        <v>157</v>
      </c>
      <c r="I440" s="33" t="s">
        <v>158</v>
      </c>
      <c r="J440" s="33" t="s">
        <v>144</v>
      </c>
      <c r="K440" s="33" t="s">
        <v>160</v>
      </c>
      <c r="L440" s="35" t="n">
        <v>2376.32</v>
      </c>
      <c r="M440" s="33" t="n">
        <v>4</v>
      </c>
      <c r="N440" s="33" t="s">
        <v>146</v>
      </c>
      <c r="O440" s="33" t="s">
        <v>147</v>
      </c>
    </row>
    <row r="441" customFormat="false" ht="15" hidden="false" customHeight="false" outlineLevel="0" collapsed="false">
      <c r="A441" s="33" t="s">
        <v>655</v>
      </c>
      <c r="B441" s="34" t="n">
        <v>45630</v>
      </c>
      <c r="C441" s="34" t="n">
        <v>45631</v>
      </c>
      <c r="D441" s="33" t="n">
        <v>30</v>
      </c>
      <c r="E441" s="33" t="s">
        <v>139</v>
      </c>
      <c r="F441" s="33" t="s">
        <v>149</v>
      </c>
      <c r="G441" s="33" t="s">
        <v>224</v>
      </c>
      <c r="H441" s="33" t="s">
        <v>186</v>
      </c>
      <c r="I441" s="33" t="s">
        <v>152</v>
      </c>
      <c r="J441" s="33" t="s">
        <v>159</v>
      </c>
      <c r="K441" s="33" t="s">
        <v>145</v>
      </c>
      <c r="L441" s="35" t="n">
        <v>1520.58</v>
      </c>
      <c r="M441" s="33" t="n">
        <v>4</v>
      </c>
      <c r="N441" s="33" t="s">
        <v>146</v>
      </c>
      <c r="O441" s="33" t="s">
        <v>147</v>
      </c>
    </row>
    <row r="442" customFormat="false" ht="15" hidden="false" customHeight="false" outlineLevel="0" collapsed="false">
      <c r="A442" s="33" t="s">
        <v>656</v>
      </c>
      <c r="B442" s="34" t="n">
        <v>45549</v>
      </c>
      <c r="C442" s="34" t="n">
        <v>45550</v>
      </c>
      <c r="D442" s="33" t="n">
        <v>47</v>
      </c>
      <c r="E442" s="33" t="s">
        <v>154</v>
      </c>
      <c r="F442" s="33" t="s">
        <v>203</v>
      </c>
      <c r="G442" s="33" t="s">
        <v>192</v>
      </c>
      <c r="H442" s="33" t="s">
        <v>233</v>
      </c>
      <c r="I442" s="33" t="s">
        <v>143</v>
      </c>
      <c r="J442" s="33" t="s">
        <v>159</v>
      </c>
      <c r="K442" s="33" t="s">
        <v>209</v>
      </c>
      <c r="L442" s="35" t="n">
        <v>768.82</v>
      </c>
      <c r="M442" s="33" t="n">
        <v>2</v>
      </c>
      <c r="N442" s="33" t="s">
        <v>210</v>
      </c>
      <c r="O442" s="33" t="s">
        <v>147</v>
      </c>
    </row>
    <row r="443" customFormat="false" ht="15" hidden="false" customHeight="false" outlineLevel="0" collapsed="false">
      <c r="A443" s="33" t="s">
        <v>657</v>
      </c>
      <c r="B443" s="34" t="n">
        <v>45354</v>
      </c>
      <c r="C443" s="34" t="n">
        <v>45355</v>
      </c>
      <c r="D443" s="36"/>
      <c r="E443" s="33" t="s">
        <v>154</v>
      </c>
      <c r="F443" s="33" t="s">
        <v>203</v>
      </c>
      <c r="G443" s="33" t="s">
        <v>217</v>
      </c>
      <c r="H443" s="33" t="s">
        <v>233</v>
      </c>
      <c r="I443" s="33" t="s">
        <v>143</v>
      </c>
      <c r="J443" s="33" t="s">
        <v>159</v>
      </c>
      <c r="K443" s="33" t="s">
        <v>184</v>
      </c>
      <c r="L443" s="35" t="n">
        <v>1016.33</v>
      </c>
      <c r="M443" s="33" t="n">
        <v>4</v>
      </c>
      <c r="N443" s="33" t="s">
        <v>146</v>
      </c>
      <c r="O443" s="33" t="s">
        <v>147</v>
      </c>
    </row>
    <row r="444" customFormat="false" ht="15" hidden="false" customHeight="false" outlineLevel="0" collapsed="false">
      <c r="A444" s="33" t="s">
        <v>658</v>
      </c>
      <c r="B444" s="34" t="n">
        <v>45365</v>
      </c>
      <c r="C444" s="34" t="n">
        <v>45368</v>
      </c>
      <c r="D444" s="33" t="n">
        <v>47</v>
      </c>
      <c r="E444" s="33" t="s">
        <v>154</v>
      </c>
      <c r="F444" s="33" t="s">
        <v>169</v>
      </c>
      <c r="G444" s="33" t="s">
        <v>213</v>
      </c>
      <c r="H444" s="33" t="s">
        <v>164</v>
      </c>
      <c r="I444" s="33" t="s">
        <v>152</v>
      </c>
      <c r="J444" s="33" t="s">
        <v>159</v>
      </c>
      <c r="K444" s="33" t="s">
        <v>184</v>
      </c>
      <c r="L444" s="35" t="n">
        <v>3347.59</v>
      </c>
      <c r="M444" s="33" t="n">
        <v>5</v>
      </c>
      <c r="N444" s="33" t="s">
        <v>146</v>
      </c>
      <c r="O444" s="33" t="s">
        <v>147</v>
      </c>
    </row>
    <row r="445" customFormat="false" ht="15" hidden="false" customHeight="false" outlineLevel="0" collapsed="false">
      <c r="A445" s="33" t="s">
        <v>659</v>
      </c>
      <c r="B445" s="34" t="n">
        <v>45555</v>
      </c>
      <c r="C445" s="34" t="n">
        <v>45558</v>
      </c>
      <c r="D445" s="33" t="n">
        <v>35</v>
      </c>
      <c r="E445" s="33" t="s">
        <v>139</v>
      </c>
      <c r="F445" s="33" t="s">
        <v>181</v>
      </c>
      <c r="G445" s="33" t="s">
        <v>237</v>
      </c>
      <c r="H445" s="33" t="s">
        <v>245</v>
      </c>
      <c r="I445" s="33" t="s">
        <v>143</v>
      </c>
      <c r="J445" s="33" t="s">
        <v>159</v>
      </c>
      <c r="K445" s="33" t="s">
        <v>145</v>
      </c>
      <c r="L445" s="35" t="n">
        <v>5826.51</v>
      </c>
      <c r="M445" s="33" t="n">
        <v>5</v>
      </c>
      <c r="N445" s="33" t="s">
        <v>210</v>
      </c>
      <c r="O445" s="33" t="s">
        <v>147</v>
      </c>
    </row>
    <row r="446" customFormat="false" ht="15" hidden="false" customHeight="false" outlineLevel="0" collapsed="false">
      <c r="A446" s="33" t="s">
        <v>660</v>
      </c>
      <c r="B446" s="34" t="n">
        <v>45532</v>
      </c>
      <c r="C446" s="34" t="n">
        <v>45535</v>
      </c>
      <c r="D446" s="33" t="n">
        <v>2</v>
      </c>
      <c r="E446" s="33" t="s">
        <v>139</v>
      </c>
      <c r="F446" s="33" t="s">
        <v>288</v>
      </c>
      <c r="G446" s="33" t="s">
        <v>156</v>
      </c>
      <c r="H446" s="33" t="s">
        <v>157</v>
      </c>
      <c r="I446" s="33" t="s">
        <v>143</v>
      </c>
      <c r="J446" s="33" t="s">
        <v>159</v>
      </c>
      <c r="K446" s="33" t="s">
        <v>184</v>
      </c>
      <c r="L446" s="35" t="n">
        <v>2885.77</v>
      </c>
      <c r="M446" s="33" t="n">
        <v>3</v>
      </c>
      <c r="N446" s="33" t="s">
        <v>210</v>
      </c>
      <c r="O446" s="33" t="s">
        <v>147</v>
      </c>
    </row>
    <row r="447" customFormat="false" ht="15" hidden="false" customHeight="false" outlineLevel="0" collapsed="false">
      <c r="A447" s="33" t="s">
        <v>661</v>
      </c>
      <c r="B447" s="34" t="n">
        <v>45577</v>
      </c>
      <c r="C447" s="34" t="n">
        <v>45580</v>
      </c>
      <c r="D447" s="33" t="n">
        <v>61</v>
      </c>
      <c r="E447" s="33" t="s">
        <v>139</v>
      </c>
      <c r="F447" s="33" t="s">
        <v>173</v>
      </c>
      <c r="G447" s="33" t="s">
        <v>178</v>
      </c>
      <c r="H447" s="33" t="s">
        <v>199</v>
      </c>
      <c r="I447" s="33" t="s">
        <v>143</v>
      </c>
      <c r="J447" s="33" t="s">
        <v>176</v>
      </c>
      <c r="K447" s="33" t="s">
        <v>145</v>
      </c>
      <c r="L447" s="35" t="n">
        <v>29126.72</v>
      </c>
      <c r="M447" s="33" t="n">
        <v>4</v>
      </c>
      <c r="N447" s="33" t="s">
        <v>146</v>
      </c>
      <c r="O447" s="33" t="s">
        <v>206</v>
      </c>
    </row>
    <row r="448" customFormat="false" ht="15" hidden="false" customHeight="false" outlineLevel="0" collapsed="false">
      <c r="A448" s="33" t="s">
        <v>662</v>
      </c>
      <c r="B448" s="34" t="n">
        <v>45378</v>
      </c>
      <c r="C448" s="34" t="n">
        <v>45379</v>
      </c>
      <c r="D448" s="33" t="n">
        <v>29</v>
      </c>
      <c r="E448" s="33" t="s">
        <v>180</v>
      </c>
      <c r="F448" s="33" t="s">
        <v>203</v>
      </c>
      <c r="G448" s="33" t="s">
        <v>232</v>
      </c>
      <c r="H448" s="33" t="s">
        <v>193</v>
      </c>
      <c r="I448" s="33" t="s">
        <v>152</v>
      </c>
      <c r="J448" s="33" t="s">
        <v>144</v>
      </c>
      <c r="K448" s="33" t="s">
        <v>160</v>
      </c>
      <c r="L448" s="35" t="n">
        <v>1627.54</v>
      </c>
      <c r="M448" s="33" t="n">
        <v>3</v>
      </c>
      <c r="N448" s="33" t="s">
        <v>146</v>
      </c>
      <c r="O448" s="33" t="s">
        <v>147</v>
      </c>
    </row>
    <row r="449" customFormat="false" ht="15" hidden="false" customHeight="false" outlineLevel="0" collapsed="false">
      <c r="A449" s="33" t="s">
        <v>663</v>
      </c>
      <c r="B449" s="34" t="n">
        <v>45590</v>
      </c>
      <c r="C449" s="34" t="n">
        <v>45592</v>
      </c>
      <c r="D449" s="33" t="n">
        <v>25</v>
      </c>
      <c r="E449" s="33" t="s">
        <v>139</v>
      </c>
      <c r="F449" s="33" t="s">
        <v>149</v>
      </c>
      <c r="G449" s="33" t="s">
        <v>243</v>
      </c>
      <c r="H449" s="33" t="s">
        <v>151</v>
      </c>
      <c r="I449" s="33" t="s">
        <v>143</v>
      </c>
      <c r="J449" s="33" t="s">
        <v>159</v>
      </c>
      <c r="K449" s="33" t="s">
        <v>209</v>
      </c>
      <c r="L449" s="35" t="n">
        <v>2681.52</v>
      </c>
      <c r="M449" s="33" t="n">
        <v>4</v>
      </c>
      <c r="N449" s="33" t="s">
        <v>146</v>
      </c>
      <c r="O449" s="33" t="s">
        <v>147</v>
      </c>
    </row>
    <row r="450" customFormat="false" ht="15" hidden="false" customHeight="false" outlineLevel="0" collapsed="false">
      <c r="A450" s="33" t="s">
        <v>664</v>
      </c>
      <c r="B450" s="34" t="n">
        <v>45363</v>
      </c>
      <c r="C450" s="34" t="n">
        <v>45364</v>
      </c>
      <c r="D450" s="33" t="n">
        <v>52</v>
      </c>
      <c r="E450" s="33" t="s">
        <v>139</v>
      </c>
      <c r="F450" s="33" t="s">
        <v>140</v>
      </c>
      <c r="G450" s="33" t="s">
        <v>141</v>
      </c>
      <c r="H450" s="33" t="s">
        <v>142</v>
      </c>
      <c r="I450" s="33" t="s">
        <v>143</v>
      </c>
      <c r="J450" s="33" t="s">
        <v>159</v>
      </c>
      <c r="K450" s="33" t="s">
        <v>160</v>
      </c>
      <c r="L450" s="35" t="n">
        <v>2678.38</v>
      </c>
      <c r="M450" s="36"/>
      <c r="N450" s="33" t="s">
        <v>146</v>
      </c>
      <c r="O450" s="33" t="s">
        <v>147</v>
      </c>
    </row>
    <row r="451" customFormat="false" ht="15" hidden="false" customHeight="false" outlineLevel="0" collapsed="false">
      <c r="A451" s="33" t="s">
        <v>665</v>
      </c>
      <c r="B451" s="34" t="n">
        <v>45524</v>
      </c>
      <c r="C451" s="34" t="n">
        <v>45528</v>
      </c>
      <c r="D451" s="33" t="n">
        <v>96</v>
      </c>
      <c r="E451" s="33" t="s">
        <v>139</v>
      </c>
      <c r="F451" s="33" t="s">
        <v>169</v>
      </c>
      <c r="G451" s="33" t="s">
        <v>213</v>
      </c>
      <c r="H451" s="33" t="s">
        <v>171</v>
      </c>
      <c r="I451" s="33" t="s">
        <v>143</v>
      </c>
      <c r="J451" s="33" t="s">
        <v>144</v>
      </c>
      <c r="K451" s="33" t="s">
        <v>145</v>
      </c>
      <c r="L451" s="35" t="n">
        <v>8514.71</v>
      </c>
      <c r="M451" s="33" t="n">
        <v>5</v>
      </c>
      <c r="N451" s="33" t="s">
        <v>146</v>
      </c>
      <c r="O451" s="33" t="s">
        <v>147</v>
      </c>
    </row>
    <row r="452" customFormat="false" ht="15" hidden="false" customHeight="false" outlineLevel="0" collapsed="false">
      <c r="A452" s="33" t="s">
        <v>666</v>
      </c>
      <c r="B452" s="34" t="n">
        <v>45443</v>
      </c>
      <c r="C452" s="34" t="n">
        <v>45444</v>
      </c>
      <c r="D452" s="33" t="n">
        <v>71</v>
      </c>
      <c r="E452" s="33" t="s">
        <v>216</v>
      </c>
      <c r="F452" s="33" t="s">
        <v>173</v>
      </c>
      <c r="G452" s="33" t="s">
        <v>178</v>
      </c>
      <c r="H452" s="33" t="s">
        <v>199</v>
      </c>
      <c r="I452" s="33" t="s">
        <v>158</v>
      </c>
      <c r="J452" s="33" t="s">
        <v>159</v>
      </c>
      <c r="K452" s="33" t="s">
        <v>209</v>
      </c>
      <c r="L452" s="35" t="n">
        <v>1852.47</v>
      </c>
      <c r="M452" s="33" t="n">
        <v>3</v>
      </c>
      <c r="N452" s="33" t="s">
        <v>146</v>
      </c>
      <c r="O452" s="33" t="s">
        <v>147</v>
      </c>
    </row>
    <row r="453" customFormat="false" ht="15" hidden="false" customHeight="false" outlineLevel="0" collapsed="false">
      <c r="A453" s="33" t="s">
        <v>667</v>
      </c>
      <c r="B453" s="34" t="n">
        <v>45294</v>
      </c>
      <c r="C453" s="34" t="n">
        <v>45295</v>
      </c>
      <c r="D453" s="33" t="n">
        <v>43</v>
      </c>
      <c r="E453" s="33" t="s">
        <v>139</v>
      </c>
      <c r="F453" s="33" t="s">
        <v>203</v>
      </c>
      <c r="G453" s="33" t="s">
        <v>232</v>
      </c>
      <c r="H453" s="33" t="s">
        <v>193</v>
      </c>
      <c r="I453" s="33" t="s">
        <v>143</v>
      </c>
      <c r="J453" s="33" t="s">
        <v>176</v>
      </c>
      <c r="K453" s="33" t="s">
        <v>160</v>
      </c>
      <c r="L453" s="35" t="n">
        <v>3474.5</v>
      </c>
      <c r="M453" s="33" t="n">
        <v>2</v>
      </c>
      <c r="N453" s="33" t="s">
        <v>146</v>
      </c>
      <c r="O453" s="33" t="s">
        <v>147</v>
      </c>
    </row>
    <row r="454" customFormat="false" ht="15" hidden="false" customHeight="false" outlineLevel="0" collapsed="false">
      <c r="A454" s="33" t="s">
        <v>668</v>
      </c>
      <c r="B454" s="34" t="n">
        <v>45532</v>
      </c>
      <c r="C454" s="34" t="n">
        <v>45533</v>
      </c>
      <c r="D454" s="33" t="n">
        <v>63</v>
      </c>
      <c r="E454" s="33" t="s">
        <v>190</v>
      </c>
      <c r="F454" s="33" t="s">
        <v>140</v>
      </c>
      <c r="G454" s="33" t="s">
        <v>316</v>
      </c>
      <c r="H454" s="33" t="s">
        <v>290</v>
      </c>
      <c r="I454" s="33" t="s">
        <v>143</v>
      </c>
      <c r="J454" s="33" t="s">
        <v>159</v>
      </c>
      <c r="K454" s="33" t="s">
        <v>145</v>
      </c>
      <c r="L454" s="35" t="n">
        <v>2000.67</v>
      </c>
      <c r="M454" s="33" t="n">
        <v>5</v>
      </c>
      <c r="N454" s="33" t="s">
        <v>146</v>
      </c>
      <c r="O454" s="33" t="s">
        <v>147</v>
      </c>
    </row>
    <row r="455" customFormat="false" ht="15" hidden="false" customHeight="false" outlineLevel="0" collapsed="false">
      <c r="A455" s="33" t="s">
        <v>669</v>
      </c>
      <c r="B455" s="34" t="n">
        <v>45647</v>
      </c>
      <c r="C455" s="34" t="n">
        <v>45650</v>
      </c>
      <c r="D455" s="33" t="n">
        <v>93</v>
      </c>
      <c r="E455" s="33" t="s">
        <v>154</v>
      </c>
      <c r="F455" s="33" t="s">
        <v>181</v>
      </c>
      <c r="G455" s="33" t="s">
        <v>188</v>
      </c>
      <c r="H455" s="33" t="s">
        <v>183</v>
      </c>
      <c r="I455" s="33" t="s">
        <v>143</v>
      </c>
      <c r="J455" s="33" t="s">
        <v>159</v>
      </c>
      <c r="K455" s="33" t="s">
        <v>160</v>
      </c>
      <c r="L455" s="35" t="n">
        <v>6845.38</v>
      </c>
      <c r="M455" s="33" t="n">
        <v>4</v>
      </c>
      <c r="N455" s="33" t="s">
        <v>210</v>
      </c>
      <c r="O455" s="33" t="s">
        <v>147</v>
      </c>
    </row>
    <row r="456" customFormat="false" ht="15" hidden="false" customHeight="false" outlineLevel="0" collapsed="false">
      <c r="A456" s="33" t="s">
        <v>670</v>
      </c>
      <c r="B456" s="34" t="n">
        <v>45394</v>
      </c>
      <c r="C456" s="34" t="n">
        <v>45405</v>
      </c>
      <c r="D456" s="33" t="n">
        <v>62</v>
      </c>
      <c r="E456" s="33" t="s">
        <v>139</v>
      </c>
      <c r="F456" s="33" t="s">
        <v>169</v>
      </c>
      <c r="G456" s="33" t="s">
        <v>213</v>
      </c>
      <c r="H456" s="33" t="s">
        <v>164</v>
      </c>
      <c r="I456" s="33" t="s">
        <v>143</v>
      </c>
      <c r="J456" s="33" t="s">
        <v>159</v>
      </c>
      <c r="K456" s="33" t="s">
        <v>184</v>
      </c>
      <c r="L456" s="35" t="n">
        <v>10743.92</v>
      </c>
      <c r="M456" s="33" t="n">
        <v>3</v>
      </c>
      <c r="N456" s="33" t="s">
        <v>146</v>
      </c>
      <c r="O456" s="33" t="s">
        <v>147</v>
      </c>
    </row>
    <row r="457" customFormat="false" ht="15" hidden="false" customHeight="false" outlineLevel="0" collapsed="false">
      <c r="A457" s="33" t="s">
        <v>671</v>
      </c>
      <c r="B457" s="34" t="n">
        <v>45501</v>
      </c>
      <c r="C457" s="34" t="n">
        <v>45503</v>
      </c>
      <c r="D457" s="33" t="n">
        <v>80</v>
      </c>
      <c r="E457" s="33" t="s">
        <v>279</v>
      </c>
      <c r="F457" s="33" t="s">
        <v>140</v>
      </c>
      <c r="G457" s="33" t="s">
        <v>316</v>
      </c>
      <c r="H457" s="33" t="s">
        <v>290</v>
      </c>
      <c r="I457" s="33" t="s">
        <v>143</v>
      </c>
      <c r="J457" s="33" t="s">
        <v>159</v>
      </c>
      <c r="K457" s="33" t="s">
        <v>184</v>
      </c>
      <c r="L457" s="35" t="n">
        <v>3722.5</v>
      </c>
      <c r="M457" s="33" t="n">
        <v>4</v>
      </c>
      <c r="N457" s="33" t="s">
        <v>146</v>
      </c>
      <c r="O457" s="33" t="s">
        <v>147</v>
      </c>
    </row>
    <row r="458" customFormat="false" ht="15" hidden="false" customHeight="false" outlineLevel="0" collapsed="false">
      <c r="A458" s="33" t="s">
        <v>672</v>
      </c>
      <c r="B458" s="34" t="n">
        <v>45515</v>
      </c>
      <c r="C458" s="34" t="n">
        <v>45517</v>
      </c>
      <c r="D458" s="33" t="n">
        <v>29</v>
      </c>
      <c r="E458" s="33" t="s">
        <v>154</v>
      </c>
      <c r="F458" s="33" t="s">
        <v>173</v>
      </c>
      <c r="G458" s="33" t="s">
        <v>174</v>
      </c>
      <c r="H458" s="33" t="s">
        <v>199</v>
      </c>
      <c r="I458" s="33" t="s">
        <v>143</v>
      </c>
      <c r="J458" s="33" t="s">
        <v>159</v>
      </c>
      <c r="K458" s="33" t="s">
        <v>184</v>
      </c>
      <c r="L458" s="35" t="n">
        <v>4233.77</v>
      </c>
      <c r="M458" s="33" t="n">
        <v>4</v>
      </c>
      <c r="N458" s="33" t="s">
        <v>146</v>
      </c>
      <c r="O458" s="36"/>
    </row>
    <row r="459" customFormat="false" ht="15" hidden="false" customHeight="false" outlineLevel="0" collapsed="false">
      <c r="A459" s="33" t="s">
        <v>673</v>
      </c>
      <c r="B459" s="34" t="n">
        <v>45441</v>
      </c>
      <c r="C459" s="34" t="n">
        <v>45446</v>
      </c>
      <c r="D459" s="33" t="n">
        <v>56</v>
      </c>
      <c r="E459" s="33" t="s">
        <v>154</v>
      </c>
      <c r="F459" s="33" t="s">
        <v>140</v>
      </c>
      <c r="G459" s="33" t="s">
        <v>167</v>
      </c>
      <c r="H459" s="33" t="s">
        <v>290</v>
      </c>
      <c r="I459" s="33" t="s">
        <v>152</v>
      </c>
      <c r="J459" s="33" t="s">
        <v>159</v>
      </c>
      <c r="K459" s="33" t="s">
        <v>145</v>
      </c>
      <c r="L459" s="35" t="n">
        <v>12321.45</v>
      </c>
      <c r="M459" s="33" t="n">
        <v>3</v>
      </c>
      <c r="N459" s="33" t="s">
        <v>146</v>
      </c>
      <c r="O459" s="33" t="s">
        <v>147</v>
      </c>
    </row>
    <row r="460" customFormat="false" ht="15" hidden="false" customHeight="false" outlineLevel="0" collapsed="false">
      <c r="A460" s="33" t="s">
        <v>674</v>
      </c>
      <c r="B460" s="34" t="n">
        <v>45584</v>
      </c>
      <c r="C460" s="34" t="n">
        <v>45585</v>
      </c>
      <c r="D460" s="33" t="n">
        <v>65</v>
      </c>
      <c r="E460" s="33" t="s">
        <v>154</v>
      </c>
      <c r="F460" s="33" t="s">
        <v>203</v>
      </c>
      <c r="G460" s="33" t="s">
        <v>217</v>
      </c>
      <c r="H460" s="33" t="s">
        <v>205</v>
      </c>
      <c r="I460" s="33" t="s">
        <v>143</v>
      </c>
      <c r="J460" s="33" t="s">
        <v>159</v>
      </c>
      <c r="K460" s="33" t="s">
        <v>160</v>
      </c>
      <c r="L460" s="35" t="n">
        <v>878.79</v>
      </c>
      <c r="M460" s="33" t="n">
        <v>4</v>
      </c>
      <c r="N460" s="33" t="s">
        <v>146</v>
      </c>
      <c r="O460" s="33" t="s">
        <v>147</v>
      </c>
    </row>
    <row r="461" customFormat="false" ht="15" hidden="false" customHeight="false" outlineLevel="0" collapsed="false">
      <c r="A461" s="33" t="s">
        <v>675</v>
      </c>
      <c r="B461" s="34" t="n">
        <v>45302</v>
      </c>
      <c r="C461" s="34" t="n">
        <v>45309</v>
      </c>
      <c r="D461" s="33" t="n">
        <v>9</v>
      </c>
      <c r="E461" s="33" t="s">
        <v>139</v>
      </c>
      <c r="F461" s="33" t="s">
        <v>155</v>
      </c>
      <c r="G461" s="33" t="s">
        <v>302</v>
      </c>
      <c r="H461" s="33" t="s">
        <v>157</v>
      </c>
      <c r="I461" s="33" t="s">
        <v>143</v>
      </c>
      <c r="J461" s="33" t="s">
        <v>159</v>
      </c>
      <c r="K461" s="33" t="s">
        <v>145</v>
      </c>
      <c r="L461" s="35" t="n">
        <v>6548.06</v>
      </c>
      <c r="M461" s="33" t="n">
        <v>4</v>
      </c>
      <c r="N461" s="33" t="s">
        <v>146</v>
      </c>
      <c r="O461" s="33" t="s">
        <v>147</v>
      </c>
    </row>
    <row r="462" customFormat="false" ht="15" hidden="false" customHeight="false" outlineLevel="0" collapsed="false">
      <c r="A462" s="33" t="s">
        <v>676</v>
      </c>
      <c r="B462" s="34" t="n">
        <v>45645</v>
      </c>
      <c r="C462" s="34" t="n">
        <v>45655</v>
      </c>
      <c r="D462" s="33" t="n">
        <v>47</v>
      </c>
      <c r="E462" s="33" t="s">
        <v>139</v>
      </c>
      <c r="F462" s="33" t="s">
        <v>140</v>
      </c>
      <c r="G462" s="33" t="s">
        <v>316</v>
      </c>
      <c r="H462" s="33" t="s">
        <v>142</v>
      </c>
      <c r="I462" s="33" t="s">
        <v>158</v>
      </c>
      <c r="J462" s="33" t="s">
        <v>176</v>
      </c>
      <c r="K462" s="33" t="s">
        <v>160</v>
      </c>
      <c r="L462" s="35" t="n">
        <v>81682.57</v>
      </c>
      <c r="M462" s="33" t="n">
        <v>5</v>
      </c>
      <c r="N462" s="33" t="s">
        <v>146</v>
      </c>
      <c r="O462" s="33" t="s">
        <v>147</v>
      </c>
    </row>
    <row r="463" customFormat="false" ht="15" hidden="false" customHeight="false" outlineLevel="0" collapsed="false">
      <c r="A463" s="33" t="s">
        <v>677</v>
      </c>
      <c r="B463" s="34" t="n">
        <v>45398</v>
      </c>
      <c r="C463" s="34" t="n">
        <v>45400</v>
      </c>
      <c r="D463" s="33" t="n">
        <v>51</v>
      </c>
      <c r="E463" s="33" t="s">
        <v>139</v>
      </c>
      <c r="F463" s="33" t="s">
        <v>169</v>
      </c>
      <c r="G463" s="33" t="s">
        <v>163</v>
      </c>
      <c r="H463" s="33" t="s">
        <v>171</v>
      </c>
      <c r="I463" s="33" t="s">
        <v>143</v>
      </c>
      <c r="J463" s="33" t="s">
        <v>159</v>
      </c>
      <c r="K463" s="33" t="s">
        <v>184</v>
      </c>
      <c r="L463" s="35" t="n">
        <v>2196.54</v>
      </c>
      <c r="M463" s="33" t="n">
        <v>5</v>
      </c>
      <c r="N463" s="33" t="s">
        <v>146</v>
      </c>
      <c r="O463" s="33" t="s">
        <v>147</v>
      </c>
    </row>
    <row r="464" customFormat="false" ht="15" hidden="false" customHeight="false" outlineLevel="0" collapsed="false">
      <c r="A464" s="33" t="s">
        <v>678</v>
      </c>
      <c r="B464" s="34" t="n">
        <v>45519</v>
      </c>
      <c r="C464" s="34" t="n">
        <v>45526</v>
      </c>
      <c r="D464" s="33" t="n">
        <v>55</v>
      </c>
      <c r="E464" s="33" t="s">
        <v>154</v>
      </c>
      <c r="F464" s="33" t="s">
        <v>169</v>
      </c>
      <c r="G464" s="33" t="s">
        <v>213</v>
      </c>
      <c r="H464" s="33" t="s">
        <v>164</v>
      </c>
      <c r="I464" s="33" t="s">
        <v>143</v>
      </c>
      <c r="J464" s="33" t="s">
        <v>159</v>
      </c>
      <c r="K464" s="33" t="s">
        <v>145</v>
      </c>
      <c r="L464" s="35" t="n">
        <v>8811.1</v>
      </c>
      <c r="M464" s="33" t="n">
        <v>5</v>
      </c>
      <c r="N464" s="33" t="s">
        <v>146</v>
      </c>
      <c r="O464" s="33" t="s">
        <v>147</v>
      </c>
    </row>
    <row r="465" customFormat="false" ht="15" hidden="false" customHeight="false" outlineLevel="0" collapsed="false">
      <c r="A465" s="33" t="s">
        <v>679</v>
      </c>
      <c r="B465" s="34" t="n">
        <v>45643</v>
      </c>
      <c r="C465" s="34" t="n">
        <v>45649</v>
      </c>
      <c r="D465" s="33" t="n">
        <v>33</v>
      </c>
      <c r="E465" s="33" t="s">
        <v>139</v>
      </c>
      <c r="F465" s="33" t="s">
        <v>140</v>
      </c>
      <c r="G465" s="33" t="s">
        <v>167</v>
      </c>
      <c r="H465" s="33" t="s">
        <v>290</v>
      </c>
      <c r="I465" s="33" t="s">
        <v>152</v>
      </c>
      <c r="J465" s="33" t="s">
        <v>159</v>
      </c>
      <c r="K465" s="33" t="s">
        <v>145</v>
      </c>
      <c r="L465" s="35" t="n">
        <v>13170.83</v>
      </c>
      <c r="M465" s="33" t="n">
        <v>5</v>
      </c>
      <c r="N465" s="33" t="s">
        <v>146</v>
      </c>
      <c r="O465" s="33" t="s">
        <v>147</v>
      </c>
    </row>
    <row r="466" customFormat="false" ht="15" hidden="false" customHeight="false" outlineLevel="0" collapsed="false">
      <c r="A466" s="33" t="s">
        <v>680</v>
      </c>
      <c r="B466" s="34" t="n">
        <v>45449</v>
      </c>
      <c r="C466" s="34" t="n">
        <v>45450</v>
      </c>
      <c r="D466" s="33" t="n">
        <v>5</v>
      </c>
      <c r="E466" s="33" t="s">
        <v>154</v>
      </c>
      <c r="F466" s="33" t="s">
        <v>155</v>
      </c>
      <c r="G466" s="33" t="s">
        <v>220</v>
      </c>
      <c r="H466" s="33" t="s">
        <v>157</v>
      </c>
      <c r="I466" s="33" t="s">
        <v>152</v>
      </c>
      <c r="J466" s="33" t="s">
        <v>144</v>
      </c>
      <c r="K466" s="33" t="s">
        <v>184</v>
      </c>
      <c r="L466" s="35" t="n">
        <v>1215.67</v>
      </c>
      <c r="M466" s="33" t="n">
        <v>4</v>
      </c>
      <c r="N466" s="33" t="s">
        <v>146</v>
      </c>
      <c r="O466" s="33" t="s">
        <v>147</v>
      </c>
    </row>
    <row r="467" customFormat="false" ht="15" hidden="false" customHeight="false" outlineLevel="0" collapsed="false">
      <c r="A467" s="33" t="s">
        <v>681</v>
      </c>
      <c r="B467" s="34" t="n">
        <v>45562</v>
      </c>
      <c r="C467" s="34" t="n">
        <v>45563</v>
      </c>
      <c r="D467" s="33" t="n">
        <v>67</v>
      </c>
      <c r="E467" s="33" t="s">
        <v>139</v>
      </c>
      <c r="F467" s="33" t="s">
        <v>240</v>
      </c>
      <c r="G467" s="33" t="s">
        <v>232</v>
      </c>
      <c r="H467" s="33" t="s">
        <v>205</v>
      </c>
      <c r="I467" s="33" t="s">
        <v>143</v>
      </c>
      <c r="J467" s="33" t="s">
        <v>159</v>
      </c>
      <c r="K467" s="36"/>
      <c r="L467" s="35" t="n">
        <v>770.58</v>
      </c>
      <c r="M467" s="33" t="n">
        <v>4</v>
      </c>
      <c r="N467" s="33" t="s">
        <v>146</v>
      </c>
      <c r="O467" s="33" t="s">
        <v>147</v>
      </c>
    </row>
    <row r="468" customFormat="false" ht="15" hidden="false" customHeight="false" outlineLevel="0" collapsed="false">
      <c r="A468" s="33" t="s">
        <v>682</v>
      </c>
      <c r="B468" s="34" t="n">
        <v>45486</v>
      </c>
      <c r="C468" s="34" t="n">
        <v>45494</v>
      </c>
      <c r="D468" s="33" t="n">
        <v>52</v>
      </c>
      <c r="E468" s="33" t="s">
        <v>139</v>
      </c>
      <c r="F468" s="33" t="s">
        <v>181</v>
      </c>
      <c r="G468" s="33" t="s">
        <v>182</v>
      </c>
      <c r="H468" s="33" t="s">
        <v>183</v>
      </c>
      <c r="I468" s="33" t="s">
        <v>143</v>
      </c>
      <c r="J468" s="33" t="s">
        <v>144</v>
      </c>
      <c r="K468" s="33" t="s">
        <v>145</v>
      </c>
      <c r="L468" s="35" t="n">
        <v>37165.31</v>
      </c>
      <c r="M468" s="33" t="n">
        <v>4</v>
      </c>
      <c r="N468" s="33" t="s">
        <v>210</v>
      </c>
      <c r="O468" s="33" t="s">
        <v>247</v>
      </c>
    </row>
    <row r="469" customFormat="false" ht="15" hidden="false" customHeight="false" outlineLevel="0" collapsed="false">
      <c r="A469" s="33" t="s">
        <v>683</v>
      </c>
      <c r="B469" s="34" t="n">
        <v>45533</v>
      </c>
      <c r="C469" s="34" t="n">
        <v>45534</v>
      </c>
      <c r="D469" s="33" t="n">
        <v>26</v>
      </c>
      <c r="E469" s="33" t="s">
        <v>139</v>
      </c>
      <c r="F469" s="33" t="s">
        <v>149</v>
      </c>
      <c r="G469" s="33" t="s">
        <v>243</v>
      </c>
      <c r="H469" s="33" t="s">
        <v>186</v>
      </c>
      <c r="I469" s="33" t="s">
        <v>152</v>
      </c>
      <c r="J469" s="33" t="s">
        <v>159</v>
      </c>
      <c r="K469" s="33" t="s">
        <v>145</v>
      </c>
      <c r="L469" s="35" t="n">
        <v>1592.93</v>
      </c>
      <c r="M469" s="33" t="n">
        <v>4</v>
      </c>
      <c r="N469" s="33" t="s">
        <v>146</v>
      </c>
      <c r="O469" s="33" t="s">
        <v>295</v>
      </c>
    </row>
    <row r="470" customFormat="false" ht="15" hidden="false" customHeight="false" outlineLevel="0" collapsed="false">
      <c r="A470" s="33" t="s">
        <v>684</v>
      </c>
      <c r="B470" s="34" t="n">
        <v>45321</v>
      </c>
      <c r="C470" s="34" t="n">
        <v>45324</v>
      </c>
      <c r="D470" s="33" t="n">
        <v>4</v>
      </c>
      <c r="E470" s="33" t="s">
        <v>139</v>
      </c>
      <c r="F470" s="33" t="s">
        <v>155</v>
      </c>
      <c r="G470" s="33" t="s">
        <v>302</v>
      </c>
      <c r="H470" s="33" t="s">
        <v>157</v>
      </c>
      <c r="I470" s="33" t="s">
        <v>143</v>
      </c>
      <c r="J470" s="33" t="s">
        <v>176</v>
      </c>
      <c r="K470" s="33" t="s">
        <v>145</v>
      </c>
      <c r="L470" s="35" t="n">
        <v>8518.45</v>
      </c>
      <c r="M470" s="33" t="n">
        <v>5</v>
      </c>
      <c r="N470" s="33" t="s">
        <v>146</v>
      </c>
      <c r="O470" s="36"/>
    </row>
    <row r="471" customFormat="false" ht="15" hidden="false" customHeight="false" outlineLevel="0" collapsed="false">
      <c r="A471" s="33" t="s">
        <v>685</v>
      </c>
      <c r="B471" s="34" t="n">
        <v>45358</v>
      </c>
      <c r="C471" s="34" t="n">
        <v>45359</v>
      </c>
      <c r="D471" s="33" t="n">
        <v>35</v>
      </c>
      <c r="E471" s="33" t="s">
        <v>139</v>
      </c>
      <c r="F471" s="33" t="s">
        <v>191</v>
      </c>
      <c r="G471" s="33" t="s">
        <v>204</v>
      </c>
      <c r="H471" s="33" t="s">
        <v>205</v>
      </c>
      <c r="I471" s="33" t="s">
        <v>143</v>
      </c>
      <c r="J471" s="33" t="s">
        <v>176</v>
      </c>
      <c r="K471" s="33" t="s">
        <v>184</v>
      </c>
      <c r="L471" s="35" t="n">
        <v>2816.56</v>
      </c>
      <c r="M471" s="33" t="n">
        <v>3</v>
      </c>
      <c r="N471" s="33" t="s">
        <v>146</v>
      </c>
      <c r="O471" s="36"/>
    </row>
    <row r="472" customFormat="false" ht="15" hidden="false" customHeight="false" outlineLevel="0" collapsed="false">
      <c r="A472" s="33" t="s">
        <v>686</v>
      </c>
      <c r="B472" s="34" t="n">
        <v>45413</v>
      </c>
      <c r="C472" s="34" t="n">
        <v>45417</v>
      </c>
      <c r="D472" s="33" t="n">
        <v>47</v>
      </c>
      <c r="E472" s="33" t="s">
        <v>154</v>
      </c>
      <c r="F472" s="33" t="s">
        <v>173</v>
      </c>
      <c r="G472" s="33" t="s">
        <v>178</v>
      </c>
      <c r="H472" s="33" t="s">
        <v>199</v>
      </c>
      <c r="I472" s="33" t="s">
        <v>143</v>
      </c>
      <c r="J472" s="33" t="s">
        <v>144</v>
      </c>
      <c r="K472" s="33" t="s">
        <v>145</v>
      </c>
      <c r="L472" s="35" t="n">
        <v>19685.42</v>
      </c>
      <c r="M472" s="33" t="n">
        <v>3</v>
      </c>
      <c r="N472" s="33" t="s">
        <v>146</v>
      </c>
      <c r="O472" s="33" t="s">
        <v>147</v>
      </c>
    </row>
    <row r="473" customFormat="false" ht="15" hidden="false" customHeight="false" outlineLevel="0" collapsed="false">
      <c r="A473" s="33" t="s">
        <v>687</v>
      </c>
      <c r="B473" s="34" t="n">
        <v>45300</v>
      </c>
      <c r="C473" s="34" t="n">
        <v>45304</v>
      </c>
      <c r="D473" s="33" t="n">
        <v>56</v>
      </c>
      <c r="E473" s="33" t="s">
        <v>139</v>
      </c>
      <c r="F473" s="33" t="s">
        <v>169</v>
      </c>
      <c r="G473" s="33" t="s">
        <v>170</v>
      </c>
      <c r="H473" s="33" t="s">
        <v>195</v>
      </c>
      <c r="I473" s="33" t="s">
        <v>143</v>
      </c>
      <c r="J473" s="33" t="s">
        <v>159</v>
      </c>
      <c r="K473" s="33" t="s">
        <v>184</v>
      </c>
      <c r="L473" s="35" t="n">
        <v>4941.14</v>
      </c>
      <c r="M473" s="33" t="n">
        <v>4</v>
      </c>
      <c r="N473" s="33" t="s">
        <v>146</v>
      </c>
      <c r="O473" s="33" t="s">
        <v>147</v>
      </c>
    </row>
    <row r="474" customFormat="false" ht="15" hidden="false" customHeight="false" outlineLevel="0" collapsed="false">
      <c r="A474" s="33" t="s">
        <v>688</v>
      </c>
      <c r="B474" s="34" t="n">
        <v>45613</v>
      </c>
      <c r="C474" s="34" t="n">
        <v>45614</v>
      </c>
      <c r="D474" s="33" t="n">
        <v>52</v>
      </c>
      <c r="E474" s="33" t="s">
        <v>154</v>
      </c>
      <c r="F474" s="33" t="s">
        <v>173</v>
      </c>
      <c r="G474" s="33" t="s">
        <v>198</v>
      </c>
      <c r="H474" s="33" t="s">
        <v>175</v>
      </c>
      <c r="I474" s="33" t="s">
        <v>143</v>
      </c>
      <c r="J474" s="33" t="s">
        <v>176</v>
      </c>
      <c r="K474" s="33" t="s">
        <v>184</v>
      </c>
      <c r="L474" s="37" t="n">
        <v>-500</v>
      </c>
      <c r="M474" s="33" t="n">
        <v>5</v>
      </c>
      <c r="N474" s="33" t="s">
        <v>146</v>
      </c>
      <c r="O474" s="33" t="s">
        <v>147</v>
      </c>
    </row>
    <row r="475" customFormat="false" ht="15" hidden="false" customHeight="false" outlineLevel="0" collapsed="false">
      <c r="A475" s="33" t="s">
        <v>689</v>
      </c>
      <c r="B475" s="34" t="n">
        <v>45384</v>
      </c>
      <c r="C475" s="34" t="n">
        <v>45385</v>
      </c>
      <c r="D475" s="33" t="n">
        <v>31</v>
      </c>
      <c r="E475" s="33" t="s">
        <v>139</v>
      </c>
      <c r="F475" s="33" t="s">
        <v>149</v>
      </c>
      <c r="G475" s="33" t="s">
        <v>224</v>
      </c>
      <c r="H475" s="33" t="s">
        <v>151</v>
      </c>
      <c r="I475" s="33" t="s">
        <v>143</v>
      </c>
      <c r="J475" s="33" t="s">
        <v>159</v>
      </c>
      <c r="K475" s="33" t="s">
        <v>145</v>
      </c>
      <c r="L475" s="35" t="n">
        <v>1281.07</v>
      </c>
      <c r="M475" s="33" t="n">
        <v>4</v>
      </c>
      <c r="N475" s="33" t="s">
        <v>210</v>
      </c>
      <c r="O475" s="33" t="s">
        <v>147</v>
      </c>
    </row>
    <row r="476" customFormat="false" ht="15" hidden="false" customHeight="false" outlineLevel="0" collapsed="false">
      <c r="A476" s="33" t="s">
        <v>690</v>
      </c>
      <c r="B476" s="34" t="n">
        <v>45338</v>
      </c>
      <c r="C476" s="34" t="n">
        <v>45340</v>
      </c>
      <c r="D476" s="33" t="n">
        <v>46</v>
      </c>
      <c r="E476" s="33" t="s">
        <v>139</v>
      </c>
      <c r="F476" s="33" t="s">
        <v>140</v>
      </c>
      <c r="G476" s="33" t="s">
        <v>316</v>
      </c>
      <c r="H476" s="33" t="s">
        <v>290</v>
      </c>
      <c r="I476" s="33" t="s">
        <v>143</v>
      </c>
      <c r="J476" s="33" t="s">
        <v>159</v>
      </c>
      <c r="K476" s="33" t="s">
        <v>145</v>
      </c>
      <c r="L476" s="35" t="n">
        <v>4726.4</v>
      </c>
      <c r="M476" s="33" t="n">
        <v>5</v>
      </c>
      <c r="N476" s="33" t="s">
        <v>146</v>
      </c>
      <c r="O476" s="33" t="s">
        <v>147</v>
      </c>
    </row>
    <row r="477" customFormat="false" ht="15" hidden="false" customHeight="false" outlineLevel="0" collapsed="false">
      <c r="A477" s="33" t="s">
        <v>691</v>
      </c>
      <c r="B477" s="34" t="n">
        <v>45411</v>
      </c>
      <c r="C477" s="34" t="n">
        <v>45415</v>
      </c>
      <c r="D477" s="33" t="n">
        <v>74</v>
      </c>
      <c r="E477" s="33" t="s">
        <v>139</v>
      </c>
      <c r="F477" s="33" t="s">
        <v>226</v>
      </c>
      <c r="G477" s="33" t="s">
        <v>227</v>
      </c>
      <c r="H477" s="33" t="s">
        <v>228</v>
      </c>
      <c r="I477" s="33" t="s">
        <v>143</v>
      </c>
      <c r="J477" s="33" t="s">
        <v>144</v>
      </c>
      <c r="K477" s="33" t="s">
        <v>145</v>
      </c>
      <c r="L477" s="35" t="n">
        <v>22190.15</v>
      </c>
      <c r="M477" s="33" t="n">
        <v>5</v>
      </c>
      <c r="N477" s="33" t="s">
        <v>210</v>
      </c>
      <c r="O477" s="33" t="s">
        <v>147</v>
      </c>
    </row>
    <row r="478" customFormat="false" ht="15" hidden="false" customHeight="false" outlineLevel="0" collapsed="false">
      <c r="A478" s="33" t="s">
        <v>692</v>
      </c>
      <c r="B478" s="34" t="n">
        <v>45394</v>
      </c>
      <c r="C478" s="34" t="n">
        <v>45405</v>
      </c>
      <c r="D478" s="33" t="n">
        <v>47</v>
      </c>
      <c r="E478" s="33" t="s">
        <v>139</v>
      </c>
      <c r="F478" s="33" t="s">
        <v>181</v>
      </c>
      <c r="G478" s="33" t="s">
        <v>188</v>
      </c>
      <c r="H478" s="33" t="s">
        <v>183</v>
      </c>
      <c r="I478" s="33" t="s">
        <v>152</v>
      </c>
      <c r="J478" s="33" t="s">
        <v>159</v>
      </c>
      <c r="K478" s="33" t="s">
        <v>184</v>
      </c>
      <c r="L478" s="35" t="n">
        <v>23134.4</v>
      </c>
      <c r="M478" s="33" t="n">
        <v>5</v>
      </c>
      <c r="N478" s="33" t="s">
        <v>146</v>
      </c>
      <c r="O478" s="33" t="s">
        <v>147</v>
      </c>
    </row>
    <row r="479" customFormat="false" ht="15" hidden="false" customHeight="false" outlineLevel="0" collapsed="false">
      <c r="A479" s="33" t="s">
        <v>693</v>
      </c>
      <c r="B479" s="34" t="n">
        <v>45470</v>
      </c>
      <c r="C479" s="34" t="n">
        <v>45471</v>
      </c>
      <c r="D479" s="33" t="n">
        <v>57</v>
      </c>
      <c r="E479" s="33" t="s">
        <v>139</v>
      </c>
      <c r="F479" s="33" t="s">
        <v>334</v>
      </c>
      <c r="G479" s="33" t="s">
        <v>192</v>
      </c>
      <c r="H479" s="33" t="s">
        <v>233</v>
      </c>
      <c r="I479" s="33" t="s">
        <v>143</v>
      </c>
      <c r="J479" s="33" t="s">
        <v>159</v>
      </c>
      <c r="K479" s="33" t="s">
        <v>184</v>
      </c>
      <c r="L479" s="35" t="n">
        <v>776.86</v>
      </c>
      <c r="M479" s="33" t="n">
        <v>3</v>
      </c>
      <c r="N479" s="33" t="s">
        <v>146</v>
      </c>
      <c r="O479" s="33" t="s">
        <v>147</v>
      </c>
    </row>
    <row r="480" customFormat="false" ht="15" hidden="false" customHeight="false" outlineLevel="0" collapsed="false">
      <c r="A480" s="33" t="s">
        <v>694</v>
      </c>
      <c r="B480" s="34" t="n">
        <v>45604</v>
      </c>
      <c r="C480" s="34" t="n">
        <v>45606</v>
      </c>
      <c r="D480" s="33" t="n">
        <v>60</v>
      </c>
      <c r="E480" s="33" t="s">
        <v>139</v>
      </c>
      <c r="F480" s="33" t="s">
        <v>203</v>
      </c>
      <c r="G480" s="33" t="s">
        <v>232</v>
      </c>
      <c r="H480" s="33" t="s">
        <v>233</v>
      </c>
      <c r="I480" s="33" t="s">
        <v>143</v>
      </c>
      <c r="J480" s="33" t="s">
        <v>176</v>
      </c>
      <c r="K480" s="33" t="s">
        <v>145</v>
      </c>
      <c r="L480" s="35" t="n">
        <v>5723.65</v>
      </c>
      <c r="M480" s="33" t="n">
        <v>3</v>
      </c>
      <c r="N480" s="33" t="s">
        <v>146</v>
      </c>
      <c r="O480" s="33" t="s">
        <v>147</v>
      </c>
    </row>
    <row r="481" customFormat="false" ht="15" hidden="false" customHeight="false" outlineLevel="0" collapsed="false">
      <c r="A481" s="33" t="s">
        <v>695</v>
      </c>
      <c r="B481" s="34" t="n">
        <v>45308</v>
      </c>
      <c r="C481" s="34" t="n">
        <v>45310</v>
      </c>
      <c r="D481" s="33" t="n">
        <v>62</v>
      </c>
      <c r="E481" s="33" t="s">
        <v>154</v>
      </c>
      <c r="F481" s="33" t="s">
        <v>173</v>
      </c>
      <c r="G481" s="33" t="s">
        <v>178</v>
      </c>
      <c r="H481" s="33" t="s">
        <v>199</v>
      </c>
      <c r="I481" s="33" t="s">
        <v>152</v>
      </c>
      <c r="J481" s="33" t="s">
        <v>159</v>
      </c>
      <c r="K481" s="33" t="s">
        <v>160</v>
      </c>
      <c r="L481" s="35" t="n">
        <v>4720.43</v>
      </c>
      <c r="M481" s="33" t="n">
        <v>2</v>
      </c>
      <c r="N481" s="33" t="s">
        <v>146</v>
      </c>
      <c r="O481" s="33" t="s">
        <v>147</v>
      </c>
    </row>
    <row r="482" customFormat="false" ht="15" hidden="false" customHeight="false" outlineLevel="0" collapsed="false">
      <c r="A482" s="33" t="s">
        <v>696</v>
      </c>
      <c r="B482" s="34" t="n">
        <v>45402</v>
      </c>
      <c r="C482" s="34" t="n">
        <v>45404</v>
      </c>
      <c r="D482" s="33" t="n">
        <v>24</v>
      </c>
      <c r="E482" s="33" t="s">
        <v>139</v>
      </c>
      <c r="F482" s="33" t="s">
        <v>191</v>
      </c>
      <c r="G482" s="33" t="s">
        <v>217</v>
      </c>
      <c r="H482" s="33" t="s">
        <v>233</v>
      </c>
      <c r="I482" s="33" t="s">
        <v>143</v>
      </c>
      <c r="J482" s="33" t="s">
        <v>159</v>
      </c>
      <c r="K482" s="33" t="s">
        <v>145</v>
      </c>
      <c r="L482" s="35" t="n">
        <v>1842.54</v>
      </c>
      <c r="M482" s="33" t="n">
        <v>4</v>
      </c>
      <c r="N482" s="33" t="s">
        <v>146</v>
      </c>
      <c r="O482" s="33" t="s">
        <v>147</v>
      </c>
    </row>
    <row r="483" customFormat="false" ht="15" hidden="false" customHeight="false" outlineLevel="0" collapsed="false">
      <c r="A483" s="33" t="s">
        <v>697</v>
      </c>
      <c r="B483" s="34" t="n">
        <v>45357</v>
      </c>
      <c r="C483" s="34" t="n">
        <v>45362</v>
      </c>
      <c r="D483" s="33" t="n">
        <v>7</v>
      </c>
      <c r="E483" s="33" t="s">
        <v>154</v>
      </c>
      <c r="F483" s="33" t="s">
        <v>155</v>
      </c>
      <c r="G483" s="33" t="s">
        <v>302</v>
      </c>
      <c r="H483" s="33" t="s">
        <v>157</v>
      </c>
      <c r="I483" s="33" t="s">
        <v>158</v>
      </c>
      <c r="J483" s="33" t="s">
        <v>144</v>
      </c>
      <c r="K483" s="36"/>
      <c r="L483" s="35" t="n">
        <v>7942.59</v>
      </c>
      <c r="M483" s="33" t="n">
        <v>4</v>
      </c>
      <c r="N483" s="33" t="s">
        <v>146</v>
      </c>
      <c r="O483" s="33" t="s">
        <v>295</v>
      </c>
    </row>
    <row r="484" customFormat="false" ht="15" hidden="false" customHeight="false" outlineLevel="0" collapsed="false">
      <c r="A484" s="33" t="s">
        <v>698</v>
      </c>
      <c r="B484" s="34" t="n">
        <v>45622</v>
      </c>
      <c r="C484" s="34" t="n">
        <v>45630</v>
      </c>
      <c r="D484" s="33" t="n">
        <v>69</v>
      </c>
      <c r="E484" s="33" t="s">
        <v>139</v>
      </c>
      <c r="F484" s="33" t="s">
        <v>173</v>
      </c>
      <c r="G484" s="33" t="s">
        <v>178</v>
      </c>
      <c r="H484" s="33" t="s">
        <v>199</v>
      </c>
      <c r="I484" s="33" t="s">
        <v>143</v>
      </c>
      <c r="J484" s="33" t="s">
        <v>159</v>
      </c>
      <c r="K484" s="33" t="s">
        <v>184</v>
      </c>
      <c r="L484" s="35" t="n">
        <v>17049.31</v>
      </c>
      <c r="M484" s="33" t="n">
        <v>4</v>
      </c>
      <c r="N484" s="33" t="s">
        <v>146</v>
      </c>
      <c r="O484" s="33" t="s">
        <v>147</v>
      </c>
    </row>
    <row r="485" customFormat="false" ht="15" hidden="false" customHeight="false" outlineLevel="0" collapsed="false">
      <c r="A485" s="33" t="s">
        <v>699</v>
      </c>
      <c r="B485" s="34" t="n">
        <v>45602</v>
      </c>
      <c r="C485" s="34" t="n">
        <v>45604</v>
      </c>
      <c r="D485" s="33" t="n">
        <v>53</v>
      </c>
      <c r="E485" s="33" t="s">
        <v>139</v>
      </c>
      <c r="F485" s="33" t="s">
        <v>169</v>
      </c>
      <c r="G485" s="33" t="s">
        <v>163</v>
      </c>
      <c r="H485" s="33" t="s">
        <v>195</v>
      </c>
      <c r="I485" s="33" t="s">
        <v>143</v>
      </c>
      <c r="J485" s="33" t="s">
        <v>159</v>
      </c>
      <c r="K485" s="33" t="s">
        <v>145</v>
      </c>
      <c r="L485" s="35" t="n">
        <v>2159.43</v>
      </c>
      <c r="M485" s="33" t="n">
        <v>3</v>
      </c>
      <c r="N485" s="33" t="s">
        <v>146</v>
      </c>
      <c r="O485" s="33" t="s">
        <v>147</v>
      </c>
    </row>
    <row r="486" customFormat="false" ht="15" hidden="false" customHeight="false" outlineLevel="0" collapsed="false">
      <c r="A486" s="33" t="s">
        <v>700</v>
      </c>
      <c r="B486" s="34" t="n">
        <v>45378</v>
      </c>
      <c r="C486" s="34" t="n">
        <v>45380</v>
      </c>
      <c r="D486" s="33" t="n">
        <v>0</v>
      </c>
      <c r="E486" s="33" t="s">
        <v>154</v>
      </c>
      <c r="F486" s="33" t="s">
        <v>288</v>
      </c>
      <c r="G486" s="33" t="s">
        <v>220</v>
      </c>
      <c r="H486" s="33" t="s">
        <v>157</v>
      </c>
      <c r="I486" s="33" t="s">
        <v>143</v>
      </c>
      <c r="J486" s="33" t="s">
        <v>159</v>
      </c>
      <c r="K486" s="33" t="s">
        <v>184</v>
      </c>
      <c r="L486" s="35" t="n">
        <v>1458.57</v>
      </c>
      <c r="M486" s="33" t="n">
        <v>5</v>
      </c>
      <c r="N486" s="33" t="s">
        <v>146</v>
      </c>
      <c r="O486" s="33" t="s">
        <v>147</v>
      </c>
    </row>
    <row r="487" customFormat="false" ht="15" hidden="false" customHeight="false" outlineLevel="0" collapsed="false">
      <c r="A487" s="33" t="s">
        <v>701</v>
      </c>
      <c r="B487" s="34" t="n">
        <v>45548</v>
      </c>
      <c r="C487" s="34" t="n">
        <v>45551</v>
      </c>
      <c r="D487" s="33" t="n">
        <v>38</v>
      </c>
      <c r="E487" s="33" t="s">
        <v>154</v>
      </c>
      <c r="F487" s="33" t="s">
        <v>226</v>
      </c>
      <c r="G487" s="33" t="s">
        <v>386</v>
      </c>
      <c r="H487" s="33" t="s">
        <v>263</v>
      </c>
      <c r="I487" s="33" t="s">
        <v>152</v>
      </c>
      <c r="J487" s="33" t="s">
        <v>176</v>
      </c>
      <c r="K487" s="33" t="s">
        <v>209</v>
      </c>
      <c r="L487" s="35" t="n">
        <v>32068.89</v>
      </c>
      <c r="M487" s="33" t="n">
        <v>4</v>
      </c>
      <c r="N487" s="33" t="s">
        <v>146</v>
      </c>
      <c r="O487" s="33" t="s">
        <v>147</v>
      </c>
    </row>
    <row r="488" customFormat="false" ht="15" hidden="false" customHeight="false" outlineLevel="0" collapsed="false">
      <c r="A488" s="33" t="s">
        <v>702</v>
      </c>
      <c r="B488" s="34" t="n">
        <v>45474</v>
      </c>
      <c r="C488" s="34" t="n">
        <v>45480</v>
      </c>
      <c r="D488" s="33" t="n">
        <v>35</v>
      </c>
      <c r="E488" s="33" t="s">
        <v>139</v>
      </c>
      <c r="F488" s="33" t="s">
        <v>140</v>
      </c>
      <c r="G488" s="33" t="s">
        <v>167</v>
      </c>
      <c r="H488" s="33" t="s">
        <v>290</v>
      </c>
      <c r="I488" s="33" t="s">
        <v>152</v>
      </c>
      <c r="J488" s="33" t="s">
        <v>144</v>
      </c>
      <c r="K488" s="33" t="s">
        <v>160</v>
      </c>
      <c r="L488" s="37" t="n">
        <v>-500</v>
      </c>
      <c r="M488" s="33" t="n">
        <v>4</v>
      </c>
      <c r="N488" s="33" t="s">
        <v>146</v>
      </c>
      <c r="O488" s="33" t="s">
        <v>147</v>
      </c>
    </row>
    <row r="489" customFormat="false" ht="15" hidden="false" customHeight="false" outlineLevel="0" collapsed="false">
      <c r="A489" s="33" t="s">
        <v>703</v>
      </c>
      <c r="B489" s="34" t="n">
        <v>45630</v>
      </c>
      <c r="C489" s="34" t="n">
        <v>45636</v>
      </c>
      <c r="D489" s="33" t="n">
        <v>43</v>
      </c>
      <c r="E489" s="33" t="s">
        <v>154</v>
      </c>
      <c r="F489" s="33" t="s">
        <v>181</v>
      </c>
      <c r="G489" s="33" t="s">
        <v>237</v>
      </c>
      <c r="H489" s="33" t="s">
        <v>183</v>
      </c>
      <c r="I489" s="33" t="s">
        <v>143</v>
      </c>
      <c r="J489" s="33" t="s">
        <v>159</v>
      </c>
      <c r="K489" s="33" t="s">
        <v>160</v>
      </c>
      <c r="L489" s="35" t="n">
        <v>13742.61</v>
      </c>
      <c r="M489" s="33" t="n">
        <v>5</v>
      </c>
      <c r="N489" s="33" t="s">
        <v>146</v>
      </c>
      <c r="O489" s="33" t="s">
        <v>147</v>
      </c>
    </row>
    <row r="490" customFormat="false" ht="15" hidden="false" customHeight="false" outlineLevel="0" collapsed="false">
      <c r="A490" s="33" t="s">
        <v>704</v>
      </c>
      <c r="B490" s="34" t="n">
        <v>45365</v>
      </c>
      <c r="C490" s="34" t="n">
        <v>45370</v>
      </c>
      <c r="D490" s="33" t="n">
        <v>53</v>
      </c>
      <c r="E490" s="33" t="s">
        <v>154</v>
      </c>
      <c r="F490" s="33" t="s">
        <v>169</v>
      </c>
      <c r="G490" s="33" t="s">
        <v>213</v>
      </c>
      <c r="H490" s="33" t="s">
        <v>195</v>
      </c>
      <c r="I490" s="33" t="s">
        <v>143</v>
      </c>
      <c r="J490" s="33" t="s">
        <v>159</v>
      </c>
      <c r="K490" s="33" t="s">
        <v>145</v>
      </c>
      <c r="L490" s="35" t="n">
        <v>5507.73</v>
      </c>
      <c r="M490" s="33" t="n">
        <v>5</v>
      </c>
      <c r="N490" s="33" t="s">
        <v>146</v>
      </c>
      <c r="O490" s="33" t="s">
        <v>147</v>
      </c>
    </row>
    <row r="491" customFormat="false" ht="15" hidden="false" customHeight="false" outlineLevel="0" collapsed="false">
      <c r="A491" s="33" t="s">
        <v>705</v>
      </c>
      <c r="B491" s="34" t="n">
        <v>45468</v>
      </c>
      <c r="C491" s="34" t="n">
        <v>45473</v>
      </c>
      <c r="D491" s="33" t="n">
        <v>12</v>
      </c>
      <c r="E491" s="33" t="s">
        <v>154</v>
      </c>
      <c r="F491" s="33" t="s">
        <v>212</v>
      </c>
      <c r="G491" s="33" t="s">
        <v>163</v>
      </c>
      <c r="H491" s="33" t="s">
        <v>164</v>
      </c>
      <c r="I491" s="33" t="s">
        <v>143</v>
      </c>
      <c r="J491" s="33" t="s">
        <v>159</v>
      </c>
      <c r="K491" s="33" t="s">
        <v>209</v>
      </c>
      <c r="L491" s="35" t="n">
        <v>4769.66</v>
      </c>
      <c r="M491" s="33" t="n">
        <v>4</v>
      </c>
      <c r="N491" s="33" t="s">
        <v>146</v>
      </c>
      <c r="O491" s="33" t="s">
        <v>147</v>
      </c>
    </row>
    <row r="492" customFormat="false" ht="15" hidden="false" customHeight="false" outlineLevel="0" collapsed="false">
      <c r="A492" s="33" t="s">
        <v>706</v>
      </c>
      <c r="B492" s="34" t="n">
        <v>45350</v>
      </c>
      <c r="C492" s="34" t="n">
        <v>45355</v>
      </c>
      <c r="D492" s="33" t="n">
        <v>46</v>
      </c>
      <c r="E492" s="33" t="s">
        <v>139</v>
      </c>
      <c r="F492" s="33" t="s">
        <v>226</v>
      </c>
      <c r="G492" s="33" t="s">
        <v>386</v>
      </c>
      <c r="H492" s="33" t="s">
        <v>228</v>
      </c>
      <c r="I492" s="33" t="s">
        <v>152</v>
      </c>
      <c r="J492" s="33" t="s">
        <v>144</v>
      </c>
      <c r="K492" s="33" t="s">
        <v>145</v>
      </c>
      <c r="L492" s="35" t="n">
        <v>29323.64</v>
      </c>
      <c r="M492" s="33" t="n">
        <v>5</v>
      </c>
      <c r="N492" s="33" t="s">
        <v>146</v>
      </c>
      <c r="O492" s="33" t="s">
        <v>147</v>
      </c>
    </row>
    <row r="493" customFormat="false" ht="15" hidden="false" customHeight="false" outlineLevel="0" collapsed="false">
      <c r="A493" s="33" t="s">
        <v>707</v>
      </c>
      <c r="B493" s="34" t="n">
        <v>45406</v>
      </c>
      <c r="C493" s="34" t="n">
        <v>45408</v>
      </c>
      <c r="D493" s="33" t="n">
        <v>43</v>
      </c>
      <c r="E493" s="33" t="s">
        <v>139</v>
      </c>
      <c r="F493" s="33" t="s">
        <v>181</v>
      </c>
      <c r="G493" s="33" t="s">
        <v>182</v>
      </c>
      <c r="H493" s="33" t="s">
        <v>245</v>
      </c>
      <c r="I493" s="33" t="s">
        <v>143</v>
      </c>
      <c r="J493" s="33" t="s">
        <v>159</v>
      </c>
      <c r="K493" s="33" t="s">
        <v>160</v>
      </c>
      <c r="L493" s="35" t="n">
        <v>4602.01</v>
      </c>
      <c r="M493" s="33" t="n">
        <v>5</v>
      </c>
      <c r="N493" s="33" t="s">
        <v>210</v>
      </c>
      <c r="O493" s="33" t="s">
        <v>147</v>
      </c>
    </row>
    <row r="494" customFormat="false" ht="15" hidden="false" customHeight="false" outlineLevel="0" collapsed="false">
      <c r="A494" s="33" t="s">
        <v>708</v>
      </c>
      <c r="B494" s="34" t="n">
        <v>45312</v>
      </c>
      <c r="C494" s="34" t="n">
        <v>45315</v>
      </c>
      <c r="D494" s="33" t="n">
        <v>10</v>
      </c>
      <c r="E494" s="33" t="s">
        <v>139</v>
      </c>
      <c r="F494" s="33" t="s">
        <v>155</v>
      </c>
      <c r="G494" s="33" t="s">
        <v>302</v>
      </c>
      <c r="H494" s="33" t="s">
        <v>222</v>
      </c>
      <c r="I494" s="33" t="s">
        <v>152</v>
      </c>
      <c r="J494" s="33" t="s">
        <v>159</v>
      </c>
      <c r="K494" s="33" t="s">
        <v>209</v>
      </c>
      <c r="L494" s="35" t="n">
        <v>2647.23</v>
      </c>
      <c r="M494" s="33" t="n">
        <v>4</v>
      </c>
      <c r="N494" s="33" t="s">
        <v>210</v>
      </c>
      <c r="O494" s="33" t="s">
        <v>206</v>
      </c>
    </row>
    <row r="495" customFormat="false" ht="15" hidden="false" customHeight="false" outlineLevel="0" collapsed="false">
      <c r="A495" s="33" t="s">
        <v>709</v>
      </c>
      <c r="B495" s="34" t="n">
        <v>45307</v>
      </c>
      <c r="C495" s="34" t="n">
        <v>45318</v>
      </c>
      <c r="D495" s="33" t="n">
        <v>54</v>
      </c>
      <c r="E495" s="33" t="s">
        <v>154</v>
      </c>
      <c r="F495" s="33" t="s">
        <v>226</v>
      </c>
      <c r="G495" s="33" t="s">
        <v>258</v>
      </c>
      <c r="H495" s="33" t="s">
        <v>263</v>
      </c>
      <c r="I495" s="33" t="s">
        <v>152</v>
      </c>
      <c r="J495" s="33" t="s">
        <v>144</v>
      </c>
      <c r="K495" s="33" t="s">
        <v>184</v>
      </c>
      <c r="L495" s="35" t="n">
        <v>65645.63</v>
      </c>
      <c r="M495" s="33" t="n">
        <v>4</v>
      </c>
      <c r="N495" s="33" t="s">
        <v>146</v>
      </c>
      <c r="O495" s="33" t="s">
        <v>147</v>
      </c>
    </row>
    <row r="496" customFormat="false" ht="15" hidden="false" customHeight="false" outlineLevel="0" collapsed="false">
      <c r="A496" s="33" t="s">
        <v>710</v>
      </c>
      <c r="B496" s="34" t="n">
        <v>45331</v>
      </c>
      <c r="C496" s="34" t="n">
        <v>45332</v>
      </c>
      <c r="D496" s="36"/>
      <c r="E496" s="33" t="s">
        <v>154</v>
      </c>
      <c r="F496" s="33" t="s">
        <v>203</v>
      </c>
      <c r="G496" s="33" t="s">
        <v>241</v>
      </c>
      <c r="H496" s="33" t="s">
        <v>205</v>
      </c>
      <c r="I496" s="33" t="s">
        <v>143</v>
      </c>
      <c r="J496" s="33" t="s">
        <v>159</v>
      </c>
      <c r="K496" s="33" t="s">
        <v>145</v>
      </c>
      <c r="L496" s="35" t="n">
        <v>994.84</v>
      </c>
      <c r="M496" s="33" t="n">
        <v>3</v>
      </c>
      <c r="N496" s="33" t="s">
        <v>146</v>
      </c>
      <c r="O496" s="33" t="s">
        <v>147</v>
      </c>
    </row>
    <row r="497" customFormat="false" ht="15" hidden="false" customHeight="false" outlineLevel="0" collapsed="false">
      <c r="A497" s="33" t="s">
        <v>711</v>
      </c>
      <c r="B497" s="34" t="n">
        <v>45452</v>
      </c>
      <c r="C497" s="34" t="n">
        <v>45453</v>
      </c>
      <c r="D497" s="33" t="n">
        <v>30</v>
      </c>
      <c r="E497" s="33" t="s">
        <v>139</v>
      </c>
      <c r="F497" s="33" t="s">
        <v>203</v>
      </c>
      <c r="G497" s="33" t="s">
        <v>192</v>
      </c>
      <c r="H497" s="33" t="s">
        <v>233</v>
      </c>
      <c r="I497" s="33" t="s">
        <v>143</v>
      </c>
      <c r="J497" s="33" t="s">
        <v>176</v>
      </c>
      <c r="K497" s="33" t="s">
        <v>145</v>
      </c>
      <c r="L497" s="35" t="n">
        <v>2776.97</v>
      </c>
      <c r="M497" s="33" t="n">
        <v>3</v>
      </c>
      <c r="N497" s="33" t="s">
        <v>146</v>
      </c>
      <c r="O497" s="33" t="s">
        <v>147</v>
      </c>
    </row>
    <row r="498" customFormat="false" ht="15" hidden="false" customHeight="false" outlineLevel="0" collapsed="false">
      <c r="A498" s="33" t="s">
        <v>712</v>
      </c>
      <c r="B498" s="34" t="n">
        <v>45382</v>
      </c>
      <c r="C498" s="34" t="n">
        <v>45392</v>
      </c>
      <c r="D498" s="33" t="n">
        <v>43</v>
      </c>
      <c r="E498" s="33" t="s">
        <v>154</v>
      </c>
      <c r="F498" s="33" t="s">
        <v>226</v>
      </c>
      <c r="G498" s="33" t="s">
        <v>258</v>
      </c>
      <c r="H498" s="33" t="s">
        <v>263</v>
      </c>
      <c r="I498" s="33" t="s">
        <v>143</v>
      </c>
      <c r="J498" s="33" t="s">
        <v>144</v>
      </c>
      <c r="K498" s="33" t="s">
        <v>145</v>
      </c>
      <c r="L498" s="35" t="n">
        <v>36750.77</v>
      </c>
      <c r="M498" s="33" t="n">
        <v>4</v>
      </c>
      <c r="N498" s="33" t="s">
        <v>146</v>
      </c>
      <c r="O498" s="33" t="s">
        <v>147</v>
      </c>
    </row>
    <row r="499" customFormat="false" ht="15" hidden="false" customHeight="false" outlineLevel="0" collapsed="false">
      <c r="A499" s="33" t="s">
        <v>713</v>
      </c>
      <c r="B499" s="34" t="n">
        <v>45524</v>
      </c>
      <c r="C499" s="34" t="n">
        <v>45526</v>
      </c>
      <c r="D499" s="33" t="n">
        <v>4</v>
      </c>
      <c r="E499" s="33" t="s">
        <v>139</v>
      </c>
      <c r="F499" s="33" t="s">
        <v>376</v>
      </c>
      <c r="G499" s="33" t="s">
        <v>302</v>
      </c>
      <c r="H499" s="33" t="s">
        <v>222</v>
      </c>
      <c r="I499" s="33" t="s">
        <v>143</v>
      </c>
      <c r="J499" s="33" t="s">
        <v>176</v>
      </c>
      <c r="K499" s="33" t="s">
        <v>184</v>
      </c>
      <c r="L499" s="35" t="n">
        <v>5855.06</v>
      </c>
      <c r="M499" s="33" t="n">
        <v>5</v>
      </c>
      <c r="N499" s="33" t="s">
        <v>146</v>
      </c>
      <c r="O499" s="33" t="s">
        <v>147</v>
      </c>
    </row>
    <row r="500" customFormat="false" ht="15" hidden="false" customHeight="false" outlineLevel="0" collapsed="false">
      <c r="A500" s="33" t="s">
        <v>714</v>
      </c>
      <c r="B500" s="34" t="n">
        <v>45582</v>
      </c>
      <c r="C500" s="34" t="n">
        <v>45583</v>
      </c>
      <c r="D500" s="33" t="n">
        <v>25</v>
      </c>
      <c r="E500" s="33" t="s">
        <v>139</v>
      </c>
      <c r="F500" s="33" t="s">
        <v>149</v>
      </c>
      <c r="G500" s="33" t="s">
        <v>243</v>
      </c>
      <c r="H500" s="33" t="s">
        <v>151</v>
      </c>
      <c r="I500" s="33" t="s">
        <v>158</v>
      </c>
      <c r="J500" s="33" t="s">
        <v>176</v>
      </c>
      <c r="K500" s="33" t="s">
        <v>145</v>
      </c>
      <c r="L500" s="35" t="n">
        <v>4920.65</v>
      </c>
      <c r="M500" s="33" t="n">
        <v>4</v>
      </c>
      <c r="N500" s="33" t="s">
        <v>146</v>
      </c>
      <c r="O500" s="33" t="s">
        <v>147</v>
      </c>
    </row>
    <row r="501" customFormat="false" ht="15" hidden="false" customHeight="false" outlineLevel="0" collapsed="false">
      <c r="A501" s="33" t="s">
        <v>715</v>
      </c>
      <c r="B501" s="34" t="n">
        <v>45338</v>
      </c>
      <c r="C501" s="34" t="n">
        <v>45344</v>
      </c>
      <c r="D501" s="33" t="n">
        <v>56</v>
      </c>
      <c r="E501" s="33" t="s">
        <v>154</v>
      </c>
      <c r="F501" s="33" t="s">
        <v>169</v>
      </c>
      <c r="G501" s="33" t="s">
        <v>163</v>
      </c>
      <c r="H501" s="33" t="s">
        <v>171</v>
      </c>
      <c r="I501" s="33" t="s">
        <v>152</v>
      </c>
      <c r="J501" s="33" t="s">
        <v>176</v>
      </c>
      <c r="K501" s="33" t="s">
        <v>160</v>
      </c>
      <c r="L501" s="35" t="n">
        <v>19857.06</v>
      </c>
      <c r="M501" s="33" t="n">
        <v>5</v>
      </c>
      <c r="N501" s="33" t="s">
        <v>146</v>
      </c>
      <c r="O501" s="33" t="s">
        <v>147</v>
      </c>
    </row>
    <row r="502" customFormat="false" ht="15" hidden="false" customHeight="false" outlineLevel="0" collapsed="false">
      <c r="A502" s="33" t="s">
        <v>716</v>
      </c>
      <c r="B502" s="34" t="n">
        <v>45623</v>
      </c>
      <c r="C502" s="34" t="n">
        <v>45625</v>
      </c>
      <c r="D502" s="33" t="n">
        <v>6</v>
      </c>
      <c r="E502" s="33" t="s">
        <v>154</v>
      </c>
      <c r="F502" s="33" t="s">
        <v>155</v>
      </c>
      <c r="G502" s="33" t="s">
        <v>302</v>
      </c>
      <c r="H502" s="33" t="s">
        <v>157</v>
      </c>
      <c r="I502" s="33" t="s">
        <v>143</v>
      </c>
      <c r="J502" s="33" t="s">
        <v>159</v>
      </c>
      <c r="K502" s="33" t="s">
        <v>160</v>
      </c>
      <c r="L502" s="35" t="n">
        <v>1858.55</v>
      </c>
      <c r="M502" s="33" t="n">
        <v>4</v>
      </c>
      <c r="N502" s="33" t="s">
        <v>146</v>
      </c>
      <c r="O502" s="33" t="s">
        <v>247</v>
      </c>
    </row>
    <row r="503" customFormat="false" ht="15" hidden="false" customHeight="false" outlineLevel="0" collapsed="false">
      <c r="A503" s="33" t="s">
        <v>717</v>
      </c>
      <c r="B503" s="34" t="n">
        <v>45523</v>
      </c>
      <c r="C503" s="34" t="n">
        <v>45524</v>
      </c>
      <c r="D503" s="33" t="n">
        <v>5</v>
      </c>
      <c r="E503" s="33" t="s">
        <v>154</v>
      </c>
      <c r="F503" s="33" t="s">
        <v>140</v>
      </c>
      <c r="G503" s="33" t="s">
        <v>141</v>
      </c>
      <c r="H503" s="33" t="s">
        <v>290</v>
      </c>
      <c r="I503" s="33" t="s">
        <v>143</v>
      </c>
      <c r="J503" s="33" t="s">
        <v>176</v>
      </c>
      <c r="K503" s="33" t="s">
        <v>145</v>
      </c>
      <c r="L503" s="35" t="n">
        <v>8372.15</v>
      </c>
      <c r="M503" s="33" t="n">
        <v>4</v>
      </c>
      <c r="N503" s="33" t="s">
        <v>146</v>
      </c>
      <c r="O503" s="33" t="s">
        <v>147</v>
      </c>
    </row>
    <row r="504" customFormat="false" ht="15" hidden="false" customHeight="false" outlineLevel="0" collapsed="false">
      <c r="A504" s="33" t="s">
        <v>718</v>
      </c>
      <c r="B504" s="34" t="n">
        <v>45486</v>
      </c>
      <c r="C504" s="34" t="n">
        <v>45491</v>
      </c>
      <c r="D504" s="33" t="n">
        <v>27</v>
      </c>
      <c r="E504" s="33" t="s">
        <v>139</v>
      </c>
      <c r="F504" s="33" t="s">
        <v>169</v>
      </c>
      <c r="G504" s="33" t="s">
        <v>163</v>
      </c>
      <c r="H504" s="33" t="s">
        <v>171</v>
      </c>
      <c r="I504" s="33" t="s">
        <v>143</v>
      </c>
      <c r="J504" s="33" t="s">
        <v>159</v>
      </c>
      <c r="K504" s="33" t="s">
        <v>184</v>
      </c>
      <c r="L504" s="35" t="n">
        <v>5598.31</v>
      </c>
      <c r="M504" s="33" t="n">
        <v>4</v>
      </c>
      <c r="N504" s="33" t="s">
        <v>146</v>
      </c>
      <c r="O504" s="33" t="s">
        <v>147</v>
      </c>
    </row>
    <row r="505" customFormat="false" ht="15" hidden="false" customHeight="false" outlineLevel="0" collapsed="false">
      <c r="A505" s="33" t="s">
        <v>719</v>
      </c>
      <c r="B505" s="34" t="n">
        <v>45523</v>
      </c>
      <c r="C505" s="34" t="n">
        <v>45524</v>
      </c>
      <c r="D505" s="33" t="n">
        <v>0</v>
      </c>
      <c r="E505" s="33" t="s">
        <v>180</v>
      </c>
      <c r="F505" s="33" t="s">
        <v>288</v>
      </c>
      <c r="G505" s="33" t="s">
        <v>156</v>
      </c>
      <c r="H505" s="33" t="s">
        <v>157</v>
      </c>
      <c r="I505" s="33" t="s">
        <v>152</v>
      </c>
      <c r="J505" s="33" t="s">
        <v>159</v>
      </c>
      <c r="K505" s="33" t="s">
        <v>160</v>
      </c>
      <c r="L505" s="35" t="n">
        <v>744.16</v>
      </c>
      <c r="M505" s="33" t="n">
        <v>4</v>
      </c>
      <c r="N505" s="33" t="s">
        <v>146</v>
      </c>
      <c r="O505" s="33" t="s">
        <v>147</v>
      </c>
    </row>
    <row r="506" customFormat="false" ht="15" hidden="false" customHeight="false" outlineLevel="0" collapsed="false">
      <c r="A506" s="33" t="s">
        <v>720</v>
      </c>
      <c r="B506" s="34" t="n">
        <v>45507</v>
      </c>
      <c r="C506" s="34" t="n">
        <v>45515</v>
      </c>
      <c r="D506" s="33" t="n">
        <v>51</v>
      </c>
      <c r="E506" s="33" t="s">
        <v>154</v>
      </c>
      <c r="F506" s="33" t="s">
        <v>181</v>
      </c>
      <c r="G506" s="33" t="s">
        <v>182</v>
      </c>
      <c r="H506" s="33" t="s">
        <v>245</v>
      </c>
      <c r="I506" s="33" t="s">
        <v>143</v>
      </c>
      <c r="J506" s="33" t="s">
        <v>144</v>
      </c>
      <c r="K506" s="33" t="s">
        <v>145</v>
      </c>
      <c r="L506" s="35" t="n">
        <v>37839.66</v>
      </c>
      <c r="M506" s="33" t="n">
        <v>4</v>
      </c>
      <c r="N506" s="33" t="s">
        <v>146</v>
      </c>
      <c r="O506" s="33" t="s">
        <v>147</v>
      </c>
    </row>
    <row r="507" customFormat="false" ht="15" hidden="false" customHeight="false" outlineLevel="0" collapsed="false">
      <c r="A507" s="33" t="s">
        <v>721</v>
      </c>
      <c r="B507" s="34" t="n">
        <v>45561</v>
      </c>
      <c r="C507" s="34" t="n">
        <v>45562</v>
      </c>
      <c r="D507" s="33" t="n">
        <v>8</v>
      </c>
      <c r="E507" s="33" t="s">
        <v>154</v>
      </c>
      <c r="F507" s="33" t="s">
        <v>155</v>
      </c>
      <c r="G507" s="33" t="s">
        <v>156</v>
      </c>
      <c r="H507" s="33" t="s">
        <v>157</v>
      </c>
      <c r="I507" s="33" t="s">
        <v>143</v>
      </c>
      <c r="J507" s="33" t="s">
        <v>159</v>
      </c>
      <c r="K507" s="33" t="s">
        <v>145</v>
      </c>
      <c r="L507" s="35" t="n">
        <v>797.39</v>
      </c>
      <c r="M507" s="33" t="n">
        <v>5</v>
      </c>
      <c r="N507" s="33" t="s">
        <v>146</v>
      </c>
      <c r="O507" s="36"/>
    </row>
    <row r="508" customFormat="false" ht="15" hidden="false" customHeight="false" outlineLevel="0" collapsed="false">
      <c r="A508" s="33" t="s">
        <v>722</v>
      </c>
      <c r="B508" s="34" t="n">
        <v>45629</v>
      </c>
      <c r="C508" s="34" t="n">
        <v>45630</v>
      </c>
      <c r="D508" s="33" t="n">
        <v>36</v>
      </c>
      <c r="E508" s="33" t="s">
        <v>139</v>
      </c>
      <c r="F508" s="33" t="s">
        <v>149</v>
      </c>
      <c r="G508" s="33" t="s">
        <v>150</v>
      </c>
      <c r="H508" s="33" t="s">
        <v>186</v>
      </c>
      <c r="I508" s="33" t="s">
        <v>158</v>
      </c>
      <c r="J508" s="33" t="s">
        <v>159</v>
      </c>
      <c r="K508" s="33" t="s">
        <v>145</v>
      </c>
      <c r="L508" s="35" t="n">
        <v>1201.5</v>
      </c>
      <c r="M508" s="36"/>
      <c r="N508" s="33" t="s">
        <v>146</v>
      </c>
      <c r="O508" s="33" t="s">
        <v>147</v>
      </c>
    </row>
    <row r="509" customFormat="false" ht="15" hidden="false" customHeight="false" outlineLevel="0" collapsed="false">
      <c r="A509" s="33" t="s">
        <v>723</v>
      </c>
      <c r="B509" s="34" t="n">
        <v>45385</v>
      </c>
      <c r="C509" s="34" t="n">
        <v>45389</v>
      </c>
      <c r="D509" s="33" t="n">
        <v>14</v>
      </c>
      <c r="E509" s="33" t="s">
        <v>216</v>
      </c>
      <c r="F509" s="33" t="s">
        <v>169</v>
      </c>
      <c r="G509" s="33" t="s">
        <v>230</v>
      </c>
      <c r="H509" s="33" t="s">
        <v>171</v>
      </c>
      <c r="I509" s="33" t="s">
        <v>143</v>
      </c>
      <c r="J509" s="33" t="s">
        <v>159</v>
      </c>
      <c r="K509" s="33" t="s">
        <v>145</v>
      </c>
      <c r="L509" s="35" t="n">
        <v>4453.35</v>
      </c>
      <c r="M509" s="33" t="n">
        <v>4</v>
      </c>
      <c r="N509" s="33" t="s">
        <v>146</v>
      </c>
      <c r="O509" s="33" t="s">
        <v>147</v>
      </c>
    </row>
    <row r="510" customFormat="false" ht="15" hidden="false" customHeight="false" outlineLevel="0" collapsed="false">
      <c r="A510" s="33" t="s">
        <v>724</v>
      </c>
      <c r="B510" s="34" t="n">
        <v>45310</v>
      </c>
      <c r="C510" s="34" t="n">
        <v>45311</v>
      </c>
      <c r="D510" s="33" t="n">
        <v>73</v>
      </c>
      <c r="E510" s="33" t="s">
        <v>139</v>
      </c>
      <c r="F510" s="33" t="s">
        <v>203</v>
      </c>
      <c r="G510" s="33" t="s">
        <v>192</v>
      </c>
      <c r="H510" s="33" t="s">
        <v>193</v>
      </c>
      <c r="I510" s="33" t="s">
        <v>143</v>
      </c>
      <c r="J510" s="33" t="s">
        <v>176</v>
      </c>
      <c r="K510" s="33" t="s">
        <v>184</v>
      </c>
      <c r="L510" s="35" t="n">
        <v>2964.38</v>
      </c>
      <c r="M510" s="33" t="n">
        <v>4</v>
      </c>
      <c r="N510" s="33" t="s">
        <v>146</v>
      </c>
      <c r="O510" s="33" t="s">
        <v>147</v>
      </c>
    </row>
    <row r="511" customFormat="false" ht="15" hidden="false" customHeight="false" outlineLevel="0" collapsed="false">
      <c r="A511" s="33" t="s">
        <v>725</v>
      </c>
      <c r="B511" s="34" t="n">
        <v>45591</v>
      </c>
      <c r="C511" s="34" t="n">
        <v>45594</v>
      </c>
      <c r="D511" s="33" t="n">
        <v>51</v>
      </c>
      <c r="E511" s="33" t="s">
        <v>154</v>
      </c>
      <c r="F511" s="33" t="s">
        <v>173</v>
      </c>
      <c r="G511" s="33" t="s">
        <v>174</v>
      </c>
      <c r="H511" s="33" t="s">
        <v>199</v>
      </c>
      <c r="I511" s="33" t="s">
        <v>143</v>
      </c>
      <c r="J511" s="33" t="s">
        <v>159</v>
      </c>
      <c r="K511" s="33" t="s">
        <v>145</v>
      </c>
      <c r="L511" s="35" t="n">
        <v>8880.51</v>
      </c>
      <c r="M511" s="33" t="n">
        <v>4</v>
      </c>
      <c r="N511" s="33" t="s">
        <v>146</v>
      </c>
      <c r="O511" s="33" t="s">
        <v>247</v>
      </c>
    </row>
    <row r="512" customFormat="false" ht="15" hidden="false" customHeight="false" outlineLevel="0" collapsed="false">
      <c r="A512" s="33" t="s">
        <v>726</v>
      </c>
      <c r="B512" s="34" t="n">
        <v>45318</v>
      </c>
      <c r="C512" s="34" t="n">
        <v>45320</v>
      </c>
      <c r="D512" s="33" t="n">
        <v>0</v>
      </c>
      <c r="E512" s="33" t="s">
        <v>139</v>
      </c>
      <c r="F512" s="33" t="s">
        <v>155</v>
      </c>
      <c r="G512" s="33" t="s">
        <v>302</v>
      </c>
      <c r="H512" s="33" t="s">
        <v>157</v>
      </c>
      <c r="I512" s="33" t="s">
        <v>143</v>
      </c>
      <c r="J512" s="33" t="s">
        <v>144</v>
      </c>
      <c r="K512" s="33" t="s">
        <v>209</v>
      </c>
      <c r="L512" s="35" t="n">
        <v>3630.04</v>
      </c>
      <c r="M512" s="33" t="n">
        <v>3</v>
      </c>
      <c r="N512" s="33" t="s">
        <v>146</v>
      </c>
      <c r="O512" s="33" t="s">
        <v>147</v>
      </c>
    </row>
    <row r="513" customFormat="false" ht="15" hidden="false" customHeight="false" outlineLevel="0" collapsed="false">
      <c r="A513" s="33" t="s">
        <v>727</v>
      </c>
      <c r="B513" s="34" t="n">
        <v>45619</v>
      </c>
      <c r="C513" s="34" t="n">
        <v>45621</v>
      </c>
      <c r="D513" s="33" t="n">
        <v>19</v>
      </c>
      <c r="E513" s="33" t="s">
        <v>139</v>
      </c>
      <c r="F513" s="33" t="s">
        <v>149</v>
      </c>
      <c r="G513" s="33" t="s">
        <v>243</v>
      </c>
      <c r="H513" s="33" t="s">
        <v>186</v>
      </c>
      <c r="I513" s="33" t="s">
        <v>152</v>
      </c>
      <c r="J513" s="33" t="s">
        <v>159</v>
      </c>
      <c r="K513" s="33" t="s">
        <v>160</v>
      </c>
      <c r="L513" s="35" t="n">
        <v>3216.4</v>
      </c>
      <c r="M513" s="33" t="n">
        <v>4</v>
      </c>
      <c r="N513" s="33" t="s">
        <v>146</v>
      </c>
      <c r="O513" s="33" t="s">
        <v>147</v>
      </c>
    </row>
    <row r="514" customFormat="false" ht="15" hidden="false" customHeight="false" outlineLevel="0" collapsed="false">
      <c r="A514" s="33" t="s">
        <v>728</v>
      </c>
      <c r="B514" s="34" t="n">
        <v>45643</v>
      </c>
      <c r="C514" s="34" t="n">
        <v>45646</v>
      </c>
      <c r="D514" s="33" t="n">
        <v>43</v>
      </c>
      <c r="E514" s="33" t="s">
        <v>139</v>
      </c>
      <c r="F514" s="33" t="s">
        <v>162</v>
      </c>
      <c r="G514" s="33" t="s">
        <v>163</v>
      </c>
      <c r="H514" s="33" t="s">
        <v>164</v>
      </c>
      <c r="I514" s="33" t="s">
        <v>158</v>
      </c>
      <c r="J514" s="33" t="s">
        <v>159</v>
      </c>
      <c r="K514" s="33" t="s">
        <v>160</v>
      </c>
      <c r="L514" s="35" t="n">
        <v>3912.46</v>
      </c>
      <c r="M514" s="33" t="n">
        <v>4</v>
      </c>
      <c r="N514" s="33" t="s">
        <v>146</v>
      </c>
      <c r="O514" s="33" t="s">
        <v>147</v>
      </c>
    </row>
    <row r="515" customFormat="false" ht="15" hidden="false" customHeight="false" outlineLevel="0" collapsed="false">
      <c r="A515" s="33" t="s">
        <v>729</v>
      </c>
      <c r="B515" s="34" t="n">
        <v>45514</v>
      </c>
      <c r="C515" s="34" t="n">
        <v>45515</v>
      </c>
      <c r="D515" s="33" t="n">
        <v>22</v>
      </c>
      <c r="E515" s="33" t="s">
        <v>139</v>
      </c>
      <c r="F515" s="33" t="s">
        <v>140</v>
      </c>
      <c r="G515" s="33" t="s">
        <v>316</v>
      </c>
      <c r="H515" s="33" t="s">
        <v>290</v>
      </c>
      <c r="I515" s="33" t="s">
        <v>152</v>
      </c>
      <c r="J515" s="33" t="s">
        <v>159</v>
      </c>
      <c r="K515" s="33" t="s">
        <v>184</v>
      </c>
      <c r="L515" s="35" t="n">
        <v>2987.08</v>
      </c>
      <c r="M515" s="33" t="n">
        <v>3</v>
      </c>
      <c r="N515" s="33" t="s">
        <v>146</v>
      </c>
      <c r="O515" s="33" t="s">
        <v>147</v>
      </c>
    </row>
    <row r="516" customFormat="false" ht="15" hidden="false" customHeight="false" outlineLevel="0" collapsed="false">
      <c r="A516" s="33" t="s">
        <v>730</v>
      </c>
      <c r="B516" s="34" t="n">
        <v>45387</v>
      </c>
      <c r="C516" s="34" t="n">
        <v>45388</v>
      </c>
      <c r="D516" s="33" t="n">
        <v>25</v>
      </c>
      <c r="E516" s="33" t="s">
        <v>139</v>
      </c>
      <c r="F516" s="33" t="s">
        <v>203</v>
      </c>
      <c r="G516" s="33" t="s">
        <v>204</v>
      </c>
      <c r="H516" s="33" t="s">
        <v>193</v>
      </c>
      <c r="I516" s="33" t="s">
        <v>143</v>
      </c>
      <c r="J516" s="33" t="s">
        <v>159</v>
      </c>
      <c r="K516" s="33" t="s">
        <v>160</v>
      </c>
      <c r="L516" s="35" t="n">
        <v>964.47</v>
      </c>
      <c r="M516" s="33" t="n">
        <v>3</v>
      </c>
      <c r="N516" s="33" t="s">
        <v>146</v>
      </c>
      <c r="O516" s="33" t="s">
        <v>147</v>
      </c>
    </row>
    <row r="517" customFormat="false" ht="15" hidden="false" customHeight="false" outlineLevel="0" collapsed="false">
      <c r="A517" s="33" t="s">
        <v>731</v>
      </c>
      <c r="B517" s="34" t="n">
        <v>45355</v>
      </c>
      <c r="C517" s="34" t="n">
        <v>45358</v>
      </c>
      <c r="D517" s="33" t="n">
        <v>34</v>
      </c>
      <c r="E517" s="33" t="s">
        <v>154</v>
      </c>
      <c r="F517" s="33" t="s">
        <v>203</v>
      </c>
      <c r="G517" s="33" t="s">
        <v>217</v>
      </c>
      <c r="H517" s="33" t="s">
        <v>205</v>
      </c>
      <c r="I517" s="33" t="s">
        <v>143</v>
      </c>
      <c r="J517" s="33" t="s">
        <v>159</v>
      </c>
      <c r="K517" s="33" t="s">
        <v>145</v>
      </c>
      <c r="L517" s="35" t="n">
        <v>2539.54</v>
      </c>
      <c r="M517" s="33" t="n">
        <v>4</v>
      </c>
      <c r="N517" s="33" t="s">
        <v>146</v>
      </c>
      <c r="O517" s="33" t="s">
        <v>147</v>
      </c>
    </row>
    <row r="518" customFormat="false" ht="15" hidden="false" customHeight="false" outlineLevel="0" collapsed="false">
      <c r="A518" s="33" t="s">
        <v>732</v>
      </c>
      <c r="B518" s="34" t="n">
        <v>45619</v>
      </c>
      <c r="C518" s="34" t="n">
        <v>45623</v>
      </c>
      <c r="D518" s="33" t="n">
        <v>32</v>
      </c>
      <c r="E518" s="33" t="s">
        <v>139</v>
      </c>
      <c r="F518" s="33" t="s">
        <v>149</v>
      </c>
      <c r="G518" s="33" t="s">
        <v>224</v>
      </c>
      <c r="H518" s="33" t="s">
        <v>186</v>
      </c>
      <c r="I518" s="33" t="s">
        <v>143</v>
      </c>
      <c r="J518" s="33" t="s">
        <v>144</v>
      </c>
      <c r="K518" s="33" t="s">
        <v>184</v>
      </c>
      <c r="L518" s="35" t="n">
        <v>10415.89</v>
      </c>
      <c r="M518" s="33" t="n">
        <v>4</v>
      </c>
      <c r="N518" s="33" t="s">
        <v>146</v>
      </c>
      <c r="O518" s="33" t="s">
        <v>147</v>
      </c>
    </row>
    <row r="519" customFormat="false" ht="15" hidden="false" customHeight="false" outlineLevel="0" collapsed="false">
      <c r="A519" s="33" t="s">
        <v>733</v>
      </c>
      <c r="B519" s="34" t="n">
        <v>45524</v>
      </c>
      <c r="C519" s="34" t="n">
        <v>45525</v>
      </c>
      <c r="D519" s="33" t="n">
        <v>37</v>
      </c>
      <c r="E519" s="33" t="s">
        <v>139</v>
      </c>
      <c r="F519" s="33" t="s">
        <v>149</v>
      </c>
      <c r="G519" s="33" t="s">
        <v>150</v>
      </c>
      <c r="H519" s="33" t="s">
        <v>186</v>
      </c>
      <c r="I519" s="33" t="s">
        <v>143</v>
      </c>
      <c r="J519" s="33" t="s">
        <v>144</v>
      </c>
      <c r="K519" s="33" t="s">
        <v>145</v>
      </c>
      <c r="L519" s="35" t="n">
        <v>2104.44</v>
      </c>
      <c r="M519" s="33" t="n">
        <v>3</v>
      </c>
      <c r="N519" s="33" t="s">
        <v>146</v>
      </c>
      <c r="O519" s="33" t="s">
        <v>147</v>
      </c>
    </row>
    <row r="520" customFormat="false" ht="15" hidden="false" customHeight="false" outlineLevel="0" collapsed="false">
      <c r="A520" s="33" t="s">
        <v>734</v>
      </c>
      <c r="B520" s="34" t="n">
        <v>45622</v>
      </c>
      <c r="C520" s="34" t="n">
        <v>45627</v>
      </c>
      <c r="D520" s="33" t="n">
        <v>39</v>
      </c>
      <c r="E520" s="33" t="s">
        <v>139</v>
      </c>
      <c r="F520" s="33" t="s">
        <v>162</v>
      </c>
      <c r="G520" s="33" t="s">
        <v>230</v>
      </c>
      <c r="H520" s="33" t="s">
        <v>164</v>
      </c>
      <c r="I520" s="33" t="s">
        <v>143</v>
      </c>
      <c r="J520" s="33" t="s">
        <v>159</v>
      </c>
      <c r="K520" s="33" t="s">
        <v>160</v>
      </c>
      <c r="L520" s="35" t="n">
        <v>4938.35</v>
      </c>
      <c r="M520" s="33" t="n">
        <v>3</v>
      </c>
      <c r="N520" s="33" t="s">
        <v>146</v>
      </c>
      <c r="O520" s="33" t="s">
        <v>147</v>
      </c>
    </row>
    <row r="521" customFormat="false" ht="15" hidden="false" customHeight="false" outlineLevel="0" collapsed="false">
      <c r="A521" s="33" t="s">
        <v>735</v>
      </c>
      <c r="B521" s="34" t="n">
        <v>45372</v>
      </c>
      <c r="C521" s="34" t="n">
        <v>45373</v>
      </c>
      <c r="D521" s="33" t="n">
        <v>67</v>
      </c>
      <c r="E521" s="33" t="s">
        <v>139</v>
      </c>
      <c r="F521" s="33" t="s">
        <v>203</v>
      </c>
      <c r="G521" s="33" t="s">
        <v>217</v>
      </c>
      <c r="H521" s="33" t="s">
        <v>205</v>
      </c>
      <c r="I521" s="33" t="s">
        <v>152</v>
      </c>
      <c r="J521" s="33" t="s">
        <v>159</v>
      </c>
      <c r="K521" s="33" t="s">
        <v>145</v>
      </c>
      <c r="L521" s="35" t="n">
        <v>1044.67</v>
      </c>
      <c r="M521" s="33" t="n">
        <v>2</v>
      </c>
      <c r="N521" s="33" t="s">
        <v>146</v>
      </c>
      <c r="O521" s="33" t="s">
        <v>147</v>
      </c>
    </row>
    <row r="522" customFormat="false" ht="15" hidden="false" customHeight="false" outlineLevel="0" collapsed="false">
      <c r="A522" s="33" t="s">
        <v>736</v>
      </c>
      <c r="B522" s="34" t="n">
        <v>45409</v>
      </c>
      <c r="C522" s="34" t="n">
        <v>45412</v>
      </c>
      <c r="D522" s="33" t="n">
        <v>45</v>
      </c>
      <c r="E522" s="33" t="s">
        <v>139</v>
      </c>
      <c r="F522" s="33" t="s">
        <v>169</v>
      </c>
      <c r="G522" s="33" t="s">
        <v>170</v>
      </c>
      <c r="H522" s="33" t="s">
        <v>164</v>
      </c>
      <c r="I522" s="33" t="s">
        <v>152</v>
      </c>
      <c r="J522" s="33" t="s">
        <v>144</v>
      </c>
      <c r="K522" s="33" t="s">
        <v>184</v>
      </c>
      <c r="L522" s="37" t="n">
        <v>0</v>
      </c>
      <c r="M522" s="33" t="n">
        <v>5</v>
      </c>
      <c r="N522" s="33" t="s">
        <v>146</v>
      </c>
      <c r="O522" s="33" t="s">
        <v>147</v>
      </c>
    </row>
    <row r="523" customFormat="false" ht="15" hidden="false" customHeight="false" outlineLevel="0" collapsed="false">
      <c r="A523" s="33" t="s">
        <v>737</v>
      </c>
      <c r="B523" s="34" t="n">
        <v>45459</v>
      </c>
      <c r="C523" s="34" t="n">
        <v>45461</v>
      </c>
      <c r="D523" s="33" t="n">
        <v>10</v>
      </c>
      <c r="E523" s="33" t="s">
        <v>279</v>
      </c>
      <c r="F523" s="33" t="s">
        <v>203</v>
      </c>
      <c r="G523" s="33" t="s">
        <v>204</v>
      </c>
      <c r="H523" s="33" t="s">
        <v>205</v>
      </c>
      <c r="I523" s="33" t="s">
        <v>143</v>
      </c>
      <c r="J523" s="33" t="s">
        <v>159</v>
      </c>
      <c r="K523" s="33" t="s">
        <v>145</v>
      </c>
      <c r="L523" s="35" t="n">
        <v>1777.86</v>
      </c>
      <c r="M523" s="33" t="n">
        <v>2</v>
      </c>
      <c r="N523" s="33" t="s">
        <v>146</v>
      </c>
      <c r="O523" s="33" t="s">
        <v>147</v>
      </c>
    </row>
    <row r="524" customFormat="false" ht="15" hidden="false" customHeight="false" outlineLevel="0" collapsed="false">
      <c r="A524" s="33" t="s">
        <v>738</v>
      </c>
      <c r="B524" s="34" t="n">
        <v>45321</v>
      </c>
      <c r="C524" s="34" t="n">
        <v>45325</v>
      </c>
      <c r="D524" s="33" t="n">
        <v>32</v>
      </c>
      <c r="E524" s="33" t="s">
        <v>139</v>
      </c>
      <c r="F524" s="33" t="s">
        <v>173</v>
      </c>
      <c r="G524" s="33" t="s">
        <v>198</v>
      </c>
      <c r="H524" s="33" t="s">
        <v>175</v>
      </c>
      <c r="I524" s="33" t="s">
        <v>143</v>
      </c>
      <c r="J524" s="33" t="s">
        <v>176</v>
      </c>
      <c r="K524" s="33" t="s">
        <v>184</v>
      </c>
      <c r="L524" s="35" t="n">
        <v>32591.66</v>
      </c>
      <c r="M524" s="33" t="n">
        <v>5</v>
      </c>
      <c r="N524" s="33" t="s">
        <v>146</v>
      </c>
      <c r="O524" s="33" t="s">
        <v>147</v>
      </c>
    </row>
    <row r="525" customFormat="false" ht="15" hidden="false" customHeight="false" outlineLevel="0" collapsed="false">
      <c r="A525" s="33" t="s">
        <v>739</v>
      </c>
      <c r="B525" s="34" t="n">
        <v>45648</v>
      </c>
      <c r="C525" s="34" t="n">
        <v>45651</v>
      </c>
      <c r="D525" s="33" t="n">
        <v>2</v>
      </c>
      <c r="E525" s="33" t="s">
        <v>257</v>
      </c>
      <c r="F525" s="33" t="s">
        <v>155</v>
      </c>
      <c r="G525" s="33" t="s">
        <v>156</v>
      </c>
      <c r="H525" s="33" t="s">
        <v>157</v>
      </c>
      <c r="I525" s="33" t="s">
        <v>152</v>
      </c>
      <c r="J525" s="33" t="s">
        <v>176</v>
      </c>
      <c r="K525" s="33" t="s">
        <v>145</v>
      </c>
      <c r="L525" s="35" t="n">
        <v>8614.61</v>
      </c>
      <c r="M525" s="33" t="n">
        <v>5</v>
      </c>
      <c r="N525" s="33" t="s">
        <v>146</v>
      </c>
      <c r="O525" s="33" t="s">
        <v>147</v>
      </c>
    </row>
    <row r="526" customFormat="false" ht="15" hidden="false" customHeight="false" outlineLevel="0" collapsed="false">
      <c r="A526" s="33" t="s">
        <v>740</v>
      </c>
      <c r="B526" s="34" t="n">
        <v>45427</v>
      </c>
      <c r="C526" s="34" t="n">
        <v>45432</v>
      </c>
      <c r="D526" s="33" t="n">
        <v>62</v>
      </c>
      <c r="E526" s="33" t="s">
        <v>279</v>
      </c>
      <c r="F526" s="33" t="s">
        <v>140</v>
      </c>
      <c r="G526" s="33" t="s">
        <v>141</v>
      </c>
      <c r="H526" s="33" t="s">
        <v>290</v>
      </c>
      <c r="I526" s="33" t="s">
        <v>143</v>
      </c>
      <c r="J526" s="33" t="s">
        <v>176</v>
      </c>
      <c r="K526" s="33" t="s">
        <v>145</v>
      </c>
      <c r="L526" s="35" t="n">
        <v>38204.94</v>
      </c>
      <c r="M526" s="36"/>
      <c r="N526" s="33" t="s">
        <v>146</v>
      </c>
      <c r="O526" s="33" t="s">
        <v>147</v>
      </c>
    </row>
    <row r="527" customFormat="false" ht="15" hidden="false" customHeight="false" outlineLevel="0" collapsed="false">
      <c r="A527" s="33" t="s">
        <v>741</v>
      </c>
      <c r="B527" s="34" t="n">
        <v>45424</v>
      </c>
      <c r="C527" s="34" t="n">
        <v>45427</v>
      </c>
      <c r="D527" s="33" t="n">
        <v>31</v>
      </c>
      <c r="E527" s="33" t="s">
        <v>216</v>
      </c>
      <c r="F527" s="33" t="s">
        <v>140</v>
      </c>
      <c r="G527" s="33" t="s">
        <v>167</v>
      </c>
      <c r="H527" s="33" t="s">
        <v>142</v>
      </c>
      <c r="I527" s="33" t="s">
        <v>143</v>
      </c>
      <c r="J527" s="33" t="s">
        <v>159</v>
      </c>
      <c r="K527" s="33" t="s">
        <v>160</v>
      </c>
      <c r="L527" s="35" t="n">
        <v>7582.64</v>
      </c>
      <c r="M527" s="33" t="n">
        <v>3</v>
      </c>
      <c r="N527" s="33" t="s">
        <v>146</v>
      </c>
      <c r="O527" s="33" t="s">
        <v>147</v>
      </c>
    </row>
    <row r="528" customFormat="false" ht="15" hidden="false" customHeight="false" outlineLevel="0" collapsed="false">
      <c r="A528" s="33" t="s">
        <v>742</v>
      </c>
      <c r="B528" s="34" t="n">
        <v>45512</v>
      </c>
      <c r="C528" s="34" t="n">
        <v>45515</v>
      </c>
      <c r="D528" s="36"/>
      <c r="E528" s="33" t="s">
        <v>154</v>
      </c>
      <c r="F528" s="33" t="s">
        <v>140</v>
      </c>
      <c r="G528" s="33" t="s">
        <v>167</v>
      </c>
      <c r="H528" s="33" t="s">
        <v>142</v>
      </c>
      <c r="I528" s="33" t="s">
        <v>143</v>
      </c>
      <c r="J528" s="33" t="s">
        <v>159</v>
      </c>
      <c r="K528" s="33" t="s">
        <v>145</v>
      </c>
      <c r="L528" s="35" t="n">
        <v>6160.3</v>
      </c>
      <c r="M528" s="33" t="n">
        <v>4</v>
      </c>
      <c r="N528" s="33" t="s">
        <v>146</v>
      </c>
      <c r="O528" s="33" t="s">
        <v>147</v>
      </c>
    </row>
    <row r="529" customFormat="false" ht="15" hidden="false" customHeight="false" outlineLevel="0" collapsed="false">
      <c r="A529" s="33" t="s">
        <v>743</v>
      </c>
      <c r="B529" s="34" t="n">
        <v>45565</v>
      </c>
      <c r="C529" s="34" t="n">
        <v>45570</v>
      </c>
      <c r="D529" s="33" t="n">
        <v>30</v>
      </c>
      <c r="E529" s="33" t="s">
        <v>139</v>
      </c>
      <c r="F529" s="33" t="s">
        <v>149</v>
      </c>
      <c r="G529" s="33" t="s">
        <v>224</v>
      </c>
      <c r="H529" s="33" t="s">
        <v>186</v>
      </c>
      <c r="I529" s="33" t="s">
        <v>143</v>
      </c>
      <c r="J529" s="33" t="s">
        <v>159</v>
      </c>
      <c r="K529" s="33" t="s">
        <v>145</v>
      </c>
      <c r="L529" s="35" t="n">
        <v>7840.62</v>
      </c>
      <c r="M529" s="33" t="n">
        <v>3</v>
      </c>
      <c r="N529" s="33" t="s">
        <v>146</v>
      </c>
      <c r="O529" s="33" t="s">
        <v>147</v>
      </c>
    </row>
    <row r="530" customFormat="false" ht="15" hidden="false" customHeight="false" outlineLevel="0" collapsed="false">
      <c r="A530" s="33" t="s">
        <v>744</v>
      </c>
      <c r="B530" s="34" t="n">
        <v>45591</v>
      </c>
      <c r="C530" s="34" t="n">
        <v>45598</v>
      </c>
      <c r="D530" s="33" t="n">
        <v>64</v>
      </c>
      <c r="E530" s="33" t="s">
        <v>139</v>
      </c>
      <c r="F530" s="33" t="s">
        <v>226</v>
      </c>
      <c r="G530" s="33" t="s">
        <v>227</v>
      </c>
      <c r="H530" s="33" t="s">
        <v>263</v>
      </c>
      <c r="I530" s="33" t="s">
        <v>143</v>
      </c>
      <c r="J530" s="33" t="s">
        <v>159</v>
      </c>
      <c r="K530" s="33" t="s">
        <v>184</v>
      </c>
      <c r="L530" s="35" t="n">
        <v>19590.36</v>
      </c>
      <c r="M530" s="33" t="n">
        <v>5</v>
      </c>
      <c r="N530" s="33" t="s">
        <v>146</v>
      </c>
      <c r="O530" s="33" t="s">
        <v>147</v>
      </c>
    </row>
    <row r="531" customFormat="false" ht="15" hidden="false" customHeight="false" outlineLevel="0" collapsed="false">
      <c r="A531" s="33" t="s">
        <v>745</v>
      </c>
      <c r="B531" s="34" t="n">
        <v>45556</v>
      </c>
      <c r="C531" s="34" t="n">
        <v>45558</v>
      </c>
      <c r="D531" s="33" t="n">
        <v>34</v>
      </c>
      <c r="E531" s="33" t="s">
        <v>279</v>
      </c>
      <c r="F531" s="33" t="s">
        <v>203</v>
      </c>
      <c r="G531" s="33" t="s">
        <v>192</v>
      </c>
      <c r="H531" s="33" t="s">
        <v>233</v>
      </c>
      <c r="I531" s="33" t="s">
        <v>143</v>
      </c>
      <c r="J531" s="33" t="s">
        <v>159</v>
      </c>
      <c r="K531" s="33" t="s">
        <v>160</v>
      </c>
      <c r="L531" s="35" t="n">
        <v>1588.09</v>
      </c>
      <c r="M531" s="33" t="n">
        <v>3</v>
      </c>
      <c r="N531" s="33" t="s">
        <v>146</v>
      </c>
      <c r="O531" s="33" t="s">
        <v>147</v>
      </c>
    </row>
    <row r="532" customFormat="false" ht="15" hidden="false" customHeight="false" outlineLevel="0" collapsed="false">
      <c r="A532" s="33" t="s">
        <v>746</v>
      </c>
      <c r="B532" s="34" t="n">
        <v>45636</v>
      </c>
      <c r="C532" s="34" t="n">
        <v>45648</v>
      </c>
      <c r="D532" s="33" t="n">
        <v>0</v>
      </c>
      <c r="E532" s="33" t="s">
        <v>154</v>
      </c>
      <c r="F532" s="33" t="s">
        <v>173</v>
      </c>
      <c r="G532" s="33" t="s">
        <v>174</v>
      </c>
      <c r="H532" s="33" t="s">
        <v>199</v>
      </c>
      <c r="I532" s="33" t="s">
        <v>152</v>
      </c>
      <c r="J532" s="33" t="s">
        <v>159</v>
      </c>
      <c r="K532" s="33" t="s">
        <v>145</v>
      </c>
      <c r="L532" s="35" t="n">
        <v>32796.24</v>
      </c>
      <c r="M532" s="33" t="n">
        <v>3</v>
      </c>
      <c r="N532" s="33" t="s">
        <v>146</v>
      </c>
      <c r="O532" s="33" t="s">
        <v>147</v>
      </c>
    </row>
    <row r="533" customFormat="false" ht="15" hidden="false" customHeight="false" outlineLevel="0" collapsed="false">
      <c r="A533" s="33" t="s">
        <v>747</v>
      </c>
      <c r="B533" s="34" t="n">
        <v>45385</v>
      </c>
      <c r="C533" s="34" t="n">
        <v>45397</v>
      </c>
      <c r="D533" s="33" t="n">
        <v>60</v>
      </c>
      <c r="E533" s="33" t="s">
        <v>154</v>
      </c>
      <c r="F533" s="33" t="s">
        <v>212</v>
      </c>
      <c r="G533" s="33" t="s">
        <v>163</v>
      </c>
      <c r="H533" s="33" t="s">
        <v>195</v>
      </c>
      <c r="I533" s="33" t="s">
        <v>143</v>
      </c>
      <c r="J533" s="33" t="s">
        <v>159</v>
      </c>
      <c r="K533" s="33" t="s">
        <v>160</v>
      </c>
      <c r="L533" s="35" t="n">
        <v>13172.17</v>
      </c>
      <c r="M533" s="33" t="n">
        <v>3</v>
      </c>
      <c r="N533" s="33" t="s">
        <v>146</v>
      </c>
      <c r="O533" s="33" t="s">
        <v>147</v>
      </c>
    </row>
    <row r="534" customFormat="false" ht="15" hidden="false" customHeight="false" outlineLevel="0" collapsed="false">
      <c r="A534" s="33" t="s">
        <v>748</v>
      </c>
      <c r="B534" s="34" t="n">
        <v>45629</v>
      </c>
      <c r="C534" s="34" t="n">
        <v>45630</v>
      </c>
      <c r="D534" s="33" t="n">
        <v>0</v>
      </c>
      <c r="E534" s="33" t="s">
        <v>139</v>
      </c>
      <c r="F534" s="33" t="s">
        <v>155</v>
      </c>
      <c r="G534" s="33" t="s">
        <v>156</v>
      </c>
      <c r="H534" s="33" t="s">
        <v>222</v>
      </c>
      <c r="I534" s="33" t="s">
        <v>152</v>
      </c>
      <c r="J534" s="33" t="s">
        <v>176</v>
      </c>
      <c r="K534" s="33" t="s">
        <v>145</v>
      </c>
      <c r="L534" s="35" t="n">
        <v>2785.82</v>
      </c>
      <c r="M534" s="33" t="n">
        <v>5</v>
      </c>
      <c r="N534" s="33" t="s">
        <v>146</v>
      </c>
      <c r="O534" s="33" t="s">
        <v>147</v>
      </c>
    </row>
    <row r="535" customFormat="false" ht="15" hidden="false" customHeight="false" outlineLevel="0" collapsed="false">
      <c r="A535" s="33" t="s">
        <v>749</v>
      </c>
      <c r="B535" s="34" t="n">
        <v>45595</v>
      </c>
      <c r="C535" s="34" t="n">
        <v>45590</v>
      </c>
      <c r="D535" s="33" t="n">
        <v>72</v>
      </c>
      <c r="E535" s="33" t="s">
        <v>139</v>
      </c>
      <c r="F535" s="33" t="s">
        <v>169</v>
      </c>
      <c r="G535" s="33" t="s">
        <v>163</v>
      </c>
      <c r="H535" s="33" t="s">
        <v>164</v>
      </c>
      <c r="I535" s="33" t="s">
        <v>143</v>
      </c>
      <c r="J535" s="33" t="s">
        <v>159</v>
      </c>
      <c r="K535" s="33" t="s">
        <v>160</v>
      </c>
      <c r="L535" s="35" t="n">
        <v>6510.34</v>
      </c>
      <c r="M535" s="33" t="n">
        <v>5</v>
      </c>
      <c r="N535" s="33" t="s">
        <v>146</v>
      </c>
      <c r="O535" s="33" t="s">
        <v>147</v>
      </c>
    </row>
    <row r="536" customFormat="false" ht="15" hidden="false" customHeight="false" outlineLevel="0" collapsed="false">
      <c r="A536" s="33" t="s">
        <v>750</v>
      </c>
      <c r="B536" s="34" t="n">
        <v>45500</v>
      </c>
      <c r="C536" s="34" t="n">
        <v>45501</v>
      </c>
      <c r="D536" s="33" t="n">
        <v>35</v>
      </c>
      <c r="E536" s="33" t="s">
        <v>139</v>
      </c>
      <c r="F536" s="33" t="s">
        <v>203</v>
      </c>
      <c r="G536" s="33" t="s">
        <v>232</v>
      </c>
      <c r="H536" s="33" t="s">
        <v>205</v>
      </c>
      <c r="I536" s="33" t="s">
        <v>143</v>
      </c>
      <c r="J536" s="33" t="s">
        <v>159</v>
      </c>
      <c r="K536" s="33" t="s">
        <v>145</v>
      </c>
      <c r="L536" s="35" t="n">
        <v>893.6</v>
      </c>
      <c r="M536" s="33" t="n">
        <v>3</v>
      </c>
      <c r="N536" s="33" t="s">
        <v>146</v>
      </c>
      <c r="O536" s="33" t="s">
        <v>147</v>
      </c>
    </row>
    <row r="537" customFormat="false" ht="15" hidden="false" customHeight="false" outlineLevel="0" collapsed="false">
      <c r="A537" s="33" t="s">
        <v>751</v>
      </c>
      <c r="B537" s="34" t="n">
        <v>45452</v>
      </c>
      <c r="C537" s="34" t="n">
        <v>45456</v>
      </c>
      <c r="D537" s="33" t="n">
        <v>77</v>
      </c>
      <c r="E537" s="33" t="s">
        <v>154</v>
      </c>
      <c r="F537" s="33" t="s">
        <v>140</v>
      </c>
      <c r="G537" s="33" t="s">
        <v>141</v>
      </c>
      <c r="H537" s="33" t="s">
        <v>142</v>
      </c>
      <c r="I537" s="33" t="s">
        <v>152</v>
      </c>
      <c r="J537" s="33" t="s">
        <v>159</v>
      </c>
      <c r="K537" s="33" t="s">
        <v>145</v>
      </c>
      <c r="L537" s="35" t="n">
        <v>8637.71</v>
      </c>
      <c r="M537" s="33" t="n">
        <v>4</v>
      </c>
      <c r="N537" s="33" t="s">
        <v>146</v>
      </c>
      <c r="O537" s="33" t="s">
        <v>147</v>
      </c>
    </row>
    <row r="538" customFormat="false" ht="15" hidden="false" customHeight="false" outlineLevel="0" collapsed="false">
      <c r="A538" s="33" t="s">
        <v>752</v>
      </c>
      <c r="B538" s="34" t="n">
        <v>45391</v>
      </c>
      <c r="C538" s="34" t="n">
        <v>45399</v>
      </c>
      <c r="D538" s="33" t="n">
        <v>57</v>
      </c>
      <c r="E538" s="33" t="s">
        <v>154</v>
      </c>
      <c r="F538" s="33" t="s">
        <v>169</v>
      </c>
      <c r="G538" s="33" t="s">
        <v>213</v>
      </c>
      <c r="H538" s="33" t="s">
        <v>171</v>
      </c>
      <c r="I538" s="33" t="s">
        <v>143</v>
      </c>
      <c r="J538" s="33" t="s">
        <v>144</v>
      </c>
      <c r="K538" s="33" t="s">
        <v>184</v>
      </c>
      <c r="L538" s="35" t="n">
        <v>17603.08</v>
      </c>
      <c r="M538" s="33" t="n">
        <v>4</v>
      </c>
      <c r="N538" s="33" t="s">
        <v>146</v>
      </c>
      <c r="O538" s="33" t="s">
        <v>147</v>
      </c>
    </row>
    <row r="539" customFormat="false" ht="15" hidden="false" customHeight="false" outlineLevel="0" collapsed="false">
      <c r="A539" s="33" t="s">
        <v>753</v>
      </c>
      <c r="B539" s="34" t="n">
        <v>45525</v>
      </c>
      <c r="C539" s="34" t="n">
        <v>45532</v>
      </c>
      <c r="D539" s="33" t="n">
        <v>72</v>
      </c>
      <c r="E539" s="33" t="s">
        <v>139</v>
      </c>
      <c r="F539" s="33" t="s">
        <v>140</v>
      </c>
      <c r="G539" s="33" t="s">
        <v>141</v>
      </c>
      <c r="H539" s="33" t="s">
        <v>142</v>
      </c>
      <c r="I539" s="33" t="s">
        <v>143</v>
      </c>
      <c r="J539" s="33" t="s">
        <v>159</v>
      </c>
      <c r="K539" s="33" t="s">
        <v>184</v>
      </c>
      <c r="L539" s="35" t="n">
        <v>16070.84</v>
      </c>
      <c r="M539" s="33" t="n">
        <v>5</v>
      </c>
      <c r="N539" s="33" t="s">
        <v>146</v>
      </c>
      <c r="O539" s="33" t="s">
        <v>147</v>
      </c>
    </row>
    <row r="540" customFormat="false" ht="15" hidden="false" customHeight="false" outlineLevel="0" collapsed="false">
      <c r="A540" s="33" t="s">
        <v>754</v>
      </c>
      <c r="B540" s="34" t="n">
        <v>45459</v>
      </c>
      <c r="C540" s="34" t="n">
        <v>45461</v>
      </c>
      <c r="D540" s="33" t="n">
        <v>47</v>
      </c>
      <c r="E540" s="33" t="s">
        <v>154</v>
      </c>
      <c r="F540" s="33" t="s">
        <v>140</v>
      </c>
      <c r="G540" s="33" t="s">
        <v>141</v>
      </c>
      <c r="H540" s="33" t="s">
        <v>142</v>
      </c>
      <c r="I540" s="33" t="s">
        <v>143</v>
      </c>
      <c r="J540" s="33" t="s">
        <v>144</v>
      </c>
      <c r="K540" s="33" t="s">
        <v>145</v>
      </c>
      <c r="L540" s="35" t="n">
        <v>7977.63</v>
      </c>
      <c r="M540" s="36"/>
      <c r="N540" s="33" t="s">
        <v>210</v>
      </c>
      <c r="O540" s="33" t="s">
        <v>147</v>
      </c>
    </row>
    <row r="541" customFormat="false" ht="15" hidden="false" customHeight="false" outlineLevel="0" collapsed="false">
      <c r="A541" s="33" t="s">
        <v>755</v>
      </c>
      <c r="B541" s="34" t="n">
        <v>45485</v>
      </c>
      <c r="C541" s="34" t="n">
        <v>45486</v>
      </c>
      <c r="D541" s="33" t="n">
        <v>20</v>
      </c>
      <c r="E541" s="33" t="s">
        <v>139</v>
      </c>
      <c r="F541" s="33" t="s">
        <v>149</v>
      </c>
      <c r="G541" s="33" t="s">
        <v>150</v>
      </c>
      <c r="H541" s="33" t="s">
        <v>151</v>
      </c>
      <c r="I541" s="33" t="s">
        <v>143</v>
      </c>
      <c r="J541" s="33" t="s">
        <v>159</v>
      </c>
      <c r="K541" s="33" t="s">
        <v>145</v>
      </c>
      <c r="L541" s="35" t="n">
        <v>1280.07</v>
      </c>
      <c r="M541" s="33" t="n">
        <v>5</v>
      </c>
      <c r="N541" s="33" t="s">
        <v>210</v>
      </c>
      <c r="O541" s="33" t="s">
        <v>147</v>
      </c>
    </row>
    <row r="542" customFormat="false" ht="15" hidden="false" customHeight="false" outlineLevel="0" collapsed="false">
      <c r="A542" s="33" t="s">
        <v>756</v>
      </c>
      <c r="B542" s="34" t="n">
        <v>45356</v>
      </c>
      <c r="C542" s="34" t="n">
        <v>45359</v>
      </c>
      <c r="D542" s="33" t="n">
        <v>0</v>
      </c>
      <c r="E542" s="33" t="s">
        <v>154</v>
      </c>
      <c r="F542" s="33" t="s">
        <v>155</v>
      </c>
      <c r="G542" s="33" t="s">
        <v>220</v>
      </c>
      <c r="H542" s="33" t="s">
        <v>222</v>
      </c>
      <c r="I542" s="33" t="s">
        <v>158</v>
      </c>
      <c r="J542" s="33" t="s">
        <v>159</v>
      </c>
      <c r="K542" s="33" t="s">
        <v>209</v>
      </c>
      <c r="L542" s="35" t="n">
        <v>2297.46</v>
      </c>
      <c r="M542" s="33" t="n">
        <v>4</v>
      </c>
      <c r="N542" s="33" t="s">
        <v>146</v>
      </c>
      <c r="O542" s="33" t="s">
        <v>147</v>
      </c>
    </row>
    <row r="543" customFormat="false" ht="15" hidden="false" customHeight="false" outlineLevel="0" collapsed="false">
      <c r="A543" s="33" t="s">
        <v>757</v>
      </c>
      <c r="B543" s="34" t="n">
        <v>45293</v>
      </c>
      <c r="C543" s="34" t="n">
        <v>45300</v>
      </c>
      <c r="D543" s="33" t="n">
        <v>58</v>
      </c>
      <c r="E543" s="33" t="s">
        <v>154</v>
      </c>
      <c r="F543" s="33" t="s">
        <v>181</v>
      </c>
      <c r="G543" s="33" t="s">
        <v>182</v>
      </c>
      <c r="H543" s="33" t="s">
        <v>245</v>
      </c>
      <c r="I543" s="33" t="s">
        <v>143</v>
      </c>
      <c r="J543" s="33" t="s">
        <v>159</v>
      </c>
      <c r="K543" s="33" t="s">
        <v>145</v>
      </c>
      <c r="L543" s="35" t="n">
        <v>15218.68</v>
      </c>
      <c r="M543" s="33" t="n">
        <v>4</v>
      </c>
      <c r="N543" s="33" t="s">
        <v>210</v>
      </c>
      <c r="O543" s="33" t="s">
        <v>147</v>
      </c>
    </row>
    <row r="544" customFormat="false" ht="15" hidden="false" customHeight="false" outlineLevel="0" collapsed="false">
      <c r="A544" s="33" t="s">
        <v>758</v>
      </c>
      <c r="B544" s="34" t="n">
        <v>45408</v>
      </c>
      <c r="C544" s="34" t="n">
        <v>45419</v>
      </c>
      <c r="D544" s="33" t="n">
        <v>75</v>
      </c>
      <c r="E544" s="33" t="s">
        <v>139</v>
      </c>
      <c r="F544" s="33" t="s">
        <v>173</v>
      </c>
      <c r="G544" s="33" t="s">
        <v>174</v>
      </c>
      <c r="H544" s="33" t="s">
        <v>199</v>
      </c>
      <c r="I544" s="33" t="s">
        <v>152</v>
      </c>
      <c r="J544" s="33" t="s">
        <v>176</v>
      </c>
      <c r="K544" s="33" t="s">
        <v>184</v>
      </c>
      <c r="L544" s="35" t="n">
        <v>112166.3</v>
      </c>
      <c r="M544" s="33" t="n">
        <v>4</v>
      </c>
      <c r="N544" s="33" t="s">
        <v>146</v>
      </c>
      <c r="O544" s="33" t="s">
        <v>147</v>
      </c>
    </row>
    <row r="545" customFormat="false" ht="15" hidden="false" customHeight="false" outlineLevel="0" collapsed="false">
      <c r="A545" s="33" t="s">
        <v>759</v>
      </c>
      <c r="B545" s="34" t="n">
        <v>45494</v>
      </c>
      <c r="C545" s="34" t="n">
        <v>45495</v>
      </c>
      <c r="D545" s="33" t="n">
        <v>96</v>
      </c>
      <c r="E545" s="33" t="s">
        <v>154</v>
      </c>
      <c r="F545" s="33" t="s">
        <v>191</v>
      </c>
      <c r="G545" s="33" t="s">
        <v>204</v>
      </c>
      <c r="H545" s="33" t="s">
        <v>193</v>
      </c>
      <c r="I545" s="33" t="s">
        <v>143</v>
      </c>
      <c r="J545" s="33" t="s">
        <v>159</v>
      </c>
      <c r="K545" s="33" t="s">
        <v>145</v>
      </c>
      <c r="L545" s="35" t="n">
        <v>1042.94</v>
      </c>
      <c r="M545" s="33" t="n">
        <v>4</v>
      </c>
      <c r="N545" s="33" t="s">
        <v>210</v>
      </c>
      <c r="O545" s="33" t="s">
        <v>147</v>
      </c>
    </row>
    <row r="546" customFormat="false" ht="15" hidden="false" customHeight="false" outlineLevel="0" collapsed="false">
      <c r="A546" s="33" t="s">
        <v>760</v>
      </c>
      <c r="B546" s="34" t="n">
        <v>45353</v>
      </c>
      <c r="C546" s="34" t="n">
        <v>45358</v>
      </c>
      <c r="D546" s="33" t="n">
        <v>42</v>
      </c>
      <c r="E546" s="33" t="s">
        <v>154</v>
      </c>
      <c r="F546" s="33" t="s">
        <v>191</v>
      </c>
      <c r="G546" s="33" t="s">
        <v>232</v>
      </c>
      <c r="H546" s="33" t="s">
        <v>205</v>
      </c>
      <c r="I546" s="33" t="s">
        <v>143</v>
      </c>
      <c r="J546" s="33" t="s">
        <v>159</v>
      </c>
      <c r="K546" s="33" t="s">
        <v>145</v>
      </c>
      <c r="L546" s="35" t="n">
        <v>4122.96</v>
      </c>
      <c r="M546" s="33" t="n">
        <v>4</v>
      </c>
      <c r="N546" s="33" t="s">
        <v>146</v>
      </c>
      <c r="O546" s="36"/>
    </row>
    <row r="547" customFormat="false" ht="15" hidden="false" customHeight="false" outlineLevel="0" collapsed="false">
      <c r="A547" s="33" t="s">
        <v>761</v>
      </c>
      <c r="B547" s="34" t="n">
        <v>45318</v>
      </c>
      <c r="C547" s="34" t="n">
        <v>45322</v>
      </c>
      <c r="D547" s="36" t="n">
        <v>-3</v>
      </c>
      <c r="E547" s="33" t="s">
        <v>139</v>
      </c>
      <c r="F547" s="33" t="s">
        <v>181</v>
      </c>
      <c r="G547" s="33" t="s">
        <v>237</v>
      </c>
      <c r="H547" s="33" t="s">
        <v>245</v>
      </c>
      <c r="I547" s="33" t="s">
        <v>152</v>
      </c>
      <c r="J547" s="33" t="s">
        <v>159</v>
      </c>
      <c r="K547" s="33" t="s">
        <v>160</v>
      </c>
      <c r="L547" s="35" t="n">
        <v>8254.09</v>
      </c>
      <c r="M547" s="33" t="n">
        <v>3</v>
      </c>
      <c r="N547" s="33" t="s">
        <v>146</v>
      </c>
      <c r="O547" s="33" t="s">
        <v>147</v>
      </c>
    </row>
    <row r="548" customFormat="false" ht="15" hidden="false" customHeight="false" outlineLevel="0" collapsed="false">
      <c r="A548" s="33" t="s">
        <v>762</v>
      </c>
      <c r="B548" s="34" t="n">
        <v>45293</v>
      </c>
      <c r="C548" s="34" t="n">
        <v>45294</v>
      </c>
      <c r="D548" s="33" t="n">
        <v>34</v>
      </c>
      <c r="E548" s="33" t="s">
        <v>139</v>
      </c>
      <c r="F548" s="33" t="s">
        <v>203</v>
      </c>
      <c r="G548" s="33" t="s">
        <v>241</v>
      </c>
      <c r="H548" s="33" t="s">
        <v>233</v>
      </c>
      <c r="I548" s="33" t="s">
        <v>143</v>
      </c>
      <c r="J548" s="33" t="s">
        <v>144</v>
      </c>
      <c r="K548" s="33" t="s">
        <v>145</v>
      </c>
      <c r="L548" s="35" t="n">
        <v>1312.42</v>
      </c>
      <c r="M548" s="33" t="n">
        <v>4</v>
      </c>
      <c r="N548" s="33" t="s">
        <v>146</v>
      </c>
      <c r="O548" s="33" t="s">
        <v>147</v>
      </c>
    </row>
    <row r="549" customFormat="false" ht="15" hidden="false" customHeight="false" outlineLevel="0" collapsed="false">
      <c r="A549" s="33" t="s">
        <v>763</v>
      </c>
      <c r="B549" s="34" t="n">
        <v>45567</v>
      </c>
      <c r="C549" s="34" t="n">
        <v>45570</v>
      </c>
      <c r="D549" s="33" t="n">
        <v>10</v>
      </c>
      <c r="E549" s="33" t="s">
        <v>154</v>
      </c>
      <c r="F549" s="33" t="s">
        <v>203</v>
      </c>
      <c r="G549" s="33" t="s">
        <v>241</v>
      </c>
      <c r="H549" s="33" t="s">
        <v>233</v>
      </c>
      <c r="I549" s="33" t="s">
        <v>143</v>
      </c>
      <c r="J549" s="33" t="s">
        <v>144</v>
      </c>
      <c r="K549" s="33" t="s">
        <v>160</v>
      </c>
      <c r="L549" s="35" t="n">
        <v>5895.59</v>
      </c>
      <c r="M549" s="33" t="n">
        <v>3</v>
      </c>
      <c r="N549" s="33" t="s">
        <v>146</v>
      </c>
      <c r="O549" s="33" t="s">
        <v>147</v>
      </c>
    </row>
    <row r="550" customFormat="false" ht="15" hidden="false" customHeight="false" outlineLevel="0" collapsed="false">
      <c r="A550" s="33" t="s">
        <v>764</v>
      </c>
      <c r="B550" s="34" t="n">
        <v>45495</v>
      </c>
      <c r="C550" s="34" t="n">
        <v>45496</v>
      </c>
      <c r="D550" s="36" t="n">
        <v>150</v>
      </c>
      <c r="E550" s="33" t="s">
        <v>154</v>
      </c>
      <c r="F550" s="33" t="s">
        <v>191</v>
      </c>
      <c r="G550" s="33" t="s">
        <v>204</v>
      </c>
      <c r="H550" s="33" t="s">
        <v>233</v>
      </c>
      <c r="I550" s="33" t="s">
        <v>143</v>
      </c>
      <c r="J550" s="33" t="s">
        <v>144</v>
      </c>
      <c r="K550" s="33" t="s">
        <v>145</v>
      </c>
      <c r="L550" s="35" t="n">
        <v>1825.89</v>
      </c>
      <c r="M550" s="33" t="n">
        <v>4</v>
      </c>
      <c r="N550" s="33" t="s">
        <v>146</v>
      </c>
      <c r="O550" s="33" t="s">
        <v>147</v>
      </c>
    </row>
    <row r="551" customFormat="false" ht="15" hidden="false" customHeight="false" outlineLevel="0" collapsed="false">
      <c r="A551" s="33" t="s">
        <v>765</v>
      </c>
      <c r="B551" s="34" t="n">
        <v>45480</v>
      </c>
      <c r="C551" s="34" t="n">
        <v>45488</v>
      </c>
      <c r="D551" s="33" t="n">
        <v>49</v>
      </c>
      <c r="E551" s="33" t="s">
        <v>154</v>
      </c>
      <c r="F551" s="33" t="s">
        <v>181</v>
      </c>
      <c r="G551" s="33" t="s">
        <v>188</v>
      </c>
      <c r="H551" s="33" t="s">
        <v>183</v>
      </c>
      <c r="I551" s="33" t="s">
        <v>152</v>
      </c>
      <c r="J551" s="33" t="s">
        <v>159</v>
      </c>
      <c r="K551" s="33" t="s">
        <v>145</v>
      </c>
      <c r="L551" s="35" t="n">
        <v>19196.2</v>
      </c>
      <c r="M551" s="33" t="n">
        <v>4</v>
      </c>
      <c r="N551" s="33" t="s">
        <v>146</v>
      </c>
      <c r="O551" s="33" t="s">
        <v>147</v>
      </c>
    </row>
    <row r="552" customFormat="false" ht="15" hidden="false" customHeight="false" outlineLevel="0" collapsed="false">
      <c r="A552" s="33" t="s">
        <v>766</v>
      </c>
      <c r="B552" s="34" t="n">
        <v>45481</v>
      </c>
      <c r="C552" s="34" t="n">
        <v>45485</v>
      </c>
      <c r="D552" s="33" t="n">
        <v>60</v>
      </c>
      <c r="E552" s="33" t="s">
        <v>154</v>
      </c>
      <c r="F552" s="33" t="s">
        <v>173</v>
      </c>
      <c r="G552" s="33" t="s">
        <v>178</v>
      </c>
      <c r="H552" s="33" t="s">
        <v>199</v>
      </c>
      <c r="I552" s="33" t="s">
        <v>152</v>
      </c>
      <c r="J552" s="33" t="s">
        <v>159</v>
      </c>
      <c r="K552" s="33" t="s">
        <v>145</v>
      </c>
      <c r="L552" s="35" t="n">
        <v>9576.2</v>
      </c>
      <c r="M552" s="33" t="n">
        <v>5</v>
      </c>
      <c r="N552" s="33" t="s">
        <v>146</v>
      </c>
      <c r="O552" s="33" t="s">
        <v>147</v>
      </c>
    </row>
    <row r="553" customFormat="false" ht="15" hidden="false" customHeight="false" outlineLevel="0" collapsed="false">
      <c r="A553" s="33" t="s">
        <v>767</v>
      </c>
      <c r="B553" s="34" t="n">
        <v>45471</v>
      </c>
      <c r="C553" s="34" t="n">
        <v>45472</v>
      </c>
      <c r="D553" s="33" t="n">
        <v>54</v>
      </c>
      <c r="E553" s="33" t="s">
        <v>154</v>
      </c>
      <c r="F553" s="33" t="s">
        <v>173</v>
      </c>
      <c r="G553" s="33" t="s">
        <v>174</v>
      </c>
      <c r="H553" s="33" t="s">
        <v>199</v>
      </c>
      <c r="I553" s="33" t="s">
        <v>143</v>
      </c>
      <c r="J553" s="33" t="s">
        <v>159</v>
      </c>
      <c r="K553" s="33" t="s">
        <v>160</v>
      </c>
      <c r="L553" s="35" t="n">
        <v>3034.21</v>
      </c>
      <c r="M553" s="33" t="n">
        <v>4</v>
      </c>
      <c r="N553" s="33" t="s">
        <v>146</v>
      </c>
      <c r="O553" s="33" t="s">
        <v>147</v>
      </c>
    </row>
    <row r="554" customFormat="false" ht="15" hidden="false" customHeight="false" outlineLevel="0" collapsed="false">
      <c r="A554" s="33" t="s">
        <v>768</v>
      </c>
      <c r="B554" s="34" t="n">
        <v>45543</v>
      </c>
      <c r="C554" s="34" t="n">
        <v>45546</v>
      </c>
      <c r="D554" s="33" t="n">
        <v>42</v>
      </c>
      <c r="E554" s="33" t="s">
        <v>180</v>
      </c>
      <c r="F554" s="33" t="s">
        <v>173</v>
      </c>
      <c r="G554" s="33" t="s">
        <v>174</v>
      </c>
      <c r="H554" s="33" t="s">
        <v>199</v>
      </c>
      <c r="I554" s="33" t="s">
        <v>143</v>
      </c>
      <c r="J554" s="33" t="s">
        <v>159</v>
      </c>
      <c r="K554" s="33" t="s">
        <v>184</v>
      </c>
      <c r="L554" s="35" t="n">
        <v>7675.3</v>
      </c>
      <c r="M554" s="33" t="n">
        <v>5</v>
      </c>
      <c r="N554" s="33" t="s">
        <v>146</v>
      </c>
      <c r="O554" s="33" t="s">
        <v>147</v>
      </c>
    </row>
    <row r="555" customFormat="false" ht="15" hidden="false" customHeight="false" outlineLevel="0" collapsed="false">
      <c r="A555" s="33" t="s">
        <v>769</v>
      </c>
      <c r="B555" s="34" t="n">
        <v>45570</v>
      </c>
      <c r="C555" s="34" t="n">
        <v>45571</v>
      </c>
      <c r="D555" s="33" t="n">
        <v>27</v>
      </c>
      <c r="E555" s="33" t="s">
        <v>139</v>
      </c>
      <c r="F555" s="33" t="s">
        <v>173</v>
      </c>
      <c r="G555" s="33" t="s">
        <v>198</v>
      </c>
      <c r="H555" s="33" t="s">
        <v>175</v>
      </c>
      <c r="I555" s="33" t="s">
        <v>143</v>
      </c>
      <c r="J555" s="33" t="s">
        <v>159</v>
      </c>
      <c r="K555" s="33" t="s">
        <v>184</v>
      </c>
      <c r="L555" s="35" t="n">
        <v>2791.25</v>
      </c>
      <c r="M555" s="33" t="n">
        <v>5</v>
      </c>
      <c r="N555" s="33" t="s">
        <v>146</v>
      </c>
      <c r="O555" s="33" t="s">
        <v>206</v>
      </c>
    </row>
    <row r="556" customFormat="false" ht="15" hidden="false" customHeight="false" outlineLevel="0" collapsed="false">
      <c r="A556" s="33" t="s">
        <v>770</v>
      </c>
      <c r="B556" s="34" t="n">
        <v>45348</v>
      </c>
      <c r="C556" s="34" t="n">
        <v>45351</v>
      </c>
      <c r="D556" s="33" t="n">
        <v>60</v>
      </c>
      <c r="E556" s="33" t="s">
        <v>154</v>
      </c>
      <c r="F556" s="33" t="s">
        <v>212</v>
      </c>
      <c r="G556" s="33" t="s">
        <v>170</v>
      </c>
      <c r="H556" s="33" t="s">
        <v>164</v>
      </c>
      <c r="I556" s="33" t="s">
        <v>143</v>
      </c>
      <c r="J556" s="33" t="s">
        <v>159</v>
      </c>
      <c r="K556" s="33" t="s">
        <v>145</v>
      </c>
      <c r="L556" s="35" t="n">
        <v>3103.65</v>
      </c>
      <c r="M556" s="33" t="n">
        <v>5</v>
      </c>
      <c r="N556" s="33" t="s">
        <v>146</v>
      </c>
      <c r="O556" s="33" t="s">
        <v>147</v>
      </c>
    </row>
    <row r="557" customFormat="false" ht="15" hidden="false" customHeight="false" outlineLevel="0" collapsed="false">
      <c r="A557" s="33" t="s">
        <v>771</v>
      </c>
      <c r="B557" s="34" t="n">
        <v>45624</v>
      </c>
      <c r="C557" s="34" t="n">
        <v>45631</v>
      </c>
      <c r="D557" s="33" t="n">
        <v>49</v>
      </c>
      <c r="E557" s="33" t="s">
        <v>154</v>
      </c>
      <c r="F557" s="33" t="s">
        <v>173</v>
      </c>
      <c r="G557" s="33" t="s">
        <v>178</v>
      </c>
      <c r="H557" s="33" t="s">
        <v>199</v>
      </c>
      <c r="I557" s="33" t="s">
        <v>158</v>
      </c>
      <c r="J557" s="33" t="s">
        <v>159</v>
      </c>
      <c r="K557" s="33" t="s">
        <v>145</v>
      </c>
      <c r="L557" s="35" t="n">
        <v>14397.26</v>
      </c>
      <c r="M557" s="33" t="n">
        <v>5</v>
      </c>
      <c r="N557" s="33" t="s">
        <v>146</v>
      </c>
      <c r="O557" s="33" t="s">
        <v>147</v>
      </c>
    </row>
    <row r="558" customFormat="false" ht="15" hidden="false" customHeight="false" outlineLevel="0" collapsed="false">
      <c r="A558" s="33" t="s">
        <v>772</v>
      </c>
      <c r="B558" s="34" t="n">
        <v>45634</v>
      </c>
      <c r="C558" s="34" t="n">
        <v>45636</v>
      </c>
      <c r="D558" s="33" t="n">
        <v>0</v>
      </c>
      <c r="E558" s="33" t="s">
        <v>180</v>
      </c>
      <c r="F558" s="33" t="s">
        <v>155</v>
      </c>
      <c r="G558" s="33" t="s">
        <v>220</v>
      </c>
      <c r="H558" s="33" t="s">
        <v>157</v>
      </c>
      <c r="I558" s="33" t="s">
        <v>152</v>
      </c>
      <c r="J558" s="33" t="s">
        <v>159</v>
      </c>
      <c r="K558" s="33" t="s">
        <v>184</v>
      </c>
      <c r="L558" s="35" t="n">
        <v>2061.51</v>
      </c>
      <c r="M558" s="33" t="n">
        <v>5</v>
      </c>
      <c r="N558" s="33" t="s">
        <v>146</v>
      </c>
      <c r="O558" s="33" t="s">
        <v>247</v>
      </c>
    </row>
    <row r="559" customFormat="false" ht="15" hidden="false" customHeight="false" outlineLevel="0" collapsed="false">
      <c r="A559" s="33" t="s">
        <v>773</v>
      </c>
      <c r="B559" s="34" t="n">
        <v>45392</v>
      </c>
      <c r="C559" s="34" t="n">
        <v>45393</v>
      </c>
      <c r="D559" s="33" t="n">
        <v>61</v>
      </c>
      <c r="E559" s="33" t="s">
        <v>154</v>
      </c>
      <c r="F559" s="33" t="s">
        <v>203</v>
      </c>
      <c r="G559" s="33" t="s">
        <v>241</v>
      </c>
      <c r="H559" s="33" t="s">
        <v>193</v>
      </c>
      <c r="I559" s="33" t="s">
        <v>143</v>
      </c>
      <c r="J559" s="33" t="s">
        <v>159</v>
      </c>
      <c r="K559" s="33" t="s">
        <v>160</v>
      </c>
      <c r="L559" s="35" t="n">
        <v>909.74</v>
      </c>
      <c r="M559" s="33" t="n">
        <v>4</v>
      </c>
      <c r="N559" s="33" t="s">
        <v>146</v>
      </c>
      <c r="O559" s="33" t="s">
        <v>147</v>
      </c>
    </row>
    <row r="560" customFormat="false" ht="15" hidden="false" customHeight="false" outlineLevel="0" collapsed="false">
      <c r="A560" s="33" t="s">
        <v>774</v>
      </c>
      <c r="B560" s="34" t="n">
        <v>45489</v>
      </c>
      <c r="C560" s="34" t="n">
        <v>45490</v>
      </c>
      <c r="D560" s="36"/>
      <c r="E560" s="33" t="s">
        <v>139</v>
      </c>
      <c r="F560" s="33" t="s">
        <v>203</v>
      </c>
      <c r="G560" s="33" t="s">
        <v>217</v>
      </c>
      <c r="H560" s="36"/>
      <c r="I560" s="33" t="s">
        <v>143</v>
      </c>
      <c r="J560" s="33" t="s">
        <v>159</v>
      </c>
      <c r="K560" s="33" t="s">
        <v>160</v>
      </c>
      <c r="L560" s="35" t="n">
        <v>706.14</v>
      </c>
      <c r="M560" s="33" t="n">
        <v>4</v>
      </c>
      <c r="N560" s="33" t="s">
        <v>146</v>
      </c>
      <c r="O560" s="33" t="s">
        <v>147</v>
      </c>
    </row>
    <row r="561" customFormat="false" ht="15" hidden="false" customHeight="false" outlineLevel="0" collapsed="false">
      <c r="A561" s="33" t="s">
        <v>775</v>
      </c>
      <c r="B561" s="34" t="n">
        <v>45476</v>
      </c>
      <c r="C561" s="34" t="n">
        <v>45478</v>
      </c>
      <c r="D561" s="33" t="n">
        <v>80</v>
      </c>
      <c r="E561" s="33" t="s">
        <v>139</v>
      </c>
      <c r="F561" s="33" t="s">
        <v>169</v>
      </c>
      <c r="G561" s="33" t="s">
        <v>163</v>
      </c>
      <c r="H561" s="33" t="s">
        <v>171</v>
      </c>
      <c r="I561" s="33" t="s">
        <v>143</v>
      </c>
      <c r="J561" s="33" t="s">
        <v>159</v>
      </c>
      <c r="K561" s="33" t="s">
        <v>184</v>
      </c>
      <c r="L561" s="35" t="n">
        <v>2451.92</v>
      </c>
      <c r="M561" s="33" t="n">
        <v>2</v>
      </c>
      <c r="N561" s="33" t="s">
        <v>146</v>
      </c>
      <c r="O561" s="33" t="s">
        <v>147</v>
      </c>
    </row>
    <row r="562" customFormat="false" ht="15" hidden="false" customHeight="false" outlineLevel="0" collapsed="false">
      <c r="A562" s="33" t="s">
        <v>776</v>
      </c>
      <c r="B562" s="34" t="n">
        <v>45487</v>
      </c>
      <c r="C562" s="34" t="n">
        <v>45493</v>
      </c>
      <c r="D562" s="33" t="n">
        <v>14</v>
      </c>
      <c r="E562" s="33" t="s">
        <v>139</v>
      </c>
      <c r="F562" s="33" t="s">
        <v>169</v>
      </c>
      <c r="G562" s="33" t="s">
        <v>170</v>
      </c>
      <c r="H562" s="33" t="s">
        <v>164</v>
      </c>
      <c r="I562" s="33" t="s">
        <v>143</v>
      </c>
      <c r="J562" s="33" t="s">
        <v>159</v>
      </c>
      <c r="K562" s="33" t="s">
        <v>145</v>
      </c>
      <c r="L562" s="35" t="n">
        <v>6511.05</v>
      </c>
      <c r="M562" s="33" t="n">
        <v>4</v>
      </c>
      <c r="N562" s="33" t="s">
        <v>146</v>
      </c>
      <c r="O562" s="33" t="s">
        <v>147</v>
      </c>
    </row>
    <row r="563" customFormat="false" ht="15" hidden="false" customHeight="false" outlineLevel="0" collapsed="false">
      <c r="A563" s="33" t="s">
        <v>777</v>
      </c>
      <c r="B563" s="34" t="n">
        <v>45481</v>
      </c>
      <c r="C563" s="34" t="n">
        <v>45488</v>
      </c>
      <c r="D563" s="33" t="n">
        <v>61</v>
      </c>
      <c r="E563" s="33" t="s">
        <v>139</v>
      </c>
      <c r="F563" s="33" t="s">
        <v>173</v>
      </c>
      <c r="G563" s="33" t="s">
        <v>198</v>
      </c>
      <c r="H563" s="33" t="s">
        <v>199</v>
      </c>
      <c r="I563" s="33" t="s">
        <v>152</v>
      </c>
      <c r="J563" s="33" t="s">
        <v>159</v>
      </c>
      <c r="K563" s="33" t="s">
        <v>184</v>
      </c>
      <c r="L563" s="35" t="n">
        <v>17949.69</v>
      </c>
      <c r="M563" s="33" t="n">
        <v>3</v>
      </c>
      <c r="N563" s="33" t="s">
        <v>146</v>
      </c>
      <c r="O563" s="33" t="s">
        <v>147</v>
      </c>
    </row>
    <row r="564" customFormat="false" ht="15" hidden="false" customHeight="false" outlineLevel="0" collapsed="false">
      <c r="A564" s="33" t="s">
        <v>778</v>
      </c>
      <c r="B564" s="34" t="n">
        <v>45646</v>
      </c>
      <c r="C564" s="34" t="n">
        <v>45647</v>
      </c>
      <c r="D564" s="33" t="n">
        <v>68</v>
      </c>
      <c r="E564" s="33" t="s">
        <v>139</v>
      </c>
      <c r="F564" s="33" t="s">
        <v>203</v>
      </c>
      <c r="G564" s="33" t="s">
        <v>204</v>
      </c>
      <c r="H564" s="33" t="s">
        <v>205</v>
      </c>
      <c r="I564" s="33" t="s">
        <v>143</v>
      </c>
      <c r="J564" s="33" t="s">
        <v>159</v>
      </c>
      <c r="K564" s="33" t="s">
        <v>145</v>
      </c>
      <c r="L564" s="35" t="n">
        <v>1074.01</v>
      </c>
      <c r="M564" s="33" t="n">
        <v>3</v>
      </c>
      <c r="N564" s="33" t="s">
        <v>146</v>
      </c>
      <c r="O564" s="33" t="s">
        <v>147</v>
      </c>
    </row>
    <row r="565" customFormat="false" ht="15" hidden="false" customHeight="false" outlineLevel="0" collapsed="false">
      <c r="A565" s="33" t="s">
        <v>779</v>
      </c>
      <c r="B565" s="34" t="n">
        <v>45530</v>
      </c>
      <c r="C565" s="34" t="n">
        <v>45536</v>
      </c>
      <c r="D565" s="33" t="n">
        <v>6</v>
      </c>
      <c r="E565" s="33" t="s">
        <v>154</v>
      </c>
      <c r="F565" s="33" t="s">
        <v>288</v>
      </c>
      <c r="G565" s="33" t="s">
        <v>302</v>
      </c>
      <c r="H565" s="33" t="s">
        <v>157</v>
      </c>
      <c r="I565" s="33" t="s">
        <v>143</v>
      </c>
      <c r="J565" s="33" t="s">
        <v>159</v>
      </c>
      <c r="K565" s="33" t="s">
        <v>209</v>
      </c>
      <c r="L565" s="35" t="n">
        <v>6816.33</v>
      </c>
      <c r="M565" s="33" t="n">
        <v>2</v>
      </c>
      <c r="N565" s="33" t="s">
        <v>146</v>
      </c>
      <c r="O565" s="33" t="s">
        <v>147</v>
      </c>
    </row>
    <row r="566" customFormat="false" ht="15" hidden="false" customHeight="false" outlineLevel="0" collapsed="false">
      <c r="A566" s="33" t="s">
        <v>780</v>
      </c>
      <c r="B566" s="34" t="n">
        <v>45504</v>
      </c>
      <c r="C566" s="34" t="n">
        <v>45508</v>
      </c>
      <c r="D566" s="33" t="n">
        <v>69</v>
      </c>
      <c r="E566" s="33" t="s">
        <v>154</v>
      </c>
      <c r="F566" s="33" t="s">
        <v>226</v>
      </c>
      <c r="G566" s="33" t="s">
        <v>386</v>
      </c>
      <c r="H566" s="33" t="s">
        <v>263</v>
      </c>
      <c r="I566" s="33" t="s">
        <v>152</v>
      </c>
      <c r="J566" s="33" t="s">
        <v>159</v>
      </c>
      <c r="K566" s="33" t="s">
        <v>160</v>
      </c>
      <c r="L566" s="35" t="n">
        <v>14951.13</v>
      </c>
      <c r="M566" s="33" t="n">
        <v>5</v>
      </c>
      <c r="N566" s="33" t="s">
        <v>210</v>
      </c>
      <c r="O566" s="33" t="s">
        <v>147</v>
      </c>
    </row>
    <row r="567" customFormat="false" ht="15" hidden="false" customHeight="false" outlineLevel="0" collapsed="false">
      <c r="A567" s="33" t="s">
        <v>781</v>
      </c>
      <c r="B567" s="34" t="n">
        <v>45324</v>
      </c>
      <c r="C567" s="34" t="n">
        <v>45331</v>
      </c>
      <c r="D567" s="33" t="n">
        <v>77</v>
      </c>
      <c r="E567" s="33" t="s">
        <v>154</v>
      </c>
      <c r="F567" s="33" t="s">
        <v>181</v>
      </c>
      <c r="G567" s="33" t="s">
        <v>237</v>
      </c>
      <c r="H567" s="33" t="s">
        <v>183</v>
      </c>
      <c r="I567" s="33" t="s">
        <v>143</v>
      </c>
      <c r="J567" s="33" t="s">
        <v>159</v>
      </c>
      <c r="K567" s="33" t="s">
        <v>160</v>
      </c>
      <c r="L567" s="35" t="n">
        <v>17032.79</v>
      </c>
      <c r="M567" s="36"/>
      <c r="N567" s="33" t="s">
        <v>146</v>
      </c>
      <c r="O567" s="33" t="s">
        <v>147</v>
      </c>
    </row>
    <row r="568" customFormat="false" ht="15" hidden="false" customHeight="false" outlineLevel="0" collapsed="false">
      <c r="A568" s="33" t="s">
        <v>782</v>
      </c>
      <c r="B568" s="34" t="n">
        <v>45397</v>
      </c>
      <c r="C568" s="34" t="n">
        <v>45401</v>
      </c>
      <c r="D568" s="33" t="n">
        <v>79</v>
      </c>
      <c r="E568" s="33" t="s">
        <v>154</v>
      </c>
      <c r="F568" s="33" t="s">
        <v>212</v>
      </c>
      <c r="G568" s="33" t="s">
        <v>213</v>
      </c>
      <c r="H568" s="33" t="s">
        <v>195</v>
      </c>
      <c r="I568" s="33" t="s">
        <v>143</v>
      </c>
      <c r="J568" s="33" t="s">
        <v>159</v>
      </c>
      <c r="K568" s="33" t="s">
        <v>160</v>
      </c>
      <c r="L568" s="35" t="n">
        <v>4554.24</v>
      </c>
      <c r="M568" s="33" t="n">
        <v>3</v>
      </c>
      <c r="N568" s="33" t="s">
        <v>146</v>
      </c>
      <c r="O568" s="33" t="s">
        <v>147</v>
      </c>
    </row>
    <row r="569" customFormat="false" ht="15" hidden="false" customHeight="false" outlineLevel="0" collapsed="false">
      <c r="A569" s="33" t="s">
        <v>783</v>
      </c>
      <c r="B569" s="34" t="n">
        <v>45294</v>
      </c>
      <c r="C569" s="34" t="n">
        <v>45295</v>
      </c>
      <c r="D569" s="33" t="n">
        <v>36</v>
      </c>
      <c r="E569" s="33" t="s">
        <v>154</v>
      </c>
      <c r="F569" s="33" t="s">
        <v>140</v>
      </c>
      <c r="G569" s="33" t="s">
        <v>141</v>
      </c>
      <c r="H569" s="33" t="s">
        <v>142</v>
      </c>
      <c r="I569" s="33" t="s">
        <v>152</v>
      </c>
      <c r="J569" s="33" t="s">
        <v>159</v>
      </c>
      <c r="K569" s="33" t="s">
        <v>209</v>
      </c>
      <c r="L569" s="35" t="n">
        <v>2210.48</v>
      </c>
      <c r="M569" s="33" t="n">
        <v>4</v>
      </c>
      <c r="N569" s="33" t="s">
        <v>146</v>
      </c>
      <c r="O569" s="33" t="s">
        <v>147</v>
      </c>
    </row>
    <row r="570" customFormat="false" ht="15" hidden="false" customHeight="false" outlineLevel="0" collapsed="false">
      <c r="A570" s="33" t="s">
        <v>784</v>
      </c>
      <c r="B570" s="34" t="n">
        <v>45496</v>
      </c>
      <c r="C570" s="34" t="n">
        <v>45502</v>
      </c>
      <c r="D570" s="33" t="n">
        <v>44</v>
      </c>
      <c r="E570" s="33" t="s">
        <v>139</v>
      </c>
      <c r="F570" s="33" t="s">
        <v>162</v>
      </c>
      <c r="G570" s="33" t="s">
        <v>170</v>
      </c>
      <c r="H570" s="33" t="s">
        <v>195</v>
      </c>
      <c r="I570" s="33" t="s">
        <v>152</v>
      </c>
      <c r="J570" s="33" t="s">
        <v>159</v>
      </c>
      <c r="K570" s="33" t="s">
        <v>145</v>
      </c>
      <c r="L570" s="35" t="n">
        <v>5931.91</v>
      </c>
      <c r="M570" s="33" t="n">
        <v>4</v>
      </c>
      <c r="N570" s="33" t="s">
        <v>146</v>
      </c>
      <c r="O570" s="33" t="s">
        <v>147</v>
      </c>
    </row>
    <row r="571" customFormat="false" ht="15" hidden="false" customHeight="false" outlineLevel="0" collapsed="false">
      <c r="A571" s="33" t="s">
        <v>785</v>
      </c>
      <c r="B571" s="34" t="n">
        <v>45527</v>
      </c>
      <c r="C571" s="34" t="n">
        <v>45532</v>
      </c>
      <c r="D571" s="33" t="n">
        <v>67</v>
      </c>
      <c r="E571" s="33" t="s">
        <v>139</v>
      </c>
      <c r="F571" s="33" t="s">
        <v>226</v>
      </c>
      <c r="G571" s="33" t="s">
        <v>227</v>
      </c>
      <c r="H571" s="33" t="s">
        <v>263</v>
      </c>
      <c r="I571" s="33" t="s">
        <v>152</v>
      </c>
      <c r="J571" s="33" t="s">
        <v>159</v>
      </c>
      <c r="K571" s="33" t="s">
        <v>160</v>
      </c>
      <c r="L571" s="35" t="n">
        <v>16842.86</v>
      </c>
      <c r="M571" s="33" t="n">
        <v>3</v>
      </c>
      <c r="N571" s="33" t="s">
        <v>146</v>
      </c>
      <c r="O571" s="33" t="s">
        <v>147</v>
      </c>
    </row>
    <row r="572" customFormat="false" ht="15" hidden="false" customHeight="false" outlineLevel="0" collapsed="false">
      <c r="A572" s="33" t="s">
        <v>786</v>
      </c>
      <c r="B572" s="34" t="n">
        <v>45639</v>
      </c>
      <c r="C572" s="34" t="n">
        <v>45640</v>
      </c>
      <c r="D572" s="33" t="n">
        <v>92</v>
      </c>
      <c r="E572" s="33" t="s">
        <v>154</v>
      </c>
      <c r="F572" s="33" t="s">
        <v>240</v>
      </c>
      <c r="G572" s="33" t="s">
        <v>217</v>
      </c>
      <c r="H572" s="33" t="s">
        <v>193</v>
      </c>
      <c r="I572" s="33" t="s">
        <v>143</v>
      </c>
      <c r="J572" s="33" t="s">
        <v>144</v>
      </c>
      <c r="K572" s="33" t="s">
        <v>145</v>
      </c>
      <c r="L572" s="35" t="n">
        <v>1863.16</v>
      </c>
      <c r="M572" s="33" t="n">
        <v>4</v>
      </c>
      <c r="N572" s="33" t="s">
        <v>146</v>
      </c>
      <c r="O572" s="33" t="s">
        <v>147</v>
      </c>
    </row>
    <row r="573" customFormat="false" ht="15" hidden="false" customHeight="false" outlineLevel="0" collapsed="false">
      <c r="A573" s="33" t="s">
        <v>787</v>
      </c>
      <c r="B573" s="34" t="n">
        <v>45449</v>
      </c>
      <c r="C573" s="34" t="n">
        <v>45457</v>
      </c>
      <c r="D573" s="33" t="n">
        <v>8</v>
      </c>
      <c r="E573" s="33" t="s">
        <v>139</v>
      </c>
      <c r="F573" s="33" t="s">
        <v>155</v>
      </c>
      <c r="G573" s="33" t="s">
        <v>302</v>
      </c>
      <c r="H573" s="33" t="s">
        <v>157</v>
      </c>
      <c r="I573" s="33" t="s">
        <v>143</v>
      </c>
      <c r="J573" s="33" t="s">
        <v>159</v>
      </c>
      <c r="K573" s="33" t="s">
        <v>145</v>
      </c>
      <c r="L573" s="35" t="n">
        <v>6688.31</v>
      </c>
      <c r="M573" s="33" t="n">
        <v>4</v>
      </c>
      <c r="N573" s="33" t="s">
        <v>146</v>
      </c>
      <c r="O573" s="33" t="s">
        <v>147</v>
      </c>
    </row>
    <row r="574" customFormat="false" ht="15" hidden="false" customHeight="false" outlineLevel="0" collapsed="false">
      <c r="A574" s="33" t="s">
        <v>788</v>
      </c>
      <c r="B574" s="34" t="n">
        <v>45609</v>
      </c>
      <c r="C574" s="34" t="n">
        <v>45613</v>
      </c>
      <c r="D574" s="33" t="n">
        <v>47</v>
      </c>
      <c r="E574" s="33" t="s">
        <v>154</v>
      </c>
      <c r="F574" s="33" t="s">
        <v>169</v>
      </c>
      <c r="G574" s="33" t="s">
        <v>163</v>
      </c>
      <c r="H574" s="33" t="s">
        <v>171</v>
      </c>
      <c r="I574" s="33" t="s">
        <v>158</v>
      </c>
      <c r="J574" s="33" t="s">
        <v>159</v>
      </c>
      <c r="K574" s="33" t="s">
        <v>160</v>
      </c>
      <c r="L574" s="35" t="n">
        <v>4423.86</v>
      </c>
      <c r="M574" s="33" t="n">
        <v>3</v>
      </c>
      <c r="N574" s="33" t="s">
        <v>210</v>
      </c>
      <c r="O574" s="33" t="s">
        <v>147</v>
      </c>
    </row>
    <row r="575" customFormat="false" ht="15" hidden="false" customHeight="false" outlineLevel="0" collapsed="false">
      <c r="A575" s="33" t="s">
        <v>789</v>
      </c>
      <c r="B575" s="34" t="n">
        <v>45395</v>
      </c>
      <c r="C575" s="34" t="n">
        <v>45401</v>
      </c>
      <c r="D575" s="33" t="n">
        <v>16</v>
      </c>
      <c r="E575" s="33" t="s">
        <v>139</v>
      </c>
      <c r="F575" s="33" t="s">
        <v>140</v>
      </c>
      <c r="G575" s="33" t="s">
        <v>316</v>
      </c>
      <c r="H575" s="33" t="s">
        <v>142</v>
      </c>
      <c r="I575" s="33" t="s">
        <v>143</v>
      </c>
      <c r="J575" s="33" t="s">
        <v>159</v>
      </c>
      <c r="K575" s="33" t="s">
        <v>145</v>
      </c>
      <c r="L575" s="35" t="n">
        <v>13920.12</v>
      </c>
      <c r="M575" s="33" t="n">
        <v>2</v>
      </c>
      <c r="N575" s="33" t="s">
        <v>146</v>
      </c>
      <c r="O575" s="33" t="s">
        <v>247</v>
      </c>
    </row>
    <row r="576" customFormat="false" ht="15" hidden="false" customHeight="false" outlineLevel="0" collapsed="false">
      <c r="A576" s="33" t="s">
        <v>790</v>
      </c>
      <c r="B576" s="34" t="n">
        <v>45500</v>
      </c>
      <c r="C576" s="34" t="n">
        <v>45501</v>
      </c>
      <c r="D576" s="33" t="n">
        <v>68</v>
      </c>
      <c r="E576" s="33" t="s">
        <v>154</v>
      </c>
      <c r="F576" s="33" t="s">
        <v>169</v>
      </c>
      <c r="G576" s="33" t="s">
        <v>213</v>
      </c>
      <c r="H576" s="33" t="s">
        <v>195</v>
      </c>
      <c r="I576" s="33" t="s">
        <v>152</v>
      </c>
      <c r="J576" s="33" t="s">
        <v>144</v>
      </c>
      <c r="K576" s="33" t="s">
        <v>145</v>
      </c>
      <c r="L576" s="35" t="n">
        <v>2111.41</v>
      </c>
      <c r="M576" s="33" t="n">
        <v>5</v>
      </c>
      <c r="N576" s="33" t="s">
        <v>210</v>
      </c>
      <c r="O576" s="33" t="s">
        <v>147</v>
      </c>
    </row>
    <row r="577" customFormat="false" ht="15" hidden="false" customHeight="false" outlineLevel="0" collapsed="false">
      <c r="A577" s="33" t="s">
        <v>791</v>
      </c>
      <c r="B577" s="34" t="n">
        <v>45540</v>
      </c>
      <c r="C577" s="34" t="n">
        <v>45543</v>
      </c>
      <c r="D577" s="33" t="n">
        <v>64</v>
      </c>
      <c r="E577" s="33" t="s">
        <v>139</v>
      </c>
      <c r="F577" s="33" t="s">
        <v>181</v>
      </c>
      <c r="G577" s="33" t="s">
        <v>188</v>
      </c>
      <c r="H577" s="33" t="s">
        <v>183</v>
      </c>
      <c r="I577" s="33" t="s">
        <v>143</v>
      </c>
      <c r="J577" s="33" t="s">
        <v>144</v>
      </c>
      <c r="K577" s="33" t="s">
        <v>145</v>
      </c>
      <c r="L577" s="35" t="n">
        <v>15615.96</v>
      </c>
      <c r="M577" s="33" t="n">
        <v>4</v>
      </c>
      <c r="N577" s="33" t="s">
        <v>146</v>
      </c>
      <c r="O577" s="33" t="s">
        <v>247</v>
      </c>
    </row>
    <row r="578" customFormat="false" ht="15" hidden="false" customHeight="false" outlineLevel="0" collapsed="false">
      <c r="A578" s="33" t="s">
        <v>792</v>
      </c>
      <c r="B578" s="34" t="n">
        <v>45618</v>
      </c>
      <c r="C578" s="34" t="n">
        <v>45621</v>
      </c>
      <c r="D578" s="33" t="n">
        <v>62</v>
      </c>
      <c r="E578" s="33" t="s">
        <v>154</v>
      </c>
      <c r="F578" s="33" t="s">
        <v>181</v>
      </c>
      <c r="G578" s="33" t="s">
        <v>188</v>
      </c>
      <c r="H578" s="33" t="s">
        <v>245</v>
      </c>
      <c r="I578" s="33" t="s">
        <v>152</v>
      </c>
      <c r="J578" s="33" t="s">
        <v>159</v>
      </c>
      <c r="K578" s="33" t="s">
        <v>145</v>
      </c>
      <c r="L578" s="35" t="n">
        <v>7574.1</v>
      </c>
      <c r="M578" s="33" t="n">
        <v>3</v>
      </c>
      <c r="N578" s="33" t="s">
        <v>146</v>
      </c>
      <c r="O578" s="33" t="s">
        <v>147</v>
      </c>
    </row>
    <row r="579" customFormat="false" ht="15" hidden="false" customHeight="false" outlineLevel="0" collapsed="false">
      <c r="A579" s="33" t="s">
        <v>793</v>
      </c>
      <c r="B579" s="34" t="n">
        <v>45414</v>
      </c>
      <c r="C579" s="34" t="n">
        <v>45416</v>
      </c>
      <c r="D579" s="33" t="n">
        <v>69</v>
      </c>
      <c r="E579" s="33" t="s">
        <v>139</v>
      </c>
      <c r="F579" s="33" t="s">
        <v>203</v>
      </c>
      <c r="G579" s="33" t="s">
        <v>217</v>
      </c>
      <c r="H579" s="33" t="s">
        <v>193</v>
      </c>
      <c r="I579" s="33" t="s">
        <v>143</v>
      </c>
      <c r="J579" s="33" t="s">
        <v>144</v>
      </c>
      <c r="K579" s="33" t="s">
        <v>160</v>
      </c>
      <c r="L579" s="35" t="n">
        <v>2532.87</v>
      </c>
      <c r="M579" s="33" t="n">
        <v>3</v>
      </c>
      <c r="N579" s="33" t="s">
        <v>146</v>
      </c>
      <c r="O579" s="33" t="s">
        <v>147</v>
      </c>
    </row>
    <row r="580" customFormat="false" ht="15" hidden="false" customHeight="false" outlineLevel="0" collapsed="false">
      <c r="A580" s="33" t="s">
        <v>794</v>
      </c>
      <c r="B580" s="34" t="n">
        <v>45447</v>
      </c>
      <c r="C580" s="34" t="n">
        <v>45450</v>
      </c>
      <c r="D580" s="33" t="n">
        <v>7</v>
      </c>
      <c r="E580" s="33" t="s">
        <v>154</v>
      </c>
      <c r="F580" s="33" t="s">
        <v>155</v>
      </c>
      <c r="G580" s="33" t="s">
        <v>220</v>
      </c>
      <c r="H580" s="33" t="s">
        <v>157</v>
      </c>
      <c r="I580" s="33" t="s">
        <v>143</v>
      </c>
      <c r="J580" s="33" t="s">
        <v>144</v>
      </c>
      <c r="K580" s="33" t="s">
        <v>145</v>
      </c>
      <c r="L580" s="35" t="n">
        <v>4181.19</v>
      </c>
      <c r="M580" s="33" t="n">
        <v>5</v>
      </c>
      <c r="N580" s="33" t="s">
        <v>146</v>
      </c>
      <c r="O580" s="33" t="s">
        <v>147</v>
      </c>
    </row>
    <row r="581" customFormat="false" ht="15" hidden="false" customHeight="false" outlineLevel="0" collapsed="false">
      <c r="A581" s="33" t="s">
        <v>795</v>
      </c>
      <c r="B581" s="34" t="n">
        <v>45633</v>
      </c>
      <c r="C581" s="34" t="n">
        <v>45634</v>
      </c>
      <c r="D581" s="33" t="n">
        <v>37</v>
      </c>
      <c r="E581" s="33" t="s">
        <v>139</v>
      </c>
      <c r="F581" s="33" t="s">
        <v>149</v>
      </c>
      <c r="G581" s="33" t="s">
        <v>150</v>
      </c>
      <c r="H581" s="33" t="s">
        <v>186</v>
      </c>
      <c r="I581" s="33" t="s">
        <v>152</v>
      </c>
      <c r="J581" s="33" t="s">
        <v>159</v>
      </c>
      <c r="K581" s="33" t="s">
        <v>145</v>
      </c>
      <c r="L581" s="35" t="n">
        <v>1459.87</v>
      </c>
      <c r="M581" s="33" t="n">
        <v>4</v>
      </c>
      <c r="N581" s="33" t="s">
        <v>146</v>
      </c>
      <c r="O581" s="33" t="s">
        <v>147</v>
      </c>
    </row>
    <row r="582" customFormat="false" ht="15" hidden="false" customHeight="false" outlineLevel="0" collapsed="false">
      <c r="A582" s="33" t="s">
        <v>796</v>
      </c>
      <c r="B582" s="34" t="n">
        <v>45312</v>
      </c>
      <c r="C582" s="34" t="n">
        <v>45315</v>
      </c>
      <c r="D582" s="33" t="n">
        <v>31</v>
      </c>
      <c r="E582" s="33" t="s">
        <v>154</v>
      </c>
      <c r="F582" s="33" t="s">
        <v>169</v>
      </c>
      <c r="G582" s="33" t="s">
        <v>170</v>
      </c>
      <c r="H582" s="33" t="s">
        <v>171</v>
      </c>
      <c r="I582" s="33" t="s">
        <v>152</v>
      </c>
      <c r="J582" s="33" t="s">
        <v>159</v>
      </c>
      <c r="K582" s="33" t="s">
        <v>145</v>
      </c>
      <c r="L582" s="35" t="n">
        <v>3557.29</v>
      </c>
      <c r="M582" s="33" t="n">
        <v>4</v>
      </c>
      <c r="N582" s="33" t="s">
        <v>146</v>
      </c>
      <c r="O582" s="33" t="s">
        <v>147</v>
      </c>
    </row>
    <row r="583" customFormat="false" ht="15" hidden="false" customHeight="false" outlineLevel="0" collapsed="false">
      <c r="A583" s="33" t="s">
        <v>797</v>
      </c>
      <c r="B583" s="34" t="n">
        <v>45310</v>
      </c>
      <c r="C583" s="34" t="n">
        <v>45314</v>
      </c>
      <c r="D583" s="33" t="n">
        <v>49</v>
      </c>
      <c r="E583" s="33" t="s">
        <v>154</v>
      </c>
      <c r="F583" s="33" t="s">
        <v>203</v>
      </c>
      <c r="G583" s="33" t="s">
        <v>217</v>
      </c>
      <c r="H583" s="33" t="s">
        <v>233</v>
      </c>
      <c r="I583" s="33" t="s">
        <v>143</v>
      </c>
      <c r="J583" s="33" t="s">
        <v>159</v>
      </c>
      <c r="K583" s="33" t="s">
        <v>160</v>
      </c>
      <c r="L583" s="35" t="n">
        <v>3057.05</v>
      </c>
      <c r="M583" s="33" t="n">
        <v>2</v>
      </c>
      <c r="N583" s="33" t="s">
        <v>146</v>
      </c>
      <c r="O583" s="33" t="s">
        <v>147</v>
      </c>
    </row>
    <row r="584" customFormat="false" ht="15" hidden="false" customHeight="false" outlineLevel="0" collapsed="false">
      <c r="A584" s="33" t="s">
        <v>798</v>
      </c>
      <c r="B584" s="34" t="n">
        <v>45379</v>
      </c>
      <c r="C584" s="34" t="n">
        <v>45380</v>
      </c>
      <c r="D584" s="33" t="n">
        <v>0</v>
      </c>
      <c r="E584" s="33" t="s">
        <v>139</v>
      </c>
      <c r="F584" s="33" t="s">
        <v>155</v>
      </c>
      <c r="G584" s="33" t="s">
        <v>156</v>
      </c>
      <c r="H584" s="33" t="s">
        <v>222</v>
      </c>
      <c r="I584" s="33" t="s">
        <v>143</v>
      </c>
      <c r="J584" s="33" t="s">
        <v>159</v>
      </c>
      <c r="K584" s="33" t="s">
        <v>184</v>
      </c>
      <c r="L584" s="35" t="n">
        <v>960.63</v>
      </c>
      <c r="M584" s="33" t="n">
        <v>2</v>
      </c>
      <c r="N584" s="33" t="s">
        <v>210</v>
      </c>
      <c r="O584" s="33" t="s">
        <v>147</v>
      </c>
    </row>
    <row r="585" customFormat="false" ht="15" hidden="false" customHeight="false" outlineLevel="0" collapsed="false">
      <c r="A585" s="33" t="s">
        <v>799</v>
      </c>
      <c r="B585" s="34" t="n">
        <v>45353</v>
      </c>
      <c r="C585" s="34" t="n">
        <v>45355</v>
      </c>
      <c r="D585" s="33" t="n">
        <v>78</v>
      </c>
      <c r="E585" s="33" t="s">
        <v>154</v>
      </c>
      <c r="F585" s="33" t="s">
        <v>203</v>
      </c>
      <c r="G585" s="33" t="s">
        <v>192</v>
      </c>
      <c r="H585" s="33" t="s">
        <v>205</v>
      </c>
      <c r="I585" s="33" t="s">
        <v>143</v>
      </c>
      <c r="J585" s="33" t="s">
        <v>144</v>
      </c>
      <c r="K585" s="33" t="s">
        <v>145</v>
      </c>
      <c r="L585" s="35" t="n">
        <v>2927.77</v>
      </c>
      <c r="M585" s="33" t="n">
        <v>5</v>
      </c>
      <c r="N585" s="33" t="s">
        <v>146</v>
      </c>
      <c r="O585" s="33" t="s">
        <v>147</v>
      </c>
    </row>
    <row r="586" customFormat="false" ht="15" hidden="false" customHeight="false" outlineLevel="0" collapsed="false">
      <c r="A586" s="33" t="s">
        <v>800</v>
      </c>
      <c r="B586" s="34" t="n">
        <v>45536</v>
      </c>
      <c r="C586" s="34" t="n">
        <v>45539</v>
      </c>
      <c r="D586" s="33" t="n">
        <v>25</v>
      </c>
      <c r="E586" s="33" t="s">
        <v>154</v>
      </c>
      <c r="F586" s="33" t="s">
        <v>181</v>
      </c>
      <c r="G586" s="33" t="s">
        <v>188</v>
      </c>
      <c r="H586" s="33" t="s">
        <v>183</v>
      </c>
      <c r="I586" s="33" t="s">
        <v>143</v>
      </c>
      <c r="J586" s="33" t="s">
        <v>159</v>
      </c>
      <c r="K586" s="33" t="s">
        <v>160</v>
      </c>
      <c r="L586" s="35" t="n">
        <v>7545.82</v>
      </c>
      <c r="M586" s="33" t="n">
        <v>5</v>
      </c>
      <c r="N586" s="33" t="s">
        <v>146</v>
      </c>
      <c r="O586" s="33" t="s">
        <v>147</v>
      </c>
    </row>
    <row r="587" customFormat="false" ht="15" hidden="false" customHeight="false" outlineLevel="0" collapsed="false">
      <c r="A587" s="33" t="s">
        <v>801</v>
      </c>
      <c r="B587" s="34" t="n">
        <v>45455</v>
      </c>
      <c r="C587" s="34" t="n">
        <v>45458</v>
      </c>
      <c r="D587" s="33" t="n">
        <v>64</v>
      </c>
      <c r="E587" s="33" t="s">
        <v>279</v>
      </c>
      <c r="F587" s="33" t="s">
        <v>181</v>
      </c>
      <c r="G587" s="33" t="s">
        <v>237</v>
      </c>
      <c r="H587" s="33" t="s">
        <v>245</v>
      </c>
      <c r="I587" s="33" t="s">
        <v>152</v>
      </c>
      <c r="J587" s="33" t="s">
        <v>159</v>
      </c>
      <c r="K587" s="33" t="s">
        <v>160</v>
      </c>
      <c r="L587" s="35" t="n">
        <v>8007.79</v>
      </c>
      <c r="M587" s="33" t="n">
        <v>3</v>
      </c>
      <c r="N587" s="33" t="s">
        <v>146</v>
      </c>
      <c r="O587" s="33" t="s">
        <v>147</v>
      </c>
    </row>
    <row r="588" customFormat="false" ht="15" hidden="false" customHeight="false" outlineLevel="0" collapsed="false">
      <c r="A588" s="33" t="s">
        <v>802</v>
      </c>
      <c r="B588" s="34" t="n">
        <v>45560</v>
      </c>
      <c r="C588" s="34" t="n">
        <v>45571</v>
      </c>
      <c r="D588" s="33" t="n">
        <v>63</v>
      </c>
      <c r="E588" s="33" t="s">
        <v>257</v>
      </c>
      <c r="F588" s="33" t="s">
        <v>181</v>
      </c>
      <c r="G588" s="33" t="s">
        <v>188</v>
      </c>
      <c r="H588" s="33" t="s">
        <v>245</v>
      </c>
      <c r="I588" s="33" t="s">
        <v>143</v>
      </c>
      <c r="J588" s="33" t="s">
        <v>159</v>
      </c>
      <c r="K588" s="33" t="s">
        <v>145</v>
      </c>
      <c r="L588" s="35" t="n">
        <v>21870.7</v>
      </c>
      <c r="M588" s="36"/>
      <c r="N588" s="33" t="s">
        <v>146</v>
      </c>
      <c r="O588" s="33" t="s">
        <v>147</v>
      </c>
    </row>
    <row r="589" customFormat="false" ht="15" hidden="false" customHeight="false" outlineLevel="0" collapsed="false">
      <c r="A589" s="33" t="s">
        <v>803</v>
      </c>
      <c r="B589" s="34" t="n">
        <v>45638</v>
      </c>
      <c r="C589" s="34" t="n">
        <v>45642</v>
      </c>
      <c r="D589" s="33" t="n">
        <v>46</v>
      </c>
      <c r="E589" s="33" t="s">
        <v>139</v>
      </c>
      <c r="F589" s="33" t="s">
        <v>173</v>
      </c>
      <c r="G589" s="33" t="s">
        <v>198</v>
      </c>
      <c r="H589" s="33" t="s">
        <v>175</v>
      </c>
      <c r="I589" s="33" t="s">
        <v>143</v>
      </c>
      <c r="J589" s="33" t="s">
        <v>176</v>
      </c>
      <c r="K589" s="33" t="s">
        <v>160</v>
      </c>
      <c r="L589" s="35" t="n">
        <v>30549.7</v>
      </c>
      <c r="M589" s="33" t="n">
        <v>4</v>
      </c>
      <c r="N589" s="33" t="s">
        <v>146</v>
      </c>
      <c r="O589" s="33" t="s">
        <v>147</v>
      </c>
    </row>
    <row r="590" customFormat="false" ht="15" hidden="false" customHeight="false" outlineLevel="0" collapsed="false">
      <c r="A590" s="33" t="s">
        <v>804</v>
      </c>
      <c r="B590" s="34" t="n">
        <v>45495</v>
      </c>
      <c r="C590" s="34" t="n">
        <v>45505</v>
      </c>
      <c r="D590" s="33" t="n">
        <v>96</v>
      </c>
      <c r="E590" s="33" t="s">
        <v>139</v>
      </c>
      <c r="F590" s="33" t="s">
        <v>173</v>
      </c>
      <c r="G590" s="33" t="s">
        <v>174</v>
      </c>
      <c r="H590" s="33" t="s">
        <v>199</v>
      </c>
      <c r="I590" s="33" t="s">
        <v>143</v>
      </c>
      <c r="J590" s="33" t="s">
        <v>159</v>
      </c>
      <c r="K590" s="33" t="s">
        <v>145</v>
      </c>
      <c r="L590" s="35" t="n">
        <v>22540.83</v>
      </c>
      <c r="M590" s="33" t="n">
        <v>4</v>
      </c>
      <c r="N590" s="33" t="s">
        <v>146</v>
      </c>
      <c r="O590" s="33" t="s">
        <v>147</v>
      </c>
    </row>
    <row r="591" customFormat="false" ht="15" hidden="false" customHeight="false" outlineLevel="0" collapsed="false">
      <c r="A591" s="33" t="s">
        <v>805</v>
      </c>
      <c r="B591" s="34" t="n">
        <v>45378</v>
      </c>
      <c r="C591" s="34" t="n">
        <v>45379</v>
      </c>
      <c r="D591" s="33" t="n">
        <v>56</v>
      </c>
      <c r="E591" s="33" t="s">
        <v>154</v>
      </c>
      <c r="F591" s="33" t="s">
        <v>203</v>
      </c>
      <c r="G591" s="33" t="s">
        <v>204</v>
      </c>
      <c r="H591" s="33" t="s">
        <v>233</v>
      </c>
      <c r="I591" s="33" t="s">
        <v>143</v>
      </c>
      <c r="J591" s="33" t="s">
        <v>159</v>
      </c>
      <c r="K591" s="33" t="s">
        <v>184</v>
      </c>
      <c r="L591" s="35" t="n">
        <v>997.85</v>
      </c>
      <c r="M591" s="33" t="n">
        <v>4</v>
      </c>
      <c r="N591" s="33" t="s">
        <v>146</v>
      </c>
      <c r="O591" s="33" t="s">
        <v>147</v>
      </c>
    </row>
    <row r="592" customFormat="false" ht="15" hidden="false" customHeight="false" outlineLevel="0" collapsed="false">
      <c r="A592" s="33" t="s">
        <v>806</v>
      </c>
      <c r="B592" s="34" t="n">
        <v>45386</v>
      </c>
      <c r="C592" s="34" t="n">
        <v>45387</v>
      </c>
      <c r="D592" s="33" t="n">
        <v>23</v>
      </c>
      <c r="E592" s="33" t="s">
        <v>139</v>
      </c>
      <c r="F592" s="33" t="s">
        <v>203</v>
      </c>
      <c r="G592" s="33" t="s">
        <v>217</v>
      </c>
      <c r="H592" s="33" t="s">
        <v>205</v>
      </c>
      <c r="I592" s="33" t="s">
        <v>143</v>
      </c>
      <c r="J592" s="33" t="s">
        <v>159</v>
      </c>
      <c r="K592" s="33" t="s">
        <v>145</v>
      </c>
      <c r="L592" s="35" t="n">
        <v>889.13</v>
      </c>
      <c r="M592" s="33" t="n">
        <v>4</v>
      </c>
      <c r="N592" s="33" t="s">
        <v>210</v>
      </c>
      <c r="O592" s="33" t="s">
        <v>147</v>
      </c>
    </row>
    <row r="593" customFormat="false" ht="15" hidden="false" customHeight="false" outlineLevel="0" collapsed="false">
      <c r="A593" s="33" t="s">
        <v>807</v>
      </c>
      <c r="B593" s="34" t="n">
        <v>45381</v>
      </c>
      <c r="C593" s="34" t="n">
        <v>45388</v>
      </c>
      <c r="D593" s="33" t="n">
        <v>49</v>
      </c>
      <c r="E593" s="33" t="s">
        <v>139</v>
      </c>
      <c r="F593" s="33" t="s">
        <v>181</v>
      </c>
      <c r="G593" s="33" t="s">
        <v>237</v>
      </c>
      <c r="H593" s="33" t="s">
        <v>245</v>
      </c>
      <c r="I593" s="33" t="s">
        <v>143</v>
      </c>
      <c r="J593" s="33" t="s">
        <v>176</v>
      </c>
      <c r="K593" s="33" t="s">
        <v>160</v>
      </c>
      <c r="L593" s="35" t="n">
        <v>59914.73</v>
      </c>
      <c r="M593" s="33" t="n">
        <v>5</v>
      </c>
      <c r="N593" s="33" t="s">
        <v>146</v>
      </c>
      <c r="O593" s="33" t="s">
        <v>147</v>
      </c>
    </row>
    <row r="594" customFormat="false" ht="15" hidden="false" customHeight="false" outlineLevel="0" collapsed="false">
      <c r="A594" s="33" t="s">
        <v>808</v>
      </c>
      <c r="B594" s="34" t="n">
        <v>45447</v>
      </c>
      <c r="C594" s="34" t="n">
        <v>45448</v>
      </c>
      <c r="D594" s="36"/>
      <c r="E594" s="33" t="s">
        <v>154</v>
      </c>
      <c r="F594" s="33" t="s">
        <v>203</v>
      </c>
      <c r="G594" s="33" t="s">
        <v>241</v>
      </c>
      <c r="H594" s="33" t="s">
        <v>205</v>
      </c>
      <c r="I594" s="33" t="s">
        <v>143</v>
      </c>
      <c r="J594" s="33" t="s">
        <v>159</v>
      </c>
      <c r="K594" s="33" t="s">
        <v>160</v>
      </c>
      <c r="L594" s="35" t="n">
        <v>949.08</v>
      </c>
      <c r="M594" s="33" t="n">
        <v>4</v>
      </c>
      <c r="N594" s="33" t="s">
        <v>146</v>
      </c>
      <c r="O594" s="33" t="s">
        <v>147</v>
      </c>
    </row>
    <row r="595" customFormat="false" ht="15" hidden="false" customHeight="false" outlineLevel="0" collapsed="false">
      <c r="A595" s="33" t="s">
        <v>809</v>
      </c>
      <c r="B595" s="34" t="n">
        <v>45498</v>
      </c>
      <c r="C595" s="34" t="n">
        <v>45501</v>
      </c>
      <c r="D595" s="33" t="n">
        <v>29</v>
      </c>
      <c r="E595" s="33" t="s">
        <v>139</v>
      </c>
      <c r="F595" s="33" t="s">
        <v>149</v>
      </c>
      <c r="G595" s="33" t="s">
        <v>150</v>
      </c>
      <c r="H595" s="33" t="s">
        <v>151</v>
      </c>
      <c r="I595" s="33" t="s">
        <v>152</v>
      </c>
      <c r="J595" s="33" t="s">
        <v>159</v>
      </c>
      <c r="K595" s="33" t="s">
        <v>184</v>
      </c>
      <c r="L595" s="35" t="n">
        <v>4917.21</v>
      </c>
      <c r="M595" s="33" t="n">
        <v>2</v>
      </c>
      <c r="N595" s="33" t="s">
        <v>146</v>
      </c>
      <c r="O595" s="33" t="s">
        <v>147</v>
      </c>
    </row>
    <row r="596" customFormat="false" ht="15" hidden="false" customHeight="false" outlineLevel="0" collapsed="false">
      <c r="A596" s="33" t="s">
        <v>810</v>
      </c>
      <c r="B596" s="34" t="n">
        <v>45427</v>
      </c>
      <c r="C596" s="34" t="n">
        <v>45428</v>
      </c>
      <c r="D596" s="33" t="n">
        <v>46</v>
      </c>
      <c r="E596" s="33" t="s">
        <v>154</v>
      </c>
      <c r="F596" s="33" t="s">
        <v>140</v>
      </c>
      <c r="G596" s="33" t="s">
        <v>316</v>
      </c>
      <c r="H596" s="33" t="s">
        <v>142</v>
      </c>
      <c r="I596" s="33" t="s">
        <v>152</v>
      </c>
      <c r="J596" s="33" t="s">
        <v>159</v>
      </c>
      <c r="K596" s="33" t="s">
        <v>145</v>
      </c>
      <c r="L596" s="35" t="n">
        <v>2417.59</v>
      </c>
      <c r="M596" s="33" t="n">
        <v>4</v>
      </c>
      <c r="N596" s="33" t="s">
        <v>146</v>
      </c>
      <c r="O596" s="33" t="s">
        <v>147</v>
      </c>
    </row>
    <row r="597" customFormat="false" ht="15" hidden="false" customHeight="false" outlineLevel="0" collapsed="false">
      <c r="A597" s="33" t="s">
        <v>811</v>
      </c>
      <c r="B597" s="34" t="n">
        <v>45333</v>
      </c>
      <c r="C597" s="34" t="n">
        <v>45338</v>
      </c>
      <c r="D597" s="33" t="n">
        <v>67</v>
      </c>
      <c r="E597" s="33" t="s">
        <v>190</v>
      </c>
      <c r="F597" s="33" t="s">
        <v>226</v>
      </c>
      <c r="G597" s="33" t="s">
        <v>258</v>
      </c>
      <c r="H597" s="33" t="s">
        <v>263</v>
      </c>
      <c r="I597" s="33" t="s">
        <v>143</v>
      </c>
      <c r="J597" s="33" t="s">
        <v>176</v>
      </c>
      <c r="K597" s="33" t="s">
        <v>145</v>
      </c>
      <c r="L597" s="35" t="n">
        <v>49535.79</v>
      </c>
      <c r="M597" s="33" t="n">
        <v>3</v>
      </c>
      <c r="N597" s="33" t="s">
        <v>146</v>
      </c>
      <c r="O597" s="33" t="s">
        <v>147</v>
      </c>
    </row>
    <row r="598" customFormat="false" ht="15" hidden="false" customHeight="false" outlineLevel="0" collapsed="false">
      <c r="A598" s="33" t="s">
        <v>812</v>
      </c>
      <c r="B598" s="34" t="n">
        <v>45476</v>
      </c>
      <c r="C598" s="34" t="n">
        <v>45477</v>
      </c>
      <c r="D598" s="33" t="n">
        <v>59</v>
      </c>
      <c r="E598" s="33" t="s">
        <v>139</v>
      </c>
      <c r="F598" s="33" t="s">
        <v>203</v>
      </c>
      <c r="G598" s="33" t="s">
        <v>232</v>
      </c>
      <c r="H598" s="33" t="s">
        <v>193</v>
      </c>
      <c r="I598" s="33" t="s">
        <v>143</v>
      </c>
      <c r="J598" s="33" t="s">
        <v>176</v>
      </c>
      <c r="K598" s="33" t="s">
        <v>145</v>
      </c>
      <c r="L598" s="35" t="n">
        <v>3188.14</v>
      </c>
      <c r="M598" s="33" t="n">
        <v>3</v>
      </c>
      <c r="N598" s="33" t="s">
        <v>146</v>
      </c>
      <c r="O598" s="33" t="s">
        <v>147</v>
      </c>
    </row>
    <row r="599" customFormat="false" ht="15" hidden="false" customHeight="false" outlineLevel="0" collapsed="false">
      <c r="A599" s="33" t="s">
        <v>813</v>
      </c>
      <c r="B599" s="34" t="n">
        <v>45520</v>
      </c>
      <c r="C599" s="34" t="n">
        <v>45528</v>
      </c>
      <c r="D599" s="33" t="n">
        <v>72</v>
      </c>
      <c r="E599" s="33" t="s">
        <v>257</v>
      </c>
      <c r="F599" s="33" t="s">
        <v>226</v>
      </c>
      <c r="G599" s="33" t="s">
        <v>258</v>
      </c>
      <c r="H599" s="33" t="s">
        <v>228</v>
      </c>
      <c r="I599" s="33" t="s">
        <v>143</v>
      </c>
      <c r="J599" s="33" t="s">
        <v>159</v>
      </c>
      <c r="K599" s="33" t="s">
        <v>160</v>
      </c>
      <c r="L599" s="35" t="n">
        <v>27861.04</v>
      </c>
      <c r="M599" s="33" t="n">
        <v>5</v>
      </c>
      <c r="N599" s="33" t="s">
        <v>146</v>
      </c>
      <c r="O599" s="33" t="s">
        <v>147</v>
      </c>
    </row>
    <row r="600" customFormat="false" ht="15" hidden="false" customHeight="false" outlineLevel="0" collapsed="false">
      <c r="A600" s="33" t="s">
        <v>814</v>
      </c>
      <c r="B600" s="34" t="n">
        <v>45595</v>
      </c>
      <c r="C600" s="34" t="n">
        <v>45596</v>
      </c>
      <c r="D600" s="33" t="n">
        <v>46</v>
      </c>
      <c r="E600" s="33" t="s">
        <v>139</v>
      </c>
      <c r="F600" s="33" t="s">
        <v>203</v>
      </c>
      <c r="G600" s="33" t="s">
        <v>232</v>
      </c>
      <c r="H600" s="33" t="s">
        <v>193</v>
      </c>
      <c r="I600" s="33" t="s">
        <v>143</v>
      </c>
      <c r="J600" s="33" t="s">
        <v>159</v>
      </c>
      <c r="K600" s="33" t="s">
        <v>145</v>
      </c>
      <c r="L600" s="35" t="n">
        <v>967.94</v>
      </c>
      <c r="M600" s="33" t="n">
        <v>4</v>
      </c>
      <c r="N600" s="33" t="s">
        <v>146</v>
      </c>
      <c r="O600" s="33" t="s">
        <v>147</v>
      </c>
    </row>
    <row r="601" customFormat="false" ht="15" hidden="false" customHeight="false" outlineLevel="0" collapsed="false">
      <c r="A601" s="33" t="s">
        <v>815</v>
      </c>
      <c r="B601" s="34" t="n">
        <v>45570</v>
      </c>
      <c r="C601" s="34" t="n">
        <v>45581</v>
      </c>
      <c r="D601" s="33" t="n">
        <v>68</v>
      </c>
      <c r="E601" s="33" t="s">
        <v>154</v>
      </c>
      <c r="F601" s="33" t="s">
        <v>226</v>
      </c>
      <c r="G601" s="33" t="s">
        <v>386</v>
      </c>
      <c r="H601" s="33" t="s">
        <v>228</v>
      </c>
      <c r="I601" s="33" t="s">
        <v>143</v>
      </c>
      <c r="J601" s="33" t="s">
        <v>144</v>
      </c>
      <c r="K601" s="33" t="s">
        <v>160</v>
      </c>
      <c r="L601" s="35" t="n">
        <v>68926.1</v>
      </c>
      <c r="M601" s="33" t="n">
        <v>3</v>
      </c>
      <c r="N601" s="33" t="s">
        <v>146</v>
      </c>
      <c r="O601" s="33" t="s">
        <v>147</v>
      </c>
    </row>
    <row r="602" customFormat="false" ht="15" hidden="false" customHeight="false" outlineLevel="0" collapsed="false">
      <c r="A602" s="33" t="s">
        <v>816</v>
      </c>
      <c r="B602" s="34" t="n">
        <v>45444</v>
      </c>
      <c r="C602" s="34" t="n">
        <v>45446</v>
      </c>
      <c r="D602" s="33" t="n">
        <v>33</v>
      </c>
      <c r="E602" s="33" t="s">
        <v>190</v>
      </c>
      <c r="F602" s="33" t="s">
        <v>149</v>
      </c>
      <c r="G602" s="33" t="s">
        <v>150</v>
      </c>
      <c r="H602" s="33" t="s">
        <v>151</v>
      </c>
      <c r="I602" s="33" t="s">
        <v>143</v>
      </c>
      <c r="J602" s="33" t="s">
        <v>144</v>
      </c>
      <c r="K602" s="33" t="s">
        <v>145</v>
      </c>
      <c r="L602" s="35" t="n">
        <v>5616.14</v>
      </c>
      <c r="M602" s="33" t="n">
        <v>5</v>
      </c>
      <c r="N602" s="33" t="s">
        <v>146</v>
      </c>
      <c r="O602" s="33" t="s">
        <v>147</v>
      </c>
    </row>
    <row r="603" customFormat="false" ht="15" hidden="false" customHeight="false" outlineLevel="0" collapsed="false">
      <c r="A603" s="33" t="s">
        <v>817</v>
      </c>
      <c r="B603" s="34" t="n">
        <v>45433</v>
      </c>
      <c r="C603" s="34" t="n">
        <v>45434</v>
      </c>
      <c r="D603" s="33" t="n">
        <v>50</v>
      </c>
      <c r="E603" s="33" t="s">
        <v>139</v>
      </c>
      <c r="F603" s="33" t="s">
        <v>203</v>
      </c>
      <c r="G603" s="33" t="s">
        <v>217</v>
      </c>
      <c r="H603" s="33" t="s">
        <v>205</v>
      </c>
      <c r="I603" s="33" t="s">
        <v>143</v>
      </c>
      <c r="J603" s="33" t="s">
        <v>144</v>
      </c>
      <c r="K603" s="33" t="s">
        <v>160</v>
      </c>
      <c r="L603" s="35" t="n">
        <v>1851.93</v>
      </c>
      <c r="M603" s="33" t="n">
        <v>5</v>
      </c>
      <c r="N603" s="33" t="s">
        <v>146</v>
      </c>
      <c r="O603" s="33" t="s">
        <v>147</v>
      </c>
    </row>
    <row r="604" customFormat="false" ht="15" hidden="false" customHeight="false" outlineLevel="0" collapsed="false">
      <c r="A604" s="33" t="s">
        <v>818</v>
      </c>
      <c r="B604" s="34" t="n">
        <v>45443</v>
      </c>
      <c r="C604" s="34" t="n">
        <v>45444</v>
      </c>
      <c r="D604" s="33" t="n">
        <v>36</v>
      </c>
      <c r="E604" s="33" t="s">
        <v>139</v>
      </c>
      <c r="F604" s="33" t="s">
        <v>203</v>
      </c>
      <c r="G604" s="33" t="s">
        <v>241</v>
      </c>
      <c r="H604" s="33" t="s">
        <v>233</v>
      </c>
      <c r="I604" s="33" t="s">
        <v>143</v>
      </c>
      <c r="J604" s="33" t="s">
        <v>159</v>
      </c>
      <c r="K604" s="33" t="s">
        <v>184</v>
      </c>
      <c r="L604" s="35" t="n">
        <v>925.99</v>
      </c>
      <c r="M604" s="33" t="n">
        <v>4</v>
      </c>
      <c r="N604" s="33" t="s">
        <v>146</v>
      </c>
      <c r="O604" s="33" t="s">
        <v>147</v>
      </c>
    </row>
    <row r="605" customFormat="false" ht="15" hidden="false" customHeight="false" outlineLevel="0" collapsed="false">
      <c r="A605" s="33" t="s">
        <v>819</v>
      </c>
      <c r="B605" s="34" t="n">
        <v>45417</v>
      </c>
      <c r="C605" s="34" t="n">
        <v>45420</v>
      </c>
      <c r="D605" s="33" t="n">
        <v>36</v>
      </c>
      <c r="E605" s="33" t="s">
        <v>154</v>
      </c>
      <c r="F605" s="33" t="s">
        <v>162</v>
      </c>
      <c r="G605" s="33" t="s">
        <v>213</v>
      </c>
      <c r="H605" s="33" t="s">
        <v>171</v>
      </c>
      <c r="I605" s="33" t="s">
        <v>152</v>
      </c>
      <c r="J605" s="33" t="s">
        <v>159</v>
      </c>
      <c r="K605" s="33" t="s">
        <v>145</v>
      </c>
      <c r="L605" s="35" t="n">
        <v>3842.64</v>
      </c>
      <c r="M605" s="36"/>
      <c r="N605" s="33" t="s">
        <v>146</v>
      </c>
      <c r="O605" s="33" t="s">
        <v>147</v>
      </c>
    </row>
    <row r="606" customFormat="false" ht="15" hidden="false" customHeight="false" outlineLevel="0" collapsed="false">
      <c r="A606" s="33" t="s">
        <v>820</v>
      </c>
      <c r="B606" s="34" t="n">
        <v>45362</v>
      </c>
      <c r="C606" s="34" t="n">
        <v>45364</v>
      </c>
      <c r="D606" s="33" t="n">
        <v>45</v>
      </c>
      <c r="E606" s="33" t="s">
        <v>154</v>
      </c>
      <c r="F606" s="33" t="s">
        <v>203</v>
      </c>
      <c r="G606" s="33" t="s">
        <v>192</v>
      </c>
      <c r="H606" s="33" t="s">
        <v>193</v>
      </c>
      <c r="I606" s="33" t="s">
        <v>143</v>
      </c>
      <c r="J606" s="33" t="s">
        <v>159</v>
      </c>
      <c r="K606" s="33" t="s">
        <v>160</v>
      </c>
      <c r="L606" s="35" t="n">
        <v>1443.62</v>
      </c>
      <c r="M606" s="33" t="n">
        <v>3</v>
      </c>
      <c r="N606" s="33" t="s">
        <v>146</v>
      </c>
      <c r="O606" s="33" t="s">
        <v>147</v>
      </c>
    </row>
    <row r="607" customFormat="false" ht="15" hidden="false" customHeight="false" outlineLevel="0" collapsed="false">
      <c r="A607" s="33" t="s">
        <v>821</v>
      </c>
      <c r="B607" s="34" t="n">
        <v>45323</v>
      </c>
      <c r="C607" s="34" t="n">
        <v>45326</v>
      </c>
      <c r="D607" s="33" t="n">
        <v>66</v>
      </c>
      <c r="E607" s="33" t="s">
        <v>139</v>
      </c>
      <c r="F607" s="33" t="s">
        <v>203</v>
      </c>
      <c r="G607" s="33" t="s">
        <v>217</v>
      </c>
      <c r="H607" s="33" t="s">
        <v>205</v>
      </c>
      <c r="I607" s="33" t="s">
        <v>143</v>
      </c>
      <c r="J607" s="33" t="s">
        <v>176</v>
      </c>
      <c r="K607" s="33" t="s">
        <v>184</v>
      </c>
      <c r="L607" s="35" t="n">
        <v>8240.5</v>
      </c>
      <c r="M607" s="33" t="n">
        <v>3</v>
      </c>
      <c r="N607" s="33" t="s">
        <v>146</v>
      </c>
      <c r="O607" s="33" t="s">
        <v>147</v>
      </c>
    </row>
    <row r="608" customFormat="false" ht="15" hidden="false" customHeight="false" outlineLevel="0" collapsed="false">
      <c r="A608" s="33" t="s">
        <v>822</v>
      </c>
      <c r="B608" s="34" t="n">
        <v>45431</v>
      </c>
      <c r="C608" s="34" t="n">
        <v>45436</v>
      </c>
      <c r="D608" s="33" t="n">
        <v>55</v>
      </c>
      <c r="E608" s="33" t="s">
        <v>216</v>
      </c>
      <c r="F608" s="33" t="s">
        <v>140</v>
      </c>
      <c r="G608" s="33" t="s">
        <v>167</v>
      </c>
      <c r="H608" s="33" t="s">
        <v>142</v>
      </c>
      <c r="I608" s="33" t="s">
        <v>152</v>
      </c>
      <c r="J608" s="33" t="s">
        <v>159</v>
      </c>
      <c r="K608" s="33" t="s">
        <v>145</v>
      </c>
      <c r="L608" s="35" t="n">
        <v>11752.01</v>
      </c>
      <c r="M608" s="33" t="n">
        <v>5</v>
      </c>
      <c r="N608" s="33" t="s">
        <v>146</v>
      </c>
      <c r="O608" s="33" t="s">
        <v>147</v>
      </c>
    </row>
    <row r="609" customFormat="false" ht="15" hidden="false" customHeight="false" outlineLevel="0" collapsed="false">
      <c r="A609" s="33" t="s">
        <v>823</v>
      </c>
      <c r="B609" s="34" t="n">
        <v>45646</v>
      </c>
      <c r="C609" s="34" t="n">
        <v>45648</v>
      </c>
      <c r="D609" s="33" t="n">
        <v>59</v>
      </c>
      <c r="E609" s="33" t="s">
        <v>139</v>
      </c>
      <c r="F609" s="33" t="s">
        <v>203</v>
      </c>
      <c r="G609" s="33" t="s">
        <v>241</v>
      </c>
      <c r="H609" s="33" t="s">
        <v>205</v>
      </c>
      <c r="I609" s="33" t="s">
        <v>143</v>
      </c>
      <c r="J609" s="33" t="s">
        <v>176</v>
      </c>
      <c r="K609" s="33" t="s">
        <v>209</v>
      </c>
      <c r="L609" s="35" t="n">
        <v>5476.58</v>
      </c>
      <c r="M609" s="33" t="n">
        <v>3</v>
      </c>
      <c r="N609" s="33" t="s">
        <v>146</v>
      </c>
      <c r="O609" s="33" t="s">
        <v>147</v>
      </c>
    </row>
    <row r="610" customFormat="false" ht="15" hidden="false" customHeight="false" outlineLevel="0" collapsed="false">
      <c r="A610" s="33" t="s">
        <v>824</v>
      </c>
      <c r="B610" s="34" t="n">
        <v>45429</v>
      </c>
      <c r="C610" s="34" t="n">
        <v>45430</v>
      </c>
      <c r="D610" s="33" t="n">
        <v>62</v>
      </c>
      <c r="E610" s="33" t="s">
        <v>257</v>
      </c>
      <c r="F610" s="33" t="s">
        <v>203</v>
      </c>
      <c r="G610" s="33" t="s">
        <v>204</v>
      </c>
      <c r="H610" s="33" t="s">
        <v>233</v>
      </c>
      <c r="I610" s="33" t="s">
        <v>143</v>
      </c>
      <c r="J610" s="33" t="s">
        <v>159</v>
      </c>
      <c r="K610" s="33" t="s">
        <v>145</v>
      </c>
      <c r="L610" s="35" t="n">
        <v>1060.48</v>
      </c>
      <c r="M610" s="36"/>
      <c r="N610" s="33" t="s">
        <v>146</v>
      </c>
      <c r="O610" s="33" t="s">
        <v>147</v>
      </c>
    </row>
    <row r="611" customFormat="false" ht="15" hidden="false" customHeight="false" outlineLevel="0" collapsed="false">
      <c r="A611" s="33" t="s">
        <v>825</v>
      </c>
      <c r="B611" s="34" t="n">
        <v>45302</v>
      </c>
      <c r="C611" s="34" t="n">
        <v>45303</v>
      </c>
      <c r="D611" s="33" t="n">
        <v>31</v>
      </c>
      <c r="E611" s="33" t="s">
        <v>139</v>
      </c>
      <c r="F611" s="33" t="s">
        <v>191</v>
      </c>
      <c r="G611" s="33" t="s">
        <v>232</v>
      </c>
      <c r="H611" s="33" t="s">
        <v>233</v>
      </c>
      <c r="I611" s="33" t="s">
        <v>143</v>
      </c>
      <c r="J611" s="33" t="s">
        <v>159</v>
      </c>
      <c r="K611" s="33" t="s">
        <v>145</v>
      </c>
      <c r="L611" s="35" t="n">
        <v>971.38</v>
      </c>
      <c r="M611" s="33" t="n">
        <v>3</v>
      </c>
      <c r="N611" s="33" t="s">
        <v>146</v>
      </c>
      <c r="O611" s="33" t="s">
        <v>147</v>
      </c>
    </row>
    <row r="612" customFormat="false" ht="15" hidden="false" customHeight="false" outlineLevel="0" collapsed="false">
      <c r="A612" s="33" t="s">
        <v>826</v>
      </c>
      <c r="B612" s="34" t="n">
        <v>45491</v>
      </c>
      <c r="C612" s="34" t="n">
        <v>45494</v>
      </c>
      <c r="D612" s="33" t="n">
        <v>80</v>
      </c>
      <c r="E612" s="33" t="s">
        <v>139</v>
      </c>
      <c r="F612" s="33" t="s">
        <v>203</v>
      </c>
      <c r="G612" s="33" t="s">
        <v>232</v>
      </c>
      <c r="H612" s="33" t="s">
        <v>205</v>
      </c>
      <c r="I612" s="33" t="s">
        <v>158</v>
      </c>
      <c r="J612" s="33" t="s">
        <v>159</v>
      </c>
      <c r="K612" s="33" t="s">
        <v>160</v>
      </c>
      <c r="L612" s="35" t="n">
        <v>2623.2</v>
      </c>
      <c r="M612" s="33" t="n">
        <v>3</v>
      </c>
      <c r="N612" s="33" t="s">
        <v>146</v>
      </c>
      <c r="O612" s="33" t="s">
        <v>147</v>
      </c>
    </row>
    <row r="613" customFormat="false" ht="15" hidden="false" customHeight="false" outlineLevel="0" collapsed="false">
      <c r="A613" s="33" t="s">
        <v>827</v>
      </c>
      <c r="B613" s="34" t="n">
        <v>45417</v>
      </c>
      <c r="C613" s="34" t="n">
        <v>45420</v>
      </c>
      <c r="D613" s="33" t="n">
        <v>54</v>
      </c>
      <c r="E613" s="33" t="s">
        <v>139</v>
      </c>
      <c r="F613" s="33" t="s">
        <v>169</v>
      </c>
      <c r="G613" s="33" t="s">
        <v>230</v>
      </c>
      <c r="H613" s="33" t="s">
        <v>195</v>
      </c>
      <c r="I613" s="33" t="s">
        <v>143</v>
      </c>
      <c r="J613" s="33" t="s">
        <v>159</v>
      </c>
      <c r="K613" s="33" t="s">
        <v>145</v>
      </c>
      <c r="L613" s="35" t="n">
        <v>3219.01</v>
      </c>
      <c r="M613" s="33" t="n">
        <v>5</v>
      </c>
      <c r="N613" s="33" t="s">
        <v>146</v>
      </c>
      <c r="O613" s="33" t="s">
        <v>147</v>
      </c>
    </row>
    <row r="614" customFormat="false" ht="15" hidden="false" customHeight="false" outlineLevel="0" collapsed="false">
      <c r="A614" s="33" t="s">
        <v>828</v>
      </c>
      <c r="B614" s="34" t="n">
        <v>45586</v>
      </c>
      <c r="C614" s="34" t="n">
        <v>45588</v>
      </c>
      <c r="D614" s="36"/>
      <c r="E614" s="33" t="s">
        <v>180</v>
      </c>
      <c r="F614" s="33" t="s">
        <v>155</v>
      </c>
      <c r="G614" s="33" t="s">
        <v>156</v>
      </c>
      <c r="H614" s="33" t="s">
        <v>157</v>
      </c>
      <c r="I614" s="33" t="s">
        <v>143</v>
      </c>
      <c r="J614" s="33" t="s">
        <v>144</v>
      </c>
      <c r="K614" s="33" t="s">
        <v>160</v>
      </c>
      <c r="L614" s="35" t="n">
        <v>3202.24</v>
      </c>
      <c r="M614" s="33" t="n">
        <v>4</v>
      </c>
      <c r="N614" s="33" t="s">
        <v>146</v>
      </c>
      <c r="O614" s="33" t="s">
        <v>147</v>
      </c>
    </row>
    <row r="615" customFormat="false" ht="15" hidden="false" customHeight="false" outlineLevel="0" collapsed="false">
      <c r="A615" s="33" t="s">
        <v>829</v>
      </c>
      <c r="B615" s="34" t="n">
        <v>45533</v>
      </c>
      <c r="C615" s="34" t="n">
        <v>45536</v>
      </c>
      <c r="D615" s="33" t="n">
        <v>28</v>
      </c>
      <c r="E615" s="33" t="s">
        <v>139</v>
      </c>
      <c r="F615" s="33" t="s">
        <v>140</v>
      </c>
      <c r="G615" s="33" t="s">
        <v>316</v>
      </c>
      <c r="H615" s="36"/>
      <c r="I615" s="33" t="s">
        <v>158</v>
      </c>
      <c r="J615" s="33" t="s">
        <v>159</v>
      </c>
      <c r="K615" s="33" t="s">
        <v>145</v>
      </c>
      <c r="L615" s="35" t="n">
        <v>5167.88</v>
      </c>
      <c r="M615" s="36"/>
      <c r="N615" s="33" t="s">
        <v>146</v>
      </c>
      <c r="O615" s="33" t="s">
        <v>147</v>
      </c>
    </row>
    <row r="616" customFormat="false" ht="15" hidden="false" customHeight="false" outlineLevel="0" collapsed="false">
      <c r="A616" s="33" t="s">
        <v>830</v>
      </c>
      <c r="B616" s="34" t="n">
        <v>45626</v>
      </c>
      <c r="C616" s="34" t="n">
        <v>45627</v>
      </c>
      <c r="D616" s="33" t="n">
        <v>72</v>
      </c>
      <c r="E616" s="33" t="s">
        <v>257</v>
      </c>
      <c r="F616" s="33" t="s">
        <v>181</v>
      </c>
      <c r="G616" s="33" t="s">
        <v>237</v>
      </c>
      <c r="H616" s="33" t="s">
        <v>183</v>
      </c>
      <c r="I616" s="33" t="s">
        <v>143</v>
      </c>
      <c r="J616" s="33" t="s">
        <v>159</v>
      </c>
      <c r="K616" s="33" t="s">
        <v>160</v>
      </c>
      <c r="L616" s="35" t="n">
        <v>2453.63</v>
      </c>
      <c r="M616" s="33" t="n">
        <v>4</v>
      </c>
      <c r="N616" s="33" t="s">
        <v>146</v>
      </c>
      <c r="O616" s="33" t="s">
        <v>147</v>
      </c>
    </row>
    <row r="617" customFormat="false" ht="15" hidden="false" customHeight="false" outlineLevel="0" collapsed="false">
      <c r="A617" s="33" t="s">
        <v>831</v>
      </c>
      <c r="B617" s="34" t="n">
        <v>45498</v>
      </c>
      <c r="C617" s="34" t="n">
        <v>45503</v>
      </c>
      <c r="D617" s="33" t="n">
        <v>6</v>
      </c>
      <c r="E617" s="33" t="s">
        <v>139</v>
      </c>
      <c r="F617" s="33" t="s">
        <v>155</v>
      </c>
      <c r="G617" s="33" t="s">
        <v>220</v>
      </c>
      <c r="H617" s="33" t="s">
        <v>222</v>
      </c>
      <c r="I617" s="33" t="s">
        <v>143</v>
      </c>
      <c r="J617" s="33" t="s">
        <v>144</v>
      </c>
      <c r="K617" s="33" t="s">
        <v>184</v>
      </c>
      <c r="L617" s="35" t="n">
        <v>6702.59</v>
      </c>
      <c r="M617" s="33" t="n">
        <v>4</v>
      </c>
      <c r="N617" s="33" t="s">
        <v>146</v>
      </c>
      <c r="O617" s="33" t="s">
        <v>147</v>
      </c>
    </row>
    <row r="618" customFormat="false" ht="15" hidden="false" customHeight="false" outlineLevel="0" collapsed="false">
      <c r="A618" s="33" t="s">
        <v>832</v>
      </c>
      <c r="B618" s="34" t="n">
        <v>45364</v>
      </c>
      <c r="C618" s="34" t="n">
        <v>45366</v>
      </c>
      <c r="D618" s="33" t="n">
        <v>3</v>
      </c>
      <c r="E618" s="33" t="s">
        <v>139</v>
      </c>
      <c r="F618" s="33" t="s">
        <v>155</v>
      </c>
      <c r="G618" s="33" t="s">
        <v>220</v>
      </c>
      <c r="H618" s="33" t="s">
        <v>157</v>
      </c>
      <c r="I618" s="33" t="s">
        <v>152</v>
      </c>
      <c r="J618" s="33" t="s">
        <v>144</v>
      </c>
      <c r="K618" s="33" t="s">
        <v>184</v>
      </c>
      <c r="L618" s="35" t="n">
        <v>2438.61</v>
      </c>
      <c r="M618" s="33" t="n">
        <v>4</v>
      </c>
      <c r="N618" s="33" t="s">
        <v>146</v>
      </c>
      <c r="O618" s="33" t="s">
        <v>147</v>
      </c>
    </row>
    <row r="619" customFormat="false" ht="15" hidden="false" customHeight="false" outlineLevel="0" collapsed="false">
      <c r="A619" s="33" t="s">
        <v>833</v>
      </c>
      <c r="B619" s="34" t="n">
        <v>45402</v>
      </c>
      <c r="C619" s="34" t="n">
        <v>45404</v>
      </c>
      <c r="D619" s="33" t="n">
        <v>53</v>
      </c>
      <c r="E619" s="33" t="s">
        <v>139</v>
      </c>
      <c r="F619" s="33" t="s">
        <v>226</v>
      </c>
      <c r="G619" s="33" t="s">
        <v>258</v>
      </c>
      <c r="H619" s="33" t="s">
        <v>228</v>
      </c>
      <c r="I619" s="33" t="s">
        <v>152</v>
      </c>
      <c r="J619" s="33" t="s">
        <v>144</v>
      </c>
      <c r="K619" s="33" t="s">
        <v>160</v>
      </c>
      <c r="L619" s="35" t="n">
        <v>11658.47</v>
      </c>
      <c r="M619" s="33" t="n">
        <v>5</v>
      </c>
      <c r="N619" s="33" t="s">
        <v>210</v>
      </c>
      <c r="O619" s="33" t="s">
        <v>147</v>
      </c>
    </row>
    <row r="620" customFormat="false" ht="15" hidden="false" customHeight="false" outlineLevel="0" collapsed="false">
      <c r="A620" s="33" t="s">
        <v>834</v>
      </c>
      <c r="B620" s="34" t="n">
        <v>45593</v>
      </c>
      <c r="C620" s="34" t="n">
        <v>45599</v>
      </c>
      <c r="D620" s="33" t="n">
        <v>65</v>
      </c>
      <c r="E620" s="33" t="s">
        <v>154</v>
      </c>
      <c r="F620" s="33" t="s">
        <v>140</v>
      </c>
      <c r="G620" s="33" t="s">
        <v>167</v>
      </c>
      <c r="H620" s="33" t="s">
        <v>142</v>
      </c>
      <c r="I620" s="33" t="s">
        <v>158</v>
      </c>
      <c r="J620" s="33" t="s">
        <v>159</v>
      </c>
      <c r="K620" s="33" t="s">
        <v>145</v>
      </c>
      <c r="L620" s="35" t="n">
        <v>11414.85</v>
      </c>
      <c r="M620" s="33" t="n">
        <v>5</v>
      </c>
      <c r="N620" s="33" t="s">
        <v>146</v>
      </c>
      <c r="O620" s="33" t="s">
        <v>147</v>
      </c>
    </row>
    <row r="621" customFormat="false" ht="15" hidden="false" customHeight="false" outlineLevel="0" collapsed="false">
      <c r="A621" s="33" t="s">
        <v>835</v>
      </c>
      <c r="B621" s="34" t="n">
        <v>45583</v>
      </c>
      <c r="C621" s="34" t="n">
        <v>45592</v>
      </c>
      <c r="D621" s="33" t="n">
        <v>68</v>
      </c>
      <c r="E621" s="33" t="s">
        <v>154</v>
      </c>
      <c r="F621" s="33" t="s">
        <v>212</v>
      </c>
      <c r="G621" s="33" t="s">
        <v>230</v>
      </c>
      <c r="H621" s="33" t="s">
        <v>164</v>
      </c>
      <c r="I621" s="33" t="s">
        <v>152</v>
      </c>
      <c r="J621" s="33" t="s">
        <v>159</v>
      </c>
      <c r="K621" s="33" t="s">
        <v>160</v>
      </c>
      <c r="L621" s="35" t="n">
        <v>10444.44</v>
      </c>
      <c r="M621" s="33" t="n">
        <v>4</v>
      </c>
      <c r="N621" s="33" t="s">
        <v>146</v>
      </c>
      <c r="O621" s="33" t="s">
        <v>147</v>
      </c>
    </row>
    <row r="622" customFormat="false" ht="15" hidden="false" customHeight="false" outlineLevel="0" collapsed="false">
      <c r="A622" s="33" t="s">
        <v>836</v>
      </c>
      <c r="B622" s="34" t="n">
        <v>45415</v>
      </c>
      <c r="C622" s="34" t="n">
        <v>45416</v>
      </c>
      <c r="D622" s="33" t="n">
        <v>45</v>
      </c>
      <c r="E622" s="33" t="s">
        <v>154</v>
      </c>
      <c r="F622" s="33" t="s">
        <v>226</v>
      </c>
      <c r="G622" s="33" t="s">
        <v>258</v>
      </c>
      <c r="H622" s="33" t="s">
        <v>263</v>
      </c>
      <c r="I622" s="33" t="s">
        <v>143</v>
      </c>
      <c r="J622" s="33" t="s">
        <v>144</v>
      </c>
      <c r="K622" s="33" t="s">
        <v>145</v>
      </c>
      <c r="L622" s="35" t="n">
        <v>5671.7</v>
      </c>
      <c r="M622" s="33" t="n">
        <v>5</v>
      </c>
      <c r="N622" s="33" t="s">
        <v>210</v>
      </c>
      <c r="O622" s="33" t="s">
        <v>147</v>
      </c>
    </row>
    <row r="623" customFormat="false" ht="15" hidden="false" customHeight="false" outlineLevel="0" collapsed="false">
      <c r="A623" s="33" t="s">
        <v>837</v>
      </c>
      <c r="B623" s="34" t="n">
        <v>45380</v>
      </c>
      <c r="C623" s="34" t="n">
        <v>45385</v>
      </c>
      <c r="D623" s="33" t="n">
        <v>60</v>
      </c>
      <c r="E623" s="33" t="s">
        <v>139</v>
      </c>
      <c r="F623" s="33" t="s">
        <v>140</v>
      </c>
      <c r="G623" s="33" t="s">
        <v>141</v>
      </c>
      <c r="H623" s="33" t="s">
        <v>142</v>
      </c>
      <c r="I623" s="33" t="s">
        <v>143</v>
      </c>
      <c r="J623" s="33" t="s">
        <v>159</v>
      </c>
      <c r="K623" s="33" t="s">
        <v>184</v>
      </c>
      <c r="L623" s="35" t="n">
        <v>11514.6</v>
      </c>
      <c r="M623" s="33" t="n">
        <v>4</v>
      </c>
      <c r="N623" s="33" t="s">
        <v>146</v>
      </c>
      <c r="O623" s="33" t="s">
        <v>147</v>
      </c>
    </row>
    <row r="624" customFormat="false" ht="15" hidden="false" customHeight="false" outlineLevel="0" collapsed="false">
      <c r="A624" s="33" t="s">
        <v>838</v>
      </c>
      <c r="B624" s="34" t="n">
        <v>45435</v>
      </c>
      <c r="C624" s="34" t="n">
        <v>45443</v>
      </c>
      <c r="D624" s="33" t="n">
        <v>72</v>
      </c>
      <c r="E624" s="33" t="s">
        <v>139</v>
      </c>
      <c r="F624" s="33" t="s">
        <v>162</v>
      </c>
      <c r="G624" s="33" t="s">
        <v>230</v>
      </c>
      <c r="H624" s="33" t="s">
        <v>195</v>
      </c>
      <c r="I624" s="33" t="s">
        <v>143</v>
      </c>
      <c r="J624" s="33" t="s">
        <v>144</v>
      </c>
      <c r="K624" s="33" t="s">
        <v>160</v>
      </c>
      <c r="L624" s="35" t="n">
        <v>19349.87</v>
      </c>
      <c r="M624" s="33" t="n">
        <v>4</v>
      </c>
      <c r="N624" s="33" t="s">
        <v>146</v>
      </c>
      <c r="O624" s="33" t="s">
        <v>147</v>
      </c>
    </row>
    <row r="625" customFormat="false" ht="15" hidden="false" customHeight="false" outlineLevel="0" collapsed="false">
      <c r="A625" s="33" t="s">
        <v>839</v>
      </c>
      <c r="B625" s="34" t="n">
        <v>45332</v>
      </c>
      <c r="C625" s="34" t="n">
        <v>45333</v>
      </c>
      <c r="D625" s="33" t="n">
        <v>46</v>
      </c>
      <c r="E625" s="33" t="s">
        <v>154</v>
      </c>
      <c r="F625" s="33" t="s">
        <v>173</v>
      </c>
      <c r="G625" s="33" t="s">
        <v>198</v>
      </c>
      <c r="H625" s="33" t="s">
        <v>199</v>
      </c>
      <c r="I625" s="33" t="s">
        <v>143</v>
      </c>
      <c r="J625" s="33" t="s">
        <v>159</v>
      </c>
      <c r="K625" s="33" t="s">
        <v>209</v>
      </c>
      <c r="L625" s="35" t="n">
        <v>2854.46</v>
      </c>
      <c r="M625" s="33" t="n">
        <v>4</v>
      </c>
      <c r="N625" s="33" t="s">
        <v>146</v>
      </c>
      <c r="O625" s="33" t="s">
        <v>147</v>
      </c>
    </row>
    <row r="626" customFormat="false" ht="15" hidden="false" customHeight="false" outlineLevel="0" collapsed="false">
      <c r="A626" s="33" t="s">
        <v>840</v>
      </c>
      <c r="B626" s="34" t="n">
        <v>45369</v>
      </c>
      <c r="C626" s="34" t="n">
        <v>45375</v>
      </c>
      <c r="D626" s="33" t="n">
        <v>23</v>
      </c>
      <c r="E626" s="33" t="s">
        <v>139</v>
      </c>
      <c r="F626" s="33" t="s">
        <v>226</v>
      </c>
      <c r="G626" s="33" t="s">
        <v>386</v>
      </c>
      <c r="H626" s="33" t="s">
        <v>228</v>
      </c>
      <c r="I626" s="33" t="s">
        <v>152</v>
      </c>
      <c r="J626" s="33" t="s">
        <v>144</v>
      </c>
      <c r="K626" s="33" t="s">
        <v>145</v>
      </c>
      <c r="L626" s="35" t="n">
        <v>36549.77</v>
      </c>
      <c r="M626" s="33" t="n">
        <v>4</v>
      </c>
      <c r="N626" s="33" t="s">
        <v>146</v>
      </c>
      <c r="O626" s="33" t="s">
        <v>147</v>
      </c>
    </row>
    <row r="627" customFormat="false" ht="15" hidden="false" customHeight="false" outlineLevel="0" collapsed="false">
      <c r="A627" s="33" t="s">
        <v>841</v>
      </c>
      <c r="B627" s="34" t="n">
        <v>45297</v>
      </c>
      <c r="C627" s="34" t="n">
        <v>45298</v>
      </c>
      <c r="D627" s="33" t="n">
        <v>18</v>
      </c>
      <c r="E627" s="33" t="s">
        <v>139</v>
      </c>
      <c r="F627" s="33" t="s">
        <v>140</v>
      </c>
      <c r="G627" s="33" t="s">
        <v>141</v>
      </c>
      <c r="H627" s="33" t="s">
        <v>142</v>
      </c>
      <c r="I627" s="33" t="s">
        <v>143</v>
      </c>
      <c r="J627" s="33" t="s">
        <v>159</v>
      </c>
      <c r="K627" s="33" t="s">
        <v>145</v>
      </c>
      <c r="L627" s="35" t="n">
        <v>2248.85</v>
      </c>
      <c r="M627" s="33" t="n">
        <v>4</v>
      </c>
      <c r="N627" s="33" t="s">
        <v>146</v>
      </c>
      <c r="O627" s="33" t="s">
        <v>147</v>
      </c>
    </row>
    <row r="628" customFormat="false" ht="15" hidden="false" customHeight="false" outlineLevel="0" collapsed="false">
      <c r="A628" s="33" t="s">
        <v>842</v>
      </c>
      <c r="B628" s="34" t="n">
        <v>45487</v>
      </c>
      <c r="C628" s="34" t="n">
        <v>45492</v>
      </c>
      <c r="D628" s="33" t="n">
        <v>15</v>
      </c>
      <c r="E628" s="33" t="s">
        <v>154</v>
      </c>
      <c r="F628" s="33" t="s">
        <v>140</v>
      </c>
      <c r="G628" s="33" t="s">
        <v>167</v>
      </c>
      <c r="H628" s="33" t="s">
        <v>290</v>
      </c>
      <c r="I628" s="33" t="s">
        <v>158</v>
      </c>
      <c r="J628" s="33" t="s">
        <v>159</v>
      </c>
      <c r="K628" s="33" t="s">
        <v>145</v>
      </c>
      <c r="L628" s="35" t="n">
        <v>12302.97</v>
      </c>
      <c r="M628" s="33" t="n">
        <v>4</v>
      </c>
      <c r="N628" s="33" t="s">
        <v>146</v>
      </c>
      <c r="O628" s="33" t="s">
        <v>147</v>
      </c>
    </row>
    <row r="629" customFormat="false" ht="15" hidden="false" customHeight="false" outlineLevel="0" collapsed="false">
      <c r="A629" s="33" t="s">
        <v>843</v>
      </c>
      <c r="B629" s="34" t="n">
        <v>45585</v>
      </c>
      <c r="C629" s="34" t="n">
        <v>45588</v>
      </c>
      <c r="D629" s="33" t="n">
        <v>54</v>
      </c>
      <c r="E629" s="33" t="s">
        <v>154</v>
      </c>
      <c r="F629" s="33" t="s">
        <v>169</v>
      </c>
      <c r="G629" s="33" t="s">
        <v>213</v>
      </c>
      <c r="H629" s="33" t="s">
        <v>195</v>
      </c>
      <c r="I629" s="33" t="s">
        <v>143</v>
      </c>
      <c r="J629" s="33" t="s">
        <v>159</v>
      </c>
      <c r="K629" s="33" t="s">
        <v>145</v>
      </c>
      <c r="L629" s="35" t="n">
        <v>3447.45</v>
      </c>
      <c r="M629" s="33" t="n">
        <v>3</v>
      </c>
      <c r="N629" s="33" t="s">
        <v>146</v>
      </c>
      <c r="O629" s="33" t="s">
        <v>147</v>
      </c>
    </row>
    <row r="630" customFormat="false" ht="15" hidden="false" customHeight="false" outlineLevel="0" collapsed="false">
      <c r="A630" s="33" t="s">
        <v>844</v>
      </c>
      <c r="B630" s="34" t="n">
        <v>45541</v>
      </c>
      <c r="C630" s="34" t="n">
        <v>45542</v>
      </c>
      <c r="D630" s="33" t="n">
        <v>30</v>
      </c>
      <c r="E630" s="33" t="s">
        <v>139</v>
      </c>
      <c r="F630" s="33" t="s">
        <v>149</v>
      </c>
      <c r="G630" s="33" t="s">
        <v>150</v>
      </c>
      <c r="H630" s="33" t="s">
        <v>186</v>
      </c>
      <c r="I630" s="33" t="s">
        <v>143</v>
      </c>
      <c r="J630" s="33" t="s">
        <v>144</v>
      </c>
      <c r="K630" s="33" t="s">
        <v>145</v>
      </c>
      <c r="L630" s="35" t="n">
        <v>2094.01</v>
      </c>
      <c r="M630" s="33" t="n">
        <v>4</v>
      </c>
      <c r="N630" s="33" t="s">
        <v>146</v>
      </c>
      <c r="O630" s="33" t="s">
        <v>147</v>
      </c>
    </row>
    <row r="631" customFormat="false" ht="15" hidden="false" customHeight="false" outlineLevel="0" collapsed="false">
      <c r="A631" s="33" t="s">
        <v>845</v>
      </c>
      <c r="B631" s="34" t="n">
        <v>45455</v>
      </c>
      <c r="C631" s="34" t="n">
        <v>45456</v>
      </c>
      <c r="D631" s="33" t="n">
        <v>10</v>
      </c>
      <c r="E631" s="33" t="s">
        <v>154</v>
      </c>
      <c r="F631" s="33" t="s">
        <v>155</v>
      </c>
      <c r="G631" s="33" t="s">
        <v>220</v>
      </c>
      <c r="H631" s="33" t="s">
        <v>157</v>
      </c>
      <c r="I631" s="33" t="s">
        <v>152</v>
      </c>
      <c r="J631" s="33" t="s">
        <v>159</v>
      </c>
      <c r="K631" s="33" t="s">
        <v>184</v>
      </c>
      <c r="L631" s="35" t="n">
        <v>924.21</v>
      </c>
      <c r="M631" s="33" t="n">
        <v>3</v>
      </c>
      <c r="N631" s="33" t="s">
        <v>146</v>
      </c>
      <c r="O631" s="33" t="s">
        <v>147</v>
      </c>
    </row>
    <row r="632" customFormat="false" ht="15" hidden="false" customHeight="false" outlineLevel="0" collapsed="false">
      <c r="A632" s="33" t="s">
        <v>846</v>
      </c>
      <c r="B632" s="34" t="n">
        <v>45630</v>
      </c>
      <c r="C632" s="34" t="n">
        <v>45632</v>
      </c>
      <c r="D632" s="33" t="n">
        <v>6</v>
      </c>
      <c r="E632" s="33" t="s">
        <v>139</v>
      </c>
      <c r="F632" s="33" t="s">
        <v>155</v>
      </c>
      <c r="G632" s="33" t="s">
        <v>220</v>
      </c>
      <c r="H632" s="33" t="s">
        <v>157</v>
      </c>
      <c r="I632" s="33" t="s">
        <v>152</v>
      </c>
      <c r="J632" s="33" t="s">
        <v>144</v>
      </c>
      <c r="K632" s="33" t="s">
        <v>145</v>
      </c>
      <c r="L632" s="35" t="n">
        <v>3091.13</v>
      </c>
      <c r="M632" s="33" t="n">
        <v>4</v>
      </c>
      <c r="N632" s="33" t="s">
        <v>210</v>
      </c>
      <c r="O632" s="33" t="s">
        <v>147</v>
      </c>
    </row>
    <row r="633" customFormat="false" ht="15" hidden="false" customHeight="false" outlineLevel="0" collapsed="false">
      <c r="A633" s="33" t="s">
        <v>847</v>
      </c>
      <c r="B633" s="34" t="n">
        <v>45539</v>
      </c>
      <c r="C633" s="34" t="n">
        <v>45548</v>
      </c>
      <c r="D633" s="33" t="n">
        <v>28</v>
      </c>
      <c r="E633" s="33" t="s">
        <v>139</v>
      </c>
      <c r="F633" s="33" t="s">
        <v>226</v>
      </c>
      <c r="G633" s="33" t="s">
        <v>386</v>
      </c>
      <c r="H633" s="33" t="s">
        <v>228</v>
      </c>
      <c r="I633" s="33" t="s">
        <v>152</v>
      </c>
      <c r="J633" s="33" t="s">
        <v>159</v>
      </c>
      <c r="K633" s="33" t="s">
        <v>184</v>
      </c>
      <c r="L633" s="35" t="n">
        <v>33319.18</v>
      </c>
      <c r="M633" s="33" t="n">
        <v>5</v>
      </c>
      <c r="N633" s="33" t="s">
        <v>146</v>
      </c>
      <c r="O633" s="33" t="s">
        <v>147</v>
      </c>
    </row>
    <row r="634" customFormat="false" ht="15" hidden="false" customHeight="false" outlineLevel="0" collapsed="false">
      <c r="A634" s="33" t="s">
        <v>848</v>
      </c>
      <c r="B634" s="34" t="n">
        <v>45424</v>
      </c>
      <c r="C634" s="34" t="n">
        <v>45426</v>
      </c>
      <c r="D634" s="33" t="n">
        <v>28</v>
      </c>
      <c r="E634" s="33" t="s">
        <v>139</v>
      </c>
      <c r="F634" s="33" t="s">
        <v>149</v>
      </c>
      <c r="G634" s="33" t="s">
        <v>150</v>
      </c>
      <c r="H634" s="33" t="s">
        <v>186</v>
      </c>
      <c r="I634" s="33" t="s">
        <v>152</v>
      </c>
      <c r="J634" s="33" t="s">
        <v>159</v>
      </c>
      <c r="K634" s="33" t="s">
        <v>184</v>
      </c>
      <c r="L634" s="35" t="n">
        <v>3388.48</v>
      </c>
      <c r="M634" s="33" t="n">
        <v>4</v>
      </c>
      <c r="N634" s="33" t="s">
        <v>146</v>
      </c>
      <c r="O634" s="33" t="s">
        <v>147</v>
      </c>
    </row>
    <row r="635" customFormat="false" ht="15" hidden="false" customHeight="false" outlineLevel="0" collapsed="false">
      <c r="A635" s="33" t="s">
        <v>849</v>
      </c>
      <c r="B635" s="34" t="n">
        <v>45601</v>
      </c>
      <c r="C635" s="34" t="n">
        <v>45613</v>
      </c>
      <c r="D635" s="33" t="n">
        <v>41</v>
      </c>
      <c r="E635" s="33" t="s">
        <v>154</v>
      </c>
      <c r="F635" s="33" t="s">
        <v>140</v>
      </c>
      <c r="G635" s="33" t="s">
        <v>141</v>
      </c>
      <c r="H635" s="33" t="s">
        <v>290</v>
      </c>
      <c r="I635" s="33" t="s">
        <v>143</v>
      </c>
      <c r="J635" s="33" t="s">
        <v>144</v>
      </c>
      <c r="K635" s="33" t="s">
        <v>145</v>
      </c>
      <c r="L635" s="35" t="n">
        <v>57161.76</v>
      </c>
      <c r="M635" s="33" t="n">
        <v>5</v>
      </c>
      <c r="N635" s="33" t="s">
        <v>210</v>
      </c>
      <c r="O635" s="33" t="s">
        <v>147</v>
      </c>
    </row>
    <row r="636" customFormat="false" ht="15" hidden="false" customHeight="false" outlineLevel="0" collapsed="false">
      <c r="A636" s="33" t="s">
        <v>850</v>
      </c>
      <c r="B636" s="34" t="n">
        <v>45466</v>
      </c>
      <c r="C636" s="34" t="n">
        <v>45467</v>
      </c>
      <c r="D636" s="33" t="n">
        <v>79</v>
      </c>
      <c r="E636" s="33" t="s">
        <v>154</v>
      </c>
      <c r="F636" s="33" t="s">
        <v>203</v>
      </c>
      <c r="G636" s="33" t="s">
        <v>232</v>
      </c>
      <c r="H636" s="33" t="s">
        <v>205</v>
      </c>
      <c r="I636" s="33" t="s">
        <v>143</v>
      </c>
      <c r="J636" s="33" t="s">
        <v>159</v>
      </c>
      <c r="K636" s="33" t="s">
        <v>145</v>
      </c>
      <c r="L636" s="35" t="n">
        <v>815.11</v>
      </c>
      <c r="M636" s="33" t="n">
        <v>4</v>
      </c>
      <c r="N636" s="33" t="s">
        <v>146</v>
      </c>
      <c r="O636" s="33" t="s">
        <v>147</v>
      </c>
    </row>
    <row r="637" customFormat="false" ht="15" hidden="false" customHeight="false" outlineLevel="0" collapsed="false">
      <c r="A637" s="33" t="s">
        <v>851</v>
      </c>
      <c r="B637" s="34" t="n">
        <v>45443</v>
      </c>
      <c r="C637" s="34" t="n">
        <v>45445</v>
      </c>
      <c r="D637" s="33" t="n">
        <v>21</v>
      </c>
      <c r="E637" s="33" t="s">
        <v>154</v>
      </c>
      <c r="F637" s="33" t="s">
        <v>203</v>
      </c>
      <c r="G637" s="33" t="s">
        <v>204</v>
      </c>
      <c r="H637" s="33" t="s">
        <v>193</v>
      </c>
      <c r="I637" s="33" t="s">
        <v>158</v>
      </c>
      <c r="J637" s="33" t="s">
        <v>159</v>
      </c>
      <c r="K637" s="33" t="s">
        <v>184</v>
      </c>
      <c r="L637" s="35" t="n">
        <v>1928.94</v>
      </c>
      <c r="M637" s="33" t="n">
        <v>5</v>
      </c>
      <c r="N637" s="33" t="s">
        <v>146</v>
      </c>
      <c r="O637" s="33" t="s">
        <v>147</v>
      </c>
    </row>
    <row r="638" customFormat="false" ht="15" hidden="false" customHeight="false" outlineLevel="0" collapsed="false">
      <c r="A638" s="33" t="s">
        <v>852</v>
      </c>
      <c r="B638" s="34" t="n">
        <v>45311</v>
      </c>
      <c r="C638" s="34" t="n">
        <v>45313</v>
      </c>
      <c r="D638" s="33" t="n">
        <v>38</v>
      </c>
      <c r="E638" s="33" t="s">
        <v>139</v>
      </c>
      <c r="F638" s="33" t="s">
        <v>149</v>
      </c>
      <c r="G638" s="33" t="s">
        <v>243</v>
      </c>
      <c r="H638" s="33" t="s">
        <v>186</v>
      </c>
      <c r="I638" s="33" t="s">
        <v>158</v>
      </c>
      <c r="J638" s="33" t="s">
        <v>176</v>
      </c>
      <c r="K638" s="33" t="s">
        <v>145</v>
      </c>
      <c r="L638" s="35" t="n">
        <v>10924.44</v>
      </c>
      <c r="M638" s="33" t="n">
        <v>5</v>
      </c>
      <c r="N638" s="33" t="s">
        <v>146</v>
      </c>
      <c r="O638" s="33" t="s">
        <v>247</v>
      </c>
    </row>
    <row r="639" customFormat="false" ht="15" hidden="false" customHeight="false" outlineLevel="0" collapsed="false">
      <c r="A639" s="33" t="s">
        <v>853</v>
      </c>
      <c r="B639" s="34" t="n">
        <v>45627</v>
      </c>
      <c r="C639" s="34" t="n">
        <v>45628</v>
      </c>
      <c r="D639" s="33" t="n">
        <v>38</v>
      </c>
      <c r="E639" s="33" t="s">
        <v>154</v>
      </c>
      <c r="F639" s="33" t="s">
        <v>203</v>
      </c>
      <c r="G639" s="33" t="s">
        <v>217</v>
      </c>
      <c r="H639" s="33" t="s">
        <v>193</v>
      </c>
      <c r="I639" s="33" t="s">
        <v>143</v>
      </c>
      <c r="J639" s="33" t="s">
        <v>159</v>
      </c>
      <c r="K639" s="33" t="s">
        <v>160</v>
      </c>
      <c r="L639" s="35" t="n">
        <v>864</v>
      </c>
      <c r="M639" s="33" t="n">
        <v>2</v>
      </c>
      <c r="N639" s="33" t="s">
        <v>146</v>
      </c>
      <c r="O639" s="33" t="s">
        <v>147</v>
      </c>
    </row>
    <row r="640" customFormat="false" ht="15" hidden="false" customHeight="false" outlineLevel="0" collapsed="false">
      <c r="A640" s="33" t="s">
        <v>854</v>
      </c>
      <c r="B640" s="34" t="n">
        <v>45511</v>
      </c>
      <c r="C640" s="34" t="n">
        <v>45526</v>
      </c>
      <c r="D640" s="33" t="n">
        <v>7</v>
      </c>
      <c r="E640" s="33" t="s">
        <v>154</v>
      </c>
      <c r="F640" s="33" t="s">
        <v>173</v>
      </c>
      <c r="G640" s="33" t="s">
        <v>174</v>
      </c>
      <c r="H640" s="33" t="s">
        <v>199</v>
      </c>
      <c r="I640" s="33" t="s">
        <v>143</v>
      </c>
      <c r="J640" s="33" t="s">
        <v>176</v>
      </c>
      <c r="K640" s="33" t="s">
        <v>145</v>
      </c>
      <c r="L640" s="35" t="n">
        <v>152187.57</v>
      </c>
      <c r="M640" s="33" t="n">
        <v>4</v>
      </c>
      <c r="N640" s="33" t="s">
        <v>146</v>
      </c>
      <c r="O640" s="36"/>
    </row>
    <row r="641" customFormat="false" ht="15" hidden="false" customHeight="false" outlineLevel="0" collapsed="false">
      <c r="A641" s="33" t="s">
        <v>855</v>
      </c>
      <c r="B641" s="34" t="n">
        <v>45348</v>
      </c>
      <c r="C641" s="34" t="n">
        <v>45358</v>
      </c>
      <c r="D641" s="33" t="n">
        <v>0</v>
      </c>
      <c r="E641" s="33" t="s">
        <v>154</v>
      </c>
      <c r="F641" s="33" t="s">
        <v>140</v>
      </c>
      <c r="G641" s="33" t="s">
        <v>316</v>
      </c>
      <c r="H641" s="33" t="s">
        <v>142</v>
      </c>
      <c r="I641" s="33" t="s">
        <v>143</v>
      </c>
      <c r="J641" s="33" t="s">
        <v>159</v>
      </c>
      <c r="K641" s="33" t="s">
        <v>184</v>
      </c>
      <c r="L641" s="35" t="n">
        <v>25164.49</v>
      </c>
      <c r="M641" s="33" t="n">
        <v>4</v>
      </c>
      <c r="N641" s="33" t="s">
        <v>146</v>
      </c>
      <c r="O641" s="33" t="s">
        <v>147</v>
      </c>
    </row>
    <row r="642" customFormat="false" ht="15" hidden="false" customHeight="false" outlineLevel="0" collapsed="false">
      <c r="A642" s="33" t="s">
        <v>856</v>
      </c>
      <c r="B642" s="34" t="n">
        <v>45444</v>
      </c>
      <c r="C642" s="34" t="n">
        <v>45446</v>
      </c>
      <c r="D642" s="33" t="n">
        <v>39</v>
      </c>
      <c r="E642" s="33" t="s">
        <v>216</v>
      </c>
      <c r="F642" s="33" t="s">
        <v>203</v>
      </c>
      <c r="G642" s="33" t="s">
        <v>192</v>
      </c>
      <c r="H642" s="33" t="s">
        <v>193</v>
      </c>
      <c r="I642" s="33" t="s">
        <v>143</v>
      </c>
      <c r="J642" s="33" t="s">
        <v>159</v>
      </c>
      <c r="K642" s="33" t="s">
        <v>145</v>
      </c>
      <c r="L642" s="35" t="n">
        <v>1867.95</v>
      </c>
      <c r="M642" s="33" t="n">
        <v>4</v>
      </c>
      <c r="N642" s="33" t="s">
        <v>146</v>
      </c>
      <c r="O642" s="33" t="s">
        <v>147</v>
      </c>
    </row>
    <row r="643" customFormat="false" ht="15" hidden="false" customHeight="false" outlineLevel="0" collapsed="false">
      <c r="A643" s="33" t="s">
        <v>857</v>
      </c>
      <c r="B643" s="34" t="n">
        <v>45346</v>
      </c>
      <c r="C643" s="34" t="n">
        <v>45350</v>
      </c>
      <c r="D643" s="33" t="n">
        <v>73</v>
      </c>
      <c r="E643" s="33" t="s">
        <v>154</v>
      </c>
      <c r="F643" s="33" t="s">
        <v>181</v>
      </c>
      <c r="G643" s="33" t="s">
        <v>188</v>
      </c>
      <c r="H643" s="33" t="s">
        <v>245</v>
      </c>
      <c r="I643" s="33" t="s">
        <v>143</v>
      </c>
      <c r="J643" s="33" t="s">
        <v>159</v>
      </c>
      <c r="K643" s="33" t="s">
        <v>145</v>
      </c>
      <c r="L643" s="35" t="n">
        <v>11143.37</v>
      </c>
      <c r="M643" s="33" t="n">
        <v>5</v>
      </c>
      <c r="N643" s="33" t="s">
        <v>210</v>
      </c>
      <c r="O643" s="33" t="s">
        <v>147</v>
      </c>
    </row>
    <row r="644" customFormat="false" ht="15" hidden="false" customHeight="false" outlineLevel="0" collapsed="false">
      <c r="A644" s="33" t="s">
        <v>858</v>
      </c>
      <c r="B644" s="34" t="n">
        <v>45587</v>
      </c>
      <c r="C644" s="34" t="n">
        <v>45590</v>
      </c>
      <c r="D644" s="33" t="n">
        <v>6</v>
      </c>
      <c r="E644" s="33" t="s">
        <v>154</v>
      </c>
      <c r="F644" s="33" t="s">
        <v>155</v>
      </c>
      <c r="G644" s="33" t="s">
        <v>302</v>
      </c>
      <c r="H644" s="33" t="s">
        <v>157</v>
      </c>
      <c r="I644" s="33" t="s">
        <v>143</v>
      </c>
      <c r="J644" s="33" t="s">
        <v>144</v>
      </c>
      <c r="K644" s="33" t="s">
        <v>160</v>
      </c>
      <c r="L644" s="35" t="n">
        <v>3005.77</v>
      </c>
      <c r="M644" s="33" t="n">
        <v>3</v>
      </c>
      <c r="N644" s="33" t="s">
        <v>146</v>
      </c>
      <c r="O644" s="33" t="s">
        <v>147</v>
      </c>
    </row>
    <row r="645" customFormat="false" ht="15" hidden="false" customHeight="false" outlineLevel="0" collapsed="false">
      <c r="A645" s="33" t="s">
        <v>859</v>
      </c>
      <c r="B645" s="34" t="n">
        <v>45561</v>
      </c>
      <c r="C645" s="34" t="n">
        <v>45563</v>
      </c>
      <c r="D645" s="33" t="n">
        <v>40</v>
      </c>
      <c r="E645" s="33" t="s">
        <v>216</v>
      </c>
      <c r="F645" s="33" t="s">
        <v>149</v>
      </c>
      <c r="G645" s="33" t="s">
        <v>150</v>
      </c>
      <c r="H645" s="33" t="s">
        <v>151</v>
      </c>
      <c r="I645" s="33" t="s">
        <v>143</v>
      </c>
      <c r="J645" s="33" t="s">
        <v>159</v>
      </c>
      <c r="K645" s="33" t="s">
        <v>145</v>
      </c>
      <c r="L645" s="35" t="n">
        <v>3459.93</v>
      </c>
      <c r="M645" s="33" t="n">
        <v>5</v>
      </c>
      <c r="N645" s="33" t="s">
        <v>210</v>
      </c>
      <c r="O645" s="33" t="s">
        <v>147</v>
      </c>
    </row>
    <row r="646" customFormat="false" ht="15" hidden="false" customHeight="false" outlineLevel="0" collapsed="false">
      <c r="A646" s="33" t="s">
        <v>860</v>
      </c>
      <c r="B646" s="34" t="n">
        <v>45401</v>
      </c>
      <c r="C646" s="34" t="n">
        <v>45403</v>
      </c>
      <c r="D646" s="33" t="n">
        <v>24</v>
      </c>
      <c r="E646" s="33" t="s">
        <v>216</v>
      </c>
      <c r="F646" s="33" t="s">
        <v>169</v>
      </c>
      <c r="G646" s="33" t="s">
        <v>213</v>
      </c>
      <c r="H646" s="33" t="s">
        <v>164</v>
      </c>
      <c r="I646" s="33" t="s">
        <v>143</v>
      </c>
      <c r="J646" s="33" t="s">
        <v>176</v>
      </c>
      <c r="K646" s="33" t="s">
        <v>209</v>
      </c>
      <c r="L646" s="35" t="n">
        <v>7413.54</v>
      </c>
      <c r="M646" s="33" t="n">
        <v>4</v>
      </c>
      <c r="N646" s="33" t="s">
        <v>146</v>
      </c>
      <c r="O646" s="33" t="s">
        <v>295</v>
      </c>
    </row>
    <row r="647" customFormat="false" ht="15" hidden="false" customHeight="false" outlineLevel="0" collapsed="false">
      <c r="A647" s="33" t="s">
        <v>861</v>
      </c>
      <c r="B647" s="34" t="n">
        <v>45479</v>
      </c>
      <c r="C647" s="34" t="n">
        <v>45480</v>
      </c>
      <c r="D647" s="33" t="n">
        <v>37</v>
      </c>
      <c r="E647" s="33" t="s">
        <v>154</v>
      </c>
      <c r="F647" s="33" t="s">
        <v>203</v>
      </c>
      <c r="G647" s="33" t="s">
        <v>241</v>
      </c>
      <c r="H647" s="33" t="s">
        <v>205</v>
      </c>
      <c r="I647" s="33" t="s">
        <v>143</v>
      </c>
      <c r="J647" s="33" t="s">
        <v>159</v>
      </c>
      <c r="K647" s="33" t="s">
        <v>184</v>
      </c>
      <c r="L647" s="35" t="n">
        <v>749.49</v>
      </c>
      <c r="M647" s="33" t="n">
        <v>3</v>
      </c>
      <c r="N647" s="33" t="s">
        <v>146</v>
      </c>
      <c r="O647" s="33" t="s">
        <v>147</v>
      </c>
    </row>
    <row r="648" customFormat="false" ht="15" hidden="false" customHeight="false" outlineLevel="0" collapsed="false">
      <c r="A648" s="33" t="s">
        <v>862</v>
      </c>
      <c r="B648" s="34" t="n">
        <v>45608</v>
      </c>
      <c r="C648" s="34" t="n">
        <v>45615</v>
      </c>
      <c r="D648" s="33" t="n">
        <v>67</v>
      </c>
      <c r="E648" s="33" t="s">
        <v>139</v>
      </c>
      <c r="F648" s="33" t="s">
        <v>212</v>
      </c>
      <c r="G648" s="33" t="s">
        <v>163</v>
      </c>
      <c r="H648" s="33" t="s">
        <v>195</v>
      </c>
      <c r="I648" s="33" t="s">
        <v>152</v>
      </c>
      <c r="J648" s="33" t="s">
        <v>159</v>
      </c>
      <c r="K648" s="33" t="s">
        <v>160</v>
      </c>
      <c r="L648" s="35" t="n">
        <v>6523.26</v>
      </c>
      <c r="M648" s="33" t="n">
        <v>4</v>
      </c>
      <c r="N648" s="33" t="s">
        <v>146</v>
      </c>
      <c r="O648" s="33" t="s">
        <v>147</v>
      </c>
    </row>
    <row r="649" customFormat="false" ht="15" hidden="false" customHeight="false" outlineLevel="0" collapsed="false">
      <c r="A649" s="33" t="s">
        <v>863</v>
      </c>
      <c r="B649" s="34" t="n">
        <v>45602</v>
      </c>
      <c r="C649" s="34" t="n">
        <v>45606</v>
      </c>
      <c r="D649" s="33" t="n">
        <v>37</v>
      </c>
      <c r="E649" s="33" t="s">
        <v>154</v>
      </c>
      <c r="F649" s="33" t="s">
        <v>140</v>
      </c>
      <c r="G649" s="33" t="s">
        <v>316</v>
      </c>
      <c r="H649" s="33" t="s">
        <v>290</v>
      </c>
      <c r="I649" s="33" t="s">
        <v>152</v>
      </c>
      <c r="J649" s="33" t="s">
        <v>159</v>
      </c>
      <c r="K649" s="33" t="s">
        <v>160</v>
      </c>
      <c r="L649" s="35" t="n">
        <v>8172.44</v>
      </c>
      <c r="M649" s="33" t="n">
        <v>5</v>
      </c>
      <c r="N649" s="33" t="s">
        <v>146</v>
      </c>
      <c r="O649" s="33" t="s">
        <v>147</v>
      </c>
    </row>
    <row r="650" customFormat="false" ht="15" hidden="false" customHeight="false" outlineLevel="0" collapsed="false">
      <c r="A650" s="33" t="s">
        <v>864</v>
      </c>
      <c r="B650" s="34" t="n">
        <v>45473</v>
      </c>
      <c r="C650" s="34" t="n">
        <v>45474</v>
      </c>
      <c r="D650" s="33" t="n">
        <v>22</v>
      </c>
      <c r="E650" s="33" t="s">
        <v>139</v>
      </c>
      <c r="F650" s="33" t="s">
        <v>149</v>
      </c>
      <c r="G650" s="33" t="s">
        <v>150</v>
      </c>
      <c r="H650" s="33" t="s">
        <v>186</v>
      </c>
      <c r="I650" s="33" t="s">
        <v>152</v>
      </c>
      <c r="J650" s="33" t="s">
        <v>159</v>
      </c>
      <c r="K650" s="33" t="s">
        <v>145</v>
      </c>
      <c r="L650" s="35" t="n">
        <v>1773.4</v>
      </c>
      <c r="M650" s="36"/>
      <c r="N650" s="33" t="s">
        <v>146</v>
      </c>
      <c r="O650" s="33" t="s">
        <v>147</v>
      </c>
    </row>
    <row r="651" customFormat="false" ht="15" hidden="false" customHeight="false" outlineLevel="0" collapsed="false">
      <c r="A651" s="33" t="s">
        <v>865</v>
      </c>
      <c r="B651" s="34" t="n">
        <v>45635</v>
      </c>
      <c r="C651" s="34" t="n">
        <v>45637</v>
      </c>
      <c r="D651" s="33" t="n">
        <v>0</v>
      </c>
      <c r="E651" s="33" t="s">
        <v>154</v>
      </c>
      <c r="F651" s="33" t="s">
        <v>155</v>
      </c>
      <c r="G651" s="33" t="s">
        <v>156</v>
      </c>
      <c r="H651" s="33" t="s">
        <v>222</v>
      </c>
      <c r="I651" s="33" t="s">
        <v>152</v>
      </c>
      <c r="J651" s="33" t="s">
        <v>144</v>
      </c>
      <c r="K651" s="33" t="s">
        <v>209</v>
      </c>
      <c r="L651" s="35" t="n">
        <v>3164.25</v>
      </c>
      <c r="M651" s="33" t="n">
        <v>4</v>
      </c>
      <c r="N651" s="33" t="s">
        <v>146</v>
      </c>
      <c r="O651" s="33" t="s">
        <v>147</v>
      </c>
    </row>
    <row r="652" customFormat="false" ht="15" hidden="false" customHeight="false" outlineLevel="0" collapsed="false">
      <c r="A652" s="33" t="s">
        <v>866</v>
      </c>
      <c r="B652" s="34" t="n">
        <v>45346</v>
      </c>
      <c r="C652" s="34" t="n">
        <v>45353</v>
      </c>
      <c r="D652" s="33" t="n">
        <v>27</v>
      </c>
      <c r="E652" s="33" t="s">
        <v>139</v>
      </c>
      <c r="F652" s="33" t="s">
        <v>149</v>
      </c>
      <c r="G652" s="33" t="s">
        <v>243</v>
      </c>
      <c r="H652" s="33" t="s">
        <v>151</v>
      </c>
      <c r="I652" s="33" t="s">
        <v>143</v>
      </c>
      <c r="J652" s="33" t="s">
        <v>144</v>
      </c>
      <c r="K652" s="33" t="s">
        <v>184</v>
      </c>
      <c r="L652" s="35" t="n">
        <v>17142.97</v>
      </c>
      <c r="M652" s="33" t="n">
        <v>3</v>
      </c>
      <c r="N652" s="33" t="s">
        <v>146</v>
      </c>
      <c r="O652" s="33" t="s">
        <v>147</v>
      </c>
    </row>
    <row r="653" customFormat="false" ht="15" hidden="false" customHeight="false" outlineLevel="0" collapsed="false">
      <c r="A653" s="33" t="s">
        <v>867</v>
      </c>
      <c r="B653" s="34" t="n">
        <v>45448</v>
      </c>
      <c r="C653" s="34" t="n">
        <v>45449</v>
      </c>
      <c r="D653" s="33" t="n">
        <v>42</v>
      </c>
      <c r="E653" s="33" t="s">
        <v>180</v>
      </c>
      <c r="F653" s="33" t="s">
        <v>203</v>
      </c>
      <c r="G653" s="33" t="s">
        <v>217</v>
      </c>
      <c r="H653" s="33" t="s">
        <v>193</v>
      </c>
      <c r="I653" s="33" t="s">
        <v>143</v>
      </c>
      <c r="J653" s="33" t="s">
        <v>159</v>
      </c>
      <c r="K653" s="33" t="s">
        <v>160</v>
      </c>
      <c r="L653" s="35" t="n">
        <v>1113.17</v>
      </c>
      <c r="M653" s="33" t="n">
        <v>3</v>
      </c>
      <c r="N653" s="33" t="s">
        <v>146</v>
      </c>
      <c r="O653" s="33" t="s">
        <v>147</v>
      </c>
    </row>
    <row r="654" customFormat="false" ht="15" hidden="false" customHeight="false" outlineLevel="0" collapsed="false">
      <c r="A654" s="33" t="s">
        <v>868</v>
      </c>
      <c r="B654" s="34" t="n">
        <v>45401</v>
      </c>
      <c r="C654" s="34" t="n">
        <v>45405</v>
      </c>
      <c r="D654" s="33" t="n">
        <v>65</v>
      </c>
      <c r="E654" s="33" t="s">
        <v>139</v>
      </c>
      <c r="F654" s="33" t="s">
        <v>226</v>
      </c>
      <c r="G654" s="33" t="s">
        <v>227</v>
      </c>
      <c r="H654" s="33" t="s">
        <v>263</v>
      </c>
      <c r="I654" s="33" t="s">
        <v>143</v>
      </c>
      <c r="J654" s="33" t="s">
        <v>144</v>
      </c>
      <c r="K654" s="33" t="s">
        <v>160</v>
      </c>
      <c r="L654" s="35" t="n">
        <v>16866.85</v>
      </c>
      <c r="M654" s="36"/>
      <c r="N654" s="33" t="s">
        <v>146</v>
      </c>
      <c r="O654" s="33" t="s">
        <v>147</v>
      </c>
    </row>
    <row r="655" customFormat="false" ht="15" hidden="false" customHeight="false" outlineLevel="0" collapsed="false">
      <c r="A655" s="33" t="s">
        <v>869</v>
      </c>
      <c r="B655" s="34" t="n">
        <v>45561</v>
      </c>
      <c r="C655" s="34" t="n">
        <v>45565</v>
      </c>
      <c r="D655" s="33" t="n">
        <v>39</v>
      </c>
      <c r="E655" s="33" t="s">
        <v>154</v>
      </c>
      <c r="F655" s="33" t="s">
        <v>140</v>
      </c>
      <c r="G655" s="33" t="s">
        <v>141</v>
      </c>
      <c r="H655" s="33" t="s">
        <v>142</v>
      </c>
      <c r="I655" s="33" t="s">
        <v>143</v>
      </c>
      <c r="J655" s="33" t="s">
        <v>159</v>
      </c>
      <c r="K655" s="33" t="s">
        <v>145</v>
      </c>
      <c r="L655" s="35" t="n">
        <v>8954.43</v>
      </c>
      <c r="M655" s="33" t="n">
        <v>3</v>
      </c>
      <c r="N655" s="33" t="s">
        <v>146</v>
      </c>
      <c r="O655" s="33" t="s">
        <v>147</v>
      </c>
    </row>
    <row r="656" customFormat="false" ht="15" hidden="false" customHeight="false" outlineLevel="0" collapsed="false">
      <c r="A656" s="33" t="s">
        <v>870</v>
      </c>
      <c r="B656" s="34" t="n">
        <v>45412</v>
      </c>
      <c r="C656" s="34" t="n">
        <v>45413</v>
      </c>
      <c r="D656" s="33" t="n">
        <v>53</v>
      </c>
      <c r="E656" s="33" t="s">
        <v>139</v>
      </c>
      <c r="F656" s="33" t="s">
        <v>334</v>
      </c>
      <c r="G656" s="33" t="s">
        <v>232</v>
      </c>
      <c r="H656" s="36"/>
      <c r="I656" s="33" t="s">
        <v>143</v>
      </c>
      <c r="J656" s="33" t="s">
        <v>144</v>
      </c>
      <c r="K656" s="33" t="s">
        <v>160</v>
      </c>
      <c r="L656" s="35" t="n">
        <v>1977.84</v>
      </c>
      <c r="M656" s="33" t="n">
        <v>3</v>
      </c>
      <c r="N656" s="33" t="s">
        <v>146</v>
      </c>
      <c r="O656" s="33" t="s">
        <v>147</v>
      </c>
    </row>
    <row r="657" customFormat="false" ht="15" hidden="false" customHeight="false" outlineLevel="0" collapsed="false">
      <c r="A657" s="33" t="s">
        <v>871</v>
      </c>
      <c r="B657" s="34" t="n">
        <v>45631</v>
      </c>
      <c r="C657" s="34" t="n">
        <v>45633</v>
      </c>
      <c r="D657" s="36"/>
      <c r="E657" s="33" t="s">
        <v>154</v>
      </c>
      <c r="F657" s="33" t="s">
        <v>169</v>
      </c>
      <c r="G657" s="33" t="s">
        <v>170</v>
      </c>
      <c r="H657" s="33" t="s">
        <v>195</v>
      </c>
      <c r="I657" s="33" t="s">
        <v>152</v>
      </c>
      <c r="J657" s="33" t="s">
        <v>159</v>
      </c>
      <c r="K657" s="33" t="s">
        <v>145</v>
      </c>
      <c r="L657" s="35" t="n">
        <v>2684.76</v>
      </c>
      <c r="M657" s="33" t="n">
        <v>4</v>
      </c>
      <c r="N657" s="33" t="s">
        <v>146</v>
      </c>
      <c r="O657" s="33" t="s">
        <v>147</v>
      </c>
    </row>
    <row r="658" customFormat="false" ht="15" hidden="false" customHeight="false" outlineLevel="0" collapsed="false">
      <c r="A658" s="33" t="s">
        <v>872</v>
      </c>
      <c r="B658" s="34" t="n">
        <v>45388</v>
      </c>
      <c r="C658" s="34" t="n">
        <v>45392</v>
      </c>
      <c r="D658" s="33" t="n">
        <v>3</v>
      </c>
      <c r="E658" s="33" t="s">
        <v>154</v>
      </c>
      <c r="F658" s="33" t="s">
        <v>155</v>
      </c>
      <c r="G658" s="33" t="s">
        <v>302</v>
      </c>
      <c r="H658" s="33" t="s">
        <v>222</v>
      </c>
      <c r="I658" s="33" t="s">
        <v>143</v>
      </c>
      <c r="J658" s="33" t="s">
        <v>159</v>
      </c>
      <c r="K658" s="36"/>
      <c r="L658" s="35" t="n">
        <v>2641.25</v>
      </c>
      <c r="M658" s="33" t="n">
        <v>5</v>
      </c>
      <c r="N658" s="33" t="s">
        <v>146</v>
      </c>
      <c r="O658" s="33" t="s">
        <v>147</v>
      </c>
    </row>
    <row r="659" customFormat="false" ht="15" hidden="false" customHeight="false" outlineLevel="0" collapsed="false">
      <c r="A659" s="33" t="s">
        <v>873</v>
      </c>
      <c r="B659" s="34" t="n">
        <v>45654</v>
      </c>
      <c r="C659" s="34" t="n">
        <v>45656</v>
      </c>
      <c r="D659" s="33" t="n">
        <v>51</v>
      </c>
      <c r="E659" s="33" t="s">
        <v>139</v>
      </c>
      <c r="F659" s="33" t="s">
        <v>169</v>
      </c>
      <c r="G659" s="33" t="s">
        <v>163</v>
      </c>
      <c r="H659" s="33" t="s">
        <v>171</v>
      </c>
      <c r="I659" s="33" t="s">
        <v>143</v>
      </c>
      <c r="J659" s="33" t="s">
        <v>159</v>
      </c>
      <c r="K659" s="33" t="s">
        <v>145</v>
      </c>
      <c r="L659" s="35" t="n">
        <v>2179.88</v>
      </c>
      <c r="M659" s="33" t="n">
        <v>4</v>
      </c>
      <c r="N659" s="33" t="s">
        <v>146</v>
      </c>
      <c r="O659" s="33" t="s">
        <v>147</v>
      </c>
    </row>
    <row r="660" customFormat="false" ht="15" hidden="false" customHeight="false" outlineLevel="0" collapsed="false">
      <c r="A660" s="33" t="s">
        <v>874</v>
      </c>
      <c r="B660" s="34" t="n">
        <v>45308</v>
      </c>
      <c r="C660" s="34" t="n">
        <v>45309</v>
      </c>
      <c r="D660" s="33" t="n">
        <v>40</v>
      </c>
      <c r="E660" s="33" t="s">
        <v>154</v>
      </c>
      <c r="F660" s="33" t="s">
        <v>191</v>
      </c>
      <c r="G660" s="33" t="s">
        <v>241</v>
      </c>
      <c r="H660" s="33" t="s">
        <v>205</v>
      </c>
      <c r="I660" s="33" t="s">
        <v>143</v>
      </c>
      <c r="J660" s="33" t="s">
        <v>176</v>
      </c>
      <c r="K660" s="33" t="s">
        <v>160</v>
      </c>
      <c r="L660" s="35" t="n">
        <v>3677.48</v>
      </c>
      <c r="M660" s="36"/>
      <c r="N660" s="33" t="s">
        <v>146</v>
      </c>
      <c r="O660" s="33" t="s">
        <v>147</v>
      </c>
    </row>
    <row r="661" customFormat="false" ht="15" hidden="false" customHeight="false" outlineLevel="0" collapsed="false">
      <c r="A661" s="33" t="s">
        <v>875</v>
      </c>
      <c r="B661" s="34" t="n">
        <v>45468</v>
      </c>
      <c r="C661" s="34" t="n">
        <v>45469</v>
      </c>
      <c r="D661" s="33" t="n">
        <v>2</v>
      </c>
      <c r="E661" s="33" t="s">
        <v>154</v>
      </c>
      <c r="F661" s="33" t="s">
        <v>155</v>
      </c>
      <c r="G661" s="33" t="s">
        <v>220</v>
      </c>
      <c r="H661" s="33" t="s">
        <v>222</v>
      </c>
      <c r="I661" s="33" t="s">
        <v>152</v>
      </c>
      <c r="J661" s="33" t="s">
        <v>159</v>
      </c>
      <c r="K661" s="33" t="s">
        <v>145</v>
      </c>
      <c r="L661" s="35" t="n">
        <v>732.7</v>
      </c>
      <c r="M661" s="33" t="n">
        <v>4</v>
      </c>
      <c r="N661" s="33" t="s">
        <v>146</v>
      </c>
      <c r="O661" s="33" t="s">
        <v>147</v>
      </c>
    </row>
    <row r="662" customFormat="false" ht="15" hidden="false" customHeight="false" outlineLevel="0" collapsed="false">
      <c r="A662" s="33" t="s">
        <v>876</v>
      </c>
      <c r="B662" s="34" t="n">
        <v>45471</v>
      </c>
      <c r="C662" s="34" t="n">
        <v>45472</v>
      </c>
      <c r="D662" s="33" t="n">
        <v>4</v>
      </c>
      <c r="E662" s="33" t="s">
        <v>154</v>
      </c>
      <c r="F662" s="33" t="s">
        <v>155</v>
      </c>
      <c r="G662" s="33" t="s">
        <v>156</v>
      </c>
      <c r="H662" s="33" t="s">
        <v>157</v>
      </c>
      <c r="I662" s="33" t="s">
        <v>143</v>
      </c>
      <c r="J662" s="33" t="s">
        <v>159</v>
      </c>
      <c r="K662" s="33" t="s">
        <v>145</v>
      </c>
      <c r="L662" s="35" t="n">
        <v>944.86</v>
      </c>
      <c r="M662" s="33" t="n">
        <v>3</v>
      </c>
      <c r="N662" s="33" t="s">
        <v>146</v>
      </c>
      <c r="O662" s="33" t="s">
        <v>147</v>
      </c>
    </row>
    <row r="663" customFormat="false" ht="15" hidden="false" customHeight="false" outlineLevel="0" collapsed="false">
      <c r="A663" s="33" t="s">
        <v>877</v>
      </c>
      <c r="B663" s="34" t="n">
        <v>45359</v>
      </c>
      <c r="C663" s="34" t="n">
        <v>45361</v>
      </c>
      <c r="D663" s="33" t="n">
        <v>40</v>
      </c>
      <c r="E663" s="33" t="s">
        <v>154</v>
      </c>
      <c r="F663" s="33" t="s">
        <v>240</v>
      </c>
      <c r="G663" s="33" t="s">
        <v>217</v>
      </c>
      <c r="H663" s="33" t="s">
        <v>233</v>
      </c>
      <c r="I663" s="33" t="s">
        <v>143</v>
      </c>
      <c r="J663" s="33" t="s">
        <v>159</v>
      </c>
      <c r="K663" s="33" t="s">
        <v>160</v>
      </c>
      <c r="L663" s="35" t="n">
        <v>1537.9</v>
      </c>
      <c r="M663" s="33" t="n">
        <v>2</v>
      </c>
      <c r="N663" s="33" t="s">
        <v>146</v>
      </c>
      <c r="O663" s="33" t="s">
        <v>147</v>
      </c>
    </row>
    <row r="664" customFormat="false" ht="15" hidden="false" customHeight="false" outlineLevel="0" collapsed="false">
      <c r="A664" s="33" t="s">
        <v>878</v>
      </c>
      <c r="B664" s="34" t="n">
        <v>45365</v>
      </c>
      <c r="C664" s="34" t="n">
        <v>45367</v>
      </c>
      <c r="D664" s="33" t="n">
        <v>23</v>
      </c>
      <c r="E664" s="33" t="s">
        <v>279</v>
      </c>
      <c r="F664" s="33" t="s">
        <v>173</v>
      </c>
      <c r="G664" s="33" t="s">
        <v>178</v>
      </c>
      <c r="H664" s="33" t="s">
        <v>175</v>
      </c>
      <c r="I664" s="33" t="s">
        <v>143</v>
      </c>
      <c r="J664" s="33" t="s">
        <v>159</v>
      </c>
      <c r="K664" s="33" t="s">
        <v>184</v>
      </c>
      <c r="L664" s="35" t="n">
        <v>5031.42</v>
      </c>
      <c r="M664" s="33" t="n">
        <v>4</v>
      </c>
      <c r="N664" s="33" t="s">
        <v>146</v>
      </c>
      <c r="O664" s="33" t="s">
        <v>147</v>
      </c>
    </row>
    <row r="665" customFormat="false" ht="15" hidden="false" customHeight="false" outlineLevel="0" collapsed="false">
      <c r="A665" s="33" t="s">
        <v>879</v>
      </c>
      <c r="B665" s="34" t="n">
        <v>45546</v>
      </c>
      <c r="C665" s="34" t="n">
        <v>45547</v>
      </c>
      <c r="D665" s="33" t="n">
        <v>27</v>
      </c>
      <c r="E665" s="33" t="s">
        <v>139</v>
      </c>
      <c r="F665" s="33" t="s">
        <v>149</v>
      </c>
      <c r="G665" s="33" t="s">
        <v>224</v>
      </c>
      <c r="H665" s="33" t="s">
        <v>151</v>
      </c>
      <c r="I665" s="33" t="s">
        <v>143</v>
      </c>
      <c r="J665" s="33" t="s">
        <v>159</v>
      </c>
      <c r="K665" s="33" t="s">
        <v>145</v>
      </c>
      <c r="L665" s="35" t="n">
        <v>1667.44</v>
      </c>
      <c r="M665" s="33" t="n">
        <v>4</v>
      </c>
      <c r="N665" s="33" t="s">
        <v>210</v>
      </c>
      <c r="O665" s="33" t="s">
        <v>147</v>
      </c>
    </row>
    <row r="666" customFormat="false" ht="15" hidden="false" customHeight="false" outlineLevel="0" collapsed="false">
      <c r="A666" s="33" t="s">
        <v>880</v>
      </c>
      <c r="B666" s="34" t="n">
        <v>45492</v>
      </c>
      <c r="C666" s="34" t="n">
        <v>45504</v>
      </c>
      <c r="D666" s="33" t="n">
        <v>76</v>
      </c>
      <c r="E666" s="33" t="s">
        <v>139</v>
      </c>
      <c r="F666" s="33" t="s">
        <v>181</v>
      </c>
      <c r="G666" s="33" t="s">
        <v>188</v>
      </c>
      <c r="H666" s="33" t="s">
        <v>183</v>
      </c>
      <c r="I666" s="33" t="s">
        <v>143</v>
      </c>
      <c r="J666" s="33" t="s">
        <v>159</v>
      </c>
      <c r="K666" s="33" t="s">
        <v>145</v>
      </c>
      <c r="L666" s="35" t="n">
        <v>25904.48</v>
      </c>
      <c r="M666" s="33" t="n">
        <v>5</v>
      </c>
      <c r="N666" s="33" t="s">
        <v>146</v>
      </c>
      <c r="O666" s="33" t="s">
        <v>147</v>
      </c>
    </row>
    <row r="667" customFormat="false" ht="15" hidden="false" customHeight="false" outlineLevel="0" collapsed="false">
      <c r="A667" s="33" t="s">
        <v>881</v>
      </c>
      <c r="B667" s="34" t="n">
        <v>45513</v>
      </c>
      <c r="C667" s="34" t="n">
        <v>45515</v>
      </c>
      <c r="D667" s="33" t="n">
        <v>16</v>
      </c>
      <c r="E667" s="33" t="s">
        <v>139</v>
      </c>
      <c r="F667" s="33" t="s">
        <v>203</v>
      </c>
      <c r="G667" s="33" t="s">
        <v>204</v>
      </c>
      <c r="H667" s="33" t="s">
        <v>193</v>
      </c>
      <c r="I667" s="33" t="s">
        <v>143</v>
      </c>
      <c r="J667" s="33" t="s">
        <v>144</v>
      </c>
      <c r="K667" s="33" t="s">
        <v>184</v>
      </c>
      <c r="L667" s="35" t="n">
        <v>3055.64</v>
      </c>
      <c r="M667" s="33" t="n">
        <v>3</v>
      </c>
      <c r="N667" s="33" t="s">
        <v>210</v>
      </c>
      <c r="O667" s="33" t="s">
        <v>147</v>
      </c>
    </row>
    <row r="668" customFormat="false" ht="15" hidden="false" customHeight="false" outlineLevel="0" collapsed="false">
      <c r="A668" s="33" t="s">
        <v>882</v>
      </c>
      <c r="B668" s="34" t="n">
        <v>45456</v>
      </c>
      <c r="C668" s="34" t="n">
        <v>45458</v>
      </c>
      <c r="D668" s="33" t="n">
        <v>34</v>
      </c>
      <c r="E668" s="33" t="s">
        <v>139</v>
      </c>
      <c r="F668" s="33" t="s">
        <v>173</v>
      </c>
      <c r="G668" s="33" t="s">
        <v>174</v>
      </c>
      <c r="H668" s="33" t="s">
        <v>199</v>
      </c>
      <c r="I668" s="33" t="s">
        <v>143</v>
      </c>
      <c r="J668" s="33" t="s">
        <v>159</v>
      </c>
      <c r="K668" s="33" t="s">
        <v>145</v>
      </c>
      <c r="L668" s="35" t="n">
        <v>6947.01</v>
      </c>
      <c r="M668" s="33" t="n">
        <v>3</v>
      </c>
      <c r="N668" s="33" t="s">
        <v>146</v>
      </c>
      <c r="O668" s="33" t="s">
        <v>147</v>
      </c>
    </row>
    <row r="669" customFormat="false" ht="15" hidden="false" customHeight="false" outlineLevel="0" collapsed="false">
      <c r="A669" s="33" t="s">
        <v>883</v>
      </c>
      <c r="B669" s="34" t="n">
        <v>45655</v>
      </c>
      <c r="C669" s="34" t="n">
        <v>45657</v>
      </c>
      <c r="D669" s="33" t="n">
        <v>74</v>
      </c>
      <c r="E669" s="33" t="s">
        <v>154</v>
      </c>
      <c r="F669" s="33" t="s">
        <v>226</v>
      </c>
      <c r="G669" s="33" t="s">
        <v>227</v>
      </c>
      <c r="H669" s="33" t="s">
        <v>228</v>
      </c>
      <c r="I669" s="33" t="s">
        <v>143</v>
      </c>
      <c r="J669" s="33" t="s">
        <v>159</v>
      </c>
      <c r="K669" s="33" t="s">
        <v>209</v>
      </c>
      <c r="L669" s="35" t="n">
        <v>7175.85</v>
      </c>
      <c r="M669" s="33" t="n">
        <v>4</v>
      </c>
      <c r="N669" s="33" t="s">
        <v>146</v>
      </c>
      <c r="O669" s="33" t="s">
        <v>147</v>
      </c>
    </row>
    <row r="670" customFormat="false" ht="15" hidden="false" customHeight="false" outlineLevel="0" collapsed="false">
      <c r="A670" s="33" t="s">
        <v>884</v>
      </c>
      <c r="B670" s="34" t="n">
        <v>45496</v>
      </c>
      <c r="C670" s="34" t="n">
        <v>45500</v>
      </c>
      <c r="D670" s="33" t="n">
        <v>65</v>
      </c>
      <c r="E670" s="33" t="s">
        <v>257</v>
      </c>
      <c r="F670" s="33" t="s">
        <v>226</v>
      </c>
      <c r="G670" s="33" t="s">
        <v>258</v>
      </c>
      <c r="H670" s="33" t="s">
        <v>228</v>
      </c>
      <c r="I670" s="33" t="s">
        <v>143</v>
      </c>
      <c r="J670" s="33" t="s">
        <v>144</v>
      </c>
      <c r="K670" s="33" t="s">
        <v>145</v>
      </c>
      <c r="L670" s="35" t="n">
        <v>22486.57</v>
      </c>
      <c r="M670" s="36"/>
      <c r="N670" s="33" t="s">
        <v>146</v>
      </c>
      <c r="O670" s="33" t="s">
        <v>147</v>
      </c>
    </row>
    <row r="671" customFormat="false" ht="15" hidden="false" customHeight="false" outlineLevel="0" collapsed="false">
      <c r="A671" s="33" t="s">
        <v>885</v>
      </c>
      <c r="B671" s="34" t="n">
        <v>45640</v>
      </c>
      <c r="C671" s="34" t="n">
        <v>45648</v>
      </c>
      <c r="D671" s="33" t="n">
        <v>62</v>
      </c>
      <c r="E671" s="33" t="s">
        <v>154</v>
      </c>
      <c r="F671" s="33" t="s">
        <v>162</v>
      </c>
      <c r="G671" s="33" t="s">
        <v>163</v>
      </c>
      <c r="H671" s="33" t="s">
        <v>164</v>
      </c>
      <c r="I671" s="33" t="s">
        <v>143</v>
      </c>
      <c r="J671" s="33" t="s">
        <v>176</v>
      </c>
      <c r="K671" s="33" t="s">
        <v>145</v>
      </c>
      <c r="L671" s="35" t="n">
        <v>36039.41</v>
      </c>
      <c r="M671" s="36"/>
      <c r="N671" s="33" t="s">
        <v>146</v>
      </c>
      <c r="O671" s="33" t="s">
        <v>147</v>
      </c>
    </row>
    <row r="672" customFormat="false" ht="15" hidden="false" customHeight="false" outlineLevel="0" collapsed="false">
      <c r="A672" s="33" t="s">
        <v>886</v>
      </c>
      <c r="B672" s="34" t="n">
        <v>45396</v>
      </c>
      <c r="C672" s="34" t="n">
        <v>45398</v>
      </c>
      <c r="D672" s="33" t="n">
        <v>2</v>
      </c>
      <c r="E672" s="33" t="s">
        <v>154</v>
      </c>
      <c r="F672" s="33" t="s">
        <v>155</v>
      </c>
      <c r="G672" s="33" t="s">
        <v>220</v>
      </c>
      <c r="H672" s="33" t="s">
        <v>157</v>
      </c>
      <c r="I672" s="33" t="s">
        <v>152</v>
      </c>
      <c r="J672" s="33" t="s">
        <v>159</v>
      </c>
      <c r="K672" s="33" t="s">
        <v>160</v>
      </c>
      <c r="L672" s="35" t="n">
        <v>1637.4</v>
      </c>
      <c r="M672" s="33" t="n">
        <v>4</v>
      </c>
      <c r="N672" s="33" t="s">
        <v>146</v>
      </c>
      <c r="O672" s="33" t="s">
        <v>147</v>
      </c>
    </row>
    <row r="673" customFormat="false" ht="15" hidden="false" customHeight="false" outlineLevel="0" collapsed="false">
      <c r="A673" s="33" t="s">
        <v>887</v>
      </c>
      <c r="B673" s="34" t="n">
        <v>45351</v>
      </c>
      <c r="C673" s="34" t="n">
        <v>45352</v>
      </c>
      <c r="D673" s="33" t="n">
        <v>5</v>
      </c>
      <c r="E673" s="33" t="s">
        <v>154</v>
      </c>
      <c r="F673" s="33" t="s">
        <v>376</v>
      </c>
      <c r="G673" s="33" t="s">
        <v>220</v>
      </c>
      <c r="H673" s="33" t="s">
        <v>157</v>
      </c>
      <c r="I673" s="33" t="s">
        <v>152</v>
      </c>
      <c r="J673" s="33" t="s">
        <v>159</v>
      </c>
      <c r="K673" s="33" t="s">
        <v>160</v>
      </c>
      <c r="L673" s="35" t="n">
        <v>899.59</v>
      </c>
      <c r="M673" s="33" t="n">
        <v>5</v>
      </c>
      <c r="N673" s="33" t="s">
        <v>146</v>
      </c>
      <c r="O673" s="33" t="s">
        <v>147</v>
      </c>
    </row>
    <row r="674" customFormat="false" ht="15" hidden="false" customHeight="false" outlineLevel="0" collapsed="false">
      <c r="A674" s="33" t="s">
        <v>888</v>
      </c>
      <c r="B674" s="34" t="n">
        <v>45579</v>
      </c>
      <c r="C674" s="34" t="n">
        <v>45586</v>
      </c>
      <c r="D674" s="33" t="n">
        <v>25</v>
      </c>
      <c r="E674" s="33" t="s">
        <v>139</v>
      </c>
      <c r="F674" s="33" t="s">
        <v>169</v>
      </c>
      <c r="G674" s="33" t="s">
        <v>230</v>
      </c>
      <c r="H674" s="33" t="s">
        <v>195</v>
      </c>
      <c r="I674" s="33" t="s">
        <v>143</v>
      </c>
      <c r="J674" s="33" t="s">
        <v>176</v>
      </c>
      <c r="K674" s="33" t="s">
        <v>145</v>
      </c>
      <c r="L674" s="35" t="n">
        <v>23938.3</v>
      </c>
      <c r="M674" s="33" t="n">
        <v>3</v>
      </c>
      <c r="N674" s="33" t="s">
        <v>146</v>
      </c>
      <c r="O674" s="33" t="s">
        <v>147</v>
      </c>
    </row>
    <row r="675" customFormat="false" ht="15" hidden="false" customHeight="false" outlineLevel="0" collapsed="false">
      <c r="A675" s="33" t="s">
        <v>889</v>
      </c>
      <c r="B675" s="34" t="n">
        <v>45298</v>
      </c>
      <c r="C675" s="34" t="n">
        <v>45299</v>
      </c>
      <c r="D675" s="33" t="n">
        <v>30</v>
      </c>
      <c r="E675" s="33" t="s">
        <v>139</v>
      </c>
      <c r="F675" s="33" t="s">
        <v>203</v>
      </c>
      <c r="G675" s="33" t="s">
        <v>217</v>
      </c>
      <c r="H675" s="33" t="s">
        <v>193</v>
      </c>
      <c r="I675" s="33" t="s">
        <v>143</v>
      </c>
      <c r="J675" s="33" t="s">
        <v>159</v>
      </c>
      <c r="K675" s="33" t="s">
        <v>160</v>
      </c>
      <c r="L675" s="35" t="n">
        <v>742.67</v>
      </c>
      <c r="M675" s="33" t="n">
        <v>4</v>
      </c>
      <c r="N675" s="33" t="s">
        <v>146</v>
      </c>
      <c r="O675" s="33" t="s">
        <v>147</v>
      </c>
    </row>
    <row r="676" customFormat="false" ht="15" hidden="false" customHeight="false" outlineLevel="0" collapsed="false">
      <c r="A676" s="33" t="s">
        <v>890</v>
      </c>
      <c r="B676" s="34" t="n">
        <v>45485</v>
      </c>
      <c r="C676" s="34" t="n">
        <v>45487</v>
      </c>
      <c r="D676" s="33" t="n">
        <v>65</v>
      </c>
      <c r="E676" s="33" t="s">
        <v>154</v>
      </c>
      <c r="F676" s="33" t="s">
        <v>212</v>
      </c>
      <c r="G676" s="33" t="s">
        <v>230</v>
      </c>
      <c r="H676" s="33" t="s">
        <v>195</v>
      </c>
      <c r="I676" s="33" t="s">
        <v>143</v>
      </c>
      <c r="J676" s="33" t="s">
        <v>159</v>
      </c>
      <c r="K676" s="33" t="s">
        <v>145</v>
      </c>
      <c r="L676" s="35" t="n">
        <v>2506.1</v>
      </c>
      <c r="M676" s="33" t="n">
        <v>4</v>
      </c>
      <c r="N676" s="33" t="s">
        <v>210</v>
      </c>
      <c r="O676" s="33" t="s">
        <v>147</v>
      </c>
    </row>
    <row r="677" customFormat="false" ht="15" hidden="false" customHeight="false" outlineLevel="0" collapsed="false">
      <c r="A677" s="33" t="s">
        <v>891</v>
      </c>
      <c r="B677" s="34" t="n">
        <v>45435</v>
      </c>
      <c r="C677" s="34" t="n">
        <v>45437</v>
      </c>
      <c r="D677" s="33" t="n">
        <v>78</v>
      </c>
      <c r="E677" s="33" t="s">
        <v>154</v>
      </c>
      <c r="F677" s="33" t="s">
        <v>173</v>
      </c>
      <c r="G677" s="33" t="s">
        <v>178</v>
      </c>
      <c r="H677" s="33" t="s">
        <v>175</v>
      </c>
      <c r="I677" s="33" t="s">
        <v>152</v>
      </c>
      <c r="J677" s="33" t="s">
        <v>144</v>
      </c>
      <c r="K677" s="33" t="s">
        <v>160</v>
      </c>
      <c r="L677" s="35" t="n">
        <v>9896.72</v>
      </c>
      <c r="M677" s="33" t="n">
        <v>3</v>
      </c>
      <c r="N677" s="33" t="s">
        <v>146</v>
      </c>
      <c r="O677" s="33" t="s">
        <v>147</v>
      </c>
    </row>
    <row r="678" customFormat="false" ht="15" hidden="false" customHeight="false" outlineLevel="0" collapsed="false">
      <c r="A678" s="33" t="s">
        <v>892</v>
      </c>
      <c r="B678" s="34" t="n">
        <v>45329</v>
      </c>
      <c r="C678" s="34" t="n">
        <v>45332</v>
      </c>
      <c r="D678" s="33" t="n">
        <v>37</v>
      </c>
      <c r="E678" s="33" t="s">
        <v>139</v>
      </c>
      <c r="F678" s="33" t="s">
        <v>149</v>
      </c>
      <c r="G678" s="33" t="s">
        <v>150</v>
      </c>
      <c r="H678" s="33" t="s">
        <v>186</v>
      </c>
      <c r="I678" s="33" t="s">
        <v>143</v>
      </c>
      <c r="J678" s="33" t="s">
        <v>159</v>
      </c>
      <c r="K678" s="33" t="s">
        <v>145</v>
      </c>
      <c r="L678" s="35" t="n">
        <v>3644.94</v>
      </c>
      <c r="M678" s="36"/>
      <c r="N678" s="33" t="s">
        <v>146</v>
      </c>
      <c r="O678" s="33" t="s">
        <v>147</v>
      </c>
    </row>
    <row r="679" customFormat="false" ht="15" hidden="false" customHeight="false" outlineLevel="0" collapsed="false">
      <c r="A679" s="33" t="s">
        <v>893</v>
      </c>
      <c r="B679" s="34" t="n">
        <v>45297</v>
      </c>
      <c r="C679" s="34" t="n">
        <v>45298</v>
      </c>
      <c r="D679" s="33" t="n">
        <v>2</v>
      </c>
      <c r="E679" s="33" t="s">
        <v>154</v>
      </c>
      <c r="F679" s="33" t="s">
        <v>155</v>
      </c>
      <c r="G679" s="33" t="s">
        <v>302</v>
      </c>
      <c r="H679" s="33" t="s">
        <v>157</v>
      </c>
      <c r="I679" s="33" t="s">
        <v>152</v>
      </c>
      <c r="J679" s="33" t="s">
        <v>159</v>
      </c>
      <c r="K679" s="33" t="s">
        <v>209</v>
      </c>
      <c r="L679" s="35" t="n">
        <v>1015.42</v>
      </c>
      <c r="M679" s="33" t="n">
        <v>4</v>
      </c>
      <c r="N679" s="33" t="s">
        <v>146</v>
      </c>
      <c r="O679" s="33" t="s">
        <v>147</v>
      </c>
    </row>
    <row r="680" customFormat="false" ht="15" hidden="false" customHeight="false" outlineLevel="0" collapsed="false">
      <c r="A680" s="33" t="s">
        <v>894</v>
      </c>
      <c r="B680" s="34" t="n">
        <v>45369</v>
      </c>
      <c r="C680" s="34" t="n">
        <v>45370</v>
      </c>
      <c r="D680" s="33" t="n">
        <v>39</v>
      </c>
      <c r="E680" s="33" t="s">
        <v>154</v>
      </c>
      <c r="F680" s="33" t="s">
        <v>203</v>
      </c>
      <c r="G680" s="33" t="s">
        <v>232</v>
      </c>
      <c r="H680" s="33" t="s">
        <v>193</v>
      </c>
      <c r="I680" s="33" t="s">
        <v>143</v>
      </c>
      <c r="J680" s="33" t="s">
        <v>159</v>
      </c>
      <c r="K680" s="33" t="s">
        <v>184</v>
      </c>
      <c r="L680" s="35" t="n">
        <v>870.77</v>
      </c>
      <c r="M680" s="33" t="n">
        <v>3</v>
      </c>
      <c r="N680" s="33" t="s">
        <v>146</v>
      </c>
      <c r="O680" s="33" t="s">
        <v>147</v>
      </c>
    </row>
    <row r="681" customFormat="false" ht="15" hidden="false" customHeight="false" outlineLevel="0" collapsed="false">
      <c r="A681" s="33" t="s">
        <v>895</v>
      </c>
      <c r="B681" s="34" t="n">
        <v>45449</v>
      </c>
      <c r="C681" s="34" t="n">
        <v>45453</v>
      </c>
      <c r="D681" s="33" t="n">
        <v>21</v>
      </c>
      <c r="E681" s="33" t="s">
        <v>139</v>
      </c>
      <c r="F681" s="33" t="s">
        <v>173</v>
      </c>
      <c r="G681" s="33" t="s">
        <v>198</v>
      </c>
      <c r="H681" s="33" t="s">
        <v>199</v>
      </c>
      <c r="I681" s="33" t="s">
        <v>152</v>
      </c>
      <c r="J681" s="33" t="s">
        <v>159</v>
      </c>
      <c r="K681" s="33" t="s">
        <v>145</v>
      </c>
      <c r="L681" s="35" t="n">
        <v>10582.57</v>
      </c>
      <c r="M681" s="33" t="n">
        <v>4</v>
      </c>
      <c r="N681" s="33" t="s">
        <v>146</v>
      </c>
      <c r="O681" s="33" t="s">
        <v>147</v>
      </c>
    </row>
    <row r="682" customFormat="false" ht="15" hidden="false" customHeight="false" outlineLevel="0" collapsed="false">
      <c r="A682" s="33" t="s">
        <v>896</v>
      </c>
      <c r="B682" s="34" t="n">
        <v>45551</v>
      </c>
      <c r="C682" s="34" t="n">
        <v>45553</v>
      </c>
      <c r="D682" s="33" t="n">
        <v>62</v>
      </c>
      <c r="E682" s="33" t="s">
        <v>154</v>
      </c>
      <c r="F682" s="33" t="s">
        <v>169</v>
      </c>
      <c r="G682" s="33" t="s">
        <v>163</v>
      </c>
      <c r="H682" s="33" t="s">
        <v>195</v>
      </c>
      <c r="I682" s="33" t="s">
        <v>143</v>
      </c>
      <c r="J682" s="33" t="s">
        <v>159</v>
      </c>
      <c r="K682" s="33" t="s">
        <v>160</v>
      </c>
      <c r="L682" s="35" t="n">
        <v>1658.46</v>
      </c>
      <c r="M682" s="33" t="n">
        <v>5</v>
      </c>
      <c r="N682" s="33" t="s">
        <v>146</v>
      </c>
      <c r="O682" s="33" t="s">
        <v>147</v>
      </c>
    </row>
    <row r="683" customFormat="false" ht="15" hidden="false" customHeight="false" outlineLevel="0" collapsed="false">
      <c r="A683" s="33" t="s">
        <v>897</v>
      </c>
      <c r="B683" s="34" t="n">
        <v>45524</v>
      </c>
      <c r="C683" s="34" t="n">
        <v>45528</v>
      </c>
      <c r="D683" s="33" t="n">
        <v>66</v>
      </c>
      <c r="E683" s="33" t="s">
        <v>154</v>
      </c>
      <c r="F683" s="33" t="s">
        <v>226</v>
      </c>
      <c r="G683" s="33" t="s">
        <v>227</v>
      </c>
      <c r="H683" s="33" t="s">
        <v>228</v>
      </c>
      <c r="I683" s="33" t="s">
        <v>152</v>
      </c>
      <c r="J683" s="33" t="s">
        <v>144</v>
      </c>
      <c r="K683" s="33" t="s">
        <v>160</v>
      </c>
      <c r="L683" s="35" t="n">
        <v>17969.22</v>
      </c>
      <c r="M683" s="33" t="n">
        <v>4</v>
      </c>
      <c r="N683" s="33" t="s">
        <v>146</v>
      </c>
      <c r="O683" s="33" t="s">
        <v>147</v>
      </c>
    </row>
    <row r="684" customFormat="false" ht="15" hidden="false" customHeight="false" outlineLevel="0" collapsed="false">
      <c r="A684" s="33" t="s">
        <v>898</v>
      </c>
      <c r="B684" s="34" t="n">
        <v>45646</v>
      </c>
      <c r="C684" s="34" t="n">
        <v>45647</v>
      </c>
      <c r="D684" s="33" t="n">
        <v>29</v>
      </c>
      <c r="E684" s="33" t="s">
        <v>139</v>
      </c>
      <c r="F684" s="33" t="s">
        <v>203</v>
      </c>
      <c r="G684" s="33" t="s">
        <v>232</v>
      </c>
      <c r="H684" s="33" t="s">
        <v>193</v>
      </c>
      <c r="I684" s="33" t="s">
        <v>143</v>
      </c>
      <c r="J684" s="33" t="s">
        <v>144</v>
      </c>
      <c r="K684" s="33" t="s">
        <v>184</v>
      </c>
      <c r="L684" s="35" t="n">
        <v>1446.15</v>
      </c>
      <c r="M684" s="33" t="n">
        <v>4</v>
      </c>
      <c r="N684" s="33" t="s">
        <v>146</v>
      </c>
      <c r="O684" s="33" t="s">
        <v>147</v>
      </c>
    </row>
    <row r="685" customFormat="false" ht="15" hidden="false" customHeight="false" outlineLevel="0" collapsed="false">
      <c r="A685" s="33" t="s">
        <v>899</v>
      </c>
      <c r="B685" s="34" t="n">
        <v>45403</v>
      </c>
      <c r="C685" s="34" t="n">
        <v>45404</v>
      </c>
      <c r="D685" s="33" t="n">
        <v>38</v>
      </c>
      <c r="E685" s="33" t="s">
        <v>154</v>
      </c>
      <c r="F685" s="33" t="s">
        <v>173</v>
      </c>
      <c r="G685" s="33" t="s">
        <v>178</v>
      </c>
      <c r="H685" s="33" t="s">
        <v>199</v>
      </c>
      <c r="I685" s="33" t="s">
        <v>143</v>
      </c>
      <c r="J685" s="33" t="s">
        <v>159</v>
      </c>
      <c r="K685" s="33" t="s">
        <v>160</v>
      </c>
      <c r="L685" s="35" t="n">
        <v>3136.8</v>
      </c>
      <c r="M685" s="33" t="n">
        <v>5</v>
      </c>
      <c r="N685" s="33" t="s">
        <v>210</v>
      </c>
      <c r="O685" s="33" t="s">
        <v>147</v>
      </c>
    </row>
    <row r="686" customFormat="false" ht="15" hidden="false" customHeight="false" outlineLevel="0" collapsed="false">
      <c r="A686" s="33" t="s">
        <v>900</v>
      </c>
      <c r="B686" s="34" t="n">
        <v>45646</v>
      </c>
      <c r="C686" s="34" t="n">
        <v>45647</v>
      </c>
      <c r="D686" s="33" t="n">
        <v>51</v>
      </c>
      <c r="E686" s="33" t="s">
        <v>154</v>
      </c>
      <c r="F686" s="33" t="s">
        <v>203</v>
      </c>
      <c r="G686" s="33" t="s">
        <v>217</v>
      </c>
      <c r="H686" s="33" t="s">
        <v>233</v>
      </c>
      <c r="I686" s="33" t="s">
        <v>143</v>
      </c>
      <c r="J686" s="33" t="s">
        <v>159</v>
      </c>
      <c r="K686" s="33" t="s">
        <v>145</v>
      </c>
      <c r="L686" s="35" t="n">
        <v>712.69</v>
      </c>
      <c r="M686" s="36"/>
      <c r="N686" s="33" t="s">
        <v>146</v>
      </c>
      <c r="O686" s="33" t="s">
        <v>147</v>
      </c>
    </row>
    <row r="687" customFormat="false" ht="15" hidden="false" customHeight="false" outlineLevel="0" collapsed="false">
      <c r="A687" s="33" t="s">
        <v>901</v>
      </c>
      <c r="B687" s="34" t="n">
        <v>45571</v>
      </c>
      <c r="C687" s="34" t="n">
        <v>45572</v>
      </c>
      <c r="D687" s="33" t="n">
        <v>34</v>
      </c>
      <c r="E687" s="33" t="s">
        <v>139</v>
      </c>
      <c r="F687" s="33" t="s">
        <v>140</v>
      </c>
      <c r="G687" s="33" t="s">
        <v>167</v>
      </c>
      <c r="H687" s="33" t="s">
        <v>142</v>
      </c>
      <c r="I687" s="33" t="s">
        <v>152</v>
      </c>
      <c r="J687" s="33" t="s">
        <v>144</v>
      </c>
      <c r="K687" s="33" t="s">
        <v>145</v>
      </c>
      <c r="L687" s="35" t="n">
        <v>3785.74</v>
      </c>
      <c r="M687" s="33" t="n">
        <v>5</v>
      </c>
      <c r="N687" s="33" t="s">
        <v>210</v>
      </c>
      <c r="O687" s="33" t="s">
        <v>147</v>
      </c>
    </row>
    <row r="688" customFormat="false" ht="15" hidden="false" customHeight="false" outlineLevel="0" collapsed="false">
      <c r="A688" s="33" t="s">
        <v>902</v>
      </c>
      <c r="B688" s="34" t="n">
        <v>45562</v>
      </c>
      <c r="C688" s="34" t="n">
        <v>45565</v>
      </c>
      <c r="D688" s="33" t="n">
        <v>41</v>
      </c>
      <c r="E688" s="33" t="s">
        <v>154</v>
      </c>
      <c r="F688" s="33" t="s">
        <v>169</v>
      </c>
      <c r="G688" s="33" t="s">
        <v>213</v>
      </c>
      <c r="H688" s="33" t="s">
        <v>195</v>
      </c>
      <c r="I688" s="33" t="s">
        <v>152</v>
      </c>
      <c r="J688" s="33" t="s">
        <v>159</v>
      </c>
      <c r="K688" s="33" t="s">
        <v>184</v>
      </c>
      <c r="L688" s="35" t="n">
        <v>3607.35</v>
      </c>
      <c r="M688" s="33" t="n">
        <v>5</v>
      </c>
      <c r="N688" s="33" t="s">
        <v>146</v>
      </c>
      <c r="O688" s="33" t="s">
        <v>147</v>
      </c>
    </row>
    <row r="689" customFormat="false" ht="15" hidden="false" customHeight="false" outlineLevel="0" collapsed="false">
      <c r="A689" s="33" t="s">
        <v>903</v>
      </c>
      <c r="B689" s="34" t="n">
        <v>45294</v>
      </c>
      <c r="C689" s="34" t="n">
        <v>45296</v>
      </c>
      <c r="D689" s="33" t="n">
        <v>25</v>
      </c>
      <c r="E689" s="33" t="s">
        <v>139</v>
      </c>
      <c r="F689" s="33" t="s">
        <v>149</v>
      </c>
      <c r="G689" s="33" t="s">
        <v>224</v>
      </c>
      <c r="H689" s="33" t="s">
        <v>151</v>
      </c>
      <c r="I689" s="33" t="s">
        <v>143</v>
      </c>
      <c r="J689" s="33" t="s">
        <v>159</v>
      </c>
      <c r="K689" s="33" t="s">
        <v>184</v>
      </c>
      <c r="L689" s="35" t="n">
        <v>3367.5</v>
      </c>
      <c r="M689" s="33" t="n">
        <v>5</v>
      </c>
      <c r="N689" s="33" t="s">
        <v>146</v>
      </c>
      <c r="O689" s="33" t="s">
        <v>147</v>
      </c>
    </row>
    <row r="690" customFormat="false" ht="15" hidden="false" customHeight="false" outlineLevel="0" collapsed="false">
      <c r="A690" s="33" t="s">
        <v>904</v>
      </c>
      <c r="B690" s="34" t="n">
        <v>45646</v>
      </c>
      <c r="C690" s="34" t="n">
        <v>45649</v>
      </c>
      <c r="D690" s="33" t="n">
        <v>83</v>
      </c>
      <c r="E690" s="33" t="s">
        <v>139</v>
      </c>
      <c r="F690" s="33" t="s">
        <v>140</v>
      </c>
      <c r="G690" s="33" t="s">
        <v>141</v>
      </c>
      <c r="H690" s="33" t="s">
        <v>142</v>
      </c>
      <c r="I690" s="33" t="s">
        <v>143</v>
      </c>
      <c r="J690" s="33" t="s">
        <v>144</v>
      </c>
      <c r="K690" s="33" t="s">
        <v>209</v>
      </c>
      <c r="L690" s="35" t="n">
        <v>13272.76</v>
      </c>
      <c r="M690" s="33" t="n">
        <v>3</v>
      </c>
      <c r="N690" s="33" t="s">
        <v>146</v>
      </c>
      <c r="O690" s="33" t="s">
        <v>147</v>
      </c>
    </row>
    <row r="691" customFormat="false" ht="15" hidden="false" customHeight="false" outlineLevel="0" collapsed="false">
      <c r="A691" s="33" t="s">
        <v>905</v>
      </c>
      <c r="B691" s="34" t="n">
        <v>45502</v>
      </c>
      <c r="C691" s="34" t="n">
        <v>45503</v>
      </c>
      <c r="D691" s="33" t="n">
        <v>42</v>
      </c>
      <c r="E691" s="33" t="s">
        <v>139</v>
      </c>
      <c r="F691" s="33" t="s">
        <v>203</v>
      </c>
      <c r="G691" s="33" t="s">
        <v>232</v>
      </c>
      <c r="H691" s="33" t="s">
        <v>233</v>
      </c>
      <c r="I691" s="33" t="s">
        <v>143</v>
      </c>
      <c r="J691" s="33" t="s">
        <v>159</v>
      </c>
      <c r="K691" s="33" t="s">
        <v>160</v>
      </c>
      <c r="L691" s="35" t="n">
        <v>918.06</v>
      </c>
      <c r="M691" s="33" t="n">
        <v>3</v>
      </c>
      <c r="N691" s="33" t="s">
        <v>146</v>
      </c>
      <c r="O691" s="33" t="s">
        <v>147</v>
      </c>
    </row>
    <row r="692" customFormat="false" ht="15" hidden="false" customHeight="false" outlineLevel="0" collapsed="false">
      <c r="A692" s="33" t="s">
        <v>906</v>
      </c>
      <c r="B692" s="34" t="n">
        <v>45522</v>
      </c>
      <c r="C692" s="34" t="n">
        <v>45523</v>
      </c>
      <c r="D692" s="33" t="n">
        <v>31</v>
      </c>
      <c r="E692" s="33" t="s">
        <v>139</v>
      </c>
      <c r="F692" s="33" t="s">
        <v>149</v>
      </c>
      <c r="G692" s="33" t="s">
        <v>243</v>
      </c>
      <c r="H692" s="33" t="s">
        <v>186</v>
      </c>
      <c r="I692" s="33" t="s">
        <v>152</v>
      </c>
      <c r="J692" s="33" t="s">
        <v>176</v>
      </c>
      <c r="K692" s="33" t="s">
        <v>145</v>
      </c>
      <c r="L692" s="35" t="n">
        <v>6179.76</v>
      </c>
      <c r="M692" s="33" t="n">
        <v>4</v>
      </c>
      <c r="N692" s="33" t="s">
        <v>146</v>
      </c>
      <c r="O692" s="33" t="s">
        <v>147</v>
      </c>
    </row>
    <row r="693" customFormat="false" ht="15" hidden="false" customHeight="false" outlineLevel="0" collapsed="false">
      <c r="A693" s="33" t="s">
        <v>907</v>
      </c>
      <c r="B693" s="34" t="n">
        <v>45329</v>
      </c>
      <c r="C693" s="34" t="n">
        <v>45336</v>
      </c>
      <c r="D693" s="33" t="n">
        <v>35</v>
      </c>
      <c r="E693" s="33" t="s">
        <v>180</v>
      </c>
      <c r="F693" s="33" t="s">
        <v>169</v>
      </c>
      <c r="G693" s="33" t="s">
        <v>163</v>
      </c>
      <c r="H693" s="33" t="s">
        <v>171</v>
      </c>
      <c r="I693" s="33" t="s">
        <v>152</v>
      </c>
      <c r="J693" s="33" t="s">
        <v>159</v>
      </c>
      <c r="K693" s="36"/>
      <c r="L693" s="35" t="n">
        <v>7366.44</v>
      </c>
      <c r="M693" s="33" t="n">
        <v>3</v>
      </c>
      <c r="N693" s="33" t="s">
        <v>146</v>
      </c>
      <c r="O693" s="33" t="s">
        <v>247</v>
      </c>
    </row>
    <row r="694" customFormat="false" ht="15" hidden="false" customHeight="false" outlineLevel="0" collapsed="false">
      <c r="A694" s="33" t="s">
        <v>908</v>
      </c>
      <c r="B694" s="34" t="n">
        <v>45508</v>
      </c>
      <c r="C694" s="34" t="n">
        <v>45509</v>
      </c>
      <c r="D694" s="33" t="n">
        <v>35</v>
      </c>
      <c r="E694" s="33" t="s">
        <v>154</v>
      </c>
      <c r="F694" s="33" t="s">
        <v>173</v>
      </c>
      <c r="G694" s="33" t="s">
        <v>198</v>
      </c>
      <c r="H694" s="33" t="s">
        <v>175</v>
      </c>
      <c r="I694" s="33" t="s">
        <v>143</v>
      </c>
      <c r="J694" s="33" t="s">
        <v>159</v>
      </c>
      <c r="K694" s="33" t="s">
        <v>145</v>
      </c>
      <c r="L694" s="35" t="n">
        <v>2870.42</v>
      </c>
      <c r="M694" s="33" t="n">
        <v>4</v>
      </c>
      <c r="N694" s="33" t="s">
        <v>146</v>
      </c>
      <c r="O694" s="33" t="s">
        <v>147</v>
      </c>
    </row>
    <row r="695" customFormat="false" ht="15" hidden="false" customHeight="false" outlineLevel="0" collapsed="false">
      <c r="A695" s="33" t="s">
        <v>909</v>
      </c>
      <c r="B695" s="34" t="n">
        <v>45340</v>
      </c>
      <c r="C695" s="34" t="n">
        <v>45347</v>
      </c>
      <c r="D695" s="33" t="n">
        <v>46</v>
      </c>
      <c r="E695" s="33" t="s">
        <v>180</v>
      </c>
      <c r="F695" s="33" t="s">
        <v>226</v>
      </c>
      <c r="G695" s="33" t="s">
        <v>258</v>
      </c>
      <c r="H695" s="33" t="s">
        <v>228</v>
      </c>
      <c r="I695" s="33" t="s">
        <v>143</v>
      </c>
      <c r="J695" s="33" t="s">
        <v>144</v>
      </c>
      <c r="K695" s="33" t="s">
        <v>184</v>
      </c>
      <c r="L695" s="35" t="n">
        <v>39277.02</v>
      </c>
      <c r="M695" s="33" t="n">
        <v>3</v>
      </c>
      <c r="N695" s="33" t="s">
        <v>146</v>
      </c>
      <c r="O695" s="33" t="s">
        <v>147</v>
      </c>
    </row>
    <row r="696" customFormat="false" ht="15" hidden="false" customHeight="false" outlineLevel="0" collapsed="false">
      <c r="A696" s="33" t="s">
        <v>910</v>
      </c>
      <c r="B696" s="34" t="n">
        <v>45396</v>
      </c>
      <c r="C696" s="34" t="n">
        <v>45403</v>
      </c>
      <c r="D696" s="33" t="n">
        <v>43</v>
      </c>
      <c r="E696" s="33" t="s">
        <v>154</v>
      </c>
      <c r="F696" s="33" t="s">
        <v>140</v>
      </c>
      <c r="G696" s="33" t="s">
        <v>316</v>
      </c>
      <c r="H696" s="33" t="s">
        <v>142</v>
      </c>
      <c r="I696" s="33" t="s">
        <v>143</v>
      </c>
      <c r="J696" s="33" t="s">
        <v>159</v>
      </c>
      <c r="K696" s="33" t="s">
        <v>160</v>
      </c>
      <c r="L696" s="35" t="n">
        <v>14336.45</v>
      </c>
      <c r="M696" s="33" t="n">
        <v>4</v>
      </c>
      <c r="N696" s="33" t="s">
        <v>146</v>
      </c>
      <c r="O696" s="33" t="s">
        <v>147</v>
      </c>
    </row>
    <row r="697" customFormat="false" ht="15" hidden="false" customHeight="false" outlineLevel="0" collapsed="false">
      <c r="A697" s="33" t="s">
        <v>911</v>
      </c>
      <c r="B697" s="34" t="n">
        <v>45414</v>
      </c>
      <c r="C697" s="34" t="n">
        <v>45422</v>
      </c>
      <c r="D697" s="36"/>
      <c r="E697" s="33" t="s">
        <v>257</v>
      </c>
      <c r="F697" s="33" t="s">
        <v>169</v>
      </c>
      <c r="G697" s="33" t="s">
        <v>163</v>
      </c>
      <c r="H697" s="33" t="s">
        <v>171</v>
      </c>
      <c r="I697" s="33" t="s">
        <v>152</v>
      </c>
      <c r="J697" s="33" t="s">
        <v>159</v>
      </c>
      <c r="K697" s="33" t="s">
        <v>160</v>
      </c>
      <c r="L697" s="35" t="n">
        <v>8091.42</v>
      </c>
      <c r="M697" s="33" t="n">
        <v>4</v>
      </c>
      <c r="N697" s="33" t="s">
        <v>146</v>
      </c>
      <c r="O697" s="33" t="s">
        <v>147</v>
      </c>
    </row>
    <row r="698" customFormat="false" ht="15" hidden="false" customHeight="false" outlineLevel="0" collapsed="false">
      <c r="A698" s="33" t="s">
        <v>912</v>
      </c>
      <c r="B698" s="34" t="n">
        <v>45458</v>
      </c>
      <c r="C698" s="34" t="n">
        <v>45459</v>
      </c>
      <c r="D698" s="36" t="n">
        <v>-3</v>
      </c>
      <c r="E698" s="33" t="s">
        <v>139</v>
      </c>
      <c r="F698" s="33" t="s">
        <v>149</v>
      </c>
      <c r="G698" s="33" t="s">
        <v>224</v>
      </c>
      <c r="H698" s="33" t="s">
        <v>186</v>
      </c>
      <c r="I698" s="33" t="s">
        <v>143</v>
      </c>
      <c r="J698" s="33" t="s">
        <v>159</v>
      </c>
      <c r="K698" s="33" t="s">
        <v>209</v>
      </c>
      <c r="L698" s="35" t="n">
        <v>1502.41</v>
      </c>
      <c r="M698" s="36"/>
      <c r="N698" s="33" t="s">
        <v>146</v>
      </c>
      <c r="O698" s="36"/>
    </row>
    <row r="699" customFormat="false" ht="15" hidden="false" customHeight="false" outlineLevel="0" collapsed="false">
      <c r="A699" s="33" t="s">
        <v>913</v>
      </c>
      <c r="B699" s="34" t="n">
        <v>45441</v>
      </c>
      <c r="C699" s="34" t="n">
        <v>45442</v>
      </c>
      <c r="D699" s="33" t="n">
        <v>16</v>
      </c>
      <c r="E699" s="33" t="s">
        <v>154</v>
      </c>
      <c r="F699" s="33" t="s">
        <v>334</v>
      </c>
      <c r="G699" s="33" t="s">
        <v>192</v>
      </c>
      <c r="H699" s="33" t="s">
        <v>233</v>
      </c>
      <c r="I699" s="33" t="s">
        <v>143</v>
      </c>
      <c r="J699" s="33" t="s">
        <v>144</v>
      </c>
      <c r="K699" s="33" t="s">
        <v>145</v>
      </c>
      <c r="L699" s="35" t="n">
        <v>2270.97</v>
      </c>
      <c r="M699" s="33" t="n">
        <v>4</v>
      </c>
      <c r="N699" s="33" t="s">
        <v>146</v>
      </c>
      <c r="O699" s="33" t="s">
        <v>147</v>
      </c>
    </row>
    <row r="700" customFormat="false" ht="15" hidden="false" customHeight="false" outlineLevel="0" collapsed="false">
      <c r="A700" s="33" t="s">
        <v>914</v>
      </c>
      <c r="B700" s="34" t="n">
        <v>45358</v>
      </c>
      <c r="C700" s="34" t="n">
        <v>45365</v>
      </c>
      <c r="D700" s="33" t="n">
        <v>4</v>
      </c>
      <c r="E700" s="33" t="s">
        <v>139</v>
      </c>
      <c r="F700" s="33" t="s">
        <v>212</v>
      </c>
      <c r="G700" s="33" t="s">
        <v>213</v>
      </c>
      <c r="H700" s="33" t="s">
        <v>195</v>
      </c>
      <c r="I700" s="33" t="s">
        <v>143</v>
      </c>
      <c r="J700" s="33" t="s">
        <v>159</v>
      </c>
      <c r="K700" s="33" t="s">
        <v>160</v>
      </c>
      <c r="L700" s="35" t="n">
        <v>6717.65</v>
      </c>
      <c r="M700" s="33" t="n">
        <v>3</v>
      </c>
      <c r="N700" s="33" t="s">
        <v>146</v>
      </c>
      <c r="O700" s="33" t="s">
        <v>147</v>
      </c>
    </row>
    <row r="701" customFormat="false" ht="15" hidden="false" customHeight="false" outlineLevel="0" collapsed="false">
      <c r="A701" s="33" t="s">
        <v>915</v>
      </c>
      <c r="B701" s="34" t="n">
        <v>45400</v>
      </c>
      <c r="C701" s="34" t="n">
        <v>45403</v>
      </c>
      <c r="D701" s="33" t="n">
        <v>58</v>
      </c>
      <c r="E701" s="33" t="s">
        <v>139</v>
      </c>
      <c r="F701" s="33" t="s">
        <v>240</v>
      </c>
      <c r="G701" s="33" t="s">
        <v>217</v>
      </c>
      <c r="H701" s="33" t="s">
        <v>205</v>
      </c>
      <c r="I701" s="33" t="s">
        <v>143</v>
      </c>
      <c r="J701" s="33" t="s">
        <v>159</v>
      </c>
      <c r="K701" s="33" t="s">
        <v>145</v>
      </c>
      <c r="L701" s="35" t="n">
        <v>2846.69</v>
      </c>
      <c r="M701" s="36"/>
      <c r="N701" s="33" t="s">
        <v>210</v>
      </c>
      <c r="O701" s="33" t="s">
        <v>147</v>
      </c>
    </row>
    <row r="702" customFormat="false" ht="15" hidden="false" customHeight="false" outlineLevel="0" collapsed="false">
      <c r="A702" s="33" t="s">
        <v>916</v>
      </c>
      <c r="B702" s="34" t="n">
        <v>45647</v>
      </c>
      <c r="C702" s="34" t="n">
        <v>45650</v>
      </c>
      <c r="D702" s="33" t="n">
        <v>47</v>
      </c>
      <c r="E702" s="33" t="s">
        <v>154</v>
      </c>
      <c r="F702" s="33" t="s">
        <v>181</v>
      </c>
      <c r="G702" s="33" t="s">
        <v>188</v>
      </c>
      <c r="H702" s="33" t="s">
        <v>183</v>
      </c>
      <c r="I702" s="33" t="s">
        <v>143</v>
      </c>
      <c r="J702" s="33" t="s">
        <v>159</v>
      </c>
      <c r="K702" s="33" t="s">
        <v>160</v>
      </c>
      <c r="L702" s="35" t="n">
        <v>8594.71</v>
      </c>
      <c r="M702" s="33" t="n">
        <v>5</v>
      </c>
      <c r="N702" s="33" t="s">
        <v>146</v>
      </c>
      <c r="O702" s="33" t="s">
        <v>147</v>
      </c>
    </row>
    <row r="703" customFormat="false" ht="15" hidden="false" customHeight="false" outlineLevel="0" collapsed="false">
      <c r="A703" s="33" t="s">
        <v>917</v>
      </c>
      <c r="B703" s="34" t="n">
        <v>45373</v>
      </c>
      <c r="C703" s="34" t="n">
        <v>45378</v>
      </c>
      <c r="D703" s="36"/>
      <c r="E703" s="33" t="s">
        <v>139</v>
      </c>
      <c r="F703" s="33" t="s">
        <v>376</v>
      </c>
      <c r="G703" s="33" t="s">
        <v>220</v>
      </c>
      <c r="H703" s="33" t="s">
        <v>222</v>
      </c>
      <c r="I703" s="33" t="s">
        <v>143</v>
      </c>
      <c r="J703" s="33" t="s">
        <v>144</v>
      </c>
      <c r="K703" s="33" t="s">
        <v>184</v>
      </c>
      <c r="L703" s="35" t="n">
        <v>7272.08</v>
      </c>
      <c r="M703" s="33" t="n">
        <v>5</v>
      </c>
      <c r="N703" s="33" t="s">
        <v>146</v>
      </c>
      <c r="O703" s="33" t="s">
        <v>295</v>
      </c>
    </row>
    <row r="704" customFormat="false" ht="15" hidden="false" customHeight="false" outlineLevel="0" collapsed="false">
      <c r="A704" s="33" t="s">
        <v>918</v>
      </c>
      <c r="B704" s="34" t="n">
        <v>45439</v>
      </c>
      <c r="C704" s="34" t="n">
        <v>45440</v>
      </c>
      <c r="D704" s="33" t="n">
        <v>42</v>
      </c>
      <c r="E704" s="33" t="s">
        <v>257</v>
      </c>
      <c r="F704" s="33" t="s">
        <v>212</v>
      </c>
      <c r="G704" s="33" t="s">
        <v>213</v>
      </c>
      <c r="H704" s="33" t="s">
        <v>164</v>
      </c>
      <c r="I704" s="33" t="s">
        <v>158</v>
      </c>
      <c r="J704" s="33" t="s">
        <v>159</v>
      </c>
      <c r="K704" s="33" t="s">
        <v>145</v>
      </c>
      <c r="L704" s="35" t="n">
        <v>1352.51</v>
      </c>
      <c r="M704" s="33" t="n">
        <v>4</v>
      </c>
      <c r="N704" s="33" t="s">
        <v>146</v>
      </c>
      <c r="O704" s="33" t="s">
        <v>147</v>
      </c>
    </row>
    <row r="705" customFormat="false" ht="15" hidden="false" customHeight="false" outlineLevel="0" collapsed="false">
      <c r="A705" s="33" t="s">
        <v>919</v>
      </c>
      <c r="B705" s="34" t="n">
        <v>45531</v>
      </c>
      <c r="C705" s="34" t="n">
        <v>45532</v>
      </c>
      <c r="D705" s="33" t="n">
        <v>4</v>
      </c>
      <c r="E705" s="33" t="s">
        <v>154</v>
      </c>
      <c r="F705" s="33" t="s">
        <v>288</v>
      </c>
      <c r="G705" s="33" t="s">
        <v>302</v>
      </c>
      <c r="H705" s="33" t="s">
        <v>157</v>
      </c>
      <c r="I705" s="33" t="s">
        <v>143</v>
      </c>
      <c r="J705" s="33" t="s">
        <v>144</v>
      </c>
      <c r="K705" s="33" t="s">
        <v>145</v>
      </c>
      <c r="L705" s="35" t="n">
        <v>1520.36</v>
      </c>
      <c r="M705" s="33" t="n">
        <v>4</v>
      </c>
      <c r="N705" s="33" t="s">
        <v>146</v>
      </c>
      <c r="O705" s="33" t="s">
        <v>147</v>
      </c>
    </row>
    <row r="706" customFormat="false" ht="15" hidden="false" customHeight="false" outlineLevel="0" collapsed="false">
      <c r="A706" s="33" t="s">
        <v>920</v>
      </c>
      <c r="B706" s="34" t="n">
        <v>45393</v>
      </c>
      <c r="C706" s="34" t="n">
        <v>45402</v>
      </c>
      <c r="D706" s="33" t="n">
        <v>37</v>
      </c>
      <c r="E706" s="33" t="s">
        <v>139</v>
      </c>
      <c r="F706" s="33" t="s">
        <v>226</v>
      </c>
      <c r="G706" s="33" t="s">
        <v>386</v>
      </c>
      <c r="H706" s="33" t="s">
        <v>263</v>
      </c>
      <c r="I706" s="33" t="s">
        <v>143</v>
      </c>
      <c r="J706" s="33" t="s">
        <v>176</v>
      </c>
      <c r="K706" s="33" t="s">
        <v>160</v>
      </c>
      <c r="L706" s="35" t="n">
        <v>85914.5</v>
      </c>
      <c r="M706" s="36"/>
      <c r="N706" s="33" t="s">
        <v>146</v>
      </c>
      <c r="O706" s="33" t="s">
        <v>147</v>
      </c>
    </row>
    <row r="707" customFormat="false" ht="15" hidden="false" customHeight="false" outlineLevel="0" collapsed="false">
      <c r="A707" s="33" t="s">
        <v>921</v>
      </c>
      <c r="B707" s="34" t="n">
        <v>45351</v>
      </c>
      <c r="C707" s="34" t="n">
        <v>45353</v>
      </c>
      <c r="D707" s="33" t="n">
        <v>83</v>
      </c>
      <c r="E707" s="33" t="s">
        <v>180</v>
      </c>
      <c r="F707" s="33" t="s">
        <v>173</v>
      </c>
      <c r="G707" s="33" t="s">
        <v>198</v>
      </c>
      <c r="H707" s="33" t="s">
        <v>175</v>
      </c>
      <c r="I707" s="33" t="s">
        <v>152</v>
      </c>
      <c r="J707" s="33" t="s">
        <v>159</v>
      </c>
      <c r="K707" s="33" t="s">
        <v>160</v>
      </c>
      <c r="L707" s="35" t="n">
        <v>5829.68</v>
      </c>
      <c r="M707" s="33" t="n">
        <v>5</v>
      </c>
      <c r="N707" s="33" t="s">
        <v>146</v>
      </c>
      <c r="O707" s="33" t="s">
        <v>147</v>
      </c>
    </row>
    <row r="708" customFormat="false" ht="15" hidden="false" customHeight="false" outlineLevel="0" collapsed="false">
      <c r="A708" s="33" t="s">
        <v>922</v>
      </c>
      <c r="B708" s="34" t="n">
        <v>45347</v>
      </c>
      <c r="C708" s="34" t="n">
        <v>45353</v>
      </c>
      <c r="D708" s="33" t="n">
        <v>7</v>
      </c>
      <c r="E708" s="33" t="s">
        <v>154</v>
      </c>
      <c r="F708" s="33" t="s">
        <v>155</v>
      </c>
      <c r="G708" s="33" t="s">
        <v>302</v>
      </c>
      <c r="H708" s="33" t="s">
        <v>157</v>
      </c>
      <c r="I708" s="33" t="s">
        <v>152</v>
      </c>
      <c r="J708" s="33" t="s">
        <v>176</v>
      </c>
      <c r="K708" s="33" t="s">
        <v>145</v>
      </c>
      <c r="L708" s="35" t="n">
        <v>14585.04</v>
      </c>
      <c r="M708" s="33" t="n">
        <v>5</v>
      </c>
      <c r="N708" s="33" t="s">
        <v>146</v>
      </c>
      <c r="O708" s="33" t="s">
        <v>147</v>
      </c>
    </row>
    <row r="709" customFormat="false" ht="15" hidden="false" customHeight="false" outlineLevel="0" collapsed="false">
      <c r="A709" s="33" t="s">
        <v>923</v>
      </c>
      <c r="B709" s="34" t="n">
        <v>45316</v>
      </c>
      <c r="C709" s="34" t="n">
        <v>45318</v>
      </c>
      <c r="D709" s="33" t="n">
        <v>32</v>
      </c>
      <c r="E709" s="33" t="s">
        <v>139</v>
      </c>
      <c r="F709" s="33" t="s">
        <v>149</v>
      </c>
      <c r="G709" s="33" t="s">
        <v>224</v>
      </c>
      <c r="H709" s="33" t="s">
        <v>186</v>
      </c>
      <c r="I709" s="33" t="s">
        <v>152</v>
      </c>
      <c r="J709" s="33" t="s">
        <v>159</v>
      </c>
      <c r="K709" s="33" t="s">
        <v>209</v>
      </c>
      <c r="L709" s="35" t="n">
        <v>3090.98</v>
      </c>
      <c r="M709" s="33" t="n">
        <v>2</v>
      </c>
      <c r="N709" s="33" t="s">
        <v>146</v>
      </c>
      <c r="O709" s="33" t="s">
        <v>147</v>
      </c>
    </row>
    <row r="710" customFormat="false" ht="15" hidden="false" customHeight="false" outlineLevel="0" collapsed="false">
      <c r="A710" s="33" t="s">
        <v>924</v>
      </c>
      <c r="B710" s="34" t="n">
        <v>45495</v>
      </c>
      <c r="C710" s="34" t="n">
        <v>45497</v>
      </c>
      <c r="D710" s="33" t="n">
        <v>20</v>
      </c>
      <c r="E710" s="33" t="s">
        <v>154</v>
      </c>
      <c r="F710" s="33" t="s">
        <v>203</v>
      </c>
      <c r="G710" s="33" t="s">
        <v>241</v>
      </c>
      <c r="H710" s="33" t="s">
        <v>233</v>
      </c>
      <c r="I710" s="33" t="s">
        <v>143</v>
      </c>
      <c r="J710" s="33" t="s">
        <v>159</v>
      </c>
      <c r="K710" s="33" t="s">
        <v>145</v>
      </c>
      <c r="L710" s="35" t="n">
        <v>1911.83</v>
      </c>
      <c r="M710" s="33" t="n">
        <v>4</v>
      </c>
      <c r="N710" s="33" t="s">
        <v>146</v>
      </c>
      <c r="O710" s="33" t="s">
        <v>147</v>
      </c>
    </row>
    <row r="711" customFormat="false" ht="15" hidden="false" customHeight="false" outlineLevel="0" collapsed="false">
      <c r="A711" s="33" t="s">
        <v>925</v>
      </c>
      <c r="B711" s="34" t="n">
        <v>45495</v>
      </c>
      <c r="C711" s="34" t="n">
        <v>45501</v>
      </c>
      <c r="D711" s="33" t="n">
        <v>66</v>
      </c>
      <c r="E711" s="33" t="s">
        <v>154</v>
      </c>
      <c r="F711" s="33" t="s">
        <v>226</v>
      </c>
      <c r="G711" s="33" t="s">
        <v>386</v>
      </c>
      <c r="H711" s="33" t="s">
        <v>228</v>
      </c>
      <c r="I711" s="33" t="s">
        <v>152</v>
      </c>
      <c r="J711" s="33" t="s">
        <v>144</v>
      </c>
      <c r="K711" s="33" t="s">
        <v>184</v>
      </c>
      <c r="L711" s="35" t="n">
        <v>34785.03</v>
      </c>
      <c r="M711" s="33" t="n">
        <v>5</v>
      </c>
      <c r="N711" s="33" t="s">
        <v>210</v>
      </c>
      <c r="O711" s="33" t="s">
        <v>247</v>
      </c>
    </row>
    <row r="712" customFormat="false" ht="15" hidden="false" customHeight="false" outlineLevel="0" collapsed="false">
      <c r="A712" s="33" t="s">
        <v>926</v>
      </c>
      <c r="B712" s="34" t="n">
        <v>45360</v>
      </c>
      <c r="C712" s="34" t="n">
        <v>45362</v>
      </c>
      <c r="D712" s="33" t="n">
        <v>26</v>
      </c>
      <c r="E712" s="33" t="s">
        <v>154</v>
      </c>
      <c r="F712" s="33" t="s">
        <v>173</v>
      </c>
      <c r="G712" s="33" t="s">
        <v>178</v>
      </c>
      <c r="H712" s="33" t="s">
        <v>199</v>
      </c>
      <c r="I712" s="33" t="s">
        <v>152</v>
      </c>
      <c r="J712" s="33" t="s">
        <v>144</v>
      </c>
      <c r="K712" s="33" t="s">
        <v>184</v>
      </c>
      <c r="L712" s="35" t="n">
        <v>9601.87</v>
      </c>
      <c r="M712" s="33" t="n">
        <v>4</v>
      </c>
      <c r="N712" s="33" t="s">
        <v>210</v>
      </c>
      <c r="O712" s="33" t="s">
        <v>147</v>
      </c>
    </row>
    <row r="713" customFormat="false" ht="15" hidden="false" customHeight="false" outlineLevel="0" collapsed="false">
      <c r="A713" s="33" t="s">
        <v>927</v>
      </c>
      <c r="B713" s="34" t="n">
        <v>45298</v>
      </c>
      <c r="C713" s="34" t="n">
        <v>45299</v>
      </c>
      <c r="D713" s="33" t="n">
        <v>47</v>
      </c>
      <c r="E713" s="33" t="s">
        <v>154</v>
      </c>
      <c r="F713" s="33" t="s">
        <v>140</v>
      </c>
      <c r="G713" s="33" t="s">
        <v>141</v>
      </c>
      <c r="H713" s="33" t="s">
        <v>290</v>
      </c>
      <c r="I713" s="33" t="s">
        <v>152</v>
      </c>
      <c r="J713" s="33" t="s">
        <v>144</v>
      </c>
      <c r="K713" s="33" t="s">
        <v>184</v>
      </c>
      <c r="L713" s="35" t="n">
        <v>4013.2</v>
      </c>
      <c r="M713" s="33" t="n">
        <v>4</v>
      </c>
      <c r="N713" s="33" t="s">
        <v>146</v>
      </c>
      <c r="O713" s="33" t="s">
        <v>147</v>
      </c>
    </row>
    <row r="714" customFormat="false" ht="15" hidden="false" customHeight="false" outlineLevel="0" collapsed="false">
      <c r="A714" s="33" t="s">
        <v>928</v>
      </c>
      <c r="B714" s="34" t="n">
        <v>45582</v>
      </c>
      <c r="C714" s="34" t="n">
        <v>45584</v>
      </c>
      <c r="D714" s="33" t="n">
        <v>40</v>
      </c>
      <c r="E714" s="33" t="s">
        <v>139</v>
      </c>
      <c r="F714" s="33" t="s">
        <v>203</v>
      </c>
      <c r="G714" s="33" t="s">
        <v>192</v>
      </c>
      <c r="H714" s="33" t="s">
        <v>233</v>
      </c>
      <c r="I714" s="33" t="s">
        <v>143</v>
      </c>
      <c r="J714" s="33" t="s">
        <v>144</v>
      </c>
      <c r="K714" s="33" t="s">
        <v>145</v>
      </c>
      <c r="L714" s="35" t="n">
        <v>3502.88</v>
      </c>
      <c r="M714" s="33" t="n">
        <v>5</v>
      </c>
      <c r="N714" s="33" t="s">
        <v>146</v>
      </c>
      <c r="O714" s="33" t="s">
        <v>147</v>
      </c>
    </row>
    <row r="715" customFormat="false" ht="15" hidden="false" customHeight="false" outlineLevel="0" collapsed="false">
      <c r="A715" s="33" t="s">
        <v>929</v>
      </c>
      <c r="B715" s="34" t="n">
        <v>45408</v>
      </c>
      <c r="C715" s="34" t="n">
        <v>45421</v>
      </c>
      <c r="D715" s="33" t="n">
        <v>69</v>
      </c>
      <c r="E715" s="33" t="s">
        <v>139</v>
      </c>
      <c r="F715" s="33" t="s">
        <v>181</v>
      </c>
      <c r="G715" s="33" t="s">
        <v>182</v>
      </c>
      <c r="H715" s="33" t="s">
        <v>183</v>
      </c>
      <c r="I715" s="33" t="s">
        <v>143</v>
      </c>
      <c r="J715" s="33" t="s">
        <v>159</v>
      </c>
      <c r="K715" s="33" t="s">
        <v>209</v>
      </c>
      <c r="L715" s="35" t="n">
        <v>31938.8</v>
      </c>
      <c r="M715" s="33" t="n">
        <v>3</v>
      </c>
      <c r="N715" s="33" t="s">
        <v>146</v>
      </c>
      <c r="O715" s="33" t="s">
        <v>147</v>
      </c>
    </row>
    <row r="716" customFormat="false" ht="15" hidden="false" customHeight="false" outlineLevel="0" collapsed="false">
      <c r="A716" s="33" t="s">
        <v>930</v>
      </c>
      <c r="B716" s="34" t="n">
        <v>45653</v>
      </c>
      <c r="C716" s="34" t="n">
        <v>45654</v>
      </c>
      <c r="D716" s="33" t="n">
        <v>37</v>
      </c>
      <c r="E716" s="33" t="s">
        <v>139</v>
      </c>
      <c r="F716" s="33" t="s">
        <v>149</v>
      </c>
      <c r="G716" s="33" t="s">
        <v>150</v>
      </c>
      <c r="H716" s="33" t="s">
        <v>186</v>
      </c>
      <c r="I716" s="33" t="s">
        <v>143</v>
      </c>
      <c r="J716" s="33" t="s">
        <v>159</v>
      </c>
      <c r="K716" s="33" t="s">
        <v>160</v>
      </c>
      <c r="L716" s="35" t="n">
        <v>1744.43</v>
      </c>
      <c r="M716" s="33" t="n">
        <v>4</v>
      </c>
      <c r="N716" s="33" t="s">
        <v>146</v>
      </c>
      <c r="O716" s="33" t="s">
        <v>147</v>
      </c>
    </row>
    <row r="717" customFormat="false" ht="15" hidden="false" customHeight="false" outlineLevel="0" collapsed="false">
      <c r="A717" s="33" t="s">
        <v>931</v>
      </c>
      <c r="B717" s="34" t="n">
        <v>45424</v>
      </c>
      <c r="C717" s="34" t="n">
        <v>45426</v>
      </c>
      <c r="D717" s="36"/>
      <c r="E717" s="33" t="s">
        <v>154</v>
      </c>
      <c r="F717" s="33" t="s">
        <v>203</v>
      </c>
      <c r="G717" s="33" t="s">
        <v>241</v>
      </c>
      <c r="H717" s="33" t="s">
        <v>193</v>
      </c>
      <c r="I717" s="33" t="s">
        <v>143</v>
      </c>
      <c r="J717" s="33" t="s">
        <v>159</v>
      </c>
      <c r="K717" s="33" t="s">
        <v>145</v>
      </c>
      <c r="L717" s="35" t="n">
        <v>1819.33</v>
      </c>
      <c r="M717" s="33" t="n">
        <v>2</v>
      </c>
      <c r="N717" s="33" t="s">
        <v>146</v>
      </c>
      <c r="O717" s="33" t="s">
        <v>147</v>
      </c>
    </row>
    <row r="718" customFormat="false" ht="15" hidden="false" customHeight="false" outlineLevel="0" collapsed="false">
      <c r="A718" s="33" t="s">
        <v>932</v>
      </c>
      <c r="B718" s="34" t="n">
        <v>45319</v>
      </c>
      <c r="C718" s="34" t="n">
        <v>45322</v>
      </c>
      <c r="D718" s="33" t="n">
        <v>54</v>
      </c>
      <c r="E718" s="33" t="s">
        <v>154</v>
      </c>
      <c r="F718" s="33" t="s">
        <v>169</v>
      </c>
      <c r="G718" s="33" t="s">
        <v>163</v>
      </c>
      <c r="H718" s="33" t="s">
        <v>164</v>
      </c>
      <c r="I718" s="33" t="s">
        <v>143</v>
      </c>
      <c r="J718" s="33" t="s">
        <v>159</v>
      </c>
      <c r="K718" s="33" t="s">
        <v>160</v>
      </c>
      <c r="L718" s="35" t="n">
        <v>3593.15</v>
      </c>
      <c r="M718" s="33" t="n">
        <v>5</v>
      </c>
      <c r="N718" s="33" t="s">
        <v>210</v>
      </c>
      <c r="O718" s="33" t="s">
        <v>147</v>
      </c>
    </row>
    <row r="719" customFormat="false" ht="15" hidden="false" customHeight="false" outlineLevel="0" collapsed="false">
      <c r="A719" s="33" t="s">
        <v>933</v>
      </c>
      <c r="B719" s="34" t="n">
        <v>45639</v>
      </c>
      <c r="C719" s="34" t="n">
        <v>45651</v>
      </c>
      <c r="D719" s="33" t="n">
        <v>69</v>
      </c>
      <c r="E719" s="33" t="s">
        <v>154</v>
      </c>
      <c r="F719" s="33" t="s">
        <v>140</v>
      </c>
      <c r="G719" s="33" t="s">
        <v>316</v>
      </c>
      <c r="H719" s="33" t="s">
        <v>142</v>
      </c>
      <c r="I719" s="33" t="s">
        <v>152</v>
      </c>
      <c r="J719" s="33" t="s">
        <v>159</v>
      </c>
      <c r="K719" s="33" t="s">
        <v>160</v>
      </c>
      <c r="L719" s="35" t="n">
        <v>32290.74</v>
      </c>
      <c r="M719" s="33" t="n">
        <v>4</v>
      </c>
      <c r="N719" s="33" t="s">
        <v>146</v>
      </c>
      <c r="O719" s="33" t="s">
        <v>147</v>
      </c>
    </row>
    <row r="720" customFormat="false" ht="15" hidden="false" customHeight="false" outlineLevel="0" collapsed="false">
      <c r="A720" s="33" t="s">
        <v>934</v>
      </c>
      <c r="B720" s="34" t="n">
        <v>45379</v>
      </c>
      <c r="C720" s="34" t="n">
        <v>45380</v>
      </c>
      <c r="D720" s="33" t="n">
        <v>9</v>
      </c>
      <c r="E720" s="33" t="s">
        <v>139</v>
      </c>
      <c r="F720" s="33" t="s">
        <v>191</v>
      </c>
      <c r="G720" s="33" t="s">
        <v>241</v>
      </c>
      <c r="H720" s="33" t="s">
        <v>205</v>
      </c>
      <c r="I720" s="33" t="s">
        <v>143</v>
      </c>
      <c r="J720" s="33" t="s">
        <v>159</v>
      </c>
      <c r="K720" s="33" t="s">
        <v>184</v>
      </c>
      <c r="L720" s="35" t="n">
        <v>855.6</v>
      </c>
      <c r="M720" s="33" t="n">
        <v>3</v>
      </c>
      <c r="N720" s="33" t="s">
        <v>146</v>
      </c>
      <c r="O720" s="33" t="s">
        <v>147</v>
      </c>
    </row>
    <row r="721" customFormat="false" ht="15" hidden="false" customHeight="false" outlineLevel="0" collapsed="false">
      <c r="A721" s="33" t="s">
        <v>935</v>
      </c>
      <c r="B721" s="34" t="n">
        <v>45608</v>
      </c>
      <c r="C721" s="34" t="n">
        <v>45614</v>
      </c>
      <c r="D721" s="33" t="n">
        <v>17</v>
      </c>
      <c r="E721" s="33" t="s">
        <v>154</v>
      </c>
      <c r="F721" s="33" t="s">
        <v>162</v>
      </c>
      <c r="G721" s="33" t="s">
        <v>170</v>
      </c>
      <c r="H721" s="33" t="s">
        <v>195</v>
      </c>
      <c r="I721" s="33" t="s">
        <v>152</v>
      </c>
      <c r="J721" s="33" t="s">
        <v>159</v>
      </c>
      <c r="K721" s="33" t="s">
        <v>145</v>
      </c>
      <c r="L721" s="35" t="n">
        <v>7383.97</v>
      </c>
      <c r="M721" s="33" t="n">
        <v>4</v>
      </c>
      <c r="N721" s="33" t="s">
        <v>146</v>
      </c>
      <c r="O721" s="33" t="s">
        <v>206</v>
      </c>
    </row>
    <row r="722" customFormat="false" ht="15" hidden="false" customHeight="false" outlineLevel="0" collapsed="false">
      <c r="A722" s="33" t="s">
        <v>936</v>
      </c>
      <c r="B722" s="34" t="n">
        <v>45534</v>
      </c>
      <c r="C722" s="34" t="n">
        <v>45539</v>
      </c>
      <c r="D722" s="33" t="n">
        <v>77</v>
      </c>
      <c r="E722" s="33" t="s">
        <v>154</v>
      </c>
      <c r="F722" s="33" t="s">
        <v>169</v>
      </c>
      <c r="G722" s="33" t="s">
        <v>213</v>
      </c>
      <c r="H722" s="33" t="s">
        <v>164</v>
      </c>
      <c r="I722" s="33" t="s">
        <v>143</v>
      </c>
      <c r="J722" s="33" t="s">
        <v>159</v>
      </c>
      <c r="K722" s="33" t="s">
        <v>145</v>
      </c>
      <c r="L722" s="35" t="n">
        <v>5171.19</v>
      </c>
      <c r="M722" s="33" t="n">
        <v>4</v>
      </c>
      <c r="N722" s="33" t="s">
        <v>210</v>
      </c>
      <c r="O722" s="33" t="s">
        <v>147</v>
      </c>
    </row>
    <row r="723" customFormat="false" ht="15" hidden="false" customHeight="false" outlineLevel="0" collapsed="false">
      <c r="A723" s="33" t="s">
        <v>937</v>
      </c>
      <c r="B723" s="34" t="n">
        <v>45341</v>
      </c>
      <c r="C723" s="34" t="n">
        <v>45342</v>
      </c>
      <c r="D723" s="33" t="n">
        <v>68</v>
      </c>
      <c r="E723" s="33" t="s">
        <v>139</v>
      </c>
      <c r="F723" s="33" t="s">
        <v>334</v>
      </c>
      <c r="G723" s="33" t="s">
        <v>232</v>
      </c>
      <c r="H723" s="33" t="s">
        <v>193</v>
      </c>
      <c r="I723" s="33" t="s">
        <v>143</v>
      </c>
      <c r="J723" s="33" t="s">
        <v>159</v>
      </c>
      <c r="K723" s="33" t="s">
        <v>184</v>
      </c>
      <c r="L723" s="35" t="n">
        <v>838.51</v>
      </c>
      <c r="M723" s="33" t="n">
        <v>4</v>
      </c>
      <c r="N723" s="33" t="s">
        <v>146</v>
      </c>
      <c r="O723" s="33" t="s">
        <v>147</v>
      </c>
    </row>
    <row r="724" customFormat="false" ht="15" hidden="false" customHeight="false" outlineLevel="0" collapsed="false">
      <c r="A724" s="33" t="s">
        <v>938</v>
      </c>
      <c r="B724" s="34" t="n">
        <v>45330</v>
      </c>
      <c r="C724" s="34" t="n">
        <v>45332</v>
      </c>
      <c r="D724" s="33" t="n">
        <v>21</v>
      </c>
      <c r="E724" s="33" t="s">
        <v>154</v>
      </c>
      <c r="F724" s="33" t="s">
        <v>203</v>
      </c>
      <c r="G724" s="33" t="s">
        <v>241</v>
      </c>
      <c r="H724" s="33" t="s">
        <v>233</v>
      </c>
      <c r="I724" s="33" t="s">
        <v>143</v>
      </c>
      <c r="J724" s="33" t="s">
        <v>144</v>
      </c>
      <c r="K724" s="33" t="s">
        <v>160</v>
      </c>
      <c r="L724" s="35" t="n">
        <v>3095.94</v>
      </c>
      <c r="M724" s="33" t="n">
        <v>5</v>
      </c>
      <c r="N724" s="33" t="s">
        <v>146</v>
      </c>
      <c r="O724" s="33" t="s">
        <v>147</v>
      </c>
    </row>
    <row r="725" customFormat="false" ht="15" hidden="false" customHeight="false" outlineLevel="0" collapsed="false">
      <c r="A725" s="33" t="s">
        <v>939</v>
      </c>
      <c r="B725" s="34" t="n">
        <v>45292</v>
      </c>
      <c r="C725" s="34" t="n">
        <v>45293</v>
      </c>
      <c r="D725" s="33" t="n">
        <v>9</v>
      </c>
      <c r="E725" s="33" t="s">
        <v>139</v>
      </c>
      <c r="F725" s="33" t="s">
        <v>288</v>
      </c>
      <c r="G725" s="33" t="s">
        <v>220</v>
      </c>
      <c r="H725" s="33" t="s">
        <v>222</v>
      </c>
      <c r="I725" s="33" t="s">
        <v>143</v>
      </c>
      <c r="J725" s="33" t="s">
        <v>176</v>
      </c>
      <c r="K725" s="33" t="s">
        <v>145</v>
      </c>
      <c r="L725" s="35" t="n">
        <v>2923.08</v>
      </c>
      <c r="M725" s="33" t="n">
        <v>3</v>
      </c>
      <c r="N725" s="33" t="s">
        <v>146</v>
      </c>
      <c r="O725" s="33" t="s">
        <v>147</v>
      </c>
    </row>
    <row r="726" customFormat="false" ht="15" hidden="false" customHeight="false" outlineLevel="0" collapsed="false">
      <c r="A726" s="33" t="s">
        <v>940</v>
      </c>
      <c r="B726" s="34" t="n">
        <v>45337</v>
      </c>
      <c r="C726" s="34" t="n">
        <v>45338</v>
      </c>
      <c r="D726" s="33" t="n">
        <v>42</v>
      </c>
      <c r="E726" s="33" t="s">
        <v>154</v>
      </c>
      <c r="F726" s="33" t="s">
        <v>140</v>
      </c>
      <c r="G726" s="33" t="s">
        <v>167</v>
      </c>
      <c r="H726" s="33" t="s">
        <v>142</v>
      </c>
      <c r="I726" s="33" t="s">
        <v>143</v>
      </c>
      <c r="J726" s="33" t="s">
        <v>159</v>
      </c>
      <c r="K726" s="33" t="s">
        <v>160</v>
      </c>
      <c r="L726" s="35" t="n">
        <v>2431.09</v>
      </c>
      <c r="M726" s="33" t="n">
        <v>3</v>
      </c>
      <c r="N726" s="33" t="s">
        <v>146</v>
      </c>
      <c r="O726" s="33" t="s">
        <v>147</v>
      </c>
    </row>
    <row r="727" customFormat="false" ht="15" hidden="false" customHeight="false" outlineLevel="0" collapsed="false">
      <c r="A727" s="33" t="s">
        <v>941</v>
      </c>
      <c r="B727" s="34" t="n">
        <v>45630</v>
      </c>
      <c r="C727" s="34" t="n">
        <v>45631</v>
      </c>
      <c r="D727" s="33" t="n">
        <v>86</v>
      </c>
      <c r="E727" s="33" t="s">
        <v>139</v>
      </c>
      <c r="F727" s="33" t="s">
        <v>173</v>
      </c>
      <c r="G727" s="33" t="s">
        <v>174</v>
      </c>
      <c r="H727" s="33" t="s">
        <v>175</v>
      </c>
      <c r="I727" s="33" t="s">
        <v>152</v>
      </c>
      <c r="J727" s="33" t="s">
        <v>159</v>
      </c>
      <c r="K727" s="33" t="s">
        <v>184</v>
      </c>
      <c r="L727" s="35" t="n">
        <v>2609.28</v>
      </c>
      <c r="M727" s="33" t="n">
        <v>3</v>
      </c>
      <c r="N727" s="33" t="s">
        <v>146</v>
      </c>
      <c r="O727" s="33" t="s">
        <v>147</v>
      </c>
    </row>
    <row r="728" customFormat="false" ht="15" hidden="false" customHeight="false" outlineLevel="0" collapsed="false">
      <c r="A728" s="33" t="s">
        <v>942</v>
      </c>
      <c r="B728" s="34" t="n">
        <v>45360</v>
      </c>
      <c r="C728" s="34" t="n">
        <v>45362</v>
      </c>
      <c r="D728" s="33" t="n">
        <v>7</v>
      </c>
      <c r="E728" s="33" t="s">
        <v>139</v>
      </c>
      <c r="F728" s="33" t="s">
        <v>155</v>
      </c>
      <c r="G728" s="33" t="s">
        <v>302</v>
      </c>
      <c r="H728" s="33" t="s">
        <v>222</v>
      </c>
      <c r="I728" s="33" t="s">
        <v>143</v>
      </c>
      <c r="J728" s="33" t="s">
        <v>159</v>
      </c>
      <c r="K728" s="33" t="s">
        <v>145</v>
      </c>
      <c r="L728" s="35" t="n">
        <v>1633.39</v>
      </c>
      <c r="M728" s="33" t="n">
        <v>5</v>
      </c>
      <c r="N728" s="33" t="s">
        <v>146</v>
      </c>
      <c r="O728" s="33" t="s">
        <v>147</v>
      </c>
    </row>
    <row r="729" customFormat="false" ht="15" hidden="false" customHeight="false" outlineLevel="0" collapsed="false">
      <c r="A729" s="33" t="s">
        <v>943</v>
      </c>
      <c r="B729" s="34" t="n">
        <v>45294</v>
      </c>
      <c r="C729" s="34" t="n">
        <v>45306</v>
      </c>
      <c r="D729" s="33" t="n">
        <v>71</v>
      </c>
      <c r="E729" s="33" t="s">
        <v>154</v>
      </c>
      <c r="F729" s="33" t="s">
        <v>181</v>
      </c>
      <c r="G729" s="33" t="s">
        <v>237</v>
      </c>
      <c r="H729" s="33" t="s">
        <v>245</v>
      </c>
      <c r="I729" s="33" t="s">
        <v>158</v>
      </c>
      <c r="J729" s="33" t="s">
        <v>159</v>
      </c>
      <c r="K729" s="33" t="s">
        <v>184</v>
      </c>
      <c r="L729" s="35" t="n">
        <v>26906.93</v>
      </c>
      <c r="M729" s="33" t="n">
        <v>4</v>
      </c>
      <c r="N729" s="33" t="s">
        <v>146</v>
      </c>
      <c r="O729" s="33" t="s">
        <v>147</v>
      </c>
    </row>
    <row r="730" customFormat="false" ht="15" hidden="false" customHeight="false" outlineLevel="0" collapsed="false">
      <c r="A730" s="33" t="s">
        <v>944</v>
      </c>
      <c r="B730" s="34" t="n">
        <v>45342</v>
      </c>
      <c r="C730" s="34" t="n">
        <v>45345</v>
      </c>
      <c r="D730" s="33" t="n">
        <v>27</v>
      </c>
      <c r="E730" s="33" t="s">
        <v>139</v>
      </c>
      <c r="F730" s="33" t="s">
        <v>191</v>
      </c>
      <c r="G730" s="33" t="s">
        <v>192</v>
      </c>
      <c r="H730" s="33" t="s">
        <v>193</v>
      </c>
      <c r="I730" s="33" t="s">
        <v>143</v>
      </c>
      <c r="J730" s="33" t="s">
        <v>144</v>
      </c>
      <c r="K730" s="33" t="s">
        <v>145</v>
      </c>
      <c r="L730" s="35" t="n">
        <v>4143.73</v>
      </c>
      <c r="M730" s="33" t="n">
        <v>3</v>
      </c>
      <c r="N730" s="33" t="s">
        <v>146</v>
      </c>
      <c r="O730" s="33" t="s">
        <v>147</v>
      </c>
    </row>
    <row r="731" customFormat="false" ht="15" hidden="false" customHeight="false" outlineLevel="0" collapsed="false">
      <c r="A731" s="33" t="s">
        <v>945</v>
      </c>
      <c r="B731" s="34" t="n">
        <v>45462</v>
      </c>
      <c r="C731" s="34" t="n">
        <v>45463</v>
      </c>
      <c r="D731" s="33" t="n">
        <v>52</v>
      </c>
      <c r="E731" s="33" t="s">
        <v>257</v>
      </c>
      <c r="F731" s="33" t="s">
        <v>203</v>
      </c>
      <c r="G731" s="33" t="s">
        <v>217</v>
      </c>
      <c r="H731" s="33" t="s">
        <v>205</v>
      </c>
      <c r="I731" s="33" t="s">
        <v>143</v>
      </c>
      <c r="J731" s="33" t="s">
        <v>159</v>
      </c>
      <c r="K731" s="33" t="s">
        <v>160</v>
      </c>
      <c r="L731" s="35" t="n">
        <v>1133.17</v>
      </c>
      <c r="M731" s="33" t="n">
        <v>4</v>
      </c>
      <c r="N731" s="33" t="s">
        <v>146</v>
      </c>
      <c r="O731" s="33" t="s">
        <v>147</v>
      </c>
    </row>
    <row r="732" customFormat="false" ht="15" hidden="false" customHeight="false" outlineLevel="0" collapsed="false">
      <c r="A732" s="33" t="s">
        <v>946</v>
      </c>
      <c r="B732" s="34" t="n">
        <v>45599</v>
      </c>
      <c r="C732" s="34" t="n">
        <v>45603</v>
      </c>
      <c r="D732" s="33" t="n">
        <v>16</v>
      </c>
      <c r="E732" s="33" t="s">
        <v>139</v>
      </c>
      <c r="F732" s="33" t="s">
        <v>169</v>
      </c>
      <c r="G732" s="33" t="s">
        <v>163</v>
      </c>
      <c r="H732" s="33" t="s">
        <v>164</v>
      </c>
      <c r="I732" s="33" t="s">
        <v>152</v>
      </c>
      <c r="J732" s="33" t="s">
        <v>159</v>
      </c>
      <c r="K732" s="33" t="s">
        <v>145</v>
      </c>
      <c r="L732" s="35" t="n">
        <v>5582.46</v>
      </c>
      <c r="M732" s="33" t="n">
        <v>4</v>
      </c>
      <c r="N732" s="33" t="s">
        <v>146</v>
      </c>
      <c r="O732" s="33" t="s">
        <v>147</v>
      </c>
    </row>
    <row r="733" customFormat="false" ht="15" hidden="false" customHeight="false" outlineLevel="0" collapsed="false">
      <c r="A733" s="33" t="s">
        <v>947</v>
      </c>
      <c r="B733" s="34" t="n">
        <v>45494</v>
      </c>
      <c r="C733" s="34" t="n">
        <v>45502</v>
      </c>
      <c r="D733" s="33" t="n">
        <v>25</v>
      </c>
      <c r="E733" s="33" t="s">
        <v>139</v>
      </c>
      <c r="F733" s="33" t="s">
        <v>169</v>
      </c>
      <c r="G733" s="33" t="s">
        <v>170</v>
      </c>
      <c r="H733" s="33" t="s">
        <v>195</v>
      </c>
      <c r="I733" s="33" t="s">
        <v>158</v>
      </c>
      <c r="J733" s="33" t="s">
        <v>176</v>
      </c>
      <c r="K733" s="33" t="s">
        <v>145</v>
      </c>
      <c r="L733" s="35" t="n">
        <v>23640.23</v>
      </c>
      <c r="M733" s="33" t="n">
        <v>4</v>
      </c>
      <c r="N733" s="33" t="s">
        <v>146</v>
      </c>
      <c r="O733" s="33" t="s">
        <v>147</v>
      </c>
    </row>
    <row r="734" customFormat="false" ht="15" hidden="false" customHeight="false" outlineLevel="0" collapsed="false">
      <c r="A734" s="33" t="s">
        <v>948</v>
      </c>
      <c r="B734" s="34" t="n">
        <v>45484</v>
      </c>
      <c r="C734" s="34" t="n">
        <v>45485</v>
      </c>
      <c r="D734" s="33" t="n">
        <v>39</v>
      </c>
      <c r="E734" s="33" t="s">
        <v>154</v>
      </c>
      <c r="F734" s="33" t="s">
        <v>203</v>
      </c>
      <c r="G734" s="33" t="s">
        <v>241</v>
      </c>
      <c r="H734" s="33" t="s">
        <v>205</v>
      </c>
      <c r="I734" s="33" t="s">
        <v>143</v>
      </c>
      <c r="J734" s="33" t="s">
        <v>159</v>
      </c>
      <c r="K734" s="33" t="s">
        <v>145</v>
      </c>
      <c r="L734" s="35" t="n">
        <v>1024</v>
      </c>
      <c r="M734" s="33" t="n">
        <v>3</v>
      </c>
      <c r="N734" s="33" t="s">
        <v>146</v>
      </c>
      <c r="O734" s="33" t="s">
        <v>147</v>
      </c>
    </row>
    <row r="735" customFormat="false" ht="15" hidden="false" customHeight="false" outlineLevel="0" collapsed="false">
      <c r="A735" s="33" t="s">
        <v>949</v>
      </c>
      <c r="B735" s="34" t="n">
        <v>45365</v>
      </c>
      <c r="C735" s="34" t="n">
        <v>45366</v>
      </c>
      <c r="D735" s="33" t="n">
        <v>23</v>
      </c>
      <c r="E735" s="33" t="s">
        <v>154</v>
      </c>
      <c r="F735" s="33" t="s">
        <v>203</v>
      </c>
      <c r="G735" s="33" t="s">
        <v>192</v>
      </c>
      <c r="H735" s="33" t="s">
        <v>233</v>
      </c>
      <c r="I735" s="33" t="s">
        <v>143</v>
      </c>
      <c r="J735" s="33" t="s">
        <v>159</v>
      </c>
      <c r="K735" s="33" t="s">
        <v>184</v>
      </c>
      <c r="L735" s="35" t="n">
        <v>843.34</v>
      </c>
      <c r="M735" s="33" t="n">
        <v>3</v>
      </c>
      <c r="N735" s="33" t="s">
        <v>146</v>
      </c>
      <c r="O735" s="33" t="s">
        <v>147</v>
      </c>
    </row>
    <row r="736" customFormat="false" ht="15" hidden="false" customHeight="false" outlineLevel="0" collapsed="false">
      <c r="A736" s="33" t="s">
        <v>950</v>
      </c>
      <c r="B736" s="34" t="n">
        <v>45602</v>
      </c>
      <c r="C736" s="34" t="n">
        <v>45618</v>
      </c>
      <c r="D736" s="33" t="n">
        <v>49</v>
      </c>
      <c r="E736" s="33" t="s">
        <v>154</v>
      </c>
      <c r="F736" s="33" t="s">
        <v>226</v>
      </c>
      <c r="G736" s="33" t="s">
        <v>386</v>
      </c>
      <c r="H736" s="33" t="s">
        <v>263</v>
      </c>
      <c r="I736" s="33" t="s">
        <v>143</v>
      </c>
      <c r="J736" s="33" t="s">
        <v>144</v>
      </c>
      <c r="K736" s="33" t="s">
        <v>184</v>
      </c>
      <c r="L736" s="35" t="n">
        <v>87931.76</v>
      </c>
      <c r="M736" s="33" t="n">
        <v>4</v>
      </c>
      <c r="N736" s="33" t="s">
        <v>146</v>
      </c>
      <c r="O736" s="33" t="s">
        <v>147</v>
      </c>
    </row>
    <row r="737" customFormat="false" ht="15" hidden="false" customHeight="false" outlineLevel="0" collapsed="false">
      <c r="A737" s="33" t="s">
        <v>951</v>
      </c>
      <c r="B737" s="34" t="n">
        <v>45574</v>
      </c>
      <c r="C737" s="34" t="n">
        <v>45576</v>
      </c>
      <c r="D737" s="33" t="n">
        <v>10</v>
      </c>
      <c r="E737" s="33" t="s">
        <v>154</v>
      </c>
      <c r="F737" s="33" t="s">
        <v>155</v>
      </c>
      <c r="G737" s="33" t="s">
        <v>220</v>
      </c>
      <c r="H737" s="33" t="s">
        <v>157</v>
      </c>
      <c r="I737" s="33" t="s">
        <v>152</v>
      </c>
      <c r="J737" s="33" t="s">
        <v>159</v>
      </c>
      <c r="K737" s="33" t="s">
        <v>145</v>
      </c>
      <c r="L737" s="35" t="n">
        <v>1631.43</v>
      </c>
      <c r="M737" s="33" t="n">
        <v>4</v>
      </c>
      <c r="N737" s="33" t="s">
        <v>146</v>
      </c>
      <c r="O737" s="33" t="s">
        <v>147</v>
      </c>
    </row>
    <row r="738" customFormat="false" ht="15" hidden="false" customHeight="false" outlineLevel="0" collapsed="false">
      <c r="A738" s="33" t="s">
        <v>952</v>
      </c>
      <c r="B738" s="34" t="n">
        <v>45461</v>
      </c>
      <c r="C738" s="34" t="n">
        <v>45463</v>
      </c>
      <c r="D738" s="33" t="n">
        <v>50</v>
      </c>
      <c r="E738" s="33" t="s">
        <v>139</v>
      </c>
      <c r="F738" s="33" t="s">
        <v>140</v>
      </c>
      <c r="G738" s="33" t="s">
        <v>167</v>
      </c>
      <c r="H738" s="33" t="s">
        <v>290</v>
      </c>
      <c r="I738" s="33" t="s">
        <v>152</v>
      </c>
      <c r="J738" s="33" t="s">
        <v>159</v>
      </c>
      <c r="K738" s="33" t="s">
        <v>209</v>
      </c>
      <c r="L738" s="35" t="n">
        <v>4097.68</v>
      </c>
      <c r="M738" s="33" t="n">
        <v>3</v>
      </c>
      <c r="N738" s="33" t="s">
        <v>146</v>
      </c>
      <c r="O738" s="33" t="s">
        <v>147</v>
      </c>
    </row>
    <row r="739" customFormat="false" ht="15" hidden="false" customHeight="false" outlineLevel="0" collapsed="false">
      <c r="A739" s="33" t="s">
        <v>953</v>
      </c>
      <c r="B739" s="34" t="n">
        <v>45307</v>
      </c>
      <c r="C739" s="34" t="n">
        <v>45312</v>
      </c>
      <c r="D739" s="33" t="n">
        <v>62</v>
      </c>
      <c r="E739" s="33" t="s">
        <v>154</v>
      </c>
      <c r="F739" s="33" t="s">
        <v>173</v>
      </c>
      <c r="G739" s="33" t="s">
        <v>174</v>
      </c>
      <c r="H739" s="33" t="s">
        <v>175</v>
      </c>
      <c r="I739" s="33" t="s">
        <v>143</v>
      </c>
      <c r="J739" s="33" t="s">
        <v>159</v>
      </c>
      <c r="K739" s="33" t="s">
        <v>145</v>
      </c>
      <c r="L739" s="35" t="n">
        <v>15159.21</v>
      </c>
      <c r="M739" s="33" t="n">
        <v>5</v>
      </c>
      <c r="N739" s="33" t="s">
        <v>146</v>
      </c>
      <c r="O739" s="33" t="s">
        <v>147</v>
      </c>
    </row>
    <row r="740" customFormat="false" ht="15" hidden="false" customHeight="false" outlineLevel="0" collapsed="false">
      <c r="A740" s="33" t="s">
        <v>954</v>
      </c>
      <c r="B740" s="34" t="n">
        <v>45327</v>
      </c>
      <c r="C740" s="34" t="n">
        <v>45330</v>
      </c>
      <c r="D740" s="33" t="n">
        <v>16</v>
      </c>
      <c r="E740" s="33" t="s">
        <v>139</v>
      </c>
      <c r="F740" s="33" t="s">
        <v>173</v>
      </c>
      <c r="G740" s="33" t="s">
        <v>198</v>
      </c>
      <c r="H740" s="33" t="s">
        <v>175</v>
      </c>
      <c r="I740" s="33" t="s">
        <v>152</v>
      </c>
      <c r="J740" s="33" t="s">
        <v>159</v>
      </c>
      <c r="K740" s="33" t="s">
        <v>184</v>
      </c>
      <c r="L740" s="35" t="n">
        <v>8757.7</v>
      </c>
      <c r="M740" s="33" t="n">
        <v>4</v>
      </c>
      <c r="N740" s="33" t="s">
        <v>146</v>
      </c>
      <c r="O740" s="33" t="s">
        <v>147</v>
      </c>
    </row>
    <row r="741" customFormat="false" ht="15" hidden="false" customHeight="false" outlineLevel="0" collapsed="false">
      <c r="A741" s="33" t="s">
        <v>955</v>
      </c>
      <c r="B741" s="34" t="n">
        <v>45494</v>
      </c>
      <c r="C741" s="34" t="n">
        <v>45498</v>
      </c>
      <c r="D741" s="33" t="n">
        <v>3</v>
      </c>
      <c r="E741" s="33" t="s">
        <v>139</v>
      </c>
      <c r="F741" s="33" t="s">
        <v>155</v>
      </c>
      <c r="G741" s="33" t="s">
        <v>156</v>
      </c>
      <c r="H741" s="33" t="s">
        <v>157</v>
      </c>
      <c r="I741" s="33" t="s">
        <v>152</v>
      </c>
      <c r="J741" s="33" t="s">
        <v>159</v>
      </c>
      <c r="K741" s="33" t="s">
        <v>145</v>
      </c>
      <c r="L741" s="35" t="n">
        <v>3187.18</v>
      </c>
      <c r="M741" s="33" t="n">
        <v>3</v>
      </c>
      <c r="N741" s="33" t="s">
        <v>146</v>
      </c>
      <c r="O741" s="33" t="s">
        <v>147</v>
      </c>
    </row>
    <row r="742" customFormat="false" ht="15" hidden="false" customHeight="false" outlineLevel="0" collapsed="false">
      <c r="A742" s="33" t="s">
        <v>956</v>
      </c>
      <c r="B742" s="34" t="n">
        <v>45635</v>
      </c>
      <c r="C742" s="34" t="n">
        <v>45638</v>
      </c>
      <c r="D742" s="33" t="n">
        <v>59</v>
      </c>
      <c r="E742" s="33" t="s">
        <v>154</v>
      </c>
      <c r="F742" s="33" t="s">
        <v>181</v>
      </c>
      <c r="G742" s="33" t="s">
        <v>237</v>
      </c>
      <c r="H742" s="33" t="s">
        <v>245</v>
      </c>
      <c r="I742" s="33" t="s">
        <v>143</v>
      </c>
      <c r="J742" s="33" t="s">
        <v>159</v>
      </c>
      <c r="K742" s="33" t="s">
        <v>160</v>
      </c>
      <c r="L742" s="35" t="n">
        <v>6890.16</v>
      </c>
      <c r="M742" s="33" t="n">
        <v>4</v>
      </c>
      <c r="N742" s="33" t="s">
        <v>146</v>
      </c>
      <c r="O742" s="33" t="s">
        <v>206</v>
      </c>
    </row>
    <row r="743" customFormat="false" ht="15" hidden="false" customHeight="false" outlineLevel="0" collapsed="false">
      <c r="A743" s="33" t="s">
        <v>957</v>
      </c>
      <c r="B743" s="34" t="n">
        <v>45378</v>
      </c>
      <c r="C743" s="34" t="n">
        <v>45380</v>
      </c>
      <c r="D743" s="33" t="n">
        <v>61</v>
      </c>
      <c r="E743" s="33" t="s">
        <v>139</v>
      </c>
      <c r="F743" s="33" t="s">
        <v>203</v>
      </c>
      <c r="G743" s="33" t="s">
        <v>217</v>
      </c>
      <c r="H743" s="33" t="s">
        <v>233</v>
      </c>
      <c r="I743" s="33" t="s">
        <v>143</v>
      </c>
      <c r="J743" s="33" t="s">
        <v>159</v>
      </c>
      <c r="K743" s="33" t="s">
        <v>160</v>
      </c>
      <c r="L743" s="35" t="n">
        <v>1962.04</v>
      </c>
      <c r="M743" s="33" t="n">
        <v>3</v>
      </c>
      <c r="N743" s="33" t="s">
        <v>146</v>
      </c>
      <c r="O743" s="33" t="s">
        <v>147</v>
      </c>
    </row>
    <row r="744" customFormat="false" ht="15" hidden="false" customHeight="false" outlineLevel="0" collapsed="false">
      <c r="A744" s="33" t="s">
        <v>958</v>
      </c>
      <c r="B744" s="34" t="n">
        <v>45382</v>
      </c>
      <c r="C744" s="34" t="n">
        <v>45383</v>
      </c>
      <c r="D744" s="33" t="n">
        <v>69</v>
      </c>
      <c r="E744" s="33" t="s">
        <v>154</v>
      </c>
      <c r="F744" s="33" t="s">
        <v>203</v>
      </c>
      <c r="G744" s="33" t="s">
        <v>232</v>
      </c>
      <c r="H744" s="33" t="s">
        <v>233</v>
      </c>
      <c r="I744" s="33" t="s">
        <v>143</v>
      </c>
      <c r="J744" s="33" t="s">
        <v>159</v>
      </c>
      <c r="K744" s="33" t="s">
        <v>145</v>
      </c>
      <c r="L744" s="35" t="n">
        <v>731.69</v>
      </c>
      <c r="M744" s="33" t="n">
        <v>3</v>
      </c>
      <c r="N744" s="33" t="s">
        <v>146</v>
      </c>
      <c r="O744" s="33" t="s">
        <v>147</v>
      </c>
    </row>
    <row r="745" customFormat="false" ht="15" hidden="false" customHeight="false" outlineLevel="0" collapsed="false">
      <c r="A745" s="33" t="s">
        <v>959</v>
      </c>
      <c r="B745" s="34" t="n">
        <v>45488</v>
      </c>
      <c r="C745" s="34" t="n">
        <v>45495</v>
      </c>
      <c r="D745" s="33" t="n">
        <v>85</v>
      </c>
      <c r="E745" s="33" t="s">
        <v>154</v>
      </c>
      <c r="F745" s="33" t="s">
        <v>173</v>
      </c>
      <c r="G745" s="33" t="s">
        <v>198</v>
      </c>
      <c r="H745" s="33" t="s">
        <v>175</v>
      </c>
      <c r="I745" s="33" t="s">
        <v>143</v>
      </c>
      <c r="J745" s="33" t="s">
        <v>144</v>
      </c>
      <c r="K745" s="33" t="s">
        <v>145</v>
      </c>
      <c r="L745" s="35" t="n">
        <v>26084.2</v>
      </c>
      <c r="M745" s="33" t="n">
        <v>5</v>
      </c>
      <c r="N745" s="33" t="s">
        <v>146</v>
      </c>
      <c r="O745" s="33" t="s">
        <v>147</v>
      </c>
    </row>
    <row r="746" customFormat="false" ht="15" hidden="false" customHeight="false" outlineLevel="0" collapsed="false">
      <c r="A746" s="33" t="s">
        <v>960</v>
      </c>
      <c r="B746" s="34" t="n">
        <v>45511</v>
      </c>
      <c r="C746" s="34" t="n">
        <v>45513</v>
      </c>
      <c r="D746" s="33" t="n">
        <v>95</v>
      </c>
      <c r="E746" s="33" t="s">
        <v>216</v>
      </c>
      <c r="F746" s="33" t="s">
        <v>226</v>
      </c>
      <c r="G746" s="33" t="s">
        <v>386</v>
      </c>
      <c r="H746" s="33" t="s">
        <v>263</v>
      </c>
      <c r="I746" s="33" t="s">
        <v>143</v>
      </c>
      <c r="J746" s="33" t="s">
        <v>159</v>
      </c>
      <c r="K746" s="33" t="s">
        <v>160</v>
      </c>
      <c r="L746" s="35" t="n">
        <v>4809.45</v>
      </c>
      <c r="M746" s="33" t="n">
        <v>5</v>
      </c>
      <c r="N746" s="33" t="s">
        <v>146</v>
      </c>
      <c r="O746" s="33" t="s">
        <v>147</v>
      </c>
    </row>
    <row r="747" customFormat="false" ht="15" hidden="false" customHeight="false" outlineLevel="0" collapsed="false">
      <c r="A747" s="33" t="s">
        <v>961</v>
      </c>
      <c r="B747" s="34" t="n">
        <v>45460</v>
      </c>
      <c r="C747" s="34" t="n">
        <v>45462</v>
      </c>
      <c r="D747" s="33" t="n">
        <v>38</v>
      </c>
      <c r="E747" s="33" t="s">
        <v>139</v>
      </c>
      <c r="F747" s="33" t="s">
        <v>203</v>
      </c>
      <c r="G747" s="33" t="s">
        <v>241</v>
      </c>
      <c r="H747" s="33" t="s">
        <v>205</v>
      </c>
      <c r="I747" s="33" t="s">
        <v>143</v>
      </c>
      <c r="J747" s="33" t="s">
        <v>159</v>
      </c>
      <c r="K747" s="33" t="s">
        <v>184</v>
      </c>
      <c r="L747" s="35" t="n">
        <v>1732.18</v>
      </c>
      <c r="M747" s="33" t="n">
        <v>4</v>
      </c>
      <c r="N747" s="33" t="s">
        <v>146</v>
      </c>
      <c r="O747" s="33" t="s">
        <v>247</v>
      </c>
    </row>
    <row r="748" customFormat="false" ht="15" hidden="false" customHeight="false" outlineLevel="0" collapsed="false">
      <c r="A748" s="33" t="s">
        <v>962</v>
      </c>
      <c r="B748" s="34" t="n">
        <v>45567</v>
      </c>
      <c r="C748" s="34" t="n">
        <v>45575</v>
      </c>
      <c r="D748" s="33" t="n">
        <v>13</v>
      </c>
      <c r="E748" s="33" t="s">
        <v>154</v>
      </c>
      <c r="F748" s="33" t="s">
        <v>140</v>
      </c>
      <c r="G748" s="33" t="s">
        <v>167</v>
      </c>
      <c r="H748" s="33" t="s">
        <v>142</v>
      </c>
      <c r="I748" s="33" t="s">
        <v>152</v>
      </c>
      <c r="J748" s="33" t="s">
        <v>159</v>
      </c>
      <c r="K748" s="33" t="s">
        <v>209</v>
      </c>
      <c r="L748" s="35" t="n">
        <v>14102.65</v>
      </c>
      <c r="M748" s="33" t="n">
        <v>3</v>
      </c>
      <c r="N748" s="33" t="s">
        <v>146</v>
      </c>
      <c r="O748" s="33" t="s">
        <v>147</v>
      </c>
    </row>
    <row r="749" customFormat="false" ht="15" hidden="false" customHeight="false" outlineLevel="0" collapsed="false">
      <c r="A749" s="33" t="s">
        <v>963</v>
      </c>
      <c r="B749" s="34" t="n">
        <v>45483</v>
      </c>
      <c r="C749" s="34" t="n">
        <v>45487</v>
      </c>
      <c r="D749" s="33" t="n">
        <v>9</v>
      </c>
      <c r="E749" s="33" t="s">
        <v>154</v>
      </c>
      <c r="F749" s="33" t="s">
        <v>173</v>
      </c>
      <c r="G749" s="33" t="s">
        <v>174</v>
      </c>
      <c r="H749" s="33" t="s">
        <v>175</v>
      </c>
      <c r="I749" s="33" t="s">
        <v>143</v>
      </c>
      <c r="J749" s="33" t="s">
        <v>144</v>
      </c>
      <c r="K749" s="33" t="s">
        <v>184</v>
      </c>
      <c r="L749" s="35" t="n">
        <v>18669.01</v>
      </c>
      <c r="M749" s="33" t="n">
        <v>4</v>
      </c>
      <c r="N749" s="33" t="s">
        <v>146</v>
      </c>
      <c r="O749" s="33" t="s">
        <v>147</v>
      </c>
    </row>
    <row r="750" customFormat="false" ht="15" hidden="false" customHeight="false" outlineLevel="0" collapsed="false">
      <c r="A750" s="33" t="s">
        <v>964</v>
      </c>
      <c r="B750" s="34" t="n">
        <v>45356</v>
      </c>
      <c r="C750" s="34" t="n">
        <v>45357</v>
      </c>
      <c r="D750" s="33" t="n">
        <v>4</v>
      </c>
      <c r="E750" s="33" t="s">
        <v>139</v>
      </c>
      <c r="F750" s="33" t="s">
        <v>203</v>
      </c>
      <c r="G750" s="33" t="s">
        <v>241</v>
      </c>
      <c r="H750" s="33" t="s">
        <v>193</v>
      </c>
      <c r="I750" s="33" t="s">
        <v>143</v>
      </c>
      <c r="J750" s="33" t="s">
        <v>159</v>
      </c>
      <c r="K750" s="33" t="s">
        <v>145</v>
      </c>
      <c r="L750" s="35" t="n">
        <v>897.45</v>
      </c>
      <c r="M750" s="33" t="n">
        <v>4</v>
      </c>
      <c r="N750" s="33" t="s">
        <v>146</v>
      </c>
      <c r="O750" s="33" t="s">
        <v>147</v>
      </c>
    </row>
    <row r="751" customFormat="false" ht="15" hidden="false" customHeight="false" outlineLevel="0" collapsed="false">
      <c r="A751" s="33" t="s">
        <v>965</v>
      </c>
      <c r="B751" s="34" t="n">
        <v>45428</v>
      </c>
      <c r="C751" s="34" t="n">
        <v>45430</v>
      </c>
      <c r="D751" s="33" t="n">
        <v>56</v>
      </c>
      <c r="E751" s="33" t="s">
        <v>154</v>
      </c>
      <c r="F751" s="33" t="s">
        <v>140</v>
      </c>
      <c r="G751" s="33" t="s">
        <v>167</v>
      </c>
      <c r="H751" s="33" t="s">
        <v>142</v>
      </c>
      <c r="I751" s="33" t="s">
        <v>143</v>
      </c>
      <c r="J751" s="33" t="s">
        <v>159</v>
      </c>
      <c r="K751" s="33" t="s">
        <v>145</v>
      </c>
      <c r="L751" s="35" t="n">
        <v>3965.87</v>
      </c>
      <c r="M751" s="33" t="n">
        <v>3</v>
      </c>
      <c r="N751" s="33" t="s">
        <v>146</v>
      </c>
      <c r="O751" s="33" t="s">
        <v>147</v>
      </c>
    </row>
    <row r="752" customFormat="false" ht="15" hidden="false" customHeight="false" outlineLevel="0" collapsed="false">
      <c r="A752" s="33" t="s">
        <v>966</v>
      </c>
      <c r="B752" s="34" t="n">
        <v>45349</v>
      </c>
      <c r="C752" s="34" t="n">
        <v>45350</v>
      </c>
      <c r="D752" s="33" t="n">
        <v>32</v>
      </c>
      <c r="E752" s="33" t="s">
        <v>139</v>
      </c>
      <c r="F752" s="33" t="s">
        <v>149</v>
      </c>
      <c r="G752" s="33" t="s">
        <v>243</v>
      </c>
      <c r="H752" s="33" t="s">
        <v>151</v>
      </c>
      <c r="I752" s="33" t="s">
        <v>143</v>
      </c>
      <c r="J752" s="33" t="s">
        <v>159</v>
      </c>
      <c r="K752" s="33" t="s">
        <v>160</v>
      </c>
      <c r="L752" s="35" t="n">
        <v>1473.45</v>
      </c>
      <c r="M752" s="33" t="n">
        <v>4</v>
      </c>
      <c r="N752" s="33" t="s">
        <v>146</v>
      </c>
      <c r="O752" s="33" t="s">
        <v>147</v>
      </c>
    </row>
    <row r="753" customFormat="false" ht="15" hidden="false" customHeight="false" outlineLevel="0" collapsed="false">
      <c r="A753" s="33" t="s">
        <v>967</v>
      </c>
      <c r="B753" s="34" t="n">
        <v>45651</v>
      </c>
      <c r="C753" s="34" t="n">
        <v>45652</v>
      </c>
      <c r="D753" s="33" t="n">
        <v>42</v>
      </c>
      <c r="E753" s="33" t="s">
        <v>154</v>
      </c>
      <c r="F753" s="33" t="s">
        <v>173</v>
      </c>
      <c r="G753" s="33" t="s">
        <v>178</v>
      </c>
      <c r="H753" s="33" t="s">
        <v>175</v>
      </c>
      <c r="I753" s="33" t="s">
        <v>143</v>
      </c>
      <c r="J753" s="33" t="s">
        <v>159</v>
      </c>
      <c r="K753" s="33" t="s">
        <v>145</v>
      </c>
      <c r="L753" s="35" t="n">
        <v>2602.66</v>
      </c>
      <c r="M753" s="33" t="n">
        <v>4</v>
      </c>
      <c r="N753" s="33" t="s">
        <v>146</v>
      </c>
      <c r="O753" s="33" t="s">
        <v>147</v>
      </c>
    </row>
    <row r="754" customFormat="false" ht="15" hidden="false" customHeight="false" outlineLevel="0" collapsed="false">
      <c r="A754" s="33" t="s">
        <v>968</v>
      </c>
      <c r="B754" s="34" t="n">
        <v>45555</v>
      </c>
      <c r="C754" s="34" t="n">
        <v>45558</v>
      </c>
      <c r="D754" s="33" t="n">
        <v>43</v>
      </c>
      <c r="E754" s="33" t="s">
        <v>139</v>
      </c>
      <c r="F754" s="33" t="s">
        <v>181</v>
      </c>
      <c r="G754" s="33" t="s">
        <v>182</v>
      </c>
      <c r="H754" s="33" t="s">
        <v>245</v>
      </c>
      <c r="I754" s="33" t="s">
        <v>158</v>
      </c>
      <c r="J754" s="33" t="s">
        <v>159</v>
      </c>
      <c r="K754" s="33" t="s">
        <v>209</v>
      </c>
      <c r="L754" s="35" t="n">
        <v>9093.2</v>
      </c>
      <c r="M754" s="33" t="n">
        <v>5</v>
      </c>
      <c r="N754" s="33" t="s">
        <v>146</v>
      </c>
      <c r="O754" s="33" t="s">
        <v>206</v>
      </c>
    </row>
    <row r="755" customFormat="false" ht="15" hidden="false" customHeight="false" outlineLevel="0" collapsed="false">
      <c r="A755" s="33" t="s">
        <v>969</v>
      </c>
      <c r="B755" s="34" t="n">
        <v>45617</v>
      </c>
      <c r="C755" s="34" t="n">
        <v>45620</v>
      </c>
      <c r="D755" s="33" t="n">
        <v>19</v>
      </c>
      <c r="E755" s="33" t="s">
        <v>139</v>
      </c>
      <c r="F755" s="33" t="s">
        <v>149</v>
      </c>
      <c r="G755" s="33" t="s">
        <v>243</v>
      </c>
      <c r="H755" s="33" t="s">
        <v>186</v>
      </c>
      <c r="I755" s="33" t="s">
        <v>152</v>
      </c>
      <c r="J755" s="33" t="s">
        <v>176</v>
      </c>
      <c r="K755" s="33" t="s">
        <v>209</v>
      </c>
      <c r="L755" s="35" t="n">
        <v>15204.19</v>
      </c>
      <c r="M755" s="33" t="n">
        <v>4</v>
      </c>
      <c r="N755" s="33" t="s">
        <v>146</v>
      </c>
      <c r="O755" s="33" t="s">
        <v>147</v>
      </c>
    </row>
    <row r="756" customFormat="false" ht="15" hidden="false" customHeight="false" outlineLevel="0" collapsed="false">
      <c r="A756" s="33" t="s">
        <v>970</v>
      </c>
      <c r="B756" s="34" t="n">
        <v>45581</v>
      </c>
      <c r="C756" s="34" t="n">
        <v>45582</v>
      </c>
      <c r="D756" s="36"/>
      <c r="E756" s="33" t="s">
        <v>279</v>
      </c>
      <c r="F756" s="33" t="s">
        <v>203</v>
      </c>
      <c r="G756" s="33" t="s">
        <v>241</v>
      </c>
      <c r="H756" s="33" t="s">
        <v>193</v>
      </c>
      <c r="I756" s="33" t="s">
        <v>158</v>
      </c>
      <c r="J756" s="33" t="s">
        <v>144</v>
      </c>
      <c r="K756" s="33" t="s">
        <v>145</v>
      </c>
      <c r="L756" s="37" t="n">
        <v>-500</v>
      </c>
      <c r="M756" s="33" t="n">
        <v>4</v>
      </c>
      <c r="N756" s="33" t="s">
        <v>146</v>
      </c>
      <c r="O756" s="33" t="s">
        <v>147</v>
      </c>
    </row>
    <row r="757" customFormat="false" ht="15" hidden="false" customHeight="false" outlineLevel="0" collapsed="false">
      <c r="A757" s="33" t="s">
        <v>971</v>
      </c>
      <c r="B757" s="34" t="n">
        <v>45333</v>
      </c>
      <c r="C757" s="34" t="n">
        <v>45335</v>
      </c>
      <c r="D757" s="33" t="n">
        <v>26</v>
      </c>
      <c r="E757" s="33" t="s">
        <v>139</v>
      </c>
      <c r="F757" s="33" t="s">
        <v>334</v>
      </c>
      <c r="G757" s="33" t="s">
        <v>241</v>
      </c>
      <c r="H757" s="33" t="s">
        <v>233</v>
      </c>
      <c r="I757" s="33" t="s">
        <v>143</v>
      </c>
      <c r="J757" s="33" t="s">
        <v>159</v>
      </c>
      <c r="K757" s="33" t="s">
        <v>145</v>
      </c>
      <c r="L757" s="35" t="n">
        <v>1722.24</v>
      </c>
      <c r="M757" s="33" t="n">
        <v>2</v>
      </c>
      <c r="N757" s="33" t="s">
        <v>146</v>
      </c>
      <c r="O757" s="33" t="s">
        <v>147</v>
      </c>
    </row>
    <row r="758" customFormat="false" ht="15" hidden="false" customHeight="false" outlineLevel="0" collapsed="false">
      <c r="A758" s="33" t="s">
        <v>972</v>
      </c>
      <c r="B758" s="34" t="n">
        <v>45329</v>
      </c>
      <c r="C758" s="34" t="n">
        <v>45330</v>
      </c>
      <c r="D758" s="33" t="n">
        <v>35</v>
      </c>
      <c r="E758" s="33" t="s">
        <v>139</v>
      </c>
      <c r="F758" s="33" t="s">
        <v>149</v>
      </c>
      <c r="G758" s="33" t="s">
        <v>150</v>
      </c>
      <c r="H758" s="36"/>
      <c r="I758" s="33" t="s">
        <v>143</v>
      </c>
      <c r="J758" s="33" t="s">
        <v>159</v>
      </c>
      <c r="K758" s="33" t="s">
        <v>145</v>
      </c>
      <c r="L758" s="35" t="n">
        <v>1271.27</v>
      </c>
      <c r="M758" s="36"/>
      <c r="N758" s="33" t="s">
        <v>210</v>
      </c>
      <c r="O758" s="33" t="s">
        <v>147</v>
      </c>
    </row>
    <row r="759" customFormat="false" ht="15" hidden="false" customHeight="false" outlineLevel="0" collapsed="false">
      <c r="A759" s="33" t="s">
        <v>973</v>
      </c>
      <c r="B759" s="34" t="n">
        <v>45336</v>
      </c>
      <c r="C759" s="34" t="n">
        <v>45354</v>
      </c>
      <c r="D759" s="33" t="n">
        <v>55</v>
      </c>
      <c r="E759" s="33" t="s">
        <v>139</v>
      </c>
      <c r="F759" s="33" t="s">
        <v>162</v>
      </c>
      <c r="G759" s="33" t="s">
        <v>213</v>
      </c>
      <c r="H759" s="33" t="s">
        <v>195</v>
      </c>
      <c r="I759" s="33" t="s">
        <v>158</v>
      </c>
      <c r="J759" s="33" t="s">
        <v>159</v>
      </c>
      <c r="K759" s="33" t="s">
        <v>184</v>
      </c>
      <c r="L759" s="35" t="n">
        <v>21941.63</v>
      </c>
      <c r="M759" s="33" t="n">
        <v>4</v>
      </c>
      <c r="N759" s="33" t="s">
        <v>146</v>
      </c>
      <c r="O759" s="33" t="s">
        <v>147</v>
      </c>
    </row>
    <row r="760" customFormat="false" ht="15" hidden="false" customHeight="false" outlineLevel="0" collapsed="false">
      <c r="A760" s="33" t="s">
        <v>974</v>
      </c>
      <c r="B760" s="34" t="n">
        <v>45619</v>
      </c>
      <c r="C760" s="34" t="n">
        <v>45622</v>
      </c>
      <c r="D760" s="33" t="n">
        <v>88</v>
      </c>
      <c r="E760" s="33" t="s">
        <v>180</v>
      </c>
      <c r="F760" s="33" t="s">
        <v>226</v>
      </c>
      <c r="G760" s="33" t="s">
        <v>258</v>
      </c>
      <c r="H760" s="33" t="s">
        <v>263</v>
      </c>
      <c r="I760" s="33" t="s">
        <v>158</v>
      </c>
      <c r="J760" s="33" t="s">
        <v>159</v>
      </c>
      <c r="K760" s="33" t="s">
        <v>184</v>
      </c>
      <c r="L760" s="35" t="n">
        <v>11059.31</v>
      </c>
      <c r="M760" s="33" t="n">
        <v>4</v>
      </c>
      <c r="N760" s="33" t="s">
        <v>146</v>
      </c>
      <c r="O760" s="33" t="s">
        <v>147</v>
      </c>
    </row>
    <row r="761" customFormat="false" ht="15" hidden="false" customHeight="false" outlineLevel="0" collapsed="false">
      <c r="A761" s="33" t="s">
        <v>975</v>
      </c>
      <c r="B761" s="34" t="n">
        <v>45408</v>
      </c>
      <c r="C761" s="34" t="n">
        <v>45414</v>
      </c>
      <c r="D761" s="33" t="n">
        <v>60</v>
      </c>
      <c r="E761" s="33" t="s">
        <v>139</v>
      </c>
      <c r="F761" s="33" t="s">
        <v>226</v>
      </c>
      <c r="G761" s="33" t="s">
        <v>386</v>
      </c>
      <c r="H761" s="33" t="s">
        <v>263</v>
      </c>
      <c r="I761" s="33" t="s">
        <v>158</v>
      </c>
      <c r="J761" s="33" t="s">
        <v>176</v>
      </c>
      <c r="K761" s="33" t="s">
        <v>209</v>
      </c>
      <c r="L761" s="35" t="n">
        <v>64435.54</v>
      </c>
      <c r="M761" s="33" t="n">
        <v>5</v>
      </c>
      <c r="N761" s="33" t="s">
        <v>146</v>
      </c>
      <c r="O761" s="33" t="s">
        <v>147</v>
      </c>
    </row>
    <row r="762" customFormat="false" ht="15" hidden="false" customHeight="false" outlineLevel="0" collapsed="false">
      <c r="A762" s="33" t="s">
        <v>976</v>
      </c>
      <c r="B762" s="34" t="n">
        <v>45643</v>
      </c>
      <c r="C762" s="34" t="n">
        <v>45646</v>
      </c>
      <c r="D762" s="33" t="n">
        <v>31</v>
      </c>
      <c r="E762" s="33" t="s">
        <v>139</v>
      </c>
      <c r="F762" s="33" t="s">
        <v>191</v>
      </c>
      <c r="G762" s="33" t="s">
        <v>192</v>
      </c>
      <c r="H762" s="33" t="s">
        <v>233</v>
      </c>
      <c r="I762" s="33" t="s">
        <v>143</v>
      </c>
      <c r="J762" s="33" t="s">
        <v>159</v>
      </c>
      <c r="K762" s="33" t="s">
        <v>160</v>
      </c>
      <c r="L762" s="35" t="n">
        <v>2223.8</v>
      </c>
      <c r="M762" s="33" t="n">
        <v>4</v>
      </c>
      <c r="N762" s="33" t="s">
        <v>146</v>
      </c>
      <c r="O762" s="33" t="s">
        <v>147</v>
      </c>
    </row>
    <row r="763" customFormat="false" ht="15" hidden="false" customHeight="false" outlineLevel="0" collapsed="false">
      <c r="A763" s="33" t="s">
        <v>977</v>
      </c>
      <c r="B763" s="34" t="n">
        <v>45333</v>
      </c>
      <c r="C763" s="34" t="n">
        <v>45334</v>
      </c>
      <c r="D763" s="33" t="n">
        <v>53</v>
      </c>
      <c r="E763" s="33" t="s">
        <v>139</v>
      </c>
      <c r="F763" s="33" t="s">
        <v>169</v>
      </c>
      <c r="G763" s="33" t="s">
        <v>230</v>
      </c>
      <c r="H763" s="33" t="s">
        <v>171</v>
      </c>
      <c r="I763" s="33" t="s">
        <v>143</v>
      </c>
      <c r="J763" s="33" t="s">
        <v>159</v>
      </c>
      <c r="K763" s="33" t="s">
        <v>184</v>
      </c>
      <c r="L763" s="35" t="n">
        <v>988.44</v>
      </c>
      <c r="M763" s="33" t="n">
        <v>5</v>
      </c>
      <c r="N763" s="33" t="s">
        <v>146</v>
      </c>
      <c r="O763" s="33" t="s">
        <v>147</v>
      </c>
    </row>
    <row r="764" customFormat="false" ht="15" hidden="false" customHeight="false" outlineLevel="0" collapsed="false">
      <c r="A764" s="33" t="s">
        <v>978</v>
      </c>
      <c r="B764" s="34" t="n">
        <v>45541</v>
      </c>
      <c r="C764" s="34" t="n">
        <v>45546</v>
      </c>
      <c r="D764" s="33" t="n">
        <v>62</v>
      </c>
      <c r="E764" s="33" t="s">
        <v>154</v>
      </c>
      <c r="F764" s="33" t="s">
        <v>212</v>
      </c>
      <c r="G764" s="33" t="s">
        <v>170</v>
      </c>
      <c r="H764" s="33" t="s">
        <v>164</v>
      </c>
      <c r="I764" s="33" t="s">
        <v>152</v>
      </c>
      <c r="J764" s="33" t="s">
        <v>159</v>
      </c>
      <c r="K764" s="33" t="s">
        <v>145</v>
      </c>
      <c r="L764" s="35" t="n">
        <v>6099.54</v>
      </c>
      <c r="M764" s="33" t="n">
        <v>2</v>
      </c>
      <c r="N764" s="33" t="s">
        <v>146</v>
      </c>
      <c r="O764" s="33" t="s">
        <v>147</v>
      </c>
    </row>
    <row r="765" customFormat="false" ht="15" hidden="false" customHeight="false" outlineLevel="0" collapsed="false">
      <c r="A765" s="33" t="s">
        <v>979</v>
      </c>
      <c r="B765" s="34" t="n">
        <v>45315</v>
      </c>
      <c r="C765" s="34" t="n">
        <v>45316</v>
      </c>
      <c r="D765" s="33" t="n">
        <v>66</v>
      </c>
      <c r="E765" s="33" t="s">
        <v>257</v>
      </c>
      <c r="F765" s="33" t="s">
        <v>140</v>
      </c>
      <c r="G765" s="33" t="s">
        <v>167</v>
      </c>
      <c r="H765" s="33" t="s">
        <v>142</v>
      </c>
      <c r="I765" s="33" t="s">
        <v>143</v>
      </c>
      <c r="J765" s="33" t="s">
        <v>159</v>
      </c>
      <c r="K765" s="33" t="s">
        <v>145</v>
      </c>
      <c r="L765" s="35" t="n">
        <v>1733.35</v>
      </c>
      <c r="M765" s="33" t="n">
        <v>5</v>
      </c>
      <c r="N765" s="33" t="s">
        <v>146</v>
      </c>
      <c r="O765" s="33" t="s">
        <v>147</v>
      </c>
    </row>
    <row r="766" customFormat="false" ht="15" hidden="false" customHeight="false" outlineLevel="0" collapsed="false">
      <c r="A766" s="33" t="s">
        <v>980</v>
      </c>
      <c r="B766" s="34" t="n">
        <v>45443</v>
      </c>
      <c r="C766" s="34" t="n">
        <v>45448</v>
      </c>
      <c r="D766" s="33" t="n">
        <v>11</v>
      </c>
      <c r="E766" s="33" t="s">
        <v>139</v>
      </c>
      <c r="F766" s="33" t="s">
        <v>288</v>
      </c>
      <c r="G766" s="33" t="s">
        <v>302</v>
      </c>
      <c r="H766" s="33" t="s">
        <v>222</v>
      </c>
      <c r="I766" s="33" t="s">
        <v>152</v>
      </c>
      <c r="J766" s="33" t="s">
        <v>159</v>
      </c>
      <c r="K766" s="33" t="s">
        <v>160</v>
      </c>
      <c r="L766" s="35" t="n">
        <v>4019.04</v>
      </c>
      <c r="M766" s="36"/>
      <c r="N766" s="33" t="s">
        <v>146</v>
      </c>
      <c r="O766" s="33" t="s">
        <v>147</v>
      </c>
    </row>
    <row r="767" customFormat="false" ht="15" hidden="false" customHeight="false" outlineLevel="0" collapsed="false">
      <c r="A767" s="33" t="s">
        <v>981</v>
      </c>
      <c r="B767" s="34" t="n">
        <v>45611</v>
      </c>
      <c r="C767" s="34" t="n">
        <v>45617</v>
      </c>
      <c r="D767" s="33" t="n">
        <v>4</v>
      </c>
      <c r="E767" s="33" t="s">
        <v>154</v>
      </c>
      <c r="F767" s="33" t="s">
        <v>169</v>
      </c>
      <c r="G767" s="33" t="s">
        <v>170</v>
      </c>
      <c r="H767" s="33" t="s">
        <v>164</v>
      </c>
      <c r="I767" s="33" t="s">
        <v>143</v>
      </c>
      <c r="J767" s="33" t="s">
        <v>159</v>
      </c>
      <c r="K767" s="33" t="s">
        <v>209</v>
      </c>
      <c r="L767" s="35" t="n">
        <v>5862.82</v>
      </c>
      <c r="M767" s="33" t="n">
        <v>5</v>
      </c>
      <c r="N767" s="33" t="s">
        <v>146</v>
      </c>
      <c r="O767" s="33" t="s">
        <v>147</v>
      </c>
    </row>
    <row r="768" customFormat="false" ht="15" hidden="false" customHeight="false" outlineLevel="0" collapsed="false">
      <c r="A768" s="33" t="s">
        <v>982</v>
      </c>
      <c r="B768" s="34" t="n">
        <v>45451</v>
      </c>
      <c r="C768" s="34" t="n">
        <v>45452</v>
      </c>
      <c r="D768" s="33" t="n">
        <v>64</v>
      </c>
      <c r="E768" s="33" t="s">
        <v>154</v>
      </c>
      <c r="F768" s="33" t="s">
        <v>203</v>
      </c>
      <c r="G768" s="33" t="s">
        <v>241</v>
      </c>
      <c r="H768" s="33" t="s">
        <v>233</v>
      </c>
      <c r="I768" s="33" t="s">
        <v>143</v>
      </c>
      <c r="J768" s="33" t="s">
        <v>159</v>
      </c>
      <c r="K768" s="33" t="s">
        <v>145</v>
      </c>
      <c r="L768" s="35" t="n">
        <v>693.12</v>
      </c>
      <c r="M768" s="33" t="n">
        <v>2</v>
      </c>
      <c r="N768" s="33" t="s">
        <v>146</v>
      </c>
      <c r="O768" s="33" t="s">
        <v>147</v>
      </c>
    </row>
    <row r="769" customFormat="false" ht="15" hidden="false" customHeight="false" outlineLevel="0" collapsed="false">
      <c r="A769" s="33" t="s">
        <v>983</v>
      </c>
      <c r="B769" s="34" t="n">
        <v>45600</v>
      </c>
      <c r="C769" s="34" t="n">
        <v>45605</v>
      </c>
      <c r="D769" s="33" t="n">
        <v>52</v>
      </c>
      <c r="E769" s="33" t="s">
        <v>154</v>
      </c>
      <c r="F769" s="33" t="s">
        <v>181</v>
      </c>
      <c r="G769" s="33" t="s">
        <v>188</v>
      </c>
      <c r="H769" s="33" t="s">
        <v>183</v>
      </c>
      <c r="I769" s="33" t="s">
        <v>158</v>
      </c>
      <c r="J769" s="33" t="s">
        <v>159</v>
      </c>
      <c r="K769" s="33" t="s">
        <v>145</v>
      </c>
      <c r="L769" s="35" t="n">
        <v>12486.43</v>
      </c>
      <c r="M769" s="36"/>
      <c r="N769" s="33" t="s">
        <v>146</v>
      </c>
      <c r="O769" s="33" t="s">
        <v>147</v>
      </c>
    </row>
    <row r="770" customFormat="false" ht="15" hidden="false" customHeight="false" outlineLevel="0" collapsed="false">
      <c r="A770" s="33" t="s">
        <v>984</v>
      </c>
      <c r="B770" s="34" t="n">
        <v>45486</v>
      </c>
      <c r="C770" s="34" t="n">
        <v>45487</v>
      </c>
      <c r="D770" s="33" t="n">
        <v>76</v>
      </c>
      <c r="E770" s="33" t="s">
        <v>139</v>
      </c>
      <c r="F770" s="33" t="s">
        <v>203</v>
      </c>
      <c r="G770" s="33" t="s">
        <v>192</v>
      </c>
      <c r="H770" s="33" t="s">
        <v>193</v>
      </c>
      <c r="I770" s="33" t="s">
        <v>158</v>
      </c>
      <c r="J770" s="33" t="s">
        <v>159</v>
      </c>
      <c r="K770" s="33" t="s">
        <v>184</v>
      </c>
      <c r="L770" s="35" t="n">
        <v>990.78</v>
      </c>
      <c r="M770" s="33" t="n">
        <v>3</v>
      </c>
      <c r="N770" s="33" t="s">
        <v>146</v>
      </c>
      <c r="O770" s="33" t="s">
        <v>147</v>
      </c>
    </row>
    <row r="771" customFormat="false" ht="15" hidden="false" customHeight="false" outlineLevel="0" collapsed="false">
      <c r="A771" s="33" t="s">
        <v>985</v>
      </c>
      <c r="B771" s="34" t="n">
        <v>45631</v>
      </c>
      <c r="C771" s="34" t="n">
        <v>45637</v>
      </c>
      <c r="D771" s="33" t="n">
        <v>58</v>
      </c>
      <c r="E771" s="33" t="s">
        <v>180</v>
      </c>
      <c r="F771" s="33" t="s">
        <v>181</v>
      </c>
      <c r="G771" s="33" t="s">
        <v>182</v>
      </c>
      <c r="H771" s="33" t="s">
        <v>245</v>
      </c>
      <c r="I771" s="33" t="s">
        <v>158</v>
      </c>
      <c r="J771" s="33" t="s">
        <v>159</v>
      </c>
      <c r="K771" s="33" t="s">
        <v>160</v>
      </c>
      <c r="L771" s="35" t="n">
        <v>15030.25</v>
      </c>
      <c r="M771" s="33" t="n">
        <v>4</v>
      </c>
      <c r="N771" s="33" t="s">
        <v>146</v>
      </c>
      <c r="O771" s="33" t="s">
        <v>147</v>
      </c>
    </row>
    <row r="772" customFormat="false" ht="15" hidden="false" customHeight="false" outlineLevel="0" collapsed="false">
      <c r="A772" s="33" t="s">
        <v>986</v>
      </c>
      <c r="B772" s="34" t="n">
        <v>45607</v>
      </c>
      <c r="C772" s="34" t="n">
        <v>45611</v>
      </c>
      <c r="D772" s="33" t="n">
        <v>58</v>
      </c>
      <c r="E772" s="33" t="s">
        <v>154</v>
      </c>
      <c r="F772" s="33" t="s">
        <v>191</v>
      </c>
      <c r="G772" s="33" t="s">
        <v>232</v>
      </c>
      <c r="H772" s="33" t="s">
        <v>233</v>
      </c>
      <c r="I772" s="33" t="s">
        <v>143</v>
      </c>
      <c r="J772" s="33" t="s">
        <v>159</v>
      </c>
      <c r="K772" s="33" t="s">
        <v>145</v>
      </c>
      <c r="L772" s="35" t="n">
        <v>3224.44</v>
      </c>
      <c r="M772" s="33" t="n">
        <v>4</v>
      </c>
      <c r="N772" s="33" t="s">
        <v>146</v>
      </c>
      <c r="O772" s="33" t="s">
        <v>147</v>
      </c>
    </row>
    <row r="773" customFormat="false" ht="15" hidden="false" customHeight="false" outlineLevel="0" collapsed="false">
      <c r="A773" s="33" t="s">
        <v>987</v>
      </c>
      <c r="B773" s="34" t="n">
        <v>45427</v>
      </c>
      <c r="C773" s="34" t="n">
        <v>45430</v>
      </c>
      <c r="D773" s="33" t="n">
        <v>86</v>
      </c>
      <c r="E773" s="33" t="s">
        <v>154</v>
      </c>
      <c r="F773" s="33" t="s">
        <v>181</v>
      </c>
      <c r="G773" s="33" t="s">
        <v>237</v>
      </c>
      <c r="H773" s="33" t="s">
        <v>183</v>
      </c>
      <c r="I773" s="33" t="s">
        <v>152</v>
      </c>
      <c r="J773" s="33" t="s">
        <v>159</v>
      </c>
      <c r="K773" s="33" t="s">
        <v>145</v>
      </c>
      <c r="L773" s="35" t="n">
        <v>7353.51</v>
      </c>
      <c r="M773" s="33" t="n">
        <v>4</v>
      </c>
      <c r="N773" s="33" t="s">
        <v>146</v>
      </c>
      <c r="O773" s="33" t="s">
        <v>147</v>
      </c>
    </row>
    <row r="774" customFormat="false" ht="15" hidden="false" customHeight="false" outlineLevel="0" collapsed="false">
      <c r="A774" s="33" t="s">
        <v>988</v>
      </c>
      <c r="B774" s="34" t="n">
        <v>45416</v>
      </c>
      <c r="C774" s="34" t="n">
        <v>45418</v>
      </c>
      <c r="D774" s="33" t="n">
        <v>18</v>
      </c>
      <c r="E774" s="33" t="s">
        <v>139</v>
      </c>
      <c r="F774" s="33" t="s">
        <v>203</v>
      </c>
      <c r="G774" s="33" t="s">
        <v>204</v>
      </c>
      <c r="H774" s="33" t="s">
        <v>233</v>
      </c>
      <c r="I774" s="33" t="s">
        <v>143</v>
      </c>
      <c r="J774" s="33" t="s">
        <v>159</v>
      </c>
      <c r="K774" s="33" t="s">
        <v>145</v>
      </c>
      <c r="L774" s="35" t="n">
        <v>1449.66</v>
      </c>
      <c r="M774" s="33" t="n">
        <v>4</v>
      </c>
      <c r="N774" s="33" t="s">
        <v>146</v>
      </c>
      <c r="O774" s="33" t="s">
        <v>295</v>
      </c>
    </row>
    <row r="775" customFormat="false" ht="15" hidden="false" customHeight="false" outlineLevel="0" collapsed="false">
      <c r="A775" s="33" t="s">
        <v>989</v>
      </c>
      <c r="B775" s="34" t="n">
        <v>45297</v>
      </c>
      <c r="C775" s="34" t="n">
        <v>45300</v>
      </c>
      <c r="D775" s="33" t="n">
        <v>55</v>
      </c>
      <c r="E775" s="33" t="s">
        <v>216</v>
      </c>
      <c r="F775" s="33" t="s">
        <v>203</v>
      </c>
      <c r="G775" s="33" t="s">
        <v>241</v>
      </c>
      <c r="H775" s="33" t="s">
        <v>233</v>
      </c>
      <c r="I775" s="33" t="s">
        <v>143</v>
      </c>
      <c r="J775" s="33" t="s">
        <v>159</v>
      </c>
      <c r="K775" s="33" t="s">
        <v>145</v>
      </c>
      <c r="L775" s="35" t="n">
        <v>2307.47</v>
      </c>
      <c r="M775" s="33" t="n">
        <v>3</v>
      </c>
      <c r="N775" s="33" t="s">
        <v>146</v>
      </c>
      <c r="O775" s="33" t="s">
        <v>147</v>
      </c>
    </row>
    <row r="776" customFormat="false" ht="15" hidden="false" customHeight="false" outlineLevel="0" collapsed="false">
      <c r="A776" s="33" t="s">
        <v>990</v>
      </c>
      <c r="B776" s="34" t="n">
        <v>45293</v>
      </c>
      <c r="C776" s="34" t="n">
        <v>45305</v>
      </c>
      <c r="D776" s="33" t="n">
        <v>43</v>
      </c>
      <c r="E776" s="33" t="s">
        <v>154</v>
      </c>
      <c r="F776" s="33" t="s">
        <v>226</v>
      </c>
      <c r="G776" s="33" t="s">
        <v>258</v>
      </c>
      <c r="H776" s="33" t="s">
        <v>263</v>
      </c>
      <c r="I776" s="33" t="s">
        <v>158</v>
      </c>
      <c r="J776" s="33" t="s">
        <v>176</v>
      </c>
      <c r="K776" s="33" t="s">
        <v>160</v>
      </c>
      <c r="L776" s="35" t="n">
        <v>136069.86</v>
      </c>
      <c r="M776" s="33" t="n">
        <v>4</v>
      </c>
      <c r="N776" s="33" t="s">
        <v>146</v>
      </c>
      <c r="O776" s="33" t="s">
        <v>147</v>
      </c>
    </row>
    <row r="777" customFormat="false" ht="15" hidden="false" customHeight="false" outlineLevel="0" collapsed="false">
      <c r="A777" s="33" t="s">
        <v>991</v>
      </c>
      <c r="B777" s="34" t="n">
        <v>45408</v>
      </c>
      <c r="C777" s="34" t="n">
        <v>45411</v>
      </c>
      <c r="D777" s="33" t="n">
        <v>24</v>
      </c>
      <c r="E777" s="33" t="s">
        <v>154</v>
      </c>
      <c r="F777" s="33" t="s">
        <v>140</v>
      </c>
      <c r="G777" s="33" t="s">
        <v>316</v>
      </c>
      <c r="H777" s="33" t="s">
        <v>142</v>
      </c>
      <c r="I777" s="33" t="s">
        <v>152</v>
      </c>
      <c r="J777" s="33" t="s">
        <v>159</v>
      </c>
      <c r="K777" s="36"/>
      <c r="L777" s="35" t="n">
        <v>6312.62</v>
      </c>
      <c r="M777" s="33" t="n">
        <v>3</v>
      </c>
      <c r="N777" s="33" t="s">
        <v>146</v>
      </c>
      <c r="O777" s="33" t="s">
        <v>147</v>
      </c>
    </row>
    <row r="778" customFormat="false" ht="15" hidden="false" customHeight="false" outlineLevel="0" collapsed="false">
      <c r="A778" s="33" t="s">
        <v>992</v>
      </c>
      <c r="B778" s="34" t="n">
        <v>45445</v>
      </c>
      <c r="C778" s="34" t="n">
        <v>45449</v>
      </c>
      <c r="D778" s="33" t="n">
        <v>47</v>
      </c>
      <c r="E778" s="33" t="s">
        <v>154</v>
      </c>
      <c r="F778" s="33" t="s">
        <v>140</v>
      </c>
      <c r="G778" s="33" t="s">
        <v>316</v>
      </c>
      <c r="H778" s="33" t="s">
        <v>142</v>
      </c>
      <c r="I778" s="33" t="s">
        <v>143</v>
      </c>
      <c r="J778" s="33" t="s">
        <v>144</v>
      </c>
      <c r="K778" s="33" t="s">
        <v>145</v>
      </c>
      <c r="L778" s="35" t="n">
        <v>14998.05</v>
      </c>
      <c r="M778" s="33" t="n">
        <v>4</v>
      </c>
      <c r="N778" s="33" t="s">
        <v>146</v>
      </c>
      <c r="O778" s="33" t="s">
        <v>147</v>
      </c>
    </row>
    <row r="779" customFormat="false" ht="15" hidden="false" customHeight="false" outlineLevel="0" collapsed="false">
      <c r="A779" s="33" t="s">
        <v>993</v>
      </c>
      <c r="B779" s="34" t="n">
        <v>45502</v>
      </c>
      <c r="C779" s="34" t="n">
        <v>45505</v>
      </c>
      <c r="D779" s="33" t="n">
        <v>54</v>
      </c>
      <c r="E779" s="33" t="s">
        <v>154</v>
      </c>
      <c r="F779" s="33" t="s">
        <v>173</v>
      </c>
      <c r="G779" s="33" t="s">
        <v>178</v>
      </c>
      <c r="H779" s="33" t="s">
        <v>175</v>
      </c>
      <c r="I779" s="33" t="s">
        <v>143</v>
      </c>
      <c r="J779" s="33" t="s">
        <v>144</v>
      </c>
      <c r="K779" s="33" t="s">
        <v>145</v>
      </c>
      <c r="L779" s="35" t="n">
        <v>14240.15</v>
      </c>
      <c r="M779" s="33" t="n">
        <v>4</v>
      </c>
      <c r="N779" s="33" t="s">
        <v>210</v>
      </c>
      <c r="O779" s="33" t="s">
        <v>147</v>
      </c>
    </row>
    <row r="780" customFormat="false" ht="15" hidden="false" customHeight="false" outlineLevel="0" collapsed="false">
      <c r="A780" s="33" t="s">
        <v>994</v>
      </c>
      <c r="B780" s="34" t="n">
        <v>45648</v>
      </c>
      <c r="C780" s="34" t="n">
        <v>45649</v>
      </c>
      <c r="D780" s="33" t="n">
        <v>7</v>
      </c>
      <c r="E780" s="33" t="s">
        <v>139</v>
      </c>
      <c r="F780" s="33" t="s">
        <v>155</v>
      </c>
      <c r="G780" s="33" t="s">
        <v>220</v>
      </c>
      <c r="H780" s="33" t="s">
        <v>222</v>
      </c>
      <c r="I780" s="33" t="s">
        <v>152</v>
      </c>
      <c r="J780" s="33" t="s">
        <v>159</v>
      </c>
      <c r="K780" s="33" t="s">
        <v>160</v>
      </c>
      <c r="L780" s="35" t="n">
        <v>682.95</v>
      </c>
      <c r="M780" s="33" t="n">
        <v>5</v>
      </c>
      <c r="N780" s="33" t="s">
        <v>146</v>
      </c>
      <c r="O780" s="33" t="s">
        <v>147</v>
      </c>
    </row>
    <row r="781" customFormat="false" ht="15" hidden="false" customHeight="false" outlineLevel="0" collapsed="false">
      <c r="A781" s="33" t="s">
        <v>995</v>
      </c>
      <c r="B781" s="34" t="n">
        <v>45516</v>
      </c>
      <c r="C781" s="34" t="n">
        <v>45517</v>
      </c>
      <c r="D781" s="33" t="n">
        <v>33</v>
      </c>
      <c r="E781" s="33" t="s">
        <v>139</v>
      </c>
      <c r="F781" s="33" t="s">
        <v>203</v>
      </c>
      <c r="G781" s="33" t="s">
        <v>241</v>
      </c>
      <c r="H781" s="33" t="s">
        <v>193</v>
      </c>
      <c r="I781" s="33" t="s">
        <v>143</v>
      </c>
      <c r="J781" s="33" t="s">
        <v>159</v>
      </c>
      <c r="K781" s="33" t="s">
        <v>145</v>
      </c>
      <c r="L781" s="35" t="n">
        <v>956.73</v>
      </c>
      <c r="M781" s="33" t="n">
        <v>4</v>
      </c>
      <c r="N781" s="33" t="s">
        <v>146</v>
      </c>
      <c r="O781" s="33" t="s">
        <v>147</v>
      </c>
    </row>
    <row r="782" customFormat="false" ht="15" hidden="false" customHeight="false" outlineLevel="0" collapsed="false">
      <c r="A782" s="33" t="s">
        <v>996</v>
      </c>
      <c r="B782" s="34" t="n">
        <v>45408</v>
      </c>
      <c r="C782" s="34" t="n">
        <v>45409</v>
      </c>
      <c r="D782" s="33" t="n">
        <v>10</v>
      </c>
      <c r="E782" s="33" t="s">
        <v>154</v>
      </c>
      <c r="F782" s="33" t="s">
        <v>203</v>
      </c>
      <c r="G782" s="33" t="s">
        <v>232</v>
      </c>
      <c r="H782" s="36"/>
      <c r="I782" s="33" t="s">
        <v>152</v>
      </c>
      <c r="J782" s="33" t="s">
        <v>144</v>
      </c>
      <c r="K782" s="33" t="s">
        <v>145</v>
      </c>
      <c r="L782" s="35" t="n">
        <v>1653.26</v>
      </c>
      <c r="M782" s="33" t="n">
        <v>3</v>
      </c>
      <c r="N782" s="33" t="s">
        <v>146</v>
      </c>
      <c r="O782" s="33" t="s">
        <v>147</v>
      </c>
    </row>
    <row r="783" customFormat="false" ht="15" hidden="false" customHeight="false" outlineLevel="0" collapsed="false">
      <c r="A783" s="33" t="s">
        <v>997</v>
      </c>
      <c r="B783" s="34" t="n">
        <v>45392</v>
      </c>
      <c r="C783" s="34" t="n">
        <v>45398</v>
      </c>
      <c r="D783" s="33" t="n">
        <v>95</v>
      </c>
      <c r="E783" s="33" t="s">
        <v>154</v>
      </c>
      <c r="F783" s="33" t="s">
        <v>181</v>
      </c>
      <c r="G783" s="33" t="s">
        <v>182</v>
      </c>
      <c r="H783" s="33" t="s">
        <v>183</v>
      </c>
      <c r="I783" s="33" t="s">
        <v>143</v>
      </c>
      <c r="J783" s="33" t="s">
        <v>176</v>
      </c>
      <c r="K783" s="33" t="s">
        <v>209</v>
      </c>
      <c r="L783" s="35" t="n">
        <v>52135.62</v>
      </c>
      <c r="M783" s="36"/>
      <c r="N783" s="33" t="s">
        <v>146</v>
      </c>
      <c r="O783" s="33" t="s">
        <v>147</v>
      </c>
    </row>
    <row r="784" customFormat="false" ht="15" hidden="false" customHeight="false" outlineLevel="0" collapsed="false">
      <c r="A784" s="33" t="s">
        <v>998</v>
      </c>
      <c r="B784" s="34" t="n">
        <v>45362</v>
      </c>
      <c r="C784" s="34" t="n">
        <v>45367</v>
      </c>
      <c r="D784" s="33" t="n">
        <v>14</v>
      </c>
      <c r="E784" s="33" t="s">
        <v>154</v>
      </c>
      <c r="F784" s="33" t="s">
        <v>376</v>
      </c>
      <c r="G784" s="33" t="s">
        <v>156</v>
      </c>
      <c r="H784" s="33" t="s">
        <v>157</v>
      </c>
      <c r="I784" s="33" t="s">
        <v>152</v>
      </c>
      <c r="J784" s="33" t="s">
        <v>159</v>
      </c>
      <c r="K784" s="33" t="s">
        <v>160</v>
      </c>
      <c r="L784" s="35" t="n">
        <v>4263.58</v>
      </c>
      <c r="M784" s="33" t="n">
        <v>5</v>
      </c>
      <c r="N784" s="33" t="s">
        <v>146</v>
      </c>
      <c r="O784" s="33" t="s">
        <v>147</v>
      </c>
    </row>
    <row r="785" customFormat="false" ht="15" hidden="false" customHeight="false" outlineLevel="0" collapsed="false">
      <c r="A785" s="33" t="s">
        <v>999</v>
      </c>
      <c r="B785" s="34" t="n">
        <v>45654</v>
      </c>
      <c r="C785" s="34" t="n">
        <v>45659</v>
      </c>
      <c r="D785" s="33" t="n">
        <v>24</v>
      </c>
      <c r="E785" s="33" t="s">
        <v>154</v>
      </c>
      <c r="F785" s="33" t="s">
        <v>162</v>
      </c>
      <c r="G785" s="33" t="s">
        <v>170</v>
      </c>
      <c r="H785" s="33" t="s">
        <v>171</v>
      </c>
      <c r="I785" s="33" t="s">
        <v>152</v>
      </c>
      <c r="J785" s="33" t="s">
        <v>159</v>
      </c>
      <c r="K785" s="33" t="s">
        <v>160</v>
      </c>
      <c r="L785" s="35" t="n">
        <v>4830.71</v>
      </c>
      <c r="M785" s="33" t="n">
        <v>4</v>
      </c>
      <c r="N785" s="33" t="s">
        <v>146</v>
      </c>
      <c r="O785" s="33" t="s">
        <v>147</v>
      </c>
    </row>
    <row r="786" customFormat="false" ht="15" hidden="false" customHeight="false" outlineLevel="0" collapsed="false">
      <c r="A786" s="33" t="s">
        <v>1000</v>
      </c>
      <c r="B786" s="34" t="n">
        <v>45409</v>
      </c>
      <c r="C786" s="34" t="n">
        <v>45410</v>
      </c>
      <c r="D786" s="33" t="n">
        <v>96</v>
      </c>
      <c r="E786" s="33" t="s">
        <v>139</v>
      </c>
      <c r="F786" s="33" t="s">
        <v>191</v>
      </c>
      <c r="G786" s="33" t="s">
        <v>232</v>
      </c>
      <c r="H786" s="33" t="s">
        <v>193</v>
      </c>
      <c r="I786" s="33" t="s">
        <v>143</v>
      </c>
      <c r="J786" s="33" t="s">
        <v>159</v>
      </c>
      <c r="K786" s="33" t="s">
        <v>184</v>
      </c>
      <c r="L786" s="35" t="n">
        <v>990.25</v>
      </c>
      <c r="M786" s="33" t="n">
        <v>5</v>
      </c>
      <c r="N786" s="33" t="s">
        <v>146</v>
      </c>
      <c r="O786" s="33" t="s">
        <v>147</v>
      </c>
    </row>
    <row r="787" customFormat="false" ht="15" hidden="false" customHeight="false" outlineLevel="0" collapsed="false">
      <c r="A787" s="33" t="s">
        <v>1001</v>
      </c>
      <c r="B787" s="34" t="n">
        <v>45567</v>
      </c>
      <c r="C787" s="34" t="n">
        <v>45573</v>
      </c>
      <c r="D787" s="33" t="n">
        <v>67</v>
      </c>
      <c r="E787" s="33" t="s">
        <v>139</v>
      </c>
      <c r="F787" s="33" t="s">
        <v>169</v>
      </c>
      <c r="G787" s="33" t="s">
        <v>213</v>
      </c>
      <c r="H787" s="33" t="s">
        <v>164</v>
      </c>
      <c r="I787" s="33" t="s">
        <v>143</v>
      </c>
      <c r="J787" s="33" t="s">
        <v>159</v>
      </c>
      <c r="K787" s="33" t="s">
        <v>184</v>
      </c>
      <c r="L787" s="35" t="n">
        <v>7393.75</v>
      </c>
      <c r="M787" s="33" t="n">
        <v>4</v>
      </c>
      <c r="N787" s="33" t="s">
        <v>146</v>
      </c>
      <c r="O787" s="33" t="s">
        <v>247</v>
      </c>
    </row>
    <row r="788" customFormat="false" ht="15" hidden="false" customHeight="false" outlineLevel="0" collapsed="false">
      <c r="A788" s="33" t="s">
        <v>1002</v>
      </c>
      <c r="B788" s="34" t="n">
        <v>45653</v>
      </c>
      <c r="C788" s="34" t="n">
        <v>45655</v>
      </c>
      <c r="D788" s="33" t="n">
        <v>6</v>
      </c>
      <c r="E788" s="33" t="s">
        <v>180</v>
      </c>
      <c r="F788" s="33" t="s">
        <v>155</v>
      </c>
      <c r="G788" s="33" t="s">
        <v>302</v>
      </c>
      <c r="H788" s="33" t="s">
        <v>222</v>
      </c>
      <c r="I788" s="33" t="s">
        <v>143</v>
      </c>
      <c r="J788" s="33" t="s">
        <v>159</v>
      </c>
      <c r="K788" s="33" t="s">
        <v>145</v>
      </c>
      <c r="L788" s="35" t="n">
        <v>1570.93</v>
      </c>
      <c r="M788" s="33" t="n">
        <v>5</v>
      </c>
      <c r="N788" s="33" t="s">
        <v>146</v>
      </c>
      <c r="O788" s="33" t="s">
        <v>147</v>
      </c>
    </row>
    <row r="789" customFormat="false" ht="15" hidden="false" customHeight="false" outlineLevel="0" collapsed="false">
      <c r="A789" s="33" t="s">
        <v>1003</v>
      </c>
      <c r="B789" s="34" t="n">
        <v>45366</v>
      </c>
      <c r="C789" s="34" t="n">
        <v>45369</v>
      </c>
      <c r="D789" s="33" t="n">
        <v>31</v>
      </c>
      <c r="E789" s="33" t="s">
        <v>154</v>
      </c>
      <c r="F789" s="33" t="s">
        <v>169</v>
      </c>
      <c r="G789" s="33" t="s">
        <v>213</v>
      </c>
      <c r="H789" s="33" t="s">
        <v>164</v>
      </c>
      <c r="I789" s="33" t="s">
        <v>152</v>
      </c>
      <c r="J789" s="33" t="s">
        <v>159</v>
      </c>
      <c r="K789" s="33" t="s">
        <v>145</v>
      </c>
      <c r="L789" s="35" t="n">
        <v>2920.48</v>
      </c>
      <c r="M789" s="33" t="n">
        <v>3</v>
      </c>
      <c r="N789" s="33" t="s">
        <v>146</v>
      </c>
      <c r="O789" s="33" t="s">
        <v>147</v>
      </c>
    </row>
    <row r="790" customFormat="false" ht="15" hidden="false" customHeight="false" outlineLevel="0" collapsed="false">
      <c r="A790" s="33" t="s">
        <v>1004</v>
      </c>
      <c r="B790" s="34" t="n">
        <v>45411</v>
      </c>
      <c r="C790" s="34" t="n">
        <v>45419</v>
      </c>
      <c r="D790" s="33" t="n">
        <v>45</v>
      </c>
      <c r="E790" s="33" t="s">
        <v>154</v>
      </c>
      <c r="F790" s="33" t="s">
        <v>226</v>
      </c>
      <c r="G790" s="33" t="s">
        <v>386</v>
      </c>
      <c r="H790" s="33" t="s">
        <v>263</v>
      </c>
      <c r="I790" s="33" t="s">
        <v>143</v>
      </c>
      <c r="J790" s="33" t="s">
        <v>144</v>
      </c>
      <c r="K790" s="33" t="s">
        <v>145</v>
      </c>
      <c r="L790" s="35" t="n">
        <v>43701.22</v>
      </c>
      <c r="M790" s="33" t="n">
        <v>4</v>
      </c>
      <c r="N790" s="33" t="s">
        <v>146</v>
      </c>
      <c r="O790" s="33" t="s">
        <v>147</v>
      </c>
    </row>
    <row r="791" customFormat="false" ht="15" hidden="false" customHeight="false" outlineLevel="0" collapsed="false">
      <c r="A791" s="33" t="s">
        <v>1005</v>
      </c>
      <c r="B791" s="34" t="n">
        <v>45631</v>
      </c>
      <c r="C791" s="34" t="n">
        <v>45639</v>
      </c>
      <c r="D791" s="33" t="n">
        <v>32</v>
      </c>
      <c r="E791" s="33" t="s">
        <v>180</v>
      </c>
      <c r="F791" s="33" t="s">
        <v>173</v>
      </c>
      <c r="G791" s="33" t="s">
        <v>178</v>
      </c>
      <c r="H791" s="33" t="s">
        <v>199</v>
      </c>
      <c r="I791" s="33" t="s">
        <v>143</v>
      </c>
      <c r="J791" s="33" t="s">
        <v>176</v>
      </c>
      <c r="K791" s="33" t="s">
        <v>145</v>
      </c>
      <c r="L791" s="35" t="n">
        <v>66980.59</v>
      </c>
      <c r="M791" s="33" t="n">
        <v>5</v>
      </c>
      <c r="N791" s="33" t="s">
        <v>146</v>
      </c>
      <c r="O791" s="33" t="s">
        <v>147</v>
      </c>
    </row>
    <row r="792" customFormat="false" ht="15" hidden="false" customHeight="false" outlineLevel="0" collapsed="false">
      <c r="A792" s="33" t="s">
        <v>1006</v>
      </c>
      <c r="B792" s="34" t="n">
        <v>45592</v>
      </c>
      <c r="C792" s="34" t="n">
        <v>45593</v>
      </c>
      <c r="D792" s="33" t="n">
        <v>13</v>
      </c>
      <c r="E792" s="33" t="s">
        <v>139</v>
      </c>
      <c r="F792" s="33" t="s">
        <v>191</v>
      </c>
      <c r="G792" s="33" t="s">
        <v>232</v>
      </c>
      <c r="H792" s="33" t="s">
        <v>193</v>
      </c>
      <c r="I792" s="33" t="s">
        <v>143</v>
      </c>
      <c r="J792" s="33" t="s">
        <v>144</v>
      </c>
      <c r="K792" s="33" t="s">
        <v>160</v>
      </c>
      <c r="L792" s="35" t="n">
        <v>1444.91</v>
      </c>
      <c r="M792" s="36"/>
      <c r="N792" s="33" t="s">
        <v>146</v>
      </c>
      <c r="O792" s="33" t="s">
        <v>147</v>
      </c>
    </row>
    <row r="793" customFormat="false" ht="15" hidden="false" customHeight="false" outlineLevel="0" collapsed="false">
      <c r="A793" s="33" t="s">
        <v>1007</v>
      </c>
      <c r="B793" s="34" t="n">
        <v>45295</v>
      </c>
      <c r="C793" s="34" t="n">
        <v>45297</v>
      </c>
      <c r="D793" s="33" t="n">
        <v>11</v>
      </c>
      <c r="E793" s="33" t="s">
        <v>139</v>
      </c>
      <c r="F793" s="33" t="s">
        <v>169</v>
      </c>
      <c r="G793" s="33" t="s">
        <v>163</v>
      </c>
      <c r="H793" s="33" t="s">
        <v>164</v>
      </c>
      <c r="I793" s="33" t="s">
        <v>143</v>
      </c>
      <c r="J793" s="33" t="s">
        <v>159</v>
      </c>
      <c r="K793" s="33" t="s">
        <v>184</v>
      </c>
      <c r="L793" s="35" t="n">
        <v>2125.19</v>
      </c>
      <c r="M793" s="33" t="n">
        <v>3</v>
      </c>
      <c r="N793" s="33" t="s">
        <v>146</v>
      </c>
      <c r="O793" s="33" t="s">
        <v>147</v>
      </c>
    </row>
    <row r="794" customFormat="false" ht="15" hidden="false" customHeight="false" outlineLevel="0" collapsed="false">
      <c r="A794" s="33" t="s">
        <v>1008</v>
      </c>
      <c r="B794" s="34" t="n">
        <v>45315</v>
      </c>
      <c r="C794" s="34" t="n">
        <v>45323</v>
      </c>
      <c r="D794" s="33" t="n">
        <v>46</v>
      </c>
      <c r="E794" s="33" t="s">
        <v>257</v>
      </c>
      <c r="F794" s="33" t="s">
        <v>181</v>
      </c>
      <c r="G794" s="33" t="s">
        <v>237</v>
      </c>
      <c r="H794" s="33" t="s">
        <v>183</v>
      </c>
      <c r="I794" s="33" t="s">
        <v>152</v>
      </c>
      <c r="J794" s="33" t="s">
        <v>176</v>
      </c>
      <c r="K794" s="33" t="s">
        <v>209</v>
      </c>
      <c r="L794" s="35" t="n">
        <v>68332.76</v>
      </c>
      <c r="M794" s="33" t="n">
        <v>4</v>
      </c>
      <c r="N794" s="33" t="s">
        <v>210</v>
      </c>
      <c r="O794" s="33" t="s">
        <v>147</v>
      </c>
    </row>
    <row r="795" customFormat="false" ht="15" hidden="false" customHeight="false" outlineLevel="0" collapsed="false">
      <c r="A795" s="33" t="s">
        <v>1009</v>
      </c>
      <c r="B795" s="34" t="n">
        <v>45571</v>
      </c>
      <c r="C795" s="34" t="n">
        <v>45580</v>
      </c>
      <c r="D795" s="33" t="n">
        <v>79</v>
      </c>
      <c r="E795" s="33" t="s">
        <v>154</v>
      </c>
      <c r="F795" s="33" t="s">
        <v>140</v>
      </c>
      <c r="G795" s="33" t="s">
        <v>141</v>
      </c>
      <c r="H795" s="33" t="s">
        <v>142</v>
      </c>
      <c r="I795" s="33" t="s">
        <v>143</v>
      </c>
      <c r="J795" s="33" t="s">
        <v>159</v>
      </c>
      <c r="K795" s="33" t="s">
        <v>145</v>
      </c>
      <c r="L795" s="35" t="n">
        <v>19907.88</v>
      </c>
      <c r="M795" s="36"/>
      <c r="N795" s="33" t="s">
        <v>146</v>
      </c>
      <c r="O795" s="33" t="s">
        <v>147</v>
      </c>
    </row>
    <row r="796" customFormat="false" ht="15" hidden="false" customHeight="false" outlineLevel="0" collapsed="false">
      <c r="A796" s="33" t="s">
        <v>1010</v>
      </c>
      <c r="B796" s="34" t="n">
        <v>45584</v>
      </c>
      <c r="C796" s="34" t="n">
        <v>45585</v>
      </c>
      <c r="D796" s="33" t="n">
        <v>58</v>
      </c>
      <c r="E796" s="33" t="s">
        <v>139</v>
      </c>
      <c r="F796" s="33" t="s">
        <v>226</v>
      </c>
      <c r="G796" s="33" t="s">
        <v>386</v>
      </c>
      <c r="H796" s="33" t="s">
        <v>263</v>
      </c>
      <c r="I796" s="33" t="s">
        <v>152</v>
      </c>
      <c r="J796" s="33" t="s">
        <v>176</v>
      </c>
      <c r="K796" s="33" t="s">
        <v>145</v>
      </c>
      <c r="L796" s="35" t="n">
        <v>10023.93</v>
      </c>
      <c r="M796" s="33" t="n">
        <v>4</v>
      </c>
      <c r="N796" s="33" t="s">
        <v>146</v>
      </c>
      <c r="O796" s="33" t="s">
        <v>147</v>
      </c>
    </row>
    <row r="797" customFormat="false" ht="15" hidden="false" customHeight="false" outlineLevel="0" collapsed="false">
      <c r="A797" s="33" t="s">
        <v>1011</v>
      </c>
      <c r="B797" s="34" t="n">
        <v>45594</v>
      </c>
      <c r="C797" s="34" t="n">
        <v>45600</v>
      </c>
      <c r="D797" s="33" t="n">
        <v>54</v>
      </c>
      <c r="E797" s="33" t="s">
        <v>190</v>
      </c>
      <c r="F797" s="33" t="s">
        <v>162</v>
      </c>
      <c r="G797" s="33" t="s">
        <v>230</v>
      </c>
      <c r="H797" s="33" t="s">
        <v>171</v>
      </c>
      <c r="I797" s="33" t="s">
        <v>152</v>
      </c>
      <c r="J797" s="33" t="s">
        <v>159</v>
      </c>
      <c r="K797" s="33" t="s">
        <v>184</v>
      </c>
      <c r="L797" s="35" t="n">
        <v>6766.07</v>
      </c>
      <c r="M797" s="33" t="n">
        <v>5</v>
      </c>
      <c r="N797" s="33" t="s">
        <v>146</v>
      </c>
      <c r="O797" s="33" t="s">
        <v>147</v>
      </c>
    </row>
    <row r="798" customFormat="false" ht="15" hidden="false" customHeight="false" outlineLevel="0" collapsed="false">
      <c r="A798" s="33" t="s">
        <v>1012</v>
      </c>
      <c r="B798" s="34" t="n">
        <v>45574</v>
      </c>
      <c r="C798" s="34" t="n">
        <v>45578</v>
      </c>
      <c r="D798" s="33" t="n">
        <v>38</v>
      </c>
      <c r="E798" s="33" t="s">
        <v>139</v>
      </c>
      <c r="F798" s="33" t="s">
        <v>162</v>
      </c>
      <c r="G798" s="33" t="s">
        <v>230</v>
      </c>
      <c r="H798" s="33" t="s">
        <v>171</v>
      </c>
      <c r="I798" s="33" t="s">
        <v>152</v>
      </c>
      <c r="J798" s="33" t="s">
        <v>159</v>
      </c>
      <c r="K798" s="33" t="s">
        <v>145</v>
      </c>
      <c r="L798" s="35" t="n">
        <v>4612.3</v>
      </c>
      <c r="M798" s="33" t="n">
        <v>5</v>
      </c>
      <c r="N798" s="33" t="s">
        <v>146</v>
      </c>
      <c r="O798" s="33" t="s">
        <v>147</v>
      </c>
    </row>
    <row r="799" customFormat="false" ht="15" hidden="false" customHeight="false" outlineLevel="0" collapsed="false">
      <c r="A799" s="33" t="s">
        <v>1013</v>
      </c>
      <c r="B799" s="34" t="n">
        <v>45477</v>
      </c>
      <c r="C799" s="34" t="n">
        <v>45486</v>
      </c>
      <c r="D799" s="33" t="n">
        <v>89</v>
      </c>
      <c r="E799" s="33" t="s">
        <v>139</v>
      </c>
      <c r="F799" s="33" t="s">
        <v>140</v>
      </c>
      <c r="G799" s="33" t="s">
        <v>141</v>
      </c>
      <c r="H799" s="33" t="s">
        <v>142</v>
      </c>
      <c r="I799" s="33" t="s">
        <v>143</v>
      </c>
      <c r="J799" s="33" t="s">
        <v>159</v>
      </c>
      <c r="K799" s="33" t="s">
        <v>145</v>
      </c>
      <c r="L799" s="35" t="n">
        <v>15857.4</v>
      </c>
      <c r="M799" s="33" t="n">
        <v>3</v>
      </c>
      <c r="N799" s="33" t="s">
        <v>146</v>
      </c>
      <c r="O799" s="33" t="s">
        <v>147</v>
      </c>
    </row>
    <row r="800" customFormat="false" ht="15" hidden="false" customHeight="false" outlineLevel="0" collapsed="false">
      <c r="A800" s="33" t="s">
        <v>1014</v>
      </c>
      <c r="B800" s="34" t="n">
        <v>45480</v>
      </c>
      <c r="C800" s="34" t="n">
        <v>45484</v>
      </c>
      <c r="D800" s="33" t="n">
        <v>14</v>
      </c>
      <c r="E800" s="33" t="s">
        <v>139</v>
      </c>
      <c r="F800" s="33" t="s">
        <v>173</v>
      </c>
      <c r="G800" s="33" t="s">
        <v>198</v>
      </c>
      <c r="H800" s="33" t="s">
        <v>199</v>
      </c>
      <c r="I800" s="33" t="s">
        <v>143</v>
      </c>
      <c r="J800" s="33" t="s">
        <v>159</v>
      </c>
      <c r="K800" s="36"/>
      <c r="L800" s="35" t="n">
        <v>10466.85</v>
      </c>
      <c r="M800" s="33" t="n">
        <v>4</v>
      </c>
      <c r="N800" s="33" t="s">
        <v>146</v>
      </c>
      <c r="O800" s="33" t="s">
        <v>247</v>
      </c>
    </row>
    <row r="801" customFormat="false" ht="15" hidden="false" customHeight="false" outlineLevel="0" collapsed="false">
      <c r="A801" s="33" t="s">
        <v>1015</v>
      </c>
      <c r="B801" s="34" t="n">
        <v>45319</v>
      </c>
      <c r="C801" s="34" t="n">
        <v>45328</v>
      </c>
      <c r="D801" s="33" t="n">
        <v>63</v>
      </c>
      <c r="E801" s="33" t="s">
        <v>139</v>
      </c>
      <c r="F801" s="33" t="s">
        <v>181</v>
      </c>
      <c r="G801" s="33" t="s">
        <v>237</v>
      </c>
      <c r="H801" s="33" t="s">
        <v>183</v>
      </c>
      <c r="I801" s="33" t="s">
        <v>152</v>
      </c>
      <c r="J801" s="33" t="s">
        <v>159</v>
      </c>
      <c r="K801" s="33" t="s">
        <v>145</v>
      </c>
      <c r="L801" s="35" t="n">
        <v>16011.59</v>
      </c>
      <c r="M801" s="33" t="n">
        <v>4</v>
      </c>
      <c r="N801" s="33" t="s">
        <v>146</v>
      </c>
      <c r="O801" s="33" t="s">
        <v>147</v>
      </c>
    </row>
    <row r="802" customFormat="false" ht="15" hidden="false" customHeight="false" outlineLevel="0" collapsed="false">
      <c r="A802" s="33" t="s">
        <v>1016</v>
      </c>
      <c r="B802" s="34" t="n">
        <v>45389</v>
      </c>
      <c r="C802" s="34" t="n">
        <v>45395</v>
      </c>
      <c r="D802" s="33" t="n">
        <v>60</v>
      </c>
      <c r="E802" s="33" t="s">
        <v>154</v>
      </c>
      <c r="F802" s="33" t="s">
        <v>173</v>
      </c>
      <c r="G802" s="33" t="s">
        <v>198</v>
      </c>
      <c r="H802" s="33" t="s">
        <v>199</v>
      </c>
      <c r="I802" s="33" t="s">
        <v>152</v>
      </c>
      <c r="J802" s="33" t="s">
        <v>159</v>
      </c>
      <c r="K802" s="33" t="s">
        <v>184</v>
      </c>
      <c r="L802" s="35" t="n">
        <v>17266.16</v>
      </c>
      <c r="M802" s="33" t="n">
        <v>4</v>
      </c>
      <c r="N802" s="33" t="s">
        <v>146</v>
      </c>
      <c r="O802" s="33" t="s">
        <v>147</v>
      </c>
    </row>
    <row r="803" customFormat="false" ht="15" hidden="false" customHeight="false" outlineLevel="0" collapsed="false">
      <c r="A803" s="33" t="s">
        <v>1017</v>
      </c>
      <c r="B803" s="34" t="n">
        <v>45497</v>
      </c>
      <c r="C803" s="34" t="n">
        <v>45500</v>
      </c>
      <c r="D803" s="33" t="n">
        <v>10</v>
      </c>
      <c r="E803" s="33" t="s">
        <v>139</v>
      </c>
      <c r="F803" s="33" t="s">
        <v>155</v>
      </c>
      <c r="G803" s="33" t="s">
        <v>220</v>
      </c>
      <c r="H803" s="33" t="s">
        <v>157</v>
      </c>
      <c r="I803" s="33" t="s">
        <v>152</v>
      </c>
      <c r="J803" s="33" t="s">
        <v>159</v>
      </c>
      <c r="K803" s="33" t="s">
        <v>184</v>
      </c>
      <c r="L803" s="35" t="n">
        <v>2849.32</v>
      </c>
      <c r="M803" s="33" t="n">
        <v>4</v>
      </c>
      <c r="N803" s="33" t="s">
        <v>146</v>
      </c>
      <c r="O803" s="33" t="s">
        <v>147</v>
      </c>
    </row>
    <row r="804" customFormat="false" ht="15" hidden="false" customHeight="false" outlineLevel="0" collapsed="false">
      <c r="A804" s="33" t="s">
        <v>1018</v>
      </c>
      <c r="B804" s="34" t="n">
        <v>45577</v>
      </c>
      <c r="C804" s="34" t="n">
        <v>45579</v>
      </c>
      <c r="D804" s="33" t="n">
        <v>28</v>
      </c>
      <c r="E804" s="33" t="s">
        <v>139</v>
      </c>
      <c r="F804" s="33" t="s">
        <v>203</v>
      </c>
      <c r="G804" s="33" t="s">
        <v>241</v>
      </c>
      <c r="H804" s="36"/>
      <c r="I804" s="33" t="s">
        <v>143</v>
      </c>
      <c r="J804" s="33" t="s">
        <v>159</v>
      </c>
      <c r="K804" s="33" t="s">
        <v>145</v>
      </c>
      <c r="L804" s="35" t="n">
        <v>1915.04</v>
      </c>
      <c r="M804" s="33" t="n">
        <v>3</v>
      </c>
      <c r="N804" s="33" t="s">
        <v>146</v>
      </c>
      <c r="O804" s="33" t="s">
        <v>147</v>
      </c>
    </row>
    <row r="805" customFormat="false" ht="15" hidden="false" customHeight="false" outlineLevel="0" collapsed="false">
      <c r="A805" s="33" t="s">
        <v>949</v>
      </c>
      <c r="B805" s="34" t="n">
        <v>45365</v>
      </c>
      <c r="C805" s="34" t="n">
        <v>45366</v>
      </c>
      <c r="D805" s="33" t="n">
        <v>23</v>
      </c>
      <c r="E805" s="33" t="s">
        <v>154</v>
      </c>
      <c r="F805" s="33" t="s">
        <v>203</v>
      </c>
      <c r="G805" s="33" t="s">
        <v>192</v>
      </c>
      <c r="H805" s="33" t="s">
        <v>233</v>
      </c>
      <c r="I805" s="33" t="s">
        <v>143</v>
      </c>
      <c r="J805" s="33" t="s">
        <v>159</v>
      </c>
      <c r="K805" s="33" t="s">
        <v>184</v>
      </c>
      <c r="L805" s="35" t="n">
        <v>843.34</v>
      </c>
      <c r="M805" s="33" t="n">
        <v>3</v>
      </c>
      <c r="N805" s="33" t="s">
        <v>146</v>
      </c>
      <c r="O805" s="33" t="s">
        <v>147</v>
      </c>
    </row>
    <row r="806" customFormat="false" ht="15" hidden="false" customHeight="false" outlineLevel="0" collapsed="false">
      <c r="A806" s="33" t="s">
        <v>1019</v>
      </c>
      <c r="B806" s="34" t="n">
        <v>45310</v>
      </c>
      <c r="C806" s="34" t="n">
        <v>45311</v>
      </c>
      <c r="D806" s="33" t="n">
        <v>4</v>
      </c>
      <c r="E806" s="33" t="s">
        <v>154</v>
      </c>
      <c r="F806" s="33" t="s">
        <v>203</v>
      </c>
      <c r="G806" s="33" t="s">
        <v>192</v>
      </c>
      <c r="H806" s="33" t="s">
        <v>193</v>
      </c>
      <c r="I806" s="33" t="s">
        <v>143</v>
      </c>
      <c r="J806" s="33" t="s">
        <v>159</v>
      </c>
      <c r="K806" s="33" t="s">
        <v>209</v>
      </c>
      <c r="L806" s="35" t="n">
        <v>816.3</v>
      </c>
      <c r="M806" s="33" t="n">
        <v>2</v>
      </c>
      <c r="N806" s="33" t="s">
        <v>146</v>
      </c>
      <c r="O806" s="33" t="s">
        <v>147</v>
      </c>
    </row>
    <row r="807" customFormat="false" ht="15" hidden="false" customHeight="false" outlineLevel="0" collapsed="false">
      <c r="A807" s="33" t="s">
        <v>1020</v>
      </c>
      <c r="B807" s="34" t="n">
        <v>45460</v>
      </c>
      <c r="C807" s="34" t="n">
        <v>45465</v>
      </c>
      <c r="D807" s="33" t="n">
        <v>64</v>
      </c>
      <c r="E807" s="33" t="s">
        <v>154</v>
      </c>
      <c r="F807" s="33" t="s">
        <v>162</v>
      </c>
      <c r="G807" s="33" t="s">
        <v>230</v>
      </c>
      <c r="H807" s="33" t="s">
        <v>164</v>
      </c>
      <c r="I807" s="33" t="s">
        <v>143</v>
      </c>
      <c r="J807" s="33" t="s">
        <v>159</v>
      </c>
      <c r="K807" s="33" t="s">
        <v>160</v>
      </c>
      <c r="L807" s="35" t="n">
        <v>6111.99</v>
      </c>
      <c r="M807" s="33" t="n">
        <v>4</v>
      </c>
      <c r="N807" s="33" t="s">
        <v>146</v>
      </c>
      <c r="O807" s="33" t="s">
        <v>147</v>
      </c>
    </row>
    <row r="808" customFormat="false" ht="15" hidden="false" customHeight="false" outlineLevel="0" collapsed="false">
      <c r="A808" s="33" t="s">
        <v>1021</v>
      </c>
      <c r="B808" s="34" t="n">
        <v>45366</v>
      </c>
      <c r="C808" s="34" t="n">
        <v>45367</v>
      </c>
      <c r="D808" s="33" t="n">
        <v>82</v>
      </c>
      <c r="E808" s="33" t="s">
        <v>139</v>
      </c>
      <c r="F808" s="33" t="s">
        <v>203</v>
      </c>
      <c r="G808" s="33" t="s">
        <v>204</v>
      </c>
      <c r="H808" s="33" t="s">
        <v>193</v>
      </c>
      <c r="I808" s="33" t="s">
        <v>143</v>
      </c>
      <c r="J808" s="33" t="s">
        <v>144</v>
      </c>
      <c r="K808" s="33" t="s">
        <v>184</v>
      </c>
      <c r="L808" s="35" t="n">
        <v>1681.23</v>
      </c>
      <c r="M808" s="33" t="n">
        <v>4</v>
      </c>
      <c r="N808" s="33" t="s">
        <v>146</v>
      </c>
      <c r="O808" s="33" t="s">
        <v>147</v>
      </c>
    </row>
    <row r="809" customFormat="false" ht="15" hidden="false" customHeight="false" outlineLevel="0" collapsed="false">
      <c r="A809" s="33" t="s">
        <v>1022</v>
      </c>
      <c r="B809" s="34" t="n">
        <v>45576</v>
      </c>
      <c r="C809" s="34" t="n">
        <v>45585</v>
      </c>
      <c r="D809" s="33" t="n">
        <v>55</v>
      </c>
      <c r="E809" s="33" t="s">
        <v>154</v>
      </c>
      <c r="F809" s="33" t="s">
        <v>212</v>
      </c>
      <c r="G809" s="33" t="s">
        <v>230</v>
      </c>
      <c r="H809" s="33" t="s">
        <v>171</v>
      </c>
      <c r="I809" s="33" t="s">
        <v>143</v>
      </c>
      <c r="J809" s="33" t="s">
        <v>159</v>
      </c>
      <c r="K809" s="33" t="s">
        <v>145</v>
      </c>
      <c r="L809" s="35" t="n">
        <v>9187.21</v>
      </c>
      <c r="M809" s="33" t="n">
        <v>2</v>
      </c>
      <c r="N809" s="33" t="s">
        <v>210</v>
      </c>
      <c r="O809" s="33" t="s">
        <v>147</v>
      </c>
    </row>
    <row r="810" customFormat="false" ht="15" hidden="false" customHeight="false" outlineLevel="0" collapsed="false">
      <c r="A810" s="33" t="s">
        <v>1023</v>
      </c>
      <c r="B810" s="34" t="n">
        <v>45330</v>
      </c>
      <c r="C810" s="34" t="n">
        <v>45332</v>
      </c>
      <c r="D810" s="33" t="n">
        <v>28</v>
      </c>
      <c r="E810" s="33" t="s">
        <v>139</v>
      </c>
      <c r="F810" s="33" t="s">
        <v>149</v>
      </c>
      <c r="G810" s="33" t="s">
        <v>224</v>
      </c>
      <c r="H810" s="33" t="s">
        <v>186</v>
      </c>
      <c r="I810" s="33" t="s">
        <v>158</v>
      </c>
      <c r="J810" s="33" t="s">
        <v>144</v>
      </c>
      <c r="K810" s="33" t="s">
        <v>160</v>
      </c>
      <c r="L810" s="35" t="n">
        <v>5220.69</v>
      </c>
      <c r="M810" s="33" t="n">
        <v>4</v>
      </c>
      <c r="N810" s="33" t="s">
        <v>146</v>
      </c>
      <c r="O810" s="33" t="s">
        <v>147</v>
      </c>
    </row>
    <row r="811" customFormat="false" ht="15" hidden="false" customHeight="false" outlineLevel="0" collapsed="false">
      <c r="A811" s="33" t="s">
        <v>1024</v>
      </c>
      <c r="B811" s="34" t="n">
        <v>45510</v>
      </c>
      <c r="C811" s="34" t="n">
        <v>45513</v>
      </c>
      <c r="D811" s="33" t="n">
        <v>7</v>
      </c>
      <c r="E811" s="33" t="s">
        <v>154</v>
      </c>
      <c r="F811" s="33" t="s">
        <v>169</v>
      </c>
      <c r="G811" s="33" t="s">
        <v>230</v>
      </c>
      <c r="H811" s="33" t="s">
        <v>164</v>
      </c>
      <c r="I811" s="33" t="s">
        <v>152</v>
      </c>
      <c r="J811" s="33" t="s">
        <v>176</v>
      </c>
      <c r="K811" s="33" t="s">
        <v>145</v>
      </c>
      <c r="L811" s="35" t="n">
        <v>9791.88</v>
      </c>
      <c r="M811" s="33" t="n">
        <v>3</v>
      </c>
      <c r="N811" s="33" t="s">
        <v>146</v>
      </c>
      <c r="O811" s="33" t="s">
        <v>147</v>
      </c>
    </row>
    <row r="812" customFormat="false" ht="15" hidden="false" customHeight="false" outlineLevel="0" collapsed="false">
      <c r="A812" s="33" t="s">
        <v>1025</v>
      </c>
      <c r="B812" s="34" t="n">
        <v>45380</v>
      </c>
      <c r="C812" s="34" t="n">
        <v>45384</v>
      </c>
      <c r="D812" s="33" t="n">
        <v>47</v>
      </c>
      <c r="E812" s="33" t="s">
        <v>139</v>
      </c>
      <c r="F812" s="33" t="s">
        <v>169</v>
      </c>
      <c r="G812" s="33" t="s">
        <v>213</v>
      </c>
      <c r="H812" s="33" t="s">
        <v>164</v>
      </c>
      <c r="I812" s="33" t="s">
        <v>143</v>
      </c>
      <c r="J812" s="33" t="s">
        <v>159</v>
      </c>
      <c r="K812" s="33" t="s">
        <v>145</v>
      </c>
      <c r="L812" s="35" t="n">
        <v>5121.61</v>
      </c>
      <c r="M812" s="33" t="n">
        <v>4</v>
      </c>
      <c r="N812" s="33" t="s">
        <v>210</v>
      </c>
      <c r="O812" s="33" t="s">
        <v>147</v>
      </c>
    </row>
    <row r="813" customFormat="false" ht="15" hidden="false" customHeight="false" outlineLevel="0" collapsed="false">
      <c r="A813" s="33" t="s">
        <v>1026</v>
      </c>
      <c r="B813" s="34" t="n">
        <v>45434</v>
      </c>
      <c r="C813" s="34" t="n">
        <v>45435</v>
      </c>
      <c r="D813" s="33" t="n">
        <v>50</v>
      </c>
      <c r="E813" s="33" t="s">
        <v>154</v>
      </c>
      <c r="F813" s="33" t="s">
        <v>203</v>
      </c>
      <c r="G813" s="33" t="s">
        <v>204</v>
      </c>
      <c r="H813" s="33" t="s">
        <v>193</v>
      </c>
      <c r="I813" s="33" t="s">
        <v>152</v>
      </c>
      <c r="J813" s="33" t="s">
        <v>159</v>
      </c>
      <c r="K813" s="33" t="s">
        <v>184</v>
      </c>
      <c r="L813" s="35" t="n">
        <v>1000.17</v>
      </c>
      <c r="M813" s="33" t="n">
        <v>4</v>
      </c>
      <c r="N813" s="33" t="s">
        <v>146</v>
      </c>
      <c r="O813" s="33" t="s">
        <v>147</v>
      </c>
    </row>
    <row r="814" customFormat="false" ht="15" hidden="false" customHeight="false" outlineLevel="0" collapsed="false">
      <c r="A814" s="33" t="s">
        <v>1027</v>
      </c>
      <c r="B814" s="34" t="n">
        <v>45308</v>
      </c>
      <c r="C814" s="34" t="n">
        <v>45310</v>
      </c>
      <c r="D814" s="33" t="n">
        <v>15</v>
      </c>
      <c r="E814" s="33" t="s">
        <v>154</v>
      </c>
      <c r="F814" s="33" t="s">
        <v>212</v>
      </c>
      <c r="G814" s="33" t="s">
        <v>230</v>
      </c>
      <c r="H814" s="33" t="s">
        <v>164</v>
      </c>
      <c r="I814" s="33" t="s">
        <v>143</v>
      </c>
      <c r="J814" s="33" t="s">
        <v>159</v>
      </c>
      <c r="K814" s="33" t="s">
        <v>184</v>
      </c>
      <c r="L814" s="35" t="n">
        <v>2225.77</v>
      </c>
      <c r="M814" s="33" t="n">
        <v>4</v>
      </c>
      <c r="N814" s="33" t="s">
        <v>146</v>
      </c>
      <c r="O814" s="33" t="s">
        <v>147</v>
      </c>
    </row>
    <row r="815" customFormat="false" ht="15" hidden="false" customHeight="false" outlineLevel="0" collapsed="false">
      <c r="A815" s="33" t="s">
        <v>1028</v>
      </c>
      <c r="B815" s="34" t="n">
        <v>45508</v>
      </c>
      <c r="C815" s="34" t="n">
        <v>45512</v>
      </c>
      <c r="D815" s="33" t="n">
        <v>21</v>
      </c>
      <c r="E815" s="33" t="s">
        <v>154</v>
      </c>
      <c r="F815" s="33" t="s">
        <v>173</v>
      </c>
      <c r="G815" s="33" t="s">
        <v>174</v>
      </c>
      <c r="H815" s="33" t="s">
        <v>175</v>
      </c>
      <c r="I815" s="33" t="s">
        <v>152</v>
      </c>
      <c r="J815" s="33" t="s">
        <v>159</v>
      </c>
      <c r="K815" s="33" t="s">
        <v>145</v>
      </c>
      <c r="L815" s="35" t="n">
        <v>9852.79</v>
      </c>
      <c r="M815" s="33" t="n">
        <v>3</v>
      </c>
      <c r="N815" s="33" t="s">
        <v>146</v>
      </c>
      <c r="O815" s="33" t="s">
        <v>147</v>
      </c>
    </row>
    <row r="816" customFormat="false" ht="15" hidden="false" customHeight="false" outlineLevel="0" collapsed="false">
      <c r="A816" s="33" t="s">
        <v>1029</v>
      </c>
      <c r="B816" s="34" t="n">
        <v>45456</v>
      </c>
      <c r="C816" s="34" t="n">
        <v>45458</v>
      </c>
      <c r="D816" s="33" t="n">
        <v>63</v>
      </c>
      <c r="E816" s="33" t="s">
        <v>139</v>
      </c>
      <c r="F816" s="33" t="s">
        <v>169</v>
      </c>
      <c r="G816" s="33" t="s">
        <v>163</v>
      </c>
      <c r="H816" s="33" t="s">
        <v>171</v>
      </c>
      <c r="I816" s="33" t="s">
        <v>158</v>
      </c>
      <c r="J816" s="33" t="s">
        <v>144</v>
      </c>
      <c r="K816" s="33" t="s">
        <v>145</v>
      </c>
      <c r="L816" s="35" t="n">
        <v>4347.76</v>
      </c>
      <c r="M816" s="33" t="n">
        <v>4</v>
      </c>
      <c r="N816" s="33" t="s">
        <v>146</v>
      </c>
      <c r="O816" s="33" t="s">
        <v>147</v>
      </c>
    </row>
    <row r="817" customFormat="false" ht="15" hidden="false" customHeight="false" outlineLevel="0" collapsed="false">
      <c r="A817" s="33" t="s">
        <v>1030</v>
      </c>
      <c r="B817" s="34" t="n">
        <v>45532</v>
      </c>
      <c r="C817" s="34" t="n">
        <v>45539</v>
      </c>
      <c r="D817" s="33" t="n">
        <v>83</v>
      </c>
      <c r="E817" s="33" t="s">
        <v>154</v>
      </c>
      <c r="F817" s="33" t="s">
        <v>226</v>
      </c>
      <c r="G817" s="33" t="s">
        <v>386</v>
      </c>
      <c r="H817" s="33" t="s">
        <v>263</v>
      </c>
      <c r="I817" s="33" t="s">
        <v>143</v>
      </c>
      <c r="J817" s="33" t="s">
        <v>176</v>
      </c>
      <c r="K817" s="33" t="s">
        <v>145</v>
      </c>
      <c r="L817" s="35" t="n">
        <v>53064.98</v>
      </c>
      <c r="M817" s="36"/>
      <c r="N817" s="33" t="s">
        <v>146</v>
      </c>
      <c r="O817" s="33" t="s">
        <v>147</v>
      </c>
    </row>
    <row r="818" customFormat="false" ht="15" hidden="false" customHeight="false" outlineLevel="0" collapsed="false">
      <c r="A818" s="33" t="s">
        <v>1031</v>
      </c>
      <c r="B818" s="34" t="n">
        <v>45423</v>
      </c>
      <c r="C818" s="34" t="n">
        <v>45424</v>
      </c>
      <c r="D818" s="33" t="n">
        <v>52</v>
      </c>
      <c r="E818" s="33" t="s">
        <v>139</v>
      </c>
      <c r="F818" s="33" t="s">
        <v>203</v>
      </c>
      <c r="G818" s="33" t="s">
        <v>217</v>
      </c>
      <c r="H818" s="33" t="s">
        <v>193</v>
      </c>
      <c r="I818" s="33" t="s">
        <v>143</v>
      </c>
      <c r="J818" s="33" t="s">
        <v>159</v>
      </c>
      <c r="K818" s="33" t="s">
        <v>160</v>
      </c>
      <c r="L818" s="35" t="n">
        <v>1063.36</v>
      </c>
      <c r="M818" s="33" t="n">
        <v>5</v>
      </c>
      <c r="N818" s="33" t="s">
        <v>146</v>
      </c>
      <c r="O818" s="33" t="s">
        <v>147</v>
      </c>
    </row>
    <row r="819" customFormat="false" ht="15" hidden="false" customHeight="false" outlineLevel="0" collapsed="false">
      <c r="A819" s="33" t="s">
        <v>1032</v>
      </c>
      <c r="B819" s="34" t="n">
        <v>45615</v>
      </c>
      <c r="C819" s="34" t="n">
        <v>45616</v>
      </c>
      <c r="D819" s="33" t="n">
        <v>48</v>
      </c>
      <c r="E819" s="33" t="s">
        <v>139</v>
      </c>
      <c r="F819" s="33" t="s">
        <v>203</v>
      </c>
      <c r="G819" s="33" t="s">
        <v>241</v>
      </c>
      <c r="H819" s="33" t="s">
        <v>233</v>
      </c>
      <c r="I819" s="33" t="s">
        <v>143</v>
      </c>
      <c r="J819" s="33" t="s">
        <v>159</v>
      </c>
      <c r="K819" s="36"/>
      <c r="L819" s="35" t="n">
        <v>582.06</v>
      </c>
      <c r="M819" s="33" t="n">
        <v>3</v>
      </c>
      <c r="N819" s="33" t="s">
        <v>146</v>
      </c>
      <c r="O819" s="33" t="s">
        <v>147</v>
      </c>
    </row>
    <row r="820" customFormat="false" ht="15" hidden="false" customHeight="false" outlineLevel="0" collapsed="false">
      <c r="A820" s="33" t="s">
        <v>1033</v>
      </c>
      <c r="B820" s="34" t="n">
        <v>45563</v>
      </c>
      <c r="C820" s="34" t="n">
        <v>45564</v>
      </c>
      <c r="D820" s="33" t="n">
        <v>68</v>
      </c>
      <c r="E820" s="33" t="s">
        <v>139</v>
      </c>
      <c r="F820" s="33" t="s">
        <v>181</v>
      </c>
      <c r="G820" s="33" t="s">
        <v>237</v>
      </c>
      <c r="H820" s="33" t="s">
        <v>183</v>
      </c>
      <c r="I820" s="33" t="s">
        <v>143</v>
      </c>
      <c r="J820" s="33" t="s">
        <v>159</v>
      </c>
      <c r="K820" s="33" t="s">
        <v>184</v>
      </c>
      <c r="L820" s="35" t="n">
        <v>2546.23</v>
      </c>
      <c r="M820" s="33" t="n">
        <v>4</v>
      </c>
      <c r="N820" s="33" t="s">
        <v>146</v>
      </c>
      <c r="O820" s="33" t="s">
        <v>147</v>
      </c>
    </row>
    <row r="821" customFormat="false" ht="15" hidden="false" customHeight="false" outlineLevel="0" collapsed="false">
      <c r="A821" s="33" t="s">
        <v>1034</v>
      </c>
      <c r="B821" s="34" t="n">
        <v>45330</v>
      </c>
      <c r="C821" s="34" t="n">
        <v>45338</v>
      </c>
      <c r="D821" s="33" t="n">
        <v>46</v>
      </c>
      <c r="E821" s="33" t="s">
        <v>154</v>
      </c>
      <c r="F821" s="33" t="s">
        <v>169</v>
      </c>
      <c r="G821" s="33" t="s">
        <v>170</v>
      </c>
      <c r="H821" s="33" t="s">
        <v>171</v>
      </c>
      <c r="I821" s="33" t="s">
        <v>143</v>
      </c>
      <c r="J821" s="33" t="s">
        <v>159</v>
      </c>
      <c r="K821" s="33" t="s">
        <v>184</v>
      </c>
      <c r="L821" s="35" t="n">
        <v>9882.14</v>
      </c>
      <c r="M821" s="33" t="n">
        <v>4</v>
      </c>
      <c r="N821" s="33" t="s">
        <v>146</v>
      </c>
      <c r="O821" s="33" t="s">
        <v>147</v>
      </c>
    </row>
    <row r="822" customFormat="false" ht="15" hidden="false" customHeight="false" outlineLevel="0" collapsed="false">
      <c r="A822" s="33" t="s">
        <v>1035</v>
      </c>
      <c r="B822" s="34" t="n">
        <v>45556</v>
      </c>
      <c r="C822" s="34" t="n">
        <v>45559</v>
      </c>
      <c r="D822" s="33" t="n">
        <v>13</v>
      </c>
      <c r="E822" s="33" t="s">
        <v>139</v>
      </c>
      <c r="F822" s="33" t="s">
        <v>191</v>
      </c>
      <c r="G822" s="33" t="s">
        <v>232</v>
      </c>
      <c r="H822" s="33" t="s">
        <v>233</v>
      </c>
      <c r="I822" s="33" t="s">
        <v>143</v>
      </c>
      <c r="J822" s="33" t="s">
        <v>176</v>
      </c>
      <c r="K822" s="33" t="s">
        <v>160</v>
      </c>
      <c r="L822" s="35" t="n">
        <v>8646.02</v>
      </c>
      <c r="M822" s="33" t="n">
        <v>4</v>
      </c>
      <c r="N822" s="33" t="s">
        <v>146</v>
      </c>
      <c r="O822" s="33" t="s">
        <v>147</v>
      </c>
    </row>
    <row r="823" customFormat="false" ht="15" hidden="false" customHeight="false" outlineLevel="0" collapsed="false">
      <c r="A823" s="33" t="s">
        <v>1036</v>
      </c>
      <c r="B823" s="34" t="n">
        <v>45444</v>
      </c>
      <c r="C823" s="34" t="n">
        <v>45446</v>
      </c>
      <c r="D823" s="33" t="n">
        <v>24</v>
      </c>
      <c r="E823" s="33" t="s">
        <v>154</v>
      </c>
      <c r="F823" s="33" t="s">
        <v>203</v>
      </c>
      <c r="G823" s="33" t="s">
        <v>217</v>
      </c>
      <c r="H823" s="33" t="s">
        <v>193</v>
      </c>
      <c r="I823" s="33" t="s">
        <v>143</v>
      </c>
      <c r="J823" s="33" t="s">
        <v>176</v>
      </c>
      <c r="K823" s="33" t="s">
        <v>145</v>
      </c>
      <c r="L823" s="35" t="n">
        <v>5559.12</v>
      </c>
      <c r="M823" s="33" t="n">
        <v>5</v>
      </c>
      <c r="N823" s="33" t="s">
        <v>146</v>
      </c>
      <c r="O823" s="33" t="s">
        <v>147</v>
      </c>
    </row>
    <row r="824" customFormat="false" ht="15" hidden="false" customHeight="false" outlineLevel="0" collapsed="false">
      <c r="A824" s="33" t="s">
        <v>1037</v>
      </c>
      <c r="B824" s="34" t="n">
        <v>45296</v>
      </c>
      <c r="C824" s="34" t="n">
        <v>45300</v>
      </c>
      <c r="D824" s="33" t="n">
        <v>32</v>
      </c>
      <c r="E824" s="33" t="s">
        <v>139</v>
      </c>
      <c r="F824" s="33" t="s">
        <v>173</v>
      </c>
      <c r="G824" s="33" t="s">
        <v>174</v>
      </c>
      <c r="H824" s="33" t="s">
        <v>175</v>
      </c>
      <c r="I824" s="33" t="s">
        <v>152</v>
      </c>
      <c r="J824" s="33" t="s">
        <v>159</v>
      </c>
      <c r="K824" s="33" t="s">
        <v>184</v>
      </c>
      <c r="L824" s="35" t="n">
        <v>10478.04</v>
      </c>
      <c r="M824" s="33" t="n">
        <v>5</v>
      </c>
      <c r="N824" s="33" t="s">
        <v>146</v>
      </c>
      <c r="O824" s="33" t="s">
        <v>295</v>
      </c>
    </row>
    <row r="825" customFormat="false" ht="15" hidden="false" customHeight="false" outlineLevel="0" collapsed="false">
      <c r="A825" s="33" t="s">
        <v>1038</v>
      </c>
      <c r="B825" s="34" t="n">
        <v>45378</v>
      </c>
      <c r="C825" s="34" t="n">
        <v>45389</v>
      </c>
      <c r="D825" s="33" t="n">
        <v>5</v>
      </c>
      <c r="E825" s="33" t="s">
        <v>139</v>
      </c>
      <c r="F825" s="33" t="s">
        <v>288</v>
      </c>
      <c r="G825" s="33" t="s">
        <v>220</v>
      </c>
      <c r="H825" s="33" t="s">
        <v>222</v>
      </c>
      <c r="I825" s="33" t="s">
        <v>152</v>
      </c>
      <c r="J825" s="33" t="s">
        <v>159</v>
      </c>
      <c r="K825" s="33" t="s">
        <v>145</v>
      </c>
      <c r="L825" s="35" t="n">
        <v>10041.72</v>
      </c>
      <c r="M825" s="33" t="n">
        <v>4</v>
      </c>
      <c r="N825" s="33" t="s">
        <v>146</v>
      </c>
      <c r="O825" s="33" t="s">
        <v>147</v>
      </c>
    </row>
    <row r="826" customFormat="false" ht="15" hidden="false" customHeight="false" outlineLevel="0" collapsed="false">
      <c r="A826" s="33" t="s">
        <v>1039</v>
      </c>
      <c r="B826" s="34" t="n">
        <v>45609</v>
      </c>
      <c r="C826" s="34" t="n">
        <v>45611</v>
      </c>
      <c r="D826" s="33" t="n">
        <v>7</v>
      </c>
      <c r="E826" s="33" t="s">
        <v>139</v>
      </c>
      <c r="F826" s="33" t="s">
        <v>288</v>
      </c>
      <c r="G826" s="33" t="s">
        <v>156</v>
      </c>
      <c r="H826" s="33" t="s">
        <v>222</v>
      </c>
      <c r="I826" s="33" t="s">
        <v>143</v>
      </c>
      <c r="J826" s="33" t="s">
        <v>159</v>
      </c>
      <c r="K826" s="33" t="s">
        <v>184</v>
      </c>
      <c r="L826" s="35" t="n">
        <v>1975.64</v>
      </c>
      <c r="M826" s="33" t="n">
        <v>5</v>
      </c>
      <c r="N826" s="33" t="s">
        <v>146</v>
      </c>
      <c r="O826" s="33" t="s">
        <v>147</v>
      </c>
    </row>
    <row r="827" customFormat="false" ht="15" hidden="false" customHeight="false" outlineLevel="0" collapsed="false">
      <c r="A827" s="33" t="s">
        <v>1040</v>
      </c>
      <c r="B827" s="34" t="n">
        <v>45381</v>
      </c>
      <c r="C827" s="34" t="n">
        <v>45391</v>
      </c>
      <c r="D827" s="33" t="n">
        <v>20</v>
      </c>
      <c r="E827" s="33" t="s">
        <v>139</v>
      </c>
      <c r="F827" s="33" t="s">
        <v>169</v>
      </c>
      <c r="G827" s="33" t="s">
        <v>213</v>
      </c>
      <c r="H827" s="33" t="s">
        <v>195</v>
      </c>
      <c r="I827" s="33" t="s">
        <v>158</v>
      </c>
      <c r="J827" s="33" t="s">
        <v>159</v>
      </c>
      <c r="K827" s="33" t="s">
        <v>145</v>
      </c>
      <c r="L827" s="35" t="n">
        <v>9700.8</v>
      </c>
      <c r="M827" s="33" t="n">
        <v>4</v>
      </c>
      <c r="N827" s="33" t="s">
        <v>146</v>
      </c>
      <c r="O827" s="33" t="s">
        <v>147</v>
      </c>
    </row>
    <row r="828" customFormat="false" ht="15" hidden="false" customHeight="false" outlineLevel="0" collapsed="false">
      <c r="A828" s="33" t="s">
        <v>1041</v>
      </c>
      <c r="B828" s="34" t="n">
        <v>45551</v>
      </c>
      <c r="C828" s="34" t="n">
        <v>45552</v>
      </c>
      <c r="D828" s="33" t="n">
        <v>50</v>
      </c>
      <c r="E828" s="33" t="s">
        <v>154</v>
      </c>
      <c r="F828" s="33" t="s">
        <v>203</v>
      </c>
      <c r="G828" s="33" t="s">
        <v>217</v>
      </c>
      <c r="H828" s="33" t="s">
        <v>193</v>
      </c>
      <c r="I828" s="33" t="s">
        <v>143</v>
      </c>
      <c r="J828" s="33" t="s">
        <v>159</v>
      </c>
      <c r="K828" s="33" t="s">
        <v>160</v>
      </c>
      <c r="L828" s="35" t="n">
        <v>732.54</v>
      </c>
      <c r="M828" s="33" t="n">
        <v>4</v>
      </c>
      <c r="N828" s="33" t="s">
        <v>146</v>
      </c>
      <c r="O828" s="33" t="s">
        <v>147</v>
      </c>
    </row>
    <row r="829" customFormat="false" ht="15" hidden="false" customHeight="false" outlineLevel="0" collapsed="false">
      <c r="A829" s="33" t="s">
        <v>1042</v>
      </c>
      <c r="B829" s="34" t="n">
        <v>45297</v>
      </c>
      <c r="C829" s="34" t="n">
        <v>45298</v>
      </c>
      <c r="D829" s="33" t="n">
        <v>42</v>
      </c>
      <c r="E829" s="33" t="s">
        <v>139</v>
      </c>
      <c r="F829" s="33" t="s">
        <v>203</v>
      </c>
      <c r="G829" s="33" t="s">
        <v>192</v>
      </c>
      <c r="H829" s="33" t="s">
        <v>205</v>
      </c>
      <c r="I829" s="33" t="s">
        <v>143</v>
      </c>
      <c r="J829" s="33" t="s">
        <v>144</v>
      </c>
      <c r="K829" s="33" t="s">
        <v>145</v>
      </c>
      <c r="L829" s="35" t="n">
        <v>1573.79</v>
      </c>
      <c r="M829" s="33" t="n">
        <v>2</v>
      </c>
      <c r="N829" s="33" t="s">
        <v>146</v>
      </c>
      <c r="O829" s="33" t="s">
        <v>147</v>
      </c>
    </row>
    <row r="830" customFormat="false" ht="15" hidden="false" customHeight="false" outlineLevel="0" collapsed="false">
      <c r="A830" s="33" t="s">
        <v>1043</v>
      </c>
      <c r="B830" s="34" t="n">
        <v>45605</v>
      </c>
      <c r="C830" s="34" t="n">
        <v>45611</v>
      </c>
      <c r="D830" s="33" t="n">
        <v>6</v>
      </c>
      <c r="E830" s="33" t="s">
        <v>257</v>
      </c>
      <c r="F830" s="33" t="s">
        <v>173</v>
      </c>
      <c r="G830" s="33" t="s">
        <v>198</v>
      </c>
      <c r="H830" s="33" t="s">
        <v>175</v>
      </c>
      <c r="I830" s="33" t="s">
        <v>158</v>
      </c>
      <c r="J830" s="33" t="s">
        <v>159</v>
      </c>
      <c r="K830" s="33" t="s">
        <v>160</v>
      </c>
      <c r="L830" s="35" t="n">
        <v>15207.84</v>
      </c>
      <c r="M830" s="33" t="n">
        <v>4</v>
      </c>
      <c r="N830" s="33" t="s">
        <v>146</v>
      </c>
      <c r="O830" s="33" t="s">
        <v>147</v>
      </c>
    </row>
    <row r="831" customFormat="false" ht="15" hidden="false" customHeight="false" outlineLevel="0" collapsed="false">
      <c r="A831" s="33" t="s">
        <v>1044</v>
      </c>
      <c r="B831" s="34" t="n">
        <v>45452</v>
      </c>
      <c r="C831" s="34" t="n">
        <v>45455</v>
      </c>
      <c r="D831" s="33" t="n">
        <v>31</v>
      </c>
      <c r="E831" s="33" t="s">
        <v>154</v>
      </c>
      <c r="F831" s="33" t="s">
        <v>140</v>
      </c>
      <c r="G831" s="33" t="s">
        <v>316</v>
      </c>
      <c r="H831" s="33" t="s">
        <v>290</v>
      </c>
      <c r="I831" s="33" t="s">
        <v>143</v>
      </c>
      <c r="J831" s="33" t="s">
        <v>144</v>
      </c>
      <c r="K831" s="33" t="s">
        <v>160</v>
      </c>
      <c r="L831" s="35" t="n">
        <v>11855.15</v>
      </c>
      <c r="M831" s="33" t="n">
        <v>4</v>
      </c>
      <c r="N831" s="33" t="s">
        <v>146</v>
      </c>
      <c r="O831" s="33" t="s">
        <v>147</v>
      </c>
    </row>
    <row r="832" customFormat="false" ht="15" hidden="false" customHeight="false" outlineLevel="0" collapsed="false">
      <c r="A832" s="33" t="s">
        <v>1045</v>
      </c>
      <c r="B832" s="34" t="n">
        <v>45532</v>
      </c>
      <c r="C832" s="34" t="n">
        <v>45533</v>
      </c>
      <c r="D832" s="33" t="n">
        <v>60</v>
      </c>
      <c r="E832" s="33" t="s">
        <v>139</v>
      </c>
      <c r="F832" s="33" t="s">
        <v>334</v>
      </c>
      <c r="G832" s="33" t="s">
        <v>204</v>
      </c>
      <c r="H832" s="33" t="s">
        <v>205</v>
      </c>
      <c r="I832" s="33" t="s">
        <v>143</v>
      </c>
      <c r="J832" s="33" t="s">
        <v>144</v>
      </c>
      <c r="K832" s="33" t="s">
        <v>160</v>
      </c>
      <c r="L832" s="35" t="n">
        <v>1592.94</v>
      </c>
      <c r="M832" s="33" t="n">
        <v>4</v>
      </c>
      <c r="N832" s="33" t="s">
        <v>146</v>
      </c>
      <c r="O832" s="33" t="s">
        <v>147</v>
      </c>
    </row>
    <row r="833" customFormat="false" ht="15" hidden="false" customHeight="false" outlineLevel="0" collapsed="false">
      <c r="A833" s="33" t="s">
        <v>1046</v>
      </c>
      <c r="B833" s="34" t="n">
        <v>45580</v>
      </c>
      <c r="C833" s="34" t="n">
        <v>45592</v>
      </c>
      <c r="D833" s="33" t="n">
        <v>49</v>
      </c>
      <c r="E833" s="33" t="s">
        <v>154</v>
      </c>
      <c r="F833" s="33" t="s">
        <v>181</v>
      </c>
      <c r="G833" s="33" t="s">
        <v>237</v>
      </c>
      <c r="H833" s="33" t="s">
        <v>183</v>
      </c>
      <c r="I833" s="33" t="s">
        <v>143</v>
      </c>
      <c r="J833" s="33" t="s">
        <v>144</v>
      </c>
      <c r="K833" s="33" t="s">
        <v>145</v>
      </c>
      <c r="L833" s="35" t="n">
        <v>57783.82</v>
      </c>
      <c r="M833" s="33" t="n">
        <v>5</v>
      </c>
      <c r="N833" s="33" t="s">
        <v>146</v>
      </c>
      <c r="O833" s="33" t="s">
        <v>147</v>
      </c>
    </row>
    <row r="834" customFormat="false" ht="15" hidden="false" customHeight="false" outlineLevel="0" collapsed="false">
      <c r="A834" s="33" t="s">
        <v>1047</v>
      </c>
      <c r="B834" s="34" t="n">
        <v>45314</v>
      </c>
      <c r="C834" s="34" t="n">
        <v>45315</v>
      </c>
      <c r="D834" s="33" t="n">
        <v>58</v>
      </c>
      <c r="E834" s="33" t="s">
        <v>154</v>
      </c>
      <c r="F834" s="33" t="s">
        <v>203</v>
      </c>
      <c r="G834" s="33" t="s">
        <v>204</v>
      </c>
      <c r="H834" s="33" t="s">
        <v>205</v>
      </c>
      <c r="I834" s="33" t="s">
        <v>143</v>
      </c>
      <c r="J834" s="33" t="s">
        <v>159</v>
      </c>
      <c r="K834" s="33" t="s">
        <v>145</v>
      </c>
      <c r="L834" s="35" t="n">
        <v>872.98</v>
      </c>
      <c r="M834" s="33" t="n">
        <v>4</v>
      </c>
      <c r="N834" s="33" t="s">
        <v>146</v>
      </c>
      <c r="O834" s="33" t="s">
        <v>247</v>
      </c>
    </row>
    <row r="835" customFormat="false" ht="15" hidden="false" customHeight="false" outlineLevel="0" collapsed="false">
      <c r="A835" s="33" t="s">
        <v>1048</v>
      </c>
      <c r="B835" s="34" t="n">
        <v>45470</v>
      </c>
      <c r="C835" s="34" t="n">
        <v>45471</v>
      </c>
      <c r="D835" s="33" t="n">
        <v>41</v>
      </c>
      <c r="E835" s="33" t="s">
        <v>139</v>
      </c>
      <c r="F835" s="33" t="s">
        <v>203</v>
      </c>
      <c r="G835" s="33" t="s">
        <v>232</v>
      </c>
      <c r="H835" s="33" t="s">
        <v>193</v>
      </c>
      <c r="I835" s="33" t="s">
        <v>143</v>
      </c>
      <c r="J835" s="33" t="s">
        <v>144</v>
      </c>
      <c r="K835" s="33" t="s">
        <v>145</v>
      </c>
      <c r="L835" s="35" t="n">
        <v>1456.38</v>
      </c>
      <c r="M835" s="33" t="n">
        <v>3</v>
      </c>
      <c r="N835" s="33" t="s">
        <v>146</v>
      </c>
      <c r="O835" s="33" t="s">
        <v>147</v>
      </c>
    </row>
    <row r="836" customFormat="false" ht="15" hidden="false" customHeight="false" outlineLevel="0" collapsed="false">
      <c r="A836" s="33" t="s">
        <v>1049</v>
      </c>
      <c r="B836" s="34" t="n">
        <v>45401</v>
      </c>
      <c r="C836" s="34" t="n">
        <v>45404</v>
      </c>
      <c r="D836" s="33" t="n">
        <v>46</v>
      </c>
      <c r="E836" s="33" t="s">
        <v>139</v>
      </c>
      <c r="F836" s="33" t="s">
        <v>181</v>
      </c>
      <c r="G836" s="33" t="s">
        <v>237</v>
      </c>
      <c r="H836" s="33" t="s">
        <v>245</v>
      </c>
      <c r="I836" s="33" t="s">
        <v>143</v>
      </c>
      <c r="J836" s="33" t="s">
        <v>159</v>
      </c>
      <c r="K836" s="33" t="s">
        <v>184</v>
      </c>
      <c r="L836" s="35" t="n">
        <v>6624.85</v>
      </c>
      <c r="M836" s="33" t="n">
        <v>4</v>
      </c>
      <c r="N836" s="33" t="s">
        <v>146</v>
      </c>
      <c r="O836" s="33" t="s">
        <v>206</v>
      </c>
    </row>
    <row r="837" customFormat="false" ht="15" hidden="false" customHeight="false" outlineLevel="0" collapsed="false">
      <c r="A837" s="33" t="s">
        <v>1050</v>
      </c>
      <c r="B837" s="34" t="n">
        <v>45344</v>
      </c>
      <c r="C837" s="34" t="n">
        <v>45346</v>
      </c>
      <c r="D837" s="33" t="n">
        <v>3</v>
      </c>
      <c r="E837" s="33" t="s">
        <v>257</v>
      </c>
      <c r="F837" s="33" t="s">
        <v>376</v>
      </c>
      <c r="G837" s="33" t="s">
        <v>220</v>
      </c>
      <c r="H837" s="33" t="s">
        <v>222</v>
      </c>
      <c r="I837" s="33" t="s">
        <v>143</v>
      </c>
      <c r="J837" s="33" t="s">
        <v>159</v>
      </c>
      <c r="K837" s="33" t="s">
        <v>209</v>
      </c>
      <c r="L837" s="35" t="n">
        <v>1757.01</v>
      </c>
      <c r="M837" s="33" t="n">
        <v>4</v>
      </c>
      <c r="N837" s="33" t="s">
        <v>146</v>
      </c>
      <c r="O837" s="33" t="s">
        <v>147</v>
      </c>
    </row>
    <row r="838" customFormat="false" ht="15" hidden="false" customHeight="false" outlineLevel="0" collapsed="false">
      <c r="A838" s="33" t="s">
        <v>1051</v>
      </c>
      <c r="B838" s="34" t="n">
        <v>45553</v>
      </c>
      <c r="C838" s="34" t="n">
        <v>45558</v>
      </c>
      <c r="D838" s="33" t="n">
        <v>22</v>
      </c>
      <c r="E838" s="33" t="s">
        <v>139</v>
      </c>
      <c r="F838" s="33" t="s">
        <v>169</v>
      </c>
      <c r="G838" s="33" t="s">
        <v>163</v>
      </c>
      <c r="H838" s="33" t="s">
        <v>195</v>
      </c>
      <c r="I838" s="33" t="s">
        <v>152</v>
      </c>
      <c r="J838" s="33" t="s">
        <v>176</v>
      </c>
      <c r="K838" s="33" t="s">
        <v>160</v>
      </c>
      <c r="L838" s="35" t="n">
        <v>19223.01</v>
      </c>
      <c r="M838" s="33" t="n">
        <v>3</v>
      </c>
      <c r="N838" s="33" t="s">
        <v>146</v>
      </c>
      <c r="O838" s="33" t="s">
        <v>147</v>
      </c>
    </row>
    <row r="839" customFormat="false" ht="15" hidden="false" customHeight="false" outlineLevel="0" collapsed="false">
      <c r="A839" s="33" t="s">
        <v>1052</v>
      </c>
      <c r="B839" s="34" t="n">
        <v>45516</v>
      </c>
      <c r="C839" s="34" t="n">
        <v>45520</v>
      </c>
      <c r="D839" s="33" t="n">
        <v>68</v>
      </c>
      <c r="E839" s="33" t="s">
        <v>154</v>
      </c>
      <c r="F839" s="33" t="s">
        <v>181</v>
      </c>
      <c r="G839" s="33" t="s">
        <v>237</v>
      </c>
      <c r="H839" s="33" t="s">
        <v>183</v>
      </c>
      <c r="I839" s="33" t="s">
        <v>143</v>
      </c>
      <c r="J839" s="33" t="s">
        <v>159</v>
      </c>
      <c r="K839" s="33" t="s">
        <v>145</v>
      </c>
      <c r="L839" s="35" t="n">
        <v>8836.63</v>
      </c>
      <c r="M839" s="33" t="n">
        <v>4</v>
      </c>
      <c r="N839" s="33" t="s">
        <v>210</v>
      </c>
      <c r="O839" s="33" t="s">
        <v>147</v>
      </c>
    </row>
    <row r="840" customFormat="false" ht="15" hidden="false" customHeight="false" outlineLevel="0" collapsed="false">
      <c r="A840" s="33" t="s">
        <v>1053</v>
      </c>
      <c r="B840" s="34" t="n">
        <v>45643</v>
      </c>
      <c r="C840" s="34" t="n">
        <v>45644</v>
      </c>
      <c r="D840" s="33" t="n">
        <v>44</v>
      </c>
      <c r="E840" s="33" t="s">
        <v>154</v>
      </c>
      <c r="F840" s="33" t="s">
        <v>173</v>
      </c>
      <c r="G840" s="33" t="s">
        <v>174</v>
      </c>
      <c r="H840" s="33" t="s">
        <v>199</v>
      </c>
      <c r="I840" s="33" t="s">
        <v>143</v>
      </c>
      <c r="J840" s="33" t="s">
        <v>159</v>
      </c>
      <c r="K840" s="33" t="s">
        <v>145</v>
      </c>
      <c r="L840" s="35" t="n">
        <v>2709.05</v>
      </c>
      <c r="M840" s="33" t="n">
        <v>5</v>
      </c>
      <c r="N840" s="33" t="s">
        <v>146</v>
      </c>
      <c r="O840" s="33" t="s">
        <v>206</v>
      </c>
    </row>
    <row r="841" customFormat="false" ht="15" hidden="false" customHeight="false" outlineLevel="0" collapsed="false">
      <c r="A841" s="33" t="s">
        <v>1054</v>
      </c>
      <c r="B841" s="34" t="n">
        <v>45540</v>
      </c>
      <c r="C841" s="34" t="n">
        <v>45541</v>
      </c>
      <c r="D841" s="33" t="n">
        <v>54</v>
      </c>
      <c r="E841" s="33" t="s">
        <v>139</v>
      </c>
      <c r="F841" s="33" t="s">
        <v>203</v>
      </c>
      <c r="G841" s="33" t="s">
        <v>192</v>
      </c>
      <c r="H841" s="33" t="s">
        <v>205</v>
      </c>
      <c r="I841" s="33" t="s">
        <v>143</v>
      </c>
      <c r="J841" s="33" t="s">
        <v>159</v>
      </c>
      <c r="K841" s="33" t="s">
        <v>145</v>
      </c>
      <c r="L841" s="35" t="n">
        <v>816.29</v>
      </c>
      <c r="M841" s="33" t="n">
        <v>5</v>
      </c>
      <c r="N841" s="33" t="s">
        <v>146</v>
      </c>
      <c r="O841" s="33" t="s">
        <v>147</v>
      </c>
    </row>
    <row r="842" customFormat="false" ht="15" hidden="false" customHeight="false" outlineLevel="0" collapsed="false">
      <c r="A842" s="33" t="s">
        <v>1055</v>
      </c>
      <c r="B842" s="34" t="n">
        <v>45490</v>
      </c>
      <c r="C842" s="34" t="n">
        <v>45491</v>
      </c>
      <c r="D842" s="33" t="n">
        <v>38</v>
      </c>
      <c r="E842" s="33" t="s">
        <v>154</v>
      </c>
      <c r="F842" s="33" t="s">
        <v>169</v>
      </c>
      <c r="G842" s="33" t="s">
        <v>230</v>
      </c>
      <c r="H842" s="33" t="s">
        <v>164</v>
      </c>
      <c r="I842" s="33" t="s">
        <v>143</v>
      </c>
      <c r="J842" s="33" t="s">
        <v>144</v>
      </c>
      <c r="K842" s="33" t="s">
        <v>184</v>
      </c>
      <c r="L842" s="35" t="n">
        <v>2105.28</v>
      </c>
      <c r="M842" s="33" t="n">
        <v>3</v>
      </c>
      <c r="N842" s="33" t="s">
        <v>146</v>
      </c>
      <c r="O842" s="33" t="s">
        <v>147</v>
      </c>
    </row>
    <row r="843" customFormat="false" ht="15" hidden="false" customHeight="false" outlineLevel="0" collapsed="false">
      <c r="A843" s="33" t="s">
        <v>1056</v>
      </c>
      <c r="B843" s="34" t="n">
        <v>45334</v>
      </c>
      <c r="C843" s="34" t="n">
        <v>45336</v>
      </c>
      <c r="D843" s="33" t="n">
        <v>34</v>
      </c>
      <c r="E843" s="33" t="s">
        <v>154</v>
      </c>
      <c r="F843" s="33" t="s">
        <v>203</v>
      </c>
      <c r="G843" s="33" t="s">
        <v>192</v>
      </c>
      <c r="H843" s="33" t="s">
        <v>193</v>
      </c>
      <c r="I843" s="33" t="s">
        <v>143</v>
      </c>
      <c r="J843" s="33" t="s">
        <v>159</v>
      </c>
      <c r="K843" s="33" t="s">
        <v>209</v>
      </c>
      <c r="L843" s="35" t="n">
        <v>2185.23</v>
      </c>
      <c r="M843" s="33" t="n">
        <v>1</v>
      </c>
      <c r="N843" s="33" t="s">
        <v>146</v>
      </c>
      <c r="O843" s="33" t="s">
        <v>147</v>
      </c>
    </row>
    <row r="844" customFormat="false" ht="15" hidden="false" customHeight="false" outlineLevel="0" collapsed="false">
      <c r="A844" s="33" t="s">
        <v>1057</v>
      </c>
      <c r="B844" s="34" t="n">
        <v>45623</v>
      </c>
      <c r="C844" s="34" t="n">
        <v>45630</v>
      </c>
      <c r="D844" s="33" t="n">
        <v>54</v>
      </c>
      <c r="E844" s="33" t="s">
        <v>154</v>
      </c>
      <c r="F844" s="33" t="s">
        <v>181</v>
      </c>
      <c r="G844" s="33" t="s">
        <v>237</v>
      </c>
      <c r="H844" s="33" t="s">
        <v>183</v>
      </c>
      <c r="I844" s="33" t="s">
        <v>152</v>
      </c>
      <c r="J844" s="33" t="s">
        <v>159</v>
      </c>
      <c r="K844" s="36"/>
      <c r="L844" s="35" t="n">
        <v>15344.43</v>
      </c>
      <c r="M844" s="33" t="n">
        <v>4</v>
      </c>
      <c r="N844" s="33" t="s">
        <v>210</v>
      </c>
      <c r="O844" s="33" t="s">
        <v>147</v>
      </c>
    </row>
    <row r="845" customFormat="false" ht="15" hidden="false" customHeight="false" outlineLevel="0" collapsed="false">
      <c r="A845" s="33" t="s">
        <v>1058</v>
      </c>
      <c r="B845" s="34" t="n">
        <v>45436</v>
      </c>
      <c r="C845" s="34" t="n">
        <v>45438</v>
      </c>
      <c r="D845" s="33" t="n">
        <v>6</v>
      </c>
      <c r="E845" s="33" t="s">
        <v>139</v>
      </c>
      <c r="F845" s="33" t="s">
        <v>155</v>
      </c>
      <c r="G845" s="33" t="s">
        <v>220</v>
      </c>
      <c r="H845" s="33" t="s">
        <v>222</v>
      </c>
      <c r="I845" s="33" t="s">
        <v>143</v>
      </c>
      <c r="J845" s="33" t="s">
        <v>159</v>
      </c>
      <c r="K845" s="33" t="s">
        <v>145</v>
      </c>
      <c r="L845" s="35" t="n">
        <v>1642.16</v>
      </c>
      <c r="M845" s="33" t="n">
        <v>4</v>
      </c>
      <c r="N845" s="33" t="s">
        <v>146</v>
      </c>
      <c r="O845" s="33" t="s">
        <v>147</v>
      </c>
    </row>
    <row r="846" customFormat="false" ht="15" hidden="false" customHeight="false" outlineLevel="0" collapsed="false">
      <c r="A846" s="33" t="s">
        <v>1059</v>
      </c>
      <c r="B846" s="34" t="n">
        <v>45624</v>
      </c>
      <c r="C846" s="34" t="n">
        <v>45633</v>
      </c>
      <c r="D846" s="33" t="n">
        <v>27</v>
      </c>
      <c r="E846" s="33" t="s">
        <v>139</v>
      </c>
      <c r="F846" s="33" t="s">
        <v>169</v>
      </c>
      <c r="G846" s="33" t="s">
        <v>170</v>
      </c>
      <c r="H846" s="33" t="s">
        <v>171</v>
      </c>
      <c r="I846" s="33" t="s">
        <v>152</v>
      </c>
      <c r="J846" s="33" t="s">
        <v>159</v>
      </c>
      <c r="K846" s="33" t="s">
        <v>184</v>
      </c>
      <c r="L846" s="35" t="n">
        <v>9452.61</v>
      </c>
      <c r="M846" s="33" t="n">
        <v>4</v>
      </c>
      <c r="N846" s="33" t="s">
        <v>146</v>
      </c>
      <c r="O846" s="33" t="s">
        <v>147</v>
      </c>
    </row>
    <row r="847" customFormat="false" ht="15" hidden="false" customHeight="false" outlineLevel="0" collapsed="false">
      <c r="A847" s="33" t="s">
        <v>1060</v>
      </c>
      <c r="B847" s="34" t="n">
        <v>45574</v>
      </c>
      <c r="C847" s="34" t="n">
        <v>45578</v>
      </c>
      <c r="D847" s="33" t="n">
        <v>72</v>
      </c>
      <c r="E847" s="33" t="s">
        <v>154</v>
      </c>
      <c r="F847" s="33" t="s">
        <v>140</v>
      </c>
      <c r="G847" s="33" t="s">
        <v>167</v>
      </c>
      <c r="H847" s="36"/>
      <c r="I847" s="33" t="s">
        <v>143</v>
      </c>
      <c r="J847" s="33" t="s">
        <v>159</v>
      </c>
      <c r="K847" s="33" t="s">
        <v>145</v>
      </c>
      <c r="L847" s="35" t="n">
        <v>9134.83</v>
      </c>
      <c r="M847" s="33" t="n">
        <v>3</v>
      </c>
      <c r="N847" s="33" t="s">
        <v>146</v>
      </c>
      <c r="O847" s="33" t="s">
        <v>147</v>
      </c>
    </row>
    <row r="848" customFormat="false" ht="15" hidden="false" customHeight="false" outlineLevel="0" collapsed="false">
      <c r="A848" s="33" t="s">
        <v>1061</v>
      </c>
      <c r="B848" s="34" t="n">
        <v>45458</v>
      </c>
      <c r="C848" s="34" t="n">
        <v>45460</v>
      </c>
      <c r="D848" s="33" t="n">
        <v>56</v>
      </c>
      <c r="E848" s="33" t="s">
        <v>139</v>
      </c>
      <c r="F848" s="33" t="s">
        <v>169</v>
      </c>
      <c r="G848" s="33" t="s">
        <v>170</v>
      </c>
      <c r="H848" s="33" t="s">
        <v>195</v>
      </c>
      <c r="I848" s="33" t="s">
        <v>143</v>
      </c>
      <c r="J848" s="33" t="s">
        <v>159</v>
      </c>
      <c r="K848" s="33" t="s">
        <v>209</v>
      </c>
      <c r="L848" s="35" t="n">
        <v>2911.84</v>
      </c>
      <c r="M848" s="33" t="n">
        <v>5</v>
      </c>
      <c r="N848" s="33" t="s">
        <v>146</v>
      </c>
      <c r="O848" s="33" t="s">
        <v>147</v>
      </c>
    </row>
    <row r="849" customFormat="false" ht="15" hidden="false" customHeight="false" outlineLevel="0" collapsed="false">
      <c r="A849" s="33" t="s">
        <v>1062</v>
      </c>
      <c r="B849" s="34" t="n">
        <v>45352</v>
      </c>
      <c r="C849" s="34" t="n">
        <v>45354</v>
      </c>
      <c r="D849" s="33" t="n">
        <v>5</v>
      </c>
      <c r="E849" s="33" t="s">
        <v>139</v>
      </c>
      <c r="F849" s="33" t="s">
        <v>155</v>
      </c>
      <c r="G849" s="33" t="s">
        <v>220</v>
      </c>
      <c r="H849" s="33" t="s">
        <v>157</v>
      </c>
      <c r="I849" s="33" t="s">
        <v>143</v>
      </c>
      <c r="J849" s="33" t="s">
        <v>176</v>
      </c>
      <c r="K849" s="33" t="s">
        <v>184</v>
      </c>
      <c r="L849" s="35" t="n">
        <v>4705.03</v>
      </c>
      <c r="M849" s="33" t="n">
        <v>4</v>
      </c>
      <c r="N849" s="33" t="s">
        <v>146</v>
      </c>
      <c r="O849" s="33" t="s">
        <v>247</v>
      </c>
    </row>
    <row r="850" customFormat="false" ht="15" hidden="false" customHeight="false" outlineLevel="0" collapsed="false">
      <c r="A850" s="33" t="s">
        <v>1063</v>
      </c>
      <c r="B850" s="34" t="n">
        <v>45344</v>
      </c>
      <c r="C850" s="34" t="n">
        <v>45346</v>
      </c>
      <c r="D850" s="33" t="n">
        <v>9</v>
      </c>
      <c r="E850" s="33" t="s">
        <v>139</v>
      </c>
      <c r="F850" s="33" t="s">
        <v>203</v>
      </c>
      <c r="G850" s="33" t="s">
        <v>232</v>
      </c>
      <c r="H850" s="33" t="s">
        <v>205</v>
      </c>
      <c r="I850" s="33" t="s">
        <v>143</v>
      </c>
      <c r="J850" s="33" t="s">
        <v>144</v>
      </c>
      <c r="K850" s="33" t="s">
        <v>145</v>
      </c>
      <c r="L850" s="35" t="n">
        <v>3192.52</v>
      </c>
      <c r="M850" s="33" t="n">
        <v>4</v>
      </c>
      <c r="N850" s="33" t="s">
        <v>146</v>
      </c>
      <c r="O850" s="33" t="s">
        <v>147</v>
      </c>
    </row>
    <row r="851" customFormat="false" ht="15" hidden="false" customHeight="false" outlineLevel="0" collapsed="false">
      <c r="A851" s="33" t="s">
        <v>1064</v>
      </c>
      <c r="B851" s="34" t="n">
        <v>45644</v>
      </c>
      <c r="C851" s="34" t="n">
        <v>45645</v>
      </c>
      <c r="D851" s="33" t="n">
        <v>11</v>
      </c>
      <c r="E851" s="33" t="s">
        <v>154</v>
      </c>
      <c r="F851" s="33" t="s">
        <v>155</v>
      </c>
      <c r="G851" s="33" t="s">
        <v>220</v>
      </c>
      <c r="H851" s="33" t="s">
        <v>157</v>
      </c>
      <c r="I851" s="33" t="s">
        <v>143</v>
      </c>
      <c r="J851" s="33" t="s">
        <v>159</v>
      </c>
      <c r="K851" s="33" t="s">
        <v>145</v>
      </c>
      <c r="L851" s="35" t="n">
        <v>924.02</v>
      </c>
      <c r="M851" s="33" t="n">
        <v>4</v>
      </c>
      <c r="N851" s="33" t="s">
        <v>146</v>
      </c>
      <c r="O851" s="33" t="s">
        <v>147</v>
      </c>
    </row>
    <row r="852" customFormat="false" ht="15" hidden="false" customHeight="false" outlineLevel="0" collapsed="false">
      <c r="A852" s="33" t="s">
        <v>1065</v>
      </c>
      <c r="B852" s="34" t="n">
        <v>45463</v>
      </c>
      <c r="C852" s="34" t="n">
        <v>45465</v>
      </c>
      <c r="D852" s="33" t="n">
        <v>35</v>
      </c>
      <c r="E852" s="33" t="s">
        <v>154</v>
      </c>
      <c r="F852" s="33" t="s">
        <v>203</v>
      </c>
      <c r="G852" s="33" t="s">
        <v>204</v>
      </c>
      <c r="H852" s="33" t="s">
        <v>193</v>
      </c>
      <c r="I852" s="33" t="s">
        <v>143</v>
      </c>
      <c r="J852" s="33" t="s">
        <v>159</v>
      </c>
      <c r="K852" s="33" t="s">
        <v>145</v>
      </c>
      <c r="L852" s="35" t="n">
        <v>2015.44</v>
      </c>
      <c r="M852" s="33" t="n">
        <v>5</v>
      </c>
      <c r="N852" s="33" t="s">
        <v>146</v>
      </c>
      <c r="O852" s="36"/>
    </row>
    <row r="853" customFormat="false" ht="15" hidden="false" customHeight="false" outlineLevel="0" collapsed="false">
      <c r="A853" s="33" t="s">
        <v>1066</v>
      </c>
      <c r="B853" s="34" t="n">
        <v>45628</v>
      </c>
      <c r="C853" s="34" t="n">
        <v>45633</v>
      </c>
      <c r="D853" s="33" t="n">
        <v>72</v>
      </c>
      <c r="E853" s="33" t="s">
        <v>190</v>
      </c>
      <c r="F853" s="33" t="s">
        <v>140</v>
      </c>
      <c r="G853" s="33" t="s">
        <v>316</v>
      </c>
      <c r="H853" s="33" t="s">
        <v>290</v>
      </c>
      <c r="I853" s="33" t="s">
        <v>158</v>
      </c>
      <c r="J853" s="33" t="s">
        <v>159</v>
      </c>
      <c r="K853" s="33" t="s">
        <v>184</v>
      </c>
      <c r="L853" s="35" t="n">
        <v>9489.26</v>
      </c>
      <c r="M853" s="33" t="n">
        <v>4</v>
      </c>
      <c r="N853" s="33" t="s">
        <v>146</v>
      </c>
      <c r="O853" s="33" t="s">
        <v>147</v>
      </c>
    </row>
    <row r="854" customFormat="false" ht="15" hidden="false" customHeight="false" outlineLevel="0" collapsed="false">
      <c r="A854" s="33" t="s">
        <v>1067</v>
      </c>
      <c r="B854" s="34" t="n">
        <v>45515</v>
      </c>
      <c r="C854" s="34" t="n">
        <v>45518</v>
      </c>
      <c r="D854" s="33" t="n">
        <v>38</v>
      </c>
      <c r="E854" s="33" t="s">
        <v>139</v>
      </c>
      <c r="F854" s="33" t="s">
        <v>149</v>
      </c>
      <c r="G854" s="33" t="s">
        <v>224</v>
      </c>
      <c r="H854" s="33" t="s">
        <v>186</v>
      </c>
      <c r="I854" s="33" t="s">
        <v>152</v>
      </c>
      <c r="J854" s="33" t="s">
        <v>159</v>
      </c>
      <c r="K854" s="33" t="s">
        <v>145</v>
      </c>
      <c r="L854" s="35" t="n">
        <v>3781.21</v>
      </c>
      <c r="M854" s="33" t="n">
        <v>3</v>
      </c>
      <c r="N854" s="33" t="s">
        <v>146</v>
      </c>
      <c r="O854" s="33" t="s">
        <v>147</v>
      </c>
    </row>
    <row r="855" customFormat="false" ht="15" hidden="false" customHeight="false" outlineLevel="0" collapsed="false">
      <c r="A855" s="33" t="s">
        <v>1068</v>
      </c>
      <c r="B855" s="34" t="n">
        <v>45456</v>
      </c>
      <c r="C855" s="34" t="n">
        <v>45457</v>
      </c>
      <c r="D855" s="33" t="n">
        <v>2</v>
      </c>
      <c r="E855" s="33" t="s">
        <v>139</v>
      </c>
      <c r="F855" s="33" t="s">
        <v>155</v>
      </c>
      <c r="G855" s="33" t="s">
        <v>220</v>
      </c>
      <c r="H855" s="33" t="s">
        <v>222</v>
      </c>
      <c r="I855" s="33" t="s">
        <v>143</v>
      </c>
      <c r="J855" s="33" t="s">
        <v>159</v>
      </c>
      <c r="K855" s="33" t="s">
        <v>209</v>
      </c>
      <c r="L855" s="35" t="n">
        <v>827.43</v>
      </c>
      <c r="M855" s="33" t="n">
        <v>4</v>
      </c>
      <c r="N855" s="33" t="s">
        <v>146</v>
      </c>
      <c r="O855" s="33" t="s">
        <v>147</v>
      </c>
    </row>
    <row r="856" customFormat="false" ht="15" hidden="false" customHeight="false" outlineLevel="0" collapsed="false">
      <c r="A856" s="33" t="s">
        <v>1069</v>
      </c>
      <c r="B856" s="34" t="n">
        <v>45517</v>
      </c>
      <c r="C856" s="34" t="n">
        <v>45518</v>
      </c>
      <c r="D856" s="33" t="n">
        <v>76</v>
      </c>
      <c r="E856" s="33" t="s">
        <v>139</v>
      </c>
      <c r="F856" s="33" t="s">
        <v>203</v>
      </c>
      <c r="G856" s="33" t="s">
        <v>232</v>
      </c>
      <c r="H856" s="33" t="s">
        <v>233</v>
      </c>
      <c r="I856" s="33" t="s">
        <v>152</v>
      </c>
      <c r="J856" s="33" t="s">
        <v>144</v>
      </c>
      <c r="K856" s="33" t="s">
        <v>184</v>
      </c>
      <c r="L856" s="35" t="n">
        <v>1596.42</v>
      </c>
      <c r="M856" s="33" t="n">
        <v>3</v>
      </c>
      <c r="N856" s="33" t="s">
        <v>146</v>
      </c>
      <c r="O856" s="33" t="s">
        <v>147</v>
      </c>
    </row>
    <row r="857" customFormat="false" ht="15" hidden="false" customHeight="false" outlineLevel="0" collapsed="false">
      <c r="A857" s="33" t="s">
        <v>1070</v>
      </c>
      <c r="B857" s="34" t="n">
        <v>45536</v>
      </c>
      <c r="C857" s="34" t="n">
        <v>45538</v>
      </c>
      <c r="D857" s="33" t="n">
        <v>29</v>
      </c>
      <c r="E857" s="33" t="s">
        <v>139</v>
      </c>
      <c r="F857" s="33" t="s">
        <v>149</v>
      </c>
      <c r="G857" s="33" t="s">
        <v>150</v>
      </c>
      <c r="H857" s="33" t="s">
        <v>186</v>
      </c>
      <c r="I857" s="33" t="s">
        <v>143</v>
      </c>
      <c r="J857" s="33" t="s">
        <v>159</v>
      </c>
      <c r="K857" s="33" t="s">
        <v>145</v>
      </c>
      <c r="L857" s="35" t="n">
        <v>2358.93</v>
      </c>
      <c r="M857" s="33" t="n">
        <v>5</v>
      </c>
      <c r="N857" s="33" t="s">
        <v>146</v>
      </c>
      <c r="O857" s="33" t="s">
        <v>147</v>
      </c>
    </row>
    <row r="858" customFormat="false" ht="15" hidden="false" customHeight="false" outlineLevel="0" collapsed="false">
      <c r="A858" s="33" t="s">
        <v>1071</v>
      </c>
      <c r="B858" s="34" t="n">
        <v>45321</v>
      </c>
      <c r="C858" s="34" t="n">
        <v>45322</v>
      </c>
      <c r="D858" s="33" t="n">
        <v>25</v>
      </c>
      <c r="E858" s="33" t="s">
        <v>154</v>
      </c>
      <c r="F858" s="33" t="s">
        <v>169</v>
      </c>
      <c r="G858" s="33" t="s">
        <v>170</v>
      </c>
      <c r="H858" s="33" t="s">
        <v>195</v>
      </c>
      <c r="I858" s="33" t="s">
        <v>143</v>
      </c>
      <c r="J858" s="33" t="s">
        <v>159</v>
      </c>
      <c r="K858" s="36"/>
      <c r="L858" s="37" t="n">
        <v>0</v>
      </c>
      <c r="M858" s="33" t="n">
        <v>5</v>
      </c>
      <c r="N858" s="33" t="s">
        <v>146</v>
      </c>
      <c r="O858" s="33" t="s">
        <v>147</v>
      </c>
    </row>
    <row r="859" customFormat="false" ht="15" hidden="false" customHeight="false" outlineLevel="0" collapsed="false">
      <c r="A859" s="33" t="s">
        <v>1072</v>
      </c>
      <c r="B859" s="34" t="n">
        <v>45632</v>
      </c>
      <c r="C859" s="34" t="n">
        <v>45636</v>
      </c>
      <c r="D859" s="33" t="n">
        <v>53</v>
      </c>
      <c r="E859" s="33" t="s">
        <v>139</v>
      </c>
      <c r="F859" s="33" t="s">
        <v>226</v>
      </c>
      <c r="G859" s="33" t="s">
        <v>258</v>
      </c>
      <c r="H859" s="33" t="s">
        <v>263</v>
      </c>
      <c r="I859" s="33" t="s">
        <v>152</v>
      </c>
      <c r="J859" s="33" t="s">
        <v>144</v>
      </c>
      <c r="K859" s="33" t="s">
        <v>145</v>
      </c>
      <c r="L859" s="35" t="n">
        <v>27041.97</v>
      </c>
      <c r="M859" s="33" t="n">
        <v>4</v>
      </c>
      <c r="N859" s="33" t="s">
        <v>146</v>
      </c>
      <c r="O859" s="33" t="s">
        <v>147</v>
      </c>
    </row>
    <row r="860" customFormat="false" ht="15" hidden="false" customHeight="false" outlineLevel="0" collapsed="false">
      <c r="A860" s="33" t="s">
        <v>1073</v>
      </c>
      <c r="B860" s="34" t="n">
        <v>45412</v>
      </c>
      <c r="C860" s="34" t="n">
        <v>45413</v>
      </c>
      <c r="D860" s="33" t="n">
        <v>24</v>
      </c>
      <c r="E860" s="33" t="s">
        <v>139</v>
      </c>
      <c r="F860" s="33" t="s">
        <v>149</v>
      </c>
      <c r="G860" s="33" t="s">
        <v>243</v>
      </c>
      <c r="H860" s="33" t="s">
        <v>186</v>
      </c>
      <c r="I860" s="33" t="s">
        <v>143</v>
      </c>
      <c r="J860" s="33" t="s">
        <v>159</v>
      </c>
      <c r="K860" s="33" t="s">
        <v>160</v>
      </c>
      <c r="L860" s="35" t="n">
        <v>1433.5</v>
      </c>
      <c r="M860" s="33" t="n">
        <v>5</v>
      </c>
      <c r="N860" s="33" t="s">
        <v>146</v>
      </c>
      <c r="O860" s="33" t="s">
        <v>147</v>
      </c>
    </row>
    <row r="861" customFormat="false" ht="15" hidden="false" customHeight="false" outlineLevel="0" collapsed="false">
      <c r="A861" s="33" t="s">
        <v>1074</v>
      </c>
      <c r="B861" s="34" t="n">
        <v>45627</v>
      </c>
      <c r="C861" s="34" t="n">
        <v>45640</v>
      </c>
      <c r="D861" s="33" t="n">
        <v>76</v>
      </c>
      <c r="E861" s="33" t="s">
        <v>154</v>
      </c>
      <c r="F861" s="33" t="s">
        <v>169</v>
      </c>
      <c r="G861" s="33" t="s">
        <v>213</v>
      </c>
      <c r="H861" s="33" t="s">
        <v>195</v>
      </c>
      <c r="I861" s="33" t="s">
        <v>152</v>
      </c>
      <c r="J861" s="33" t="s">
        <v>159</v>
      </c>
      <c r="K861" s="33" t="s">
        <v>145</v>
      </c>
      <c r="L861" s="35" t="n">
        <v>14208.53</v>
      </c>
      <c r="M861" s="33" t="n">
        <v>3</v>
      </c>
      <c r="N861" s="33" t="s">
        <v>146</v>
      </c>
      <c r="O861" s="33" t="s">
        <v>147</v>
      </c>
    </row>
    <row r="862" customFormat="false" ht="15" hidden="false" customHeight="false" outlineLevel="0" collapsed="false">
      <c r="A862" s="33" t="s">
        <v>1075</v>
      </c>
      <c r="B862" s="34" t="n">
        <v>45301</v>
      </c>
      <c r="C862" s="34" t="n">
        <v>45311</v>
      </c>
      <c r="D862" s="33" t="n">
        <v>63</v>
      </c>
      <c r="E862" s="33" t="s">
        <v>154</v>
      </c>
      <c r="F862" s="33" t="s">
        <v>169</v>
      </c>
      <c r="G862" s="33" t="s">
        <v>213</v>
      </c>
      <c r="H862" s="33" t="s">
        <v>195</v>
      </c>
      <c r="I862" s="33" t="s">
        <v>152</v>
      </c>
      <c r="J862" s="33" t="s">
        <v>144</v>
      </c>
      <c r="K862" s="33" t="s">
        <v>160</v>
      </c>
      <c r="L862" s="35" t="n">
        <v>19705.72</v>
      </c>
      <c r="M862" s="33" t="n">
        <v>5</v>
      </c>
      <c r="N862" s="33" t="s">
        <v>146</v>
      </c>
      <c r="O862" s="33" t="s">
        <v>147</v>
      </c>
    </row>
    <row r="863" customFormat="false" ht="15" hidden="false" customHeight="false" outlineLevel="0" collapsed="false">
      <c r="A863" s="33" t="s">
        <v>1076</v>
      </c>
      <c r="B863" s="34" t="n">
        <v>45330</v>
      </c>
      <c r="C863" s="34" t="n">
        <v>45332</v>
      </c>
      <c r="D863" s="33" t="n">
        <v>90</v>
      </c>
      <c r="E863" s="33" t="s">
        <v>154</v>
      </c>
      <c r="F863" s="33" t="s">
        <v>173</v>
      </c>
      <c r="G863" s="33" t="s">
        <v>198</v>
      </c>
      <c r="H863" s="33" t="s">
        <v>175</v>
      </c>
      <c r="I863" s="33" t="s">
        <v>143</v>
      </c>
      <c r="J863" s="33" t="s">
        <v>159</v>
      </c>
      <c r="K863" s="33" t="s">
        <v>160</v>
      </c>
      <c r="L863" s="35" t="n">
        <v>4809.43</v>
      </c>
      <c r="M863" s="36"/>
      <c r="N863" s="33" t="s">
        <v>146</v>
      </c>
      <c r="O863" s="33" t="s">
        <v>147</v>
      </c>
    </row>
    <row r="864" customFormat="false" ht="15" hidden="false" customHeight="false" outlineLevel="0" collapsed="false">
      <c r="A864" s="33" t="s">
        <v>1077</v>
      </c>
      <c r="B864" s="34" t="n">
        <v>45341</v>
      </c>
      <c r="C864" s="34" t="n">
        <v>45343</v>
      </c>
      <c r="D864" s="33" t="n">
        <v>31</v>
      </c>
      <c r="E864" s="33" t="s">
        <v>154</v>
      </c>
      <c r="F864" s="33" t="s">
        <v>203</v>
      </c>
      <c r="G864" s="33" t="s">
        <v>204</v>
      </c>
      <c r="H864" s="33" t="s">
        <v>205</v>
      </c>
      <c r="I864" s="33" t="s">
        <v>143</v>
      </c>
      <c r="J864" s="33" t="s">
        <v>159</v>
      </c>
      <c r="K864" s="33" t="s">
        <v>160</v>
      </c>
      <c r="L864" s="35" t="n">
        <v>1926.31</v>
      </c>
      <c r="M864" s="33" t="n">
        <v>3</v>
      </c>
      <c r="N864" s="33" t="s">
        <v>146</v>
      </c>
      <c r="O864" s="33" t="s">
        <v>147</v>
      </c>
    </row>
    <row r="865" customFormat="false" ht="15" hidden="false" customHeight="false" outlineLevel="0" collapsed="false">
      <c r="A865" s="33" t="s">
        <v>1078</v>
      </c>
      <c r="B865" s="34" t="n">
        <v>45534</v>
      </c>
      <c r="C865" s="34" t="n">
        <v>45535</v>
      </c>
      <c r="D865" s="33" t="n">
        <v>32</v>
      </c>
      <c r="E865" s="33" t="s">
        <v>216</v>
      </c>
      <c r="F865" s="33" t="s">
        <v>149</v>
      </c>
      <c r="G865" s="33" t="s">
        <v>150</v>
      </c>
      <c r="H865" s="33" t="s">
        <v>151</v>
      </c>
      <c r="I865" s="33" t="s">
        <v>143</v>
      </c>
      <c r="J865" s="33" t="s">
        <v>159</v>
      </c>
      <c r="K865" s="33" t="s">
        <v>184</v>
      </c>
      <c r="L865" s="35" t="n">
        <v>1533.49</v>
      </c>
      <c r="M865" s="33" t="n">
        <v>4</v>
      </c>
      <c r="N865" s="33" t="s">
        <v>146</v>
      </c>
      <c r="O865" s="33" t="s">
        <v>247</v>
      </c>
    </row>
    <row r="866" customFormat="false" ht="15" hidden="false" customHeight="false" outlineLevel="0" collapsed="false">
      <c r="A866" s="33" t="s">
        <v>1079</v>
      </c>
      <c r="B866" s="34" t="n">
        <v>45616</v>
      </c>
      <c r="C866" s="34" t="n">
        <v>45619</v>
      </c>
      <c r="D866" s="33" t="n">
        <v>21</v>
      </c>
      <c r="E866" s="33" t="s">
        <v>190</v>
      </c>
      <c r="F866" s="33" t="s">
        <v>149</v>
      </c>
      <c r="G866" s="33" t="s">
        <v>243</v>
      </c>
      <c r="H866" s="33" t="s">
        <v>151</v>
      </c>
      <c r="I866" s="33" t="s">
        <v>152</v>
      </c>
      <c r="J866" s="33" t="s">
        <v>176</v>
      </c>
      <c r="K866" s="33" t="s">
        <v>145</v>
      </c>
      <c r="L866" s="35" t="n">
        <v>17779.33</v>
      </c>
      <c r="M866" s="33" t="n">
        <v>4</v>
      </c>
      <c r="N866" s="33" t="s">
        <v>146</v>
      </c>
      <c r="O866" s="33" t="s">
        <v>147</v>
      </c>
    </row>
    <row r="867" customFormat="false" ht="15" hidden="false" customHeight="false" outlineLevel="0" collapsed="false">
      <c r="A867" s="33" t="s">
        <v>1080</v>
      </c>
      <c r="B867" s="34" t="n">
        <v>45524</v>
      </c>
      <c r="C867" s="34" t="n">
        <v>45525</v>
      </c>
      <c r="D867" s="33" t="n">
        <v>50</v>
      </c>
      <c r="E867" s="33" t="s">
        <v>139</v>
      </c>
      <c r="F867" s="33" t="s">
        <v>203</v>
      </c>
      <c r="G867" s="33" t="s">
        <v>192</v>
      </c>
      <c r="H867" s="33" t="s">
        <v>193</v>
      </c>
      <c r="I867" s="33" t="s">
        <v>143</v>
      </c>
      <c r="J867" s="33" t="s">
        <v>144</v>
      </c>
      <c r="K867" s="33" t="s">
        <v>209</v>
      </c>
      <c r="L867" s="35" t="n">
        <v>1344.89</v>
      </c>
      <c r="M867" s="33" t="n">
        <v>3</v>
      </c>
      <c r="N867" s="33" t="s">
        <v>146</v>
      </c>
      <c r="O867" s="33" t="s">
        <v>147</v>
      </c>
    </row>
    <row r="868" customFormat="false" ht="15" hidden="false" customHeight="false" outlineLevel="0" collapsed="false">
      <c r="A868" s="33" t="s">
        <v>1081</v>
      </c>
      <c r="B868" s="34" t="n">
        <v>45654</v>
      </c>
      <c r="C868" s="34" t="n">
        <v>45655</v>
      </c>
      <c r="D868" s="33" t="n">
        <v>12</v>
      </c>
      <c r="E868" s="33" t="s">
        <v>154</v>
      </c>
      <c r="F868" s="33" t="s">
        <v>203</v>
      </c>
      <c r="G868" s="33" t="s">
        <v>204</v>
      </c>
      <c r="H868" s="33" t="s">
        <v>233</v>
      </c>
      <c r="I868" s="33" t="s">
        <v>143</v>
      </c>
      <c r="J868" s="33" t="s">
        <v>144</v>
      </c>
      <c r="K868" s="33" t="s">
        <v>160</v>
      </c>
      <c r="L868" s="35" t="n">
        <v>1801.18</v>
      </c>
      <c r="M868" s="33" t="n">
        <v>4</v>
      </c>
      <c r="N868" s="33" t="s">
        <v>146</v>
      </c>
      <c r="O868" s="33" t="s">
        <v>147</v>
      </c>
    </row>
    <row r="869" customFormat="false" ht="15" hidden="false" customHeight="false" outlineLevel="0" collapsed="false">
      <c r="A869" s="33" t="s">
        <v>1082</v>
      </c>
      <c r="B869" s="34" t="n">
        <v>45456</v>
      </c>
      <c r="C869" s="34" t="n">
        <v>45475</v>
      </c>
      <c r="D869" s="33" t="n">
        <v>48</v>
      </c>
      <c r="E869" s="33" t="s">
        <v>139</v>
      </c>
      <c r="F869" s="33" t="s">
        <v>181</v>
      </c>
      <c r="G869" s="33" t="s">
        <v>237</v>
      </c>
      <c r="H869" s="33" t="s">
        <v>183</v>
      </c>
      <c r="I869" s="33" t="s">
        <v>152</v>
      </c>
      <c r="J869" s="33" t="s">
        <v>159</v>
      </c>
      <c r="K869" s="33" t="s">
        <v>145</v>
      </c>
      <c r="L869" s="35" t="n">
        <v>47066.05</v>
      </c>
      <c r="M869" s="33" t="n">
        <v>3</v>
      </c>
      <c r="N869" s="33" t="s">
        <v>146</v>
      </c>
      <c r="O869" s="33" t="s">
        <v>147</v>
      </c>
    </row>
    <row r="870" customFormat="false" ht="15" hidden="false" customHeight="false" outlineLevel="0" collapsed="false">
      <c r="A870" s="33" t="s">
        <v>1083</v>
      </c>
      <c r="B870" s="34" t="n">
        <v>45430</v>
      </c>
      <c r="C870" s="34" t="n">
        <v>45431</v>
      </c>
      <c r="D870" s="33" t="n">
        <v>54</v>
      </c>
      <c r="E870" s="33" t="s">
        <v>139</v>
      </c>
      <c r="F870" s="33" t="s">
        <v>203</v>
      </c>
      <c r="G870" s="33" t="s">
        <v>204</v>
      </c>
      <c r="H870" s="33" t="s">
        <v>193</v>
      </c>
      <c r="I870" s="33" t="s">
        <v>143</v>
      </c>
      <c r="J870" s="33" t="s">
        <v>159</v>
      </c>
      <c r="K870" s="33" t="s">
        <v>145</v>
      </c>
      <c r="L870" s="35" t="n">
        <v>944.27</v>
      </c>
      <c r="M870" s="33" t="n">
        <v>3</v>
      </c>
      <c r="N870" s="33" t="s">
        <v>146</v>
      </c>
      <c r="O870" s="33" t="s">
        <v>147</v>
      </c>
    </row>
    <row r="871" customFormat="false" ht="15" hidden="false" customHeight="false" outlineLevel="0" collapsed="false">
      <c r="A871" s="33" t="s">
        <v>1084</v>
      </c>
      <c r="B871" s="34" t="n">
        <v>45367</v>
      </c>
      <c r="C871" s="34" t="n">
        <v>45369</v>
      </c>
      <c r="D871" s="33" t="n">
        <v>8</v>
      </c>
      <c r="E871" s="33" t="s">
        <v>154</v>
      </c>
      <c r="F871" s="33" t="s">
        <v>155</v>
      </c>
      <c r="G871" s="33" t="s">
        <v>220</v>
      </c>
      <c r="H871" s="33" t="s">
        <v>157</v>
      </c>
      <c r="I871" s="33" t="s">
        <v>152</v>
      </c>
      <c r="J871" s="33" t="s">
        <v>159</v>
      </c>
      <c r="K871" s="33" t="s">
        <v>145</v>
      </c>
      <c r="L871" s="35" t="n">
        <v>1693.62</v>
      </c>
      <c r="M871" s="33" t="n">
        <v>5</v>
      </c>
      <c r="N871" s="33" t="s">
        <v>146</v>
      </c>
      <c r="O871" s="33" t="s">
        <v>147</v>
      </c>
    </row>
    <row r="872" customFormat="false" ht="15" hidden="false" customHeight="false" outlineLevel="0" collapsed="false">
      <c r="A872" s="33" t="s">
        <v>1085</v>
      </c>
      <c r="B872" s="34" t="n">
        <v>45298</v>
      </c>
      <c r="C872" s="34" t="n">
        <v>45299</v>
      </c>
      <c r="D872" s="33" t="n">
        <v>34</v>
      </c>
      <c r="E872" s="33" t="s">
        <v>139</v>
      </c>
      <c r="F872" s="33" t="s">
        <v>203</v>
      </c>
      <c r="G872" s="33" t="s">
        <v>241</v>
      </c>
      <c r="H872" s="33" t="s">
        <v>205</v>
      </c>
      <c r="I872" s="33" t="s">
        <v>143</v>
      </c>
      <c r="J872" s="33" t="s">
        <v>159</v>
      </c>
      <c r="K872" s="33" t="s">
        <v>184</v>
      </c>
      <c r="L872" s="35" t="n">
        <v>1161.6</v>
      </c>
      <c r="M872" s="33" t="n">
        <v>4</v>
      </c>
      <c r="N872" s="33" t="s">
        <v>146</v>
      </c>
      <c r="O872" s="33" t="s">
        <v>147</v>
      </c>
    </row>
    <row r="873" customFormat="false" ht="15" hidden="false" customHeight="false" outlineLevel="0" collapsed="false">
      <c r="A873" s="33" t="s">
        <v>1086</v>
      </c>
      <c r="B873" s="34" t="n">
        <v>45511</v>
      </c>
      <c r="C873" s="34" t="n">
        <v>45513</v>
      </c>
      <c r="D873" s="33" t="n">
        <v>57</v>
      </c>
      <c r="E873" s="33" t="s">
        <v>154</v>
      </c>
      <c r="F873" s="33" t="s">
        <v>181</v>
      </c>
      <c r="G873" s="33" t="s">
        <v>188</v>
      </c>
      <c r="H873" s="33" t="s">
        <v>183</v>
      </c>
      <c r="I873" s="33" t="s">
        <v>143</v>
      </c>
      <c r="J873" s="33" t="s">
        <v>159</v>
      </c>
      <c r="K873" s="33" t="s">
        <v>145</v>
      </c>
      <c r="L873" s="35" t="n">
        <v>4762.73</v>
      </c>
      <c r="M873" s="36"/>
      <c r="N873" s="33" t="s">
        <v>210</v>
      </c>
      <c r="O873" s="33" t="s">
        <v>147</v>
      </c>
    </row>
    <row r="874" customFormat="false" ht="15" hidden="false" customHeight="false" outlineLevel="0" collapsed="false">
      <c r="A874" s="33" t="s">
        <v>1087</v>
      </c>
      <c r="B874" s="34" t="n">
        <v>45442</v>
      </c>
      <c r="C874" s="34" t="n">
        <v>45444</v>
      </c>
      <c r="D874" s="33" t="n">
        <v>39</v>
      </c>
      <c r="E874" s="33" t="s">
        <v>139</v>
      </c>
      <c r="F874" s="33" t="s">
        <v>149</v>
      </c>
      <c r="G874" s="33" t="s">
        <v>243</v>
      </c>
      <c r="H874" s="33" t="s">
        <v>186</v>
      </c>
      <c r="I874" s="33" t="s">
        <v>143</v>
      </c>
      <c r="J874" s="33" t="s">
        <v>159</v>
      </c>
      <c r="K874" s="33" t="s">
        <v>209</v>
      </c>
      <c r="L874" s="35" t="n">
        <v>2406.94</v>
      </c>
      <c r="M874" s="33" t="n">
        <v>3</v>
      </c>
      <c r="N874" s="33" t="s">
        <v>146</v>
      </c>
      <c r="O874" s="33" t="s">
        <v>247</v>
      </c>
    </row>
    <row r="875" customFormat="false" ht="15" hidden="false" customHeight="false" outlineLevel="0" collapsed="false">
      <c r="A875" s="33" t="s">
        <v>1088</v>
      </c>
      <c r="B875" s="34" t="n">
        <v>45517</v>
      </c>
      <c r="C875" s="34" t="n">
        <v>45519</v>
      </c>
      <c r="D875" s="33" t="n">
        <v>43</v>
      </c>
      <c r="E875" s="33" t="s">
        <v>139</v>
      </c>
      <c r="F875" s="33" t="s">
        <v>173</v>
      </c>
      <c r="G875" s="33" t="s">
        <v>178</v>
      </c>
      <c r="H875" s="33" t="s">
        <v>199</v>
      </c>
      <c r="I875" s="33" t="s">
        <v>152</v>
      </c>
      <c r="J875" s="33" t="s">
        <v>144</v>
      </c>
      <c r="K875" s="33" t="s">
        <v>145</v>
      </c>
      <c r="L875" s="35" t="n">
        <v>8697.85</v>
      </c>
      <c r="M875" s="33" t="n">
        <v>4</v>
      </c>
      <c r="N875" s="33" t="s">
        <v>146</v>
      </c>
      <c r="O875" s="33" t="s">
        <v>147</v>
      </c>
    </row>
    <row r="876" customFormat="false" ht="15" hidden="false" customHeight="false" outlineLevel="0" collapsed="false">
      <c r="A876" s="33" t="s">
        <v>1089</v>
      </c>
      <c r="B876" s="34" t="n">
        <v>45417</v>
      </c>
      <c r="C876" s="34" t="n">
        <v>45419</v>
      </c>
      <c r="D876" s="33" t="n">
        <v>25</v>
      </c>
      <c r="E876" s="33" t="s">
        <v>154</v>
      </c>
      <c r="F876" s="33" t="s">
        <v>203</v>
      </c>
      <c r="G876" s="33" t="s">
        <v>241</v>
      </c>
      <c r="H876" s="33" t="s">
        <v>193</v>
      </c>
      <c r="I876" s="33" t="s">
        <v>143</v>
      </c>
      <c r="J876" s="33" t="s">
        <v>144</v>
      </c>
      <c r="K876" s="33" t="s">
        <v>160</v>
      </c>
      <c r="L876" s="35" t="n">
        <v>2940.74</v>
      </c>
      <c r="M876" s="33" t="n">
        <v>3</v>
      </c>
      <c r="N876" s="33" t="s">
        <v>146</v>
      </c>
      <c r="O876" s="33" t="s">
        <v>147</v>
      </c>
    </row>
    <row r="877" customFormat="false" ht="15" hidden="false" customHeight="false" outlineLevel="0" collapsed="false">
      <c r="A877" s="33" t="s">
        <v>1090</v>
      </c>
      <c r="B877" s="34" t="n">
        <v>45343</v>
      </c>
      <c r="C877" s="34" t="n">
        <v>45344</v>
      </c>
      <c r="D877" s="33" t="n">
        <v>46</v>
      </c>
      <c r="E877" s="33" t="s">
        <v>216</v>
      </c>
      <c r="F877" s="33" t="s">
        <v>203</v>
      </c>
      <c r="G877" s="33" t="s">
        <v>217</v>
      </c>
      <c r="H877" s="33" t="s">
        <v>233</v>
      </c>
      <c r="I877" s="33" t="s">
        <v>143</v>
      </c>
      <c r="J877" s="33" t="s">
        <v>144</v>
      </c>
      <c r="K877" s="33" t="s">
        <v>184</v>
      </c>
      <c r="L877" s="35" t="n">
        <v>1726.99</v>
      </c>
      <c r="M877" s="36"/>
      <c r="N877" s="33" t="s">
        <v>146</v>
      </c>
      <c r="O877" s="33" t="s">
        <v>147</v>
      </c>
    </row>
    <row r="878" customFormat="false" ht="15" hidden="false" customHeight="false" outlineLevel="0" collapsed="false">
      <c r="A878" s="33" t="s">
        <v>1091</v>
      </c>
      <c r="B878" s="34" t="n">
        <v>45560</v>
      </c>
      <c r="C878" s="34" t="n">
        <v>45561</v>
      </c>
      <c r="D878" s="33" t="n">
        <v>0</v>
      </c>
      <c r="E878" s="33" t="s">
        <v>139</v>
      </c>
      <c r="F878" s="33" t="s">
        <v>203</v>
      </c>
      <c r="G878" s="33" t="s">
        <v>204</v>
      </c>
      <c r="H878" s="33" t="s">
        <v>205</v>
      </c>
      <c r="I878" s="33" t="s">
        <v>143</v>
      </c>
      <c r="J878" s="33" t="s">
        <v>176</v>
      </c>
      <c r="K878" s="33" t="s">
        <v>145</v>
      </c>
      <c r="L878" s="35" t="n">
        <v>3468.93</v>
      </c>
      <c r="M878" s="33" t="n">
        <v>4</v>
      </c>
      <c r="N878" s="33" t="s">
        <v>146</v>
      </c>
      <c r="O878" s="33" t="s">
        <v>147</v>
      </c>
    </row>
    <row r="879" customFormat="false" ht="15" hidden="false" customHeight="false" outlineLevel="0" collapsed="false">
      <c r="A879" s="33" t="s">
        <v>1092</v>
      </c>
      <c r="B879" s="34" t="n">
        <v>45437</v>
      </c>
      <c r="C879" s="34" t="n">
        <v>45441</v>
      </c>
      <c r="D879" s="33" t="n">
        <v>69</v>
      </c>
      <c r="E879" s="33" t="s">
        <v>154</v>
      </c>
      <c r="F879" s="33" t="s">
        <v>181</v>
      </c>
      <c r="G879" s="33" t="s">
        <v>188</v>
      </c>
      <c r="H879" s="33" t="s">
        <v>183</v>
      </c>
      <c r="I879" s="33" t="s">
        <v>152</v>
      </c>
      <c r="J879" s="33" t="s">
        <v>159</v>
      </c>
      <c r="K879" s="36"/>
      <c r="L879" s="35" t="n">
        <v>10428.07</v>
      </c>
      <c r="M879" s="33" t="n">
        <v>4</v>
      </c>
      <c r="N879" s="33" t="s">
        <v>146</v>
      </c>
      <c r="O879" s="33" t="s">
        <v>147</v>
      </c>
    </row>
    <row r="880" customFormat="false" ht="15" hidden="false" customHeight="false" outlineLevel="0" collapsed="false">
      <c r="A880" s="33" t="s">
        <v>1093</v>
      </c>
      <c r="B880" s="34" t="n">
        <v>45333</v>
      </c>
      <c r="C880" s="34" t="n">
        <v>45334</v>
      </c>
      <c r="D880" s="33" t="n">
        <v>48</v>
      </c>
      <c r="E880" s="33" t="s">
        <v>139</v>
      </c>
      <c r="F880" s="33" t="s">
        <v>203</v>
      </c>
      <c r="G880" s="33" t="s">
        <v>241</v>
      </c>
      <c r="H880" s="33" t="s">
        <v>205</v>
      </c>
      <c r="I880" s="33" t="s">
        <v>143</v>
      </c>
      <c r="J880" s="33" t="s">
        <v>159</v>
      </c>
      <c r="K880" s="33" t="s">
        <v>160</v>
      </c>
      <c r="L880" s="35" t="n">
        <v>699.48</v>
      </c>
      <c r="M880" s="33" t="n">
        <v>3</v>
      </c>
      <c r="N880" s="33" t="s">
        <v>146</v>
      </c>
      <c r="O880" s="33" t="s">
        <v>147</v>
      </c>
    </row>
    <row r="881" customFormat="false" ht="15" hidden="false" customHeight="false" outlineLevel="0" collapsed="false">
      <c r="A881" s="33" t="s">
        <v>1094</v>
      </c>
      <c r="B881" s="34" t="n">
        <v>45431</v>
      </c>
      <c r="C881" s="34" t="n">
        <v>45432</v>
      </c>
      <c r="D881" s="33" t="n">
        <v>12</v>
      </c>
      <c r="E881" s="33" t="s">
        <v>216</v>
      </c>
      <c r="F881" s="33" t="s">
        <v>155</v>
      </c>
      <c r="G881" s="33" t="s">
        <v>220</v>
      </c>
      <c r="H881" s="33" t="s">
        <v>222</v>
      </c>
      <c r="I881" s="33" t="s">
        <v>143</v>
      </c>
      <c r="J881" s="33" t="s">
        <v>144</v>
      </c>
      <c r="K881" s="33" t="s">
        <v>145</v>
      </c>
      <c r="L881" s="35" t="n">
        <v>1158.68</v>
      </c>
      <c r="M881" s="33" t="n">
        <v>4</v>
      </c>
      <c r="N881" s="33" t="s">
        <v>146</v>
      </c>
      <c r="O881" s="33" t="s">
        <v>147</v>
      </c>
    </row>
    <row r="882" customFormat="false" ht="15" hidden="false" customHeight="false" outlineLevel="0" collapsed="false">
      <c r="A882" s="33" t="s">
        <v>1095</v>
      </c>
      <c r="B882" s="34" t="n">
        <v>45569</v>
      </c>
      <c r="C882" s="34" t="n">
        <v>45572</v>
      </c>
      <c r="D882" s="33" t="n">
        <v>5</v>
      </c>
      <c r="E882" s="33" t="s">
        <v>154</v>
      </c>
      <c r="F882" s="33" t="s">
        <v>288</v>
      </c>
      <c r="G882" s="33" t="s">
        <v>220</v>
      </c>
      <c r="H882" s="33" t="s">
        <v>222</v>
      </c>
      <c r="I882" s="33" t="s">
        <v>152</v>
      </c>
      <c r="J882" s="33" t="s">
        <v>176</v>
      </c>
      <c r="K882" s="33" t="s">
        <v>184</v>
      </c>
      <c r="L882" s="35" t="n">
        <v>7751.63</v>
      </c>
      <c r="M882" s="33" t="n">
        <v>3</v>
      </c>
      <c r="N882" s="33" t="s">
        <v>146</v>
      </c>
      <c r="O882" s="33" t="s">
        <v>147</v>
      </c>
    </row>
    <row r="883" customFormat="false" ht="15" hidden="false" customHeight="false" outlineLevel="0" collapsed="false">
      <c r="A883" s="33" t="s">
        <v>1096</v>
      </c>
      <c r="B883" s="34" t="n">
        <v>45644</v>
      </c>
      <c r="C883" s="34" t="n">
        <v>45646</v>
      </c>
      <c r="D883" s="33" t="n">
        <v>34</v>
      </c>
      <c r="E883" s="33" t="s">
        <v>154</v>
      </c>
      <c r="F883" s="33" t="s">
        <v>203</v>
      </c>
      <c r="G883" s="33" t="s">
        <v>217</v>
      </c>
      <c r="H883" s="33" t="s">
        <v>193</v>
      </c>
      <c r="I883" s="33" t="s">
        <v>143</v>
      </c>
      <c r="J883" s="33" t="s">
        <v>159</v>
      </c>
      <c r="K883" s="33" t="s">
        <v>145</v>
      </c>
      <c r="L883" s="35" t="n">
        <v>1882.85</v>
      </c>
      <c r="M883" s="33" t="n">
        <v>2</v>
      </c>
      <c r="N883" s="33" t="s">
        <v>146</v>
      </c>
      <c r="O883" s="33" t="s">
        <v>147</v>
      </c>
    </row>
    <row r="884" customFormat="false" ht="15" hidden="false" customHeight="false" outlineLevel="0" collapsed="false">
      <c r="A884" s="33" t="s">
        <v>1097</v>
      </c>
      <c r="B884" s="34" t="n">
        <v>45408</v>
      </c>
      <c r="C884" s="34" t="n">
        <v>45413</v>
      </c>
      <c r="D884" s="33" t="n">
        <v>37</v>
      </c>
      <c r="E884" s="33" t="s">
        <v>139</v>
      </c>
      <c r="F884" s="33" t="s">
        <v>149</v>
      </c>
      <c r="G884" s="33" t="s">
        <v>150</v>
      </c>
      <c r="H884" s="33" t="s">
        <v>151</v>
      </c>
      <c r="I884" s="33" t="s">
        <v>152</v>
      </c>
      <c r="J884" s="33" t="s">
        <v>159</v>
      </c>
      <c r="K884" s="33" t="s">
        <v>145</v>
      </c>
      <c r="L884" s="35" t="n">
        <v>8565.38</v>
      </c>
      <c r="M884" s="33" t="n">
        <v>4</v>
      </c>
      <c r="N884" s="33" t="s">
        <v>146</v>
      </c>
      <c r="O884" s="33" t="s">
        <v>147</v>
      </c>
    </row>
    <row r="885" customFormat="false" ht="15" hidden="false" customHeight="false" outlineLevel="0" collapsed="false">
      <c r="A885" s="33" t="s">
        <v>1098</v>
      </c>
      <c r="B885" s="34" t="n">
        <v>45562</v>
      </c>
      <c r="C885" s="34" t="n">
        <v>45564</v>
      </c>
      <c r="D885" s="33" t="n">
        <v>61</v>
      </c>
      <c r="E885" s="33" t="s">
        <v>180</v>
      </c>
      <c r="F885" s="33" t="s">
        <v>169</v>
      </c>
      <c r="G885" s="33" t="s">
        <v>230</v>
      </c>
      <c r="H885" s="33" t="s">
        <v>171</v>
      </c>
      <c r="I885" s="33" t="s">
        <v>143</v>
      </c>
      <c r="J885" s="33" t="s">
        <v>159</v>
      </c>
      <c r="K885" s="33" t="s">
        <v>145</v>
      </c>
      <c r="L885" s="35" t="n">
        <v>2145.12</v>
      </c>
      <c r="M885" s="33" t="n">
        <v>4</v>
      </c>
      <c r="N885" s="33" t="s">
        <v>146</v>
      </c>
      <c r="O885" s="33" t="s">
        <v>147</v>
      </c>
    </row>
    <row r="886" customFormat="false" ht="15" hidden="false" customHeight="false" outlineLevel="0" collapsed="false">
      <c r="A886" s="33" t="s">
        <v>1099</v>
      </c>
      <c r="B886" s="34" t="n">
        <v>45566</v>
      </c>
      <c r="C886" s="34" t="n">
        <v>45572</v>
      </c>
      <c r="D886" s="33" t="n">
        <v>46</v>
      </c>
      <c r="E886" s="33" t="s">
        <v>180</v>
      </c>
      <c r="F886" s="33" t="s">
        <v>226</v>
      </c>
      <c r="G886" s="33" t="s">
        <v>258</v>
      </c>
      <c r="H886" s="33" t="s">
        <v>228</v>
      </c>
      <c r="I886" s="33" t="s">
        <v>143</v>
      </c>
      <c r="J886" s="33" t="s">
        <v>144</v>
      </c>
      <c r="K886" s="33" t="s">
        <v>145</v>
      </c>
      <c r="L886" s="35" t="n">
        <v>37174.5</v>
      </c>
      <c r="M886" s="33" t="n">
        <v>5</v>
      </c>
      <c r="N886" s="33" t="s">
        <v>146</v>
      </c>
      <c r="O886" s="33" t="s">
        <v>147</v>
      </c>
    </row>
    <row r="887" customFormat="false" ht="15" hidden="false" customHeight="false" outlineLevel="0" collapsed="false">
      <c r="A887" s="33" t="s">
        <v>1100</v>
      </c>
      <c r="B887" s="34" t="n">
        <v>45632</v>
      </c>
      <c r="C887" s="34" t="n">
        <v>45640</v>
      </c>
      <c r="D887" s="33" t="n">
        <v>50</v>
      </c>
      <c r="E887" s="33" t="s">
        <v>154</v>
      </c>
      <c r="F887" s="33" t="s">
        <v>226</v>
      </c>
      <c r="G887" s="33" t="s">
        <v>258</v>
      </c>
      <c r="H887" s="33" t="s">
        <v>263</v>
      </c>
      <c r="I887" s="33" t="s">
        <v>152</v>
      </c>
      <c r="J887" s="33" t="s">
        <v>144</v>
      </c>
      <c r="K887" s="33" t="s">
        <v>145</v>
      </c>
      <c r="L887" s="35" t="n">
        <v>48603.59</v>
      </c>
      <c r="M887" s="33" t="n">
        <v>4</v>
      </c>
      <c r="N887" s="33" t="s">
        <v>146</v>
      </c>
      <c r="O887" s="33" t="s">
        <v>147</v>
      </c>
    </row>
    <row r="888" customFormat="false" ht="15" hidden="false" customHeight="false" outlineLevel="0" collapsed="false">
      <c r="A888" s="33" t="s">
        <v>1101</v>
      </c>
      <c r="B888" s="34" t="n">
        <v>45295</v>
      </c>
      <c r="C888" s="34" t="n">
        <v>45296</v>
      </c>
      <c r="D888" s="33" t="n">
        <v>20</v>
      </c>
      <c r="E888" s="33" t="s">
        <v>139</v>
      </c>
      <c r="F888" s="33" t="s">
        <v>149</v>
      </c>
      <c r="G888" s="33" t="s">
        <v>224</v>
      </c>
      <c r="H888" s="33" t="s">
        <v>151</v>
      </c>
      <c r="I888" s="33" t="s">
        <v>152</v>
      </c>
      <c r="J888" s="33" t="s">
        <v>159</v>
      </c>
      <c r="K888" s="33" t="s">
        <v>160</v>
      </c>
      <c r="L888" s="35" t="n">
        <v>1604.11</v>
      </c>
      <c r="M888" s="33" t="n">
        <v>3</v>
      </c>
      <c r="N888" s="33" t="s">
        <v>146</v>
      </c>
      <c r="O888" s="33" t="s">
        <v>147</v>
      </c>
    </row>
    <row r="889" customFormat="false" ht="15" hidden="false" customHeight="false" outlineLevel="0" collapsed="false">
      <c r="A889" s="33" t="s">
        <v>1102</v>
      </c>
      <c r="B889" s="34" t="n">
        <v>45471</v>
      </c>
      <c r="C889" s="34" t="n">
        <v>45472</v>
      </c>
      <c r="D889" s="33" t="n">
        <v>29</v>
      </c>
      <c r="E889" s="33" t="s">
        <v>139</v>
      </c>
      <c r="F889" s="33" t="s">
        <v>203</v>
      </c>
      <c r="G889" s="33" t="s">
        <v>241</v>
      </c>
      <c r="H889" s="33" t="s">
        <v>205</v>
      </c>
      <c r="I889" s="33" t="s">
        <v>143</v>
      </c>
      <c r="J889" s="33" t="s">
        <v>159</v>
      </c>
      <c r="K889" s="33" t="s">
        <v>145</v>
      </c>
      <c r="L889" s="35" t="n">
        <v>933.83</v>
      </c>
      <c r="M889" s="33" t="n">
        <v>1</v>
      </c>
      <c r="N889" s="33" t="s">
        <v>146</v>
      </c>
      <c r="O889" s="33" t="s">
        <v>147</v>
      </c>
    </row>
    <row r="890" customFormat="false" ht="15" hidden="false" customHeight="false" outlineLevel="0" collapsed="false">
      <c r="A890" s="33" t="s">
        <v>1103</v>
      </c>
      <c r="B890" s="34" t="n">
        <v>45443</v>
      </c>
      <c r="C890" s="34" t="n">
        <v>45448</v>
      </c>
      <c r="D890" s="33" t="n">
        <v>74</v>
      </c>
      <c r="E890" s="33" t="s">
        <v>154</v>
      </c>
      <c r="F890" s="33" t="s">
        <v>203</v>
      </c>
      <c r="G890" s="33" t="s">
        <v>232</v>
      </c>
      <c r="H890" s="33" t="s">
        <v>205</v>
      </c>
      <c r="I890" s="33" t="s">
        <v>143</v>
      </c>
      <c r="J890" s="33" t="s">
        <v>159</v>
      </c>
      <c r="K890" s="33" t="s">
        <v>160</v>
      </c>
      <c r="L890" s="35" t="n">
        <v>4967.79</v>
      </c>
      <c r="M890" s="33" t="n">
        <v>4</v>
      </c>
      <c r="N890" s="33" t="s">
        <v>146</v>
      </c>
      <c r="O890" s="33" t="s">
        <v>147</v>
      </c>
    </row>
    <row r="891" customFormat="false" ht="15" hidden="false" customHeight="false" outlineLevel="0" collapsed="false">
      <c r="A891" s="33" t="s">
        <v>1104</v>
      </c>
      <c r="B891" s="34" t="n">
        <v>45458</v>
      </c>
      <c r="C891" s="34" t="n">
        <v>45459</v>
      </c>
      <c r="D891" s="33" t="n">
        <v>20</v>
      </c>
      <c r="E891" s="33" t="s">
        <v>154</v>
      </c>
      <c r="F891" s="33" t="s">
        <v>140</v>
      </c>
      <c r="G891" s="33" t="s">
        <v>316</v>
      </c>
      <c r="H891" s="33" t="s">
        <v>142</v>
      </c>
      <c r="I891" s="33" t="s">
        <v>152</v>
      </c>
      <c r="J891" s="33" t="s">
        <v>176</v>
      </c>
      <c r="K891" s="33" t="s">
        <v>184</v>
      </c>
      <c r="L891" s="35" t="n">
        <v>8799.09</v>
      </c>
      <c r="M891" s="33" t="n">
        <v>4</v>
      </c>
      <c r="N891" s="33" t="s">
        <v>146</v>
      </c>
      <c r="O891" s="33" t="s">
        <v>147</v>
      </c>
    </row>
    <row r="892" customFormat="false" ht="15" hidden="false" customHeight="false" outlineLevel="0" collapsed="false">
      <c r="A892" s="33" t="s">
        <v>1105</v>
      </c>
      <c r="B892" s="34" t="n">
        <v>45606</v>
      </c>
      <c r="C892" s="34" t="n">
        <v>45608</v>
      </c>
      <c r="D892" s="33" t="n">
        <v>4</v>
      </c>
      <c r="E892" s="33" t="s">
        <v>139</v>
      </c>
      <c r="F892" s="33" t="s">
        <v>288</v>
      </c>
      <c r="G892" s="33" t="s">
        <v>156</v>
      </c>
      <c r="H892" s="33" t="s">
        <v>157</v>
      </c>
      <c r="I892" s="33" t="s">
        <v>143</v>
      </c>
      <c r="J892" s="33" t="s">
        <v>159</v>
      </c>
      <c r="K892" s="33" t="s">
        <v>145</v>
      </c>
      <c r="L892" s="35" t="n">
        <v>1457.99</v>
      </c>
      <c r="M892" s="33" t="n">
        <v>5</v>
      </c>
      <c r="N892" s="33" t="s">
        <v>146</v>
      </c>
      <c r="O892" s="33" t="s">
        <v>147</v>
      </c>
    </row>
    <row r="893" customFormat="false" ht="15" hidden="false" customHeight="false" outlineLevel="0" collapsed="false">
      <c r="A893" s="33" t="s">
        <v>1106</v>
      </c>
      <c r="B893" s="34" t="n">
        <v>45331</v>
      </c>
      <c r="C893" s="34" t="n">
        <v>45335</v>
      </c>
      <c r="D893" s="33" t="n">
        <v>82</v>
      </c>
      <c r="E893" s="33" t="s">
        <v>139</v>
      </c>
      <c r="F893" s="33" t="s">
        <v>181</v>
      </c>
      <c r="G893" s="33" t="s">
        <v>182</v>
      </c>
      <c r="H893" s="33" t="s">
        <v>245</v>
      </c>
      <c r="I893" s="33" t="s">
        <v>152</v>
      </c>
      <c r="J893" s="33" t="s">
        <v>159</v>
      </c>
      <c r="K893" s="33" t="s">
        <v>160</v>
      </c>
      <c r="L893" s="35" t="n">
        <v>9797.27</v>
      </c>
      <c r="M893" s="33" t="n">
        <v>4</v>
      </c>
      <c r="N893" s="33" t="s">
        <v>146</v>
      </c>
      <c r="O893" s="33" t="s">
        <v>147</v>
      </c>
    </row>
    <row r="894" customFormat="false" ht="15" hidden="false" customHeight="false" outlineLevel="0" collapsed="false">
      <c r="A894" s="33" t="s">
        <v>1107</v>
      </c>
      <c r="B894" s="34" t="n">
        <v>45336</v>
      </c>
      <c r="C894" s="34" t="n">
        <v>45338</v>
      </c>
      <c r="D894" s="33" t="n">
        <v>39</v>
      </c>
      <c r="E894" s="33" t="s">
        <v>139</v>
      </c>
      <c r="F894" s="33" t="s">
        <v>240</v>
      </c>
      <c r="G894" s="33" t="s">
        <v>192</v>
      </c>
      <c r="H894" s="33" t="s">
        <v>193</v>
      </c>
      <c r="I894" s="33" t="s">
        <v>143</v>
      </c>
      <c r="J894" s="33" t="s">
        <v>144</v>
      </c>
      <c r="K894" s="33" t="s">
        <v>209</v>
      </c>
      <c r="L894" s="35" t="n">
        <v>3394.81</v>
      </c>
      <c r="M894" s="33" t="n">
        <v>4</v>
      </c>
      <c r="N894" s="33" t="s">
        <v>146</v>
      </c>
      <c r="O894" s="33" t="s">
        <v>147</v>
      </c>
    </row>
    <row r="895" customFormat="false" ht="15" hidden="false" customHeight="false" outlineLevel="0" collapsed="false">
      <c r="A895" s="33" t="s">
        <v>1108</v>
      </c>
      <c r="B895" s="34" t="n">
        <v>45329</v>
      </c>
      <c r="C895" s="34" t="n">
        <v>45331</v>
      </c>
      <c r="D895" s="33" t="n">
        <v>13</v>
      </c>
      <c r="E895" s="33" t="s">
        <v>154</v>
      </c>
      <c r="F895" s="33" t="s">
        <v>169</v>
      </c>
      <c r="G895" s="33" t="s">
        <v>213</v>
      </c>
      <c r="H895" s="33" t="s">
        <v>171</v>
      </c>
      <c r="I895" s="33" t="s">
        <v>152</v>
      </c>
      <c r="J895" s="33" t="s">
        <v>144</v>
      </c>
      <c r="K895" s="33" t="s">
        <v>184</v>
      </c>
      <c r="L895" s="35" t="n">
        <v>3632.19</v>
      </c>
      <c r="M895" s="33" t="n">
        <v>5</v>
      </c>
      <c r="N895" s="33" t="s">
        <v>146</v>
      </c>
      <c r="O895" s="33" t="s">
        <v>147</v>
      </c>
    </row>
    <row r="896" customFormat="false" ht="15" hidden="false" customHeight="false" outlineLevel="0" collapsed="false">
      <c r="A896" s="33" t="s">
        <v>1109</v>
      </c>
      <c r="B896" s="34" t="n">
        <v>45307</v>
      </c>
      <c r="C896" s="34" t="n">
        <v>45308</v>
      </c>
      <c r="D896" s="33" t="n">
        <v>28</v>
      </c>
      <c r="E896" s="33" t="s">
        <v>279</v>
      </c>
      <c r="F896" s="33" t="s">
        <v>149</v>
      </c>
      <c r="G896" s="33" t="s">
        <v>150</v>
      </c>
      <c r="H896" s="33" t="s">
        <v>151</v>
      </c>
      <c r="I896" s="33" t="s">
        <v>152</v>
      </c>
      <c r="J896" s="33" t="s">
        <v>144</v>
      </c>
      <c r="K896" s="33" t="s">
        <v>209</v>
      </c>
      <c r="L896" s="35" t="n">
        <v>2563.77</v>
      </c>
      <c r="M896" s="33" t="n">
        <v>4</v>
      </c>
      <c r="N896" s="33" t="s">
        <v>146</v>
      </c>
      <c r="O896" s="33" t="s">
        <v>147</v>
      </c>
    </row>
    <row r="897" customFormat="false" ht="15" hidden="false" customHeight="false" outlineLevel="0" collapsed="false">
      <c r="A897" s="33" t="s">
        <v>1110</v>
      </c>
      <c r="B897" s="34" t="n">
        <v>45466</v>
      </c>
      <c r="C897" s="34" t="n">
        <v>45468</v>
      </c>
      <c r="D897" s="33" t="n">
        <v>69</v>
      </c>
      <c r="E897" s="33" t="s">
        <v>154</v>
      </c>
      <c r="F897" s="33" t="s">
        <v>173</v>
      </c>
      <c r="G897" s="33" t="s">
        <v>198</v>
      </c>
      <c r="H897" s="33" t="s">
        <v>199</v>
      </c>
      <c r="I897" s="33" t="s">
        <v>143</v>
      </c>
      <c r="J897" s="33" t="s">
        <v>159</v>
      </c>
      <c r="K897" s="33" t="s">
        <v>145</v>
      </c>
      <c r="L897" s="35" t="n">
        <v>4970.34</v>
      </c>
      <c r="M897" s="33" t="n">
        <v>5</v>
      </c>
      <c r="N897" s="33" t="s">
        <v>146</v>
      </c>
      <c r="O897" s="33" t="s">
        <v>147</v>
      </c>
    </row>
    <row r="898" customFormat="false" ht="15" hidden="false" customHeight="false" outlineLevel="0" collapsed="false">
      <c r="A898" s="33" t="s">
        <v>1111</v>
      </c>
      <c r="B898" s="34" t="n">
        <v>45636</v>
      </c>
      <c r="C898" s="34" t="n">
        <v>45637</v>
      </c>
      <c r="D898" s="33" t="n">
        <v>38</v>
      </c>
      <c r="E898" s="33" t="s">
        <v>154</v>
      </c>
      <c r="F898" s="33" t="s">
        <v>203</v>
      </c>
      <c r="G898" s="33" t="s">
        <v>241</v>
      </c>
      <c r="H898" s="33" t="s">
        <v>193</v>
      </c>
      <c r="I898" s="33" t="s">
        <v>143</v>
      </c>
      <c r="J898" s="33" t="s">
        <v>176</v>
      </c>
      <c r="K898" s="33" t="s">
        <v>145</v>
      </c>
      <c r="L898" s="35" t="n">
        <v>3086.89</v>
      </c>
      <c r="M898" s="33" t="n">
        <v>4</v>
      </c>
      <c r="N898" s="33" t="s">
        <v>146</v>
      </c>
      <c r="O898" s="33" t="s">
        <v>147</v>
      </c>
    </row>
    <row r="899" customFormat="false" ht="15" hidden="false" customHeight="false" outlineLevel="0" collapsed="false">
      <c r="A899" s="33" t="s">
        <v>1112</v>
      </c>
      <c r="B899" s="34" t="n">
        <v>45502</v>
      </c>
      <c r="C899" s="34" t="n">
        <v>45506</v>
      </c>
      <c r="D899" s="33" t="n">
        <v>60</v>
      </c>
      <c r="E899" s="33" t="s">
        <v>154</v>
      </c>
      <c r="F899" s="33" t="s">
        <v>212</v>
      </c>
      <c r="G899" s="33" t="s">
        <v>230</v>
      </c>
      <c r="H899" s="33" t="s">
        <v>164</v>
      </c>
      <c r="I899" s="33" t="s">
        <v>143</v>
      </c>
      <c r="J899" s="33" t="s">
        <v>159</v>
      </c>
      <c r="K899" s="33" t="s">
        <v>184</v>
      </c>
      <c r="L899" s="35" t="n">
        <v>4519.62</v>
      </c>
      <c r="M899" s="33" t="n">
        <v>3</v>
      </c>
      <c r="N899" s="33" t="s">
        <v>146</v>
      </c>
      <c r="O899" s="33" t="s">
        <v>147</v>
      </c>
    </row>
    <row r="900" customFormat="false" ht="15" hidden="false" customHeight="false" outlineLevel="0" collapsed="false">
      <c r="A900" s="33" t="s">
        <v>1113</v>
      </c>
      <c r="B900" s="34" t="n">
        <v>45531</v>
      </c>
      <c r="C900" s="34" t="n">
        <v>45532</v>
      </c>
      <c r="D900" s="33" t="n">
        <v>30</v>
      </c>
      <c r="E900" s="33" t="s">
        <v>139</v>
      </c>
      <c r="F900" s="33" t="s">
        <v>149</v>
      </c>
      <c r="G900" s="33" t="s">
        <v>243</v>
      </c>
      <c r="H900" s="33" t="s">
        <v>186</v>
      </c>
      <c r="I900" s="33" t="s">
        <v>152</v>
      </c>
      <c r="J900" s="33" t="s">
        <v>159</v>
      </c>
      <c r="K900" s="33" t="s">
        <v>184</v>
      </c>
      <c r="L900" s="35" t="n">
        <v>1628.34</v>
      </c>
      <c r="M900" s="33" t="n">
        <v>3</v>
      </c>
      <c r="N900" s="33" t="s">
        <v>146</v>
      </c>
      <c r="O900" s="33" t="s">
        <v>147</v>
      </c>
    </row>
    <row r="901" customFormat="false" ht="15" hidden="false" customHeight="false" outlineLevel="0" collapsed="false">
      <c r="A901" s="33" t="s">
        <v>1114</v>
      </c>
      <c r="B901" s="34" t="n">
        <v>45432</v>
      </c>
      <c r="C901" s="34" t="n">
        <v>45448</v>
      </c>
      <c r="D901" s="33" t="n">
        <v>41</v>
      </c>
      <c r="E901" s="33" t="s">
        <v>139</v>
      </c>
      <c r="F901" s="33" t="s">
        <v>169</v>
      </c>
      <c r="G901" s="33" t="s">
        <v>163</v>
      </c>
      <c r="H901" s="33" t="s">
        <v>195</v>
      </c>
      <c r="I901" s="33" t="s">
        <v>143</v>
      </c>
      <c r="J901" s="33" t="s">
        <v>159</v>
      </c>
      <c r="K901" s="33" t="s">
        <v>160</v>
      </c>
      <c r="L901" s="35" t="n">
        <v>21151.46</v>
      </c>
      <c r="M901" s="36"/>
      <c r="N901" s="33" t="s">
        <v>146</v>
      </c>
      <c r="O901" s="33" t="s">
        <v>147</v>
      </c>
    </row>
    <row r="902" customFormat="false" ht="15" hidden="false" customHeight="false" outlineLevel="0" collapsed="false">
      <c r="A902" s="33" t="s">
        <v>1115</v>
      </c>
      <c r="B902" s="34" t="n">
        <v>45656</v>
      </c>
      <c r="C902" s="34" t="n">
        <v>45661</v>
      </c>
      <c r="D902" s="33" t="n">
        <v>42</v>
      </c>
      <c r="E902" s="33" t="s">
        <v>154</v>
      </c>
      <c r="F902" s="33" t="s">
        <v>173</v>
      </c>
      <c r="G902" s="33" t="s">
        <v>178</v>
      </c>
      <c r="H902" s="33" t="s">
        <v>175</v>
      </c>
      <c r="I902" s="33" t="s">
        <v>143</v>
      </c>
      <c r="J902" s="33" t="s">
        <v>159</v>
      </c>
      <c r="K902" s="33" t="s">
        <v>160</v>
      </c>
      <c r="L902" s="35" t="n">
        <v>13588.97</v>
      </c>
      <c r="M902" s="33" t="n">
        <v>4</v>
      </c>
      <c r="N902" s="33" t="s">
        <v>146</v>
      </c>
      <c r="O902" s="33" t="s">
        <v>147</v>
      </c>
    </row>
    <row r="903" customFormat="false" ht="15" hidden="false" customHeight="false" outlineLevel="0" collapsed="false">
      <c r="A903" s="33" t="s">
        <v>1116</v>
      </c>
      <c r="B903" s="34" t="n">
        <v>45392</v>
      </c>
      <c r="C903" s="34" t="n">
        <v>45393</v>
      </c>
      <c r="D903" s="33" t="n">
        <v>50</v>
      </c>
      <c r="E903" s="33" t="s">
        <v>154</v>
      </c>
      <c r="F903" s="33" t="s">
        <v>334</v>
      </c>
      <c r="G903" s="33" t="s">
        <v>204</v>
      </c>
      <c r="H903" s="33" t="s">
        <v>233</v>
      </c>
      <c r="I903" s="33" t="s">
        <v>143</v>
      </c>
      <c r="J903" s="33" t="s">
        <v>159</v>
      </c>
      <c r="K903" s="33" t="s">
        <v>160</v>
      </c>
      <c r="L903" s="35" t="n">
        <v>861.16</v>
      </c>
      <c r="M903" s="33" t="n">
        <v>4</v>
      </c>
      <c r="N903" s="33" t="s">
        <v>146</v>
      </c>
      <c r="O903" s="33" t="s">
        <v>147</v>
      </c>
    </row>
    <row r="904" customFormat="false" ht="15" hidden="false" customHeight="false" outlineLevel="0" collapsed="false">
      <c r="A904" s="33" t="s">
        <v>1117</v>
      </c>
      <c r="B904" s="34" t="n">
        <v>45309</v>
      </c>
      <c r="C904" s="34" t="n">
        <v>45310</v>
      </c>
      <c r="D904" s="33" t="n">
        <v>40</v>
      </c>
      <c r="E904" s="33" t="s">
        <v>154</v>
      </c>
      <c r="F904" s="33" t="s">
        <v>191</v>
      </c>
      <c r="G904" s="33" t="s">
        <v>192</v>
      </c>
      <c r="H904" s="33" t="s">
        <v>233</v>
      </c>
      <c r="I904" s="33" t="s">
        <v>158</v>
      </c>
      <c r="J904" s="33" t="s">
        <v>159</v>
      </c>
      <c r="K904" s="33" t="s">
        <v>160</v>
      </c>
      <c r="L904" s="35" t="n">
        <v>1072.34</v>
      </c>
      <c r="M904" s="33" t="n">
        <v>4</v>
      </c>
      <c r="N904" s="33" t="s">
        <v>146</v>
      </c>
      <c r="O904" s="33" t="s">
        <v>206</v>
      </c>
    </row>
    <row r="905" customFormat="false" ht="15" hidden="false" customHeight="false" outlineLevel="0" collapsed="false">
      <c r="A905" s="33" t="s">
        <v>1118</v>
      </c>
      <c r="B905" s="34" t="n">
        <v>45325</v>
      </c>
      <c r="C905" s="34" t="n">
        <v>45332</v>
      </c>
      <c r="D905" s="33" t="n">
        <v>37</v>
      </c>
      <c r="E905" s="33" t="s">
        <v>139</v>
      </c>
      <c r="F905" s="33" t="s">
        <v>169</v>
      </c>
      <c r="G905" s="33" t="s">
        <v>163</v>
      </c>
      <c r="H905" s="33" t="s">
        <v>195</v>
      </c>
      <c r="I905" s="33" t="s">
        <v>143</v>
      </c>
      <c r="J905" s="33" t="s">
        <v>159</v>
      </c>
      <c r="K905" s="33" t="s">
        <v>160</v>
      </c>
      <c r="L905" s="35" t="n">
        <v>8365.68</v>
      </c>
      <c r="M905" s="33" t="n">
        <v>4</v>
      </c>
      <c r="N905" s="33" t="s">
        <v>210</v>
      </c>
      <c r="O905" s="33" t="s">
        <v>147</v>
      </c>
    </row>
    <row r="906" customFormat="false" ht="15" hidden="false" customHeight="false" outlineLevel="0" collapsed="false">
      <c r="A906" s="33" t="s">
        <v>1119</v>
      </c>
      <c r="B906" s="34" t="n">
        <v>45365</v>
      </c>
      <c r="C906" s="34" t="n">
        <v>45371</v>
      </c>
      <c r="D906" s="33" t="n">
        <v>23</v>
      </c>
      <c r="E906" s="33" t="s">
        <v>139</v>
      </c>
      <c r="F906" s="33" t="s">
        <v>140</v>
      </c>
      <c r="G906" s="33" t="s">
        <v>316</v>
      </c>
      <c r="H906" s="33" t="s">
        <v>290</v>
      </c>
      <c r="I906" s="33" t="s">
        <v>143</v>
      </c>
      <c r="J906" s="33" t="s">
        <v>159</v>
      </c>
      <c r="K906" s="33" t="s">
        <v>184</v>
      </c>
      <c r="L906" s="35" t="n">
        <v>14552.98</v>
      </c>
      <c r="M906" s="33" t="n">
        <v>4</v>
      </c>
      <c r="N906" s="33" t="s">
        <v>146</v>
      </c>
      <c r="O906" s="33" t="s">
        <v>147</v>
      </c>
    </row>
    <row r="907" customFormat="false" ht="15" hidden="false" customHeight="false" outlineLevel="0" collapsed="false">
      <c r="A907" s="33" t="s">
        <v>1120</v>
      </c>
      <c r="B907" s="34" t="n">
        <v>45608</v>
      </c>
      <c r="C907" s="34" t="n">
        <v>45610</v>
      </c>
      <c r="D907" s="33" t="n">
        <v>51</v>
      </c>
      <c r="E907" s="33" t="s">
        <v>139</v>
      </c>
      <c r="F907" s="33" t="s">
        <v>169</v>
      </c>
      <c r="G907" s="33" t="s">
        <v>230</v>
      </c>
      <c r="H907" s="33" t="s">
        <v>164</v>
      </c>
      <c r="I907" s="33" t="s">
        <v>152</v>
      </c>
      <c r="J907" s="33" t="s">
        <v>144</v>
      </c>
      <c r="K907" s="33" t="s">
        <v>184</v>
      </c>
      <c r="L907" s="35" t="n">
        <v>3929.95</v>
      </c>
      <c r="M907" s="33" t="n">
        <v>3</v>
      </c>
      <c r="N907" s="33" t="s">
        <v>146</v>
      </c>
      <c r="O907" s="33" t="s">
        <v>147</v>
      </c>
    </row>
    <row r="908" customFormat="false" ht="15" hidden="false" customHeight="false" outlineLevel="0" collapsed="false">
      <c r="A908" s="33" t="s">
        <v>1121</v>
      </c>
      <c r="B908" s="34" t="n">
        <v>45306</v>
      </c>
      <c r="C908" s="34" t="n">
        <v>45307</v>
      </c>
      <c r="D908" s="33" t="n">
        <v>73</v>
      </c>
      <c r="E908" s="33" t="s">
        <v>154</v>
      </c>
      <c r="F908" s="33" t="s">
        <v>203</v>
      </c>
      <c r="G908" s="33" t="s">
        <v>241</v>
      </c>
      <c r="H908" s="33" t="s">
        <v>205</v>
      </c>
      <c r="I908" s="33" t="s">
        <v>143</v>
      </c>
      <c r="J908" s="33" t="s">
        <v>159</v>
      </c>
      <c r="K908" s="33" t="s">
        <v>184</v>
      </c>
      <c r="L908" s="35" t="n">
        <v>816.6</v>
      </c>
      <c r="M908" s="36"/>
      <c r="N908" s="33" t="s">
        <v>146</v>
      </c>
      <c r="O908" s="33" t="s">
        <v>147</v>
      </c>
    </row>
    <row r="909" customFormat="false" ht="15" hidden="false" customHeight="false" outlineLevel="0" collapsed="false">
      <c r="A909" s="33" t="s">
        <v>1122</v>
      </c>
      <c r="B909" s="34" t="n">
        <v>45331</v>
      </c>
      <c r="C909" s="34" t="n">
        <v>45332</v>
      </c>
      <c r="D909" s="33" t="n">
        <v>50</v>
      </c>
      <c r="E909" s="33" t="s">
        <v>139</v>
      </c>
      <c r="F909" s="33" t="s">
        <v>169</v>
      </c>
      <c r="G909" s="33" t="s">
        <v>163</v>
      </c>
      <c r="H909" s="33" t="s">
        <v>164</v>
      </c>
      <c r="I909" s="33" t="s">
        <v>152</v>
      </c>
      <c r="J909" s="33" t="s">
        <v>144</v>
      </c>
      <c r="K909" s="33" t="s">
        <v>160</v>
      </c>
      <c r="L909" s="35" t="n">
        <v>1206.05</v>
      </c>
      <c r="M909" s="33" t="n">
        <v>3</v>
      </c>
      <c r="N909" s="33" t="s">
        <v>146</v>
      </c>
      <c r="O909" s="33" t="s">
        <v>147</v>
      </c>
    </row>
    <row r="910" customFormat="false" ht="15" hidden="false" customHeight="false" outlineLevel="0" collapsed="false">
      <c r="A910" s="33" t="s">
        <v>1123</v>
      </c>
      <c r="B910" s="34" t="n">
        <v>45628</v>
      </c>
      <c r="C910" s="34" t="n">
        <v>45630</v>
      </c>
      <c r="D910" s="33" t="n">
        <v>55</v>
      </c>
      <c r="E910" s="33" t="s">
        <v>154</v>
      </c>
      <c r="F910" s="33" t="s">
        <v>203</v>
      </c>
      <c r="G910" s="33" t="s">
        <v>217</v>
      </c>
      <c r="H910" s="33" t="s">
        <v>193</v>
      </c>
      <c r="I910" s="33" t="s">
        <v>143</v>
      </c>
      <c r="J910" s="33" t="s">
        <v>159</v>
      </c>
      <c r="K910" s="33" t="s">
        <v>145</v>
      </c>
      <c r="L910" s="35" t="n">
        <v>1624.1</v>
      </c>
      <c r="M910" s="33" t="n">
        <v>4</v>
      </c>
      <c r="N910" s="33" t="s">
        <v>146</v>
      </c>
      <c r="O910" s="36"/>
    </row>
    <row r="911" customFormat="false" ht="15" hidden="false" customHeight="false" outlineLevel="0" collapsed="false">
      <c r="A911" s="33" t="s">
        <v>1124</v>
      </c>
      <c r="B911" s="34" t="n">
        <v>45571</v>
      </c>
      <c r="C911" s="34" t="n">
        <v>45573</v>
      </c>
      <c r="D911" s="33" t="n">
        <v>59</v>
      </c>
      <c r="E911" s="33" t="s">
        <v>139</v>
      </c>
      <c r="F911" s="33" t="s">
        <v>226</v>
      </c>
      <c r="G911" s="33" t="s">
        <v>227</v>
      </c>
      <c r="H911" s="33" t="s">
        <v>263</v>
      </c>
      <c r="I911" s="33" t="s">
        <v>143</v>
      </c>
      <c r="J911" s="33" t="s">
        <v>159</v>
      </c>
      <c r="K911" s="33" t="s">
        <v>145</v>
      </c>
      <c r="L911" s="35" t="n">
        <v>7903.51</v>
      </c>
      <c r="M911" s="33" t="n">
        <v>4</v>
      </c>
      <c r="N911" s="33" t="s">
        <v>146</v>
      </c>
      <c r="O911" s="33" t="s">
        <v>147</v>
      </c>
    </row>
    <row r="912" customFormat="false" ht="15" hidden="false" customHeight="false" outlineLevel="0" collapsed="false">
      <c r="A912" s="33" t="s">
        <v>1125</v>
      </c>
      <c r="B912" s="34" t="n">
        <v>45603</v>
      </c>
      <c r="C912" s="34" t="n">
        <v>45604</v>
      </c>
      <c r="D912" s="33" t="n">
        <v>69</v>
      </c>
      <c r="E912" s="33" t="s">
        <v>154</v>
      </c>
      <c r="F912" s="33" t="s">
        <v>203</v>
      </c>
      <c r="G912" s="33" t="s">
        <v>204</v>
      </c>
      <c r="H912" s="33" t="s">
        <v>193</v>
      </c>
      <c r="I912" s="33" t="s">
        <v>143</v>
      </c>
      <c r="J912" s="33" t="s">
        <v>159</v>
      </c>
      <c r="K912" s="33" t="s">
        <v>209</v>
      </c>
      <c r="L912" s="35" t="n">
        <v>814.61</v>
      </c>
      <c r="M912" s="33" t="n">
        <v>2</v>
      </c>
      <c r="N912" s="33" t="s">
        <v>146</v>
      </c>
      <c r="O912" s="33" t="s">
        <v>147</v>
      </c>
    </row>
    <row r="913" customFormat="false" ht="15" hidden="false" customHeight="false" outlineLevel="0" collapsed="false">
      <c r="A913" s="33" t="s">
        <v>1126</v>
      </c>
      <c r="B913" s="34" t="n">
        <v>45561</v>
      </c>
      <c r="C913" s="34" t="n">
        <v>45567</v>
      </c>
      <c r="D913" s="33" t="n">
        <v>34</v>
      </c>
      <c r="E913" s="33" t="s">
        <v>154</v>
      </c>
      <c r="F913" s="33" t="s">
        <v>169</v>
      </c>
      <c r="G913" s="33" t="s">
        <v>170</v>
      </c>
      <c r="H913" s="33" t="s">
        <v>171</v>
      </c>
      <c r="I913" s="33" t="s">
        <v>152</v>
      </c>
      <c r="J913" s="33" t="s">
        <v>159</v>
      </c>
      <c r="K913" s="33" t="s">
        <v>184</v>
      </c>
      <c r="L913" s="37" t="n">
        <v>-500</v>
      </c>
      <c r="M913" s="33" t="n">
        <v>5</v>
      </c>
      <c r="N913" s="33" t="s">
        <v>146</v>
      </c>
      <c r="O913" s="33" t="s">
        <v>147</v>
      </c>
    </row>
    <row r="914" customFormat="false" ht="15" hidden="false" customHeight="false" outlineLevel="0" collapsed="false">
      <c r="A914" s="33" t="s">
        <v>1127</v>
      </c>
      <c r="B914" s="34" t="n">
        <v>45322</v>
      </c>
      <c r="C914" s="34" t="n">
        <v>45324</v>
      </c>
      <c r="D914" s="33" t="n">
        <v>10</v>
      </c>
      <c r="E914" s="33" t="s">
        <v>139</v>
      </c>
      <c r="F914" s="33" t="s">
        <v>376</v>
      </c>
      <c r="G914" s="33" t="s">
        <v>220</v>
      </c>
      <c r="H914" s="33" t="s">
        <v>157</v>
      </c>
      <c r="I914" s="33" t="s">
        <v>143</v>
      </c>
      <c r="J914" s="33" t="s">
        <v>144</v>
      </c>
      <c r="K914" s="33" t="s">
        <v>184</v>
      </c>
      <c r="L914" s="35" t="n">
        <v>3159.57</v>
      </c>
      <c r="M914" s="33" t="n">
        <v>5</v>
      </c>
      <c r="N914" s="33" t="s">
        <v>146</v>
      </c>
      <c r="O914" s="33" t="s">
        <v>147</v>
      </c>
    </row>
    <row r="915" customFormat="false" ht="15" hidden="false" customHeight="false" outlineLevel="0" collapsed="false">
      <c r="A915" s="33" t="s">
        <v>1128</v>
      </c>
      <c r="B915" s="34" t="n">
        <v>45466</v>
      </c>
      <c r="C915" s="34" t="n">
        <v>45475</v>
      </c>
      <c r="D915" s="33" t="n">
        <v>63</v>
      </c>
      <c r="E915" s="33" t="s">
        <v>180</v>
      </c>
      <c r="F915" s="33" t="s">
        <v>169</v>
      </c>
      <c r="G915" s="33" t="s">
        <v>230</v>
      </c>
      <c r="H915" s="33" t="s">
        <v>195</v>
      </c>
      <c r="I915" s="33" t="s">
        <v>152</v>
      </c>
      <c r="J915" s="33" t="s">
        <v>159</v>
      </c>
      <c r="K915" s="33" t="s">
        <v>160</v>
      </c>
      <c r="L915" s="35" t="n">
        <v>9702.9</v>
      </c>
      <c r="M915" s="33" t="n">
        <v>3</v>
      </c>
      <c r="N915" s="33" t="s">
        <v>146</v>
      </c>
      <c r="O915" s="33" t="s">
        <v>147</v>
      </c>
    </row>
    <row r="916" customFormat="false" ht="15" hidden="false" customHeight="false" outlineLevel="0" collapsed="false">
      <c r="A916" s="33" t="s">
        <v>1129</v>
      </c>
      <c r="B916" s="34" t="n">
        <v>45636</v>
      </c>
      <c r="C916" s="34" t="n">
        <v>45641</v>
      </c>
      <c r="D916" s="33" t="n">
        <v>58</v>
      </c>
      <c r="E916" s="33" t="s">
        <v>139</v>
      </c>
      <c r="F916" s="33" t="s">
        <v>226</v>
      </c>
      <c r="G916" s="33" t="s">
        <v>386</v>
      </c>
      <c r="H916" s="33" t="s">
        <v>263</v>
      </c>
      <c r="I916" s="33" t="s">
        <v>143</v>
      </c>
      <c r="J916" s="33" t="s">
        <v>159</v>
      </c>
      <c r="K916" s="33" t="s">
        <v>184</v>
      </c>
      <c r="L916" s="35" t="n">
        <v>10205.84</v>
      </c>
      <c r="M916" s="33" t="n">
        <v>4</v>
      </c>
      <c r="N916" s="33" t="s">
        <v>146</v>
      </c>
      <c r="O916" s="33" t="s">
        <v>147</v>
      </c>
    </row>
    <row r="917" customFormat="false" ht="15" hidden="false" customHeight="false" outlineLevel="0" collapsed="false">
      <c r="A917" s="33" t="s">
        <v>1130</v>
      </c>
      <c r="B917" s="34" t="n">
        <v>45510</v>
      </c>
      <c r="C917" s="34" t="n">
        <v>45516</v>
      </c>
      <c r="D917" s="33" t="n">
        <v>7</v>
      </c>
      <c r="E917" s="33" t="s">
        <v>154</v>
      </c>
      <c r="F917" s="33" t="s">
        <v>155</v>
      </c>
      <c r="G917" s="33" t="s">
        <v>302</v>
      </c>
      <c r="H917" s="33" t="s">
        <v>157</v>
      </c>
      <c r="I917" s="33" t="s">
        <v>143</v>
      </c>
      <c r="J917" s="33" t="s">
        <v>159</v>
      </c>
      <c r="K917" s="33" t="s">
        <v>184</v>
      </c>
      <c r="L917" s="35" t="n">
        <v>4455.92</v>
      </c>
      <c r="M917" s="36"/>
      <c r="N917" s="33" t="s">
        <v>146</v>
      </c>
      <c r="O917" s="33" t="s">
        <v>247</v>
      </c>
    </row>
    <row r="918" customFormat="false" ht="15" hidden="false" customHeight="false" outlineLevel="0" collapsed="false">
      <c r="A918" s="33" t="s">
        <v>1131</v>
      </c>
      <c r="B918" s="34" t="n">
        <v>45427</v>
      </c>
      <c r="C918" s="34" t="n">
        <v>45431</v>
      </c>
      <c r="D918" s="33" t="n">
        <v>1</v>
      </c>
      <c r="E918" s="33" t="s">
        <v>139</v>
      </c>
      <c r="F918" s="33" t="s">
        <v>376</v>
      </c>
      <c r="G918" s="33" t="s">
        <v>220</v>
      </c>
      <c r="H918" s="33" t="s">
        <v>222</v>
      </c>
      <c r="I918" s="33" t="s">
        <v>143</v>
      </c>
      <c r="J918" s="33" t="s">
        <v>159</v>
      </c>
      <c r="K918" s="33" t="s">
        <v>145</v>
      </c>
      <c r="L918" s="35" t="n">
        <v>2736.56</v>
      </c>
      <c r="M918" s="33" t="n">
        <v>5</v>
      </c>
      <c r="N918" s="33" t="s">
        <v>146</v>
      </c>
      <c r="O918" s="33" t="s">
        <v>147</v>
      </c>
    </row>
    <row r="919" customFormat="false" ht="15" hidden="false" customHeight="false" outlineLevel="0" collapsed="false">
      <c r="A919" s="33" t="s">
        <v>1132</v>
      </c>
      <c r="B919" s="34" t="n">
        <v>45405</v>
      </c>
      <c r="C919" s="34" t="n">
        <v>45408</v>
      </c>
      <c r="D919" s="33" t="n">
        <v>0</v>
      </c>
      <c r="E919" s="33" t="s">
        <v>139</v>
      </c>
      <c r="F919" s="33" t="s">
        <v>376</v>
      </c>
      <c r="G919" s="33" t="s">
        <v>220</v>
      </c>
      <c r="H919" s="33" t="s">
        <v>222</v>
      </c>
      <c r="I919" s="33" t="s">
        <v>152</v>
      </c>
      <c r="J919" s="33" t="s">
        <v>159</v>
      </c>
      <c r="K919" s="33" t="s">
        <v>160</v>
      </c>
      <c r="L919" s="35" t="n">
        <v>2712.67</v>
      </c>
      <c r="M919" s="33" t="n">
        <v>4</v>
      </c>
      <c r="N919" s="33" t="s">
        <v>146</v>
      </c>
      <c r="O919" s="33" t="s">
        <v>147</v>
      </c>
    </row>
    <row r="920" customFormat="false" ht="15" hidden="false" customHeight="false" outlineLevel="0" collapsed="false">
      <c r="A920" s="33" t="s">
        <v>1133</v>
      </c>
      <c r="B920" s="34" t="n">
        <v>45527</v>
      </c>
      <c r="C920" s="34" t="n">
        <v>45531</v>
      </c>
      <c r="D920" s="33" t="n">
        <v>28</v>
      </c>
      <c r="E920" s="33" t="s">
        <v>139</v>
      </c>
      <c r="F920" s="33" t="s">
        <v>173</v>
      </c>
      <c r="G920" s="33" t="s">
        <v>198</v>
      </c>
      <c r="H920" s="33" t="s">
        <v>175</v>
      </c>
      <c r="I920" s="33" t="s">
        <v>152</v>
      </c>
      <c r="J920" s="33" t="s">
        <v>159</v>
      </c>
      <c r="K920" s="33" t="s">
        <v>145</v>
      </c>
      <c r="L920" s="35" t="n">
        <v>10342.89</v>
      </c>
      <c r="M920" s="33" t="n">
        <v>4</v>
      </c>
      <c r="N920" s="33" t="s">
        <v>146</v>
      </c>
      <c r="O920" s="33" t="s">
        <v>147</v>
      </c>
    </row>
    <row r="921" customFormat="false" ht="15" hidden="false" customHeight="false" outlineLevel="0" collapsed="false">
      <c r="A921" s="33" t="s">
        <v>1134</v>
      </c>
      <c r="B921" s="34" t="n">
        <v>45644</v>
      </c>
      <c r="C921" s="34" t="n">
        <v>45645</v>
      </c>
      <c r="D921" s="33" t="n">
        <v>74</v>
      </c>
      <c r="E921" s="33" t="s">
        <v>139</v>
      </c>
      <c r="F921" s="33" t="s">
        <v>140</v>
      </c>
      <c r="G921" s="33" t="s">
        <v>167</v>
      </c>
      <c r="H921" s="33" t="s">
        <v>142</v>
      </c>
      <c r="I921" s="33" t="s">
        <v>143</v>
      </c>
      <c r="J921" s="33" t="s">
        <v>176</v>
      </c>
      <c r="K921" s="33" t="s">
        <v>145</v>
      </c>
      <c r="L921" s="35" t="n">
        <v>7320.88</v>
      </c>
      <c r="M921" s="33" t="n">
        <v>5</v>
      </c>
      <c r="N921" s="33" t="s">
        <v>146</v>
      </c>
      <c r="O921" s="33" t="s">
        <v>147</v>
      </c>
    </row>
    <row r="922" customFormat="false" ht="15" hidden="false" customHeight="false" outlineLevel="0" collapsed="false">
      <c r="A922" s="33" t="s">
        <v>1135</v>
      </c>
      <c r="B922" s="34" t="n">
        <v>45429</v>
      </c>
      <c r="C922" s="34" t="n">
        <v>45430</v>
      </c>
      <c r="D922" s="33" t="n">
        <v>29</v>
      </c>
      <c r="E922" s="33" t="s">
        <v>279</v>
      </c>
      <c r="F922" s="33" t="s">
        <v>169</v>
      </c>
      <c r="G922" s="33" t="s">
        <v>170</v>
      </c>
      <c r="H922" s="33" t="s">
        <v>195</v>
      </c>
      <c r="I922" s="33" t="s">
        <v>143</v>
      </c>
      <c r="J922" s="33" t="s">
        <v>176</v>
      </c>
      <c r="K922" s="33" t="s">
        <v>145</v>
      </c>
      <c r="L922" s="35" t="n">
        <v>3996.78</v>
      </c>
      <c r="M922" s="36"/>
      <c r="N922" s="33" t="s">
        <v>146</v>
      </c>
      <c r="O922" s="33" t="s">
        <v>147</v>
      </c>
    </row>
    <row r="923" customFormat="false" ht="15" hidden="false" customHeight="false" outlineLevel="0" collapsed="false">
      <c r="A923" s="33" t="s">
        <v>1136</v>
      </c>
      <c r="B923" s="34" t="n">
        <v>45458</v>
      </c>
      <c r="C923" s="34" t="n">
        <v>45466</v>
      </c>
      <c r="D923" s="33" t="n">
        <v>29</v>
      </c>
      <c r="E923" s="33" t="s">
        <v>139</v>
      </c>
      <c r="F923" s="33" t="s">
        <v>173</v>
      </c>
      <c r="G923" s="33" t="s">
        <v>198</v>
      </c>
      <c r="H923" s="33" t="s">
        <v>199</v>
      </c>
      <c r="I923" s="33" t="s">
        <v>143</v>
      </c>
      <c r="J923" s="33" t="s">
        <v>159</v>
      </c>
      <c r="K923" s="33" t="s">
        <v>160</v>
      </c>
      <c r="L923" s="35" t="n">
        <v>23705.74</v>
      </c>
      <c r="M923" s="33" t="n">
        <v>4</v>
      </c>
      <c r="N923" s="33" t="s">
        <v>146</v>
      </c>
      <c r="O923" s="33" t="s">
        <v>147</v>
      </c>
    </row>
    <row r="924" customFormat="false" ht="15" hidden="false" customHeight="false" outlineLevel="0" collapsed="false">
      <c r="A924" s="33" t="s">
        <v>1137</v>
      </c>
      <c r="B924" s="34" t="n">
        <v>45439</v>
      </c>
      <c r="C924" s="34" t="n">
        <v>45441</v>
      </c>
      <c r="D924" s="33" t="n">
        <v>22</v>
      </c>
      <c r="E924" s="33" t="s">
        <v>154</v>
      </c>
      <c r="F924" s="33" t="s">
        <v>169</v>
      </c>
      <c r="G924" s="33" t="s">
        <v>230</v>
      </c>
      <c r="H924" s="33" t="s">
        <v>195</v>
      </c>
      <c r="I924" s="33" t="s">
        <v>152</v>
      </c>
      <c r="J924" s="33" t="s">
        <v>159</v>
      </c>
      <c r="K924" s="33" t="s">
        <v>209</v>
      </c>
      <c r="L924" s="35" t="n">
        <v>2249.52</v>
      </c>
      <c r="M924" s="33" t="n">
        <v>4</v>
      </c>
      <c r="N924" s="33" t="s">
        <v>146</v>
      </c>
      <c r="O924" s="33" t="s">
        <v>147</v>
      </c>
    </row>
    <row r="925" customFormat="false" ht="15" hidden="false" customHeight="false" outlineLevel="0" collapsed="false">
      <c r="A925" s="33" t="s">
        <v>1138</v>
      </c>
      <c r="B925" s="34" t="n">
        <v>45582</v>
      </c>
      <c r="C925" s="34" t="n">
        <v>45584</v>
      </c>
      <c r="D925" s="33" t="n">
        <v>54</v>
      </c>
      <c r="E925" s="33" t="s">
        <v>154</v>
      </c>
      <c r="F925" s="33" t="s">
        <v>169</v>
      </c>
      <c r="G925" s="33" t="s">
        <v>170</v>
      </c>
      <c r="H925" s="33" t="s">
        <v>171</v>
      </c>
      <c r="I925" s="33" t="s">
        <v>158</v>
      </c>
      <c r="J925" s="33" t="s">
        <v>144</v>
      </c>
      <c r="K925" s="33" t="s">
        <v>209</v>
      </c>
      <c r="L925" s="35" t="n">
        <v>3842.95</v>
      </c>
      <c r="M925" s="33" t="n">
        <v>4</v>
      </c>
      <c r="N925" s="33" t="s">
        <v>146</v>
      </c>
      <c r="O925" s="33" t="s">
        <v>147</v>
      </c>
    </row>
    <row r="926" customFormat="false" ht="15" hidden="false" customHeight="false" outlineLevel="0" collapsed="false">
      <c r="A926" s="33" t="s">
        <v>1139</v>
      </c>
      <c r="B926" s="34" t="n">
        <v>45450</v>
      </c>
      <c r="C926" s="34" t="n">
        <v>45451</v>
      </c>
      <c r="D926" s="33" t="n">
        <v>81</v>
      </c>
      <c r="E926" s="33" t="s">
        <v>139</v>
      </c>
      <c r="F926" s="33" t="s">
        <v>240</v>
      </c>
      <c r="G926" s="33" t="s">
        <v>192</v>
      </c>
      <c r="H926" s="33" t="s">
        <v>205</v>
      </c>
      <c r="I926" s="33" t="s">
        <v>143</v>
      </c>
      <c r="J926" s="33" t="s">
        <v>144</v>
      </c>
      <c r="K926" s="33" t="s">
        <v>160</v>
      </c>
      <c r="L926" s="35" t="n">
        <v>1460.59</v>
      </c>
      <c r="M926" s="36" t="n">
        <v>0</v>
      </c>
      <c r="N926" s="33" t="s">
        <v>146</v>
      </c>
      <c r="O926" s="33" t="s">
        <v>147</v>
      </c>
    </row>
    <row r="927" customFormat="false" ht="15" hidden="false" customHeight="false" outlineLevel="0" collapsed="false">
      <c r="A927" s="33" t="s">
        <v>1140</v>
      </c>
      <c r="B927" s="34" t="n">
        <v>45307</v>
      </c>
      <c r="C927" s="34" t="n">
        <v>45309</v>
      </c>
      <c r="D927" s="33" t="n">
        <v>27</v>
      </c>
      <c r="E927" s="33" t="s">
        <v>139</v>
      </c>
      <c r="F927" s="33" t="s">
        <v>149</v>
      </c>
      <c r="G927" s="33" t="s">
        <v>150</v>
      </c>
      <c r="H927" s="33" t="s">
        <v>151</v>
      </c>
      <c r="I927" s="33" t="s">
        <v>152</v>
      </c>
      <c r="J927" s="33" t="s">
        <v>159</v>
      </c>
      <c r="K927" s="33" t="s">
        <v>145</v>
      </c>
      <c r="L927" s="35" t="n">
        <v>3258.12</v>
      </c>
      <c r="M927" s="33" t="n">
        <v>5</v>
      </c>
      <c r="N927" s="33" t="s">
        <v>146</v>
      </c>
      <c r="O927" s="33" t="s">
        <v>147</v>
      </c>
    </row>
    <row r="928" customFormat="false" ht="15" hidden="false" customHeight="false" outlineLevel="0" collapsed="false">
      <c r="A928" s="33" t="s">
        <v>1141</v>
      </c>
      <c r="B928" s="34" t="n">
        <v>45654</v>
      </c>
      <c r="C928" s="34" t="n">
        <v>45657</v>
      </c>
      <c r="D928" s="33" t="n">
        <v>12</v>
      </c>
      <c r="E928" s="33" t="s">
        <v>139</v>
      </c>
      <c r="F928" s="33" t="s">
        <v>203</v>
      </c>
      <c r="G928" s="33" t="s">
        <v>241</v>
      </c>
      <c r="H928" s="33" t="s">
        <v>233</v>
      </c>
      <c r="I928" s="33" t="s">
        <v>143</v>
      </c>
      <c r="J928" s="33" t="s">
        <v>159</v>
      </c>
      <c r="K928" s="33" t="s">
        <v>160</v>
      </c>
      <c r="L928" s="35" t="n">
        <v>2500.12</v>
      </c>
      <c r="M928" s="33" t="n">
        <v>3</v>
      </c>
      <c r="N928" s="33" t="s">
        <v>146</v>
      </c>
      <c r="O928" s="36"/>
    </row>
    <row r="929" customFormat="false" ht="15" hidden="false" customHeight="false" outlineLevel="0" collapsed="false">
      <c r="A929" s="33" t="s">
        <v>1142</v>
      </c>
      <c r="B929" s="34" t="n">
        <v>45445</v>
      </c>
      <c r="C929" s="34" t="n">
        <v>45447</v>
      </c>
      <c r="D929" s="33" t="n">
        <v>63</v>
      </c>
      <c r="E929" s="33" t="s">
        <v>139</v>
      </c>
      <c r="F929" s="33" t="s">
        <v>226</v>
      </c>
      <c r="G929" s="33" t="s">
        <v>258</v>
      </c>
      <c r="H929" s="33" t="s">
        <v>263</v>
      </c>
      <c r="I929" s="33" t="s">
        <v>158</v>
      </c>
      <c r="J929" s="33" t="s">
        <v>159</v>
      </c>
      <c r="K929" s="33" t="s">
        <v>184</v>
      </c>
      <c r="L929" s="35" t="n">
        <v>6360</v>
      </c>
      <c r="M929" s="33" t="n">
        <v>5</v>
      </c>
      <c r="N929" s="33" t="s">
        <v>146</v>
      </c>
      <c r="O929" s="33" t="s">
        <v>147</v>
      </c>
    </row>
    <row r="930" customFormat="false" ht="15" hidden="false" customHeight="false" outlineLevel="0" collapsed="false">
      <c r="A930" s="33" t="s">
        <v>1143</v>
      </c>
      <c r="B930" s="34" t="n">
        <v>45565</v>
      </c>
      <c r="C930" s="34" t="n">
        <v>45566</v>
      </c>
      <c r="D930" s="33" t="n">
        <v>58</v>
      </c>
      <c r="E930" s="33" t="s">
        <v>154</v>
      </c>
      <c r="F930" s="33" t="s">
        <v>240</v>
      </c>
      <c r="G930" s="33" t="s">
        <v>204</v>
      </c>
      <c r="H930" s="33" t="s">
        <v>193</v>
      </c>
      <c r="I930" s="33" t="s">
        <v>143</v>
      </c>
      <c r="J930" s="33" t="s">
        <v>159</v>
      </c>
      <c r="K930" s="33" t="s">
        <v>145</v>
      </c>
      <c r="L930" s="35" t="n">
        <v>1067.66</v>
      </c>
      <c r="M930" s="36"/>
      <c r="N930" s="33" t="s">
        <v>146</v>
      </c>
      <c r="O930" s="33" t="s">
        <v>147</v>
      </c>
    </row>
    <row r="931" customFormat="false" ht="15" hidden="false" customHeight="false" outlineLevel="0" collapsed="false">
      <c r="A931" s="33" t="s">
        <v>1144</v>
      </c>
      <c r="B931" s="34" t="n">
        <v>45565</v>
      </c>
      <c r="C931" s="34" t="n">
        <v>45568</v>
      </c>
      <c r="D931" s="33" t="n">
        <v>4</v>
      </c>
      <c r="E931" s="33" t="s">
        <v>154</v>
      </c>
      <c r="F931" s="33" t="s">
        <v>155</v>
      </c>
      <c r="G931" s="33" t="s">
        <v>302</v>
      </c>
      <c r="H931" s="33" t="s">
        <v>222</v>
      </c>
      <c r="I931" s="33" t="s">
        <v>143</v>
      </c>
      <c r="J931" s="33" t="s">
        <v>176</v>
      </c>
      <c r="K931" s="33" t="s">
        <v>209</v>
      </c>
      <c r="L931" s="35" t="n">
        <v>7112.15</v>
      </c>
      <c r="M931" s="33" t="n">
        <v>4</v>
      </c>
      <c r="N931" s="33" t="s">
        <v>146</v>
      </c>
      <c r="O931" s="33" t="s">
        <v>147</v>
      </c>
    </row>
    <row r="932" customFormat="false" ht="15" hidden="false" customHeight="false" outlineLevel="0" collapsed="false">
      <c r="A932" s="33" t="s">
        <v>1145</v>
      </c>
      <c r="B932" s="34" t="n">
        <v>45298</v>
      </c>
      <c r="C932" s="34" t="n">
        <v>45300</v>
      </c>
      <c r="D932" s="33" t="n">
        <v>36</v>
      </c>
      <c r="E932" s="33" t="s">
        <v>139</v>
      </c>
      <c r="F932" s="33" t="s">
        <v>149</v>
      </c>
      <c r="G932" s="33" t="s">
        <v>224</v>
      </c>
      <c r="H932" s="33" t="s">
        <v>151</v>
      </c>
      <c r="I932" s="33" t="s">
        <v>152</v>
      </c>
      <c r="J932" s="33" t="s">
        <v>159</v>
      </c>
      <c r="K932" s="33" t="s">
        <v>184</v>
      </c>
      <c r="L932" s="35" t="n">
        <v>3446.1</v>
      </c>
      <c r="M932" s="33" t="n">
        <v>5</v>
      </c>
      <c r="N932" s="33" t="s">
        <v>146</v>
      </c>
      <c r="O932" s="33" t="s">
        <v>147</v>
      </c>
    </row>
    <row r="933" customFormat="false" ht="15" hidden="false" customHeight="false" outlineLevel="0" collapsed="false">
      <c r="A933" s="33" t="s">
        <v>1146</v>
      </c>
      <c r="B933" s="34" t="n">
        <v>45551</v>
      </c>
      <c r="C933" s="34" t="n">
        <v>45552</v>
      </c>
      <c r="D933" s="33" t="n">
        <v>64</v>
      </c>
      <c r="E933" s="33" t="s">
        <v>139</v>
      </c>
      <c r="F933" s="33" t="s">
        <v>203</v>
      </c>
      <c r="G933" s="33" t="s">
        <v>241</v>
      </c>
      <c r="H933" s="33" t="s">
        <v>205</v>
      </c>
      <c r="I933" s="33" t="s">
        <v>143</v>
      </c>
      <c r="J933" s="33" t="s">
        <v>159</v>
      </c>
      <c r="K933" s="33" t="s">
        <v>160</v>
      </c>
      <c r="L933" s="35" t="n">
        <v>1065.38</v>
      </c>
      <c r="M933" s="33" t="n">
        <v>4</v>
      </c>
      <c r="N933" s="33" t="s">
        <v>146</v>
      </c>
      <c r="O933" s="33" t="s">
        <v>147</v>
      </c>
    </row>
    <row r="934" customFormat="false" ht="15" hidden="false" customHeight="false" outlineLevel="0" collapsed="false">
      <c r="A934" s="33" t="s">
        <v>1147</v>
      </c>
      <c r="B934" s="34" t="n">
        <v>45303</v>
      </c>
      <c r="C934" s="34" t="n">
        <v>45312</v>
      </c>
      <c r="D934" s="33" t="n">
        <v>51</v>
      </c>
      <c r="E934" s="33" t="s">
        <v>180</v>
      </c>
      <c r="F934" s="33" t="s">
        <v>181</v>
      </c>
      <c r="G934" s="33" t="s">
        <v>237</v>
      </c>
      <c r="H934" s="33" t="s">
        <v>245</v>
      </c>
      <c r="I934" s="33" t="s">
        <v>143</v>
      </c>
      <c r="J934" s="33" t="s">
        <v>176</v>
      </c>
      <c r="K934" s="33" t="s">
        <v>160</v>
      </c>
      <c r="L934" s="35" t="n">
        <v>81802.38</v>
      </c>
      <c r="M934" s="33" t="n">
        <v>3</v>
      </c>
      <c r="N934" s="33" t="s">
        <v>210</v>
      </c>
      <c r="O934" s="33" t="s">
        <v>147</v>
      </c>
    </row>
    <row r="935" customFormat="false" ht="15" hidden="false" customHeight="false" outlineLevel="0" collapsed="false">
      <c r="A935" s="33" t="s">
        <v>1148</v>
      </c>
      <c r="B935" s="34" t="n">
        <v>45635</v>
      </c>
      <c r="C935" s="34" t="n">
        <v>45642</v>
      </c>
      <c r="D935" s="33" t="n">
        <v>54</v>
      </c>
      <c r="E935" s="33" t="s">
        <v>257</v>
      </c>
      <c r="F935" s="33" t="s">
        <v>169</v>
      </c>
      <c r="G935" s="33" t="s">
        <v>170</v>
      </c>
      <c r="H935" s="33" t="s">
        <v>171</v>
      </c>
      <c r="I935" s="33" t="s">
        <v>143</v>
      </c>
      <c r="J935" s="33" t="s">
        <v>159</v>
      </c>
      <c r="K935" s="33" t="s">
        <v>145</v>
      </c>
      <c r="L935" s="35" t="n">
        <v>7109.96</v>
      </c>
      <c r="M935" s="33" t="n">
        <v>4</v>
      </c>
      <c r="N935" s="33" t="s">
        <v>146</v>
      </c>
      <c r="O935" s="33" t="s">
        <v>147</v>
      </c>
    </row>
    <row r="936" customFormat="false" ht="15" hidden="false" customHeight="false" outlineLevel="0" collapsed="false">
      <c r="A936" s="33" t="s">
        <v>1149</v>
      </c>
      <c r="B936" s="34" t="n">
        <v>45352</v>
      </c>
      <c r="C936" s="34" t="n">
        <v>45353</v>
      </c>
      <c r="D936" s="33" t="n">
        <v>7</v>
      </c>
      <c r="E936" s="33" t="s">
        <v>154</v>
      </c>
      <c r="F936" s="33" t="s">
        <v>155</v>
      </c>
      <c r="G936" s="33" t="s">
        <v>220</v>
      </c>
      <c r="H936" s="36"/>
      <c r="I936" s="33" t="s">
        <v>143</v>
      </c>
      <c r="J936" s="33" t="s">
        <v>159</v>
      </c>
      <c r="K936" s="33" t="s">
        <v>160</v>
      </c>
      <c r="L936" s="35" t="n">
        <v>809.63</v>
      </c>
      <c r="M936" s="33" t="n">
        <v>4</v>
      </c>
      <c r="N936" s="33" t="s">
        <v>210</v>
      </c>
      <c r="O936" s="33" t="s">
        <v>147</v>
      </c>
    </row>
    <row r="937" customFormat="false" ht="15" hidden="false" customHeight="false" outlineLevel="0" collapsed="false">
      <c r="A937" s="33" t="s">
        <v>1150</v>
      </c>
      <c r="B937" s="34" t="n">
        <v>45518</v>
      </c>
      <c r="C937" s="34" t="n">
        <v>45520</v>
      </c>
      <c r="D937" s="33" t="n">
        <v>17</v>
      </c>
      <c r="E937" s="33" t="s">
        <v>139</v>
      </c>
      <c r="F937" s="33" t="s">
        <v>203</v>
      </c>
      <c r="G937" s="33" t="s">
        <v>241</v>
      </c>
      <c r="H937" s="33" t="s">
        <v>205</v>
      </c>
      <c r="I937" s="33" t="s">
        <v>143</v>
      </c>
      <c r="J937" s="33" t="s">
        <v>159</v>
      </c>
      <c r="K937" s="33" t="s">
        <v>145</v>
      </c>
      <c r="L937" s="35" t="n">
        <v>2181.91</v>
      </c>
      <c r="M937" s="33" t="n">
        <v>3</v>
      </c>
      <c r="N937" s="33" t="s">
        <v>146</v>
      </c>
      <c r="O937" s="33" t="s">
        <v>147</v>
      </c>
    </row>
    <row r="938" customFormat="false" ht="15" hidden="false" customHeight="false" outlineLevel="0" collapsed="false">
      <c r="A938" s="33" t="s">
        <v>1151</v>
      </c>
      <c r="B938" s="34" t="n">
        <v>45375</v>
      </c>
      <c r="C938" s="34" t="n">
        <v>45378</v>
      </c>
      <c r="D938" s="33" t="n">
        <v>53</v>
      </c>
      <c r="E938" s="33" t="s">
        <v>139</v>
      </c>
      <c r="F938" s="33" t="s">
        <v>162</v>
      </c>
      <c r="G938" s="33" t="s">
        <v>170</v>
      </c>
      <c r="H938" s="33" t="s">
        <v>195</v>
      </c>
      <c r="I938" s="33" t="s">
        <v>158</v>
      </c>
      <c r="J938" s="33" t="s">
        <v>159</v>
      </c>
      <c r="K938" s="33" t="s">
        <v>184</v>
      </c>
      <c r="L938" s="35" t="n">
        <v>3194.02</v>
      </c>
      <c r="M938" s="33" t="n">
        <v>4</v>
      </c>
      <c r="N938" s="33" t="s">
        <v>146</v>
      </c>
      <c r="O938" s="33" t="s">
        <v>147</v>
      </c>
    </row>
    <row r="939" customFormat="false" ht="15" hidden="false" customHeight="false" outlineLevel="0" collapsed="false">
      <c r="A939" s="33" t="s">
        <v>1152</v>
      </c>
      <c r="B939" s="34" t="n">
        <v>45597</v>
      </c>
      <c r="C939" s="34" t="n">
        <v>45606</v>
      </c>
      <c r="D939" s="33" t="n">
        <v>56</v>
      </c>
      <c r="E939" s="33" t="s">
        <v>154</v>
      </c>
      <c r="F939" s="33" t="s">
        <v>140</v>
      </c>
      <c r="G939" s="33" t="s">
        <v>141</v>
      </c>
      <c r="H939" s="33" t="s">
        <v>142</v>
      </c>
      <c r="I939" s="33" t="s">
        <v>152</v>
      </c>
      <c r="J939" s="33" t="s">
        <v>159</v>
      </c>
      <c r="K939" s="33" t="s">
        <v>160</v>
      </c>
      <c r="L939" s="35" t="n">
        <v>20309.54</v>
      </c>
      <c r="M939" s="33" t="n">
        <v>4</v>
      </c>
      <c r="N939" s="33" t="s">
        <v>146</v>
      </c>
      <c r="O939" s="33" t="s">
        <v>247</v>
      </c>
    </row>
    <row r="940" customFormat="false" ht="15" hidden="false" customHeight="false" outlineLevel="0" collapsed="false">
      <c r="A940" s="33" t="s">
        <v>1153</v>
      </c>
      <c r="B940" s="34" t="n">
        <v>45325</v>
      </c>
      <c r="C940" s="34" t="n">
        <v>45327</v>
      </c>
      <c r="D940" s="33" t="n">
        <v>5</v>
      </c>
      <c r="E940" s="33" t="s">
        <v>139</v>
      </c>
      <c r="F940" s="33" t="s">
        <v>155</v>
      </c>
      <c r="G940" s="33" t="s">
        <v>302</v>
      </c>
      <c r="H940" s="33" t="s">
        <v>222</v>
      </c>
      <c r="I940" s="33" t="s">
        <v>152</v>
      </c>
      <c r="J940" s="33" t="s">
        <v>159</v>
      </c>
      <c r="K940" s="33" t="s">
        <v>145</v>
      </c>
      <c r="L940" s="35" t="n">
        <v>1912.03</v>
      </c>
      <c r="M940" s="33" t="n">
        <v>4</v>
      </c>
      <c r="N940" s="33" t="s">
        <v>146</v>
      </c>
      <c r="O940" s="33" t="s">
        <v>147</v>
      </c>
    </row>
    <row r="941" customFormat="false" ht="15" hidden="false" customHeight="false" outlineLevel="0" collapsed="false">
      <c r="A941" s="33" t="s">
        <v>1154</v>
      </c>
      <c r="B941" s="34" t="n">
        <v>45381</v>
      </c>
      <c r="C941" s="34" t="n">
        <v>45383</v>
      </c>
      <c r="D941" s="33" t="n">
        <v>9</v>
      </c>
      <c r="E941" s="33" t="s">
        <v>154</v>
      </c>
      <c r="F941" s="33" t="s">
        <v>155</v>
      </c>
      <c r="G941" s="33" t="s">
        <v>302</v>
      </c>
      <c r="H941" s="33" t="s">
        <v>222</v>
      </c>
      <c r="I941" s="33" t="s">
        <v>152</v>
      </c>
      <c r="J941" s="33" t="s">
        <v>159</v>
      </c>
      <c r="K941" s="33" t="s">
        <v>160</v>
      </c>
      <c r="L941" s="35" t="n">
        <v>1686.1</v>
      </c>
      <c r="M941" s="33" t="n">
        <v>4</v>
      </c>
      <c r="N941" s="33" t="s">
        <v>146</v>
      </c>
      <c r="O941" s="33" t="s">
        <v>147</v>
      </c>
    </row>
    <row r="942" customFormat="false" ht="15" hidden="false" customHeight="false" outlineLevel="0" collapsed="false">
      <c r="A942" s="33" t="s">
        <v>1155</v>
      </c>
      <c r="B942" s="34" t="n">
        <v>45432</v>
      </c>
      <c r="C942" s="34" t="n">
        <v>45440</v>
      </c>
      <c r="D942" s="33" t="n">
        <v>55</v>
      </c>
      <c r="E942" s="33" t="s">
        <v>139</v>
      </c>
      <c r="F942" s="33" t="s">
        <v>226</v>
      </c>
      <c r="G942" s="33" t="s">
        <v>386</v>
      </c>
      <c r="H942" s="33" t="s">
        <v>228</v>
      </c>
      <c r="I942" s="33" t="s">
        <v>152</v>
      </c>
      <c r="J942" s="33" t="s">
        <v>159</v>
      </c>
      <c r="K942" s="33" t="s">
        <v>209</v>
      </c>
      <c r="L942" s="35" t="n">
        <v>24719.5</v>
      </c>
      <c r="M942" s="33" t="n">
        <v>3</v>
      </c>
      <c r="N942" s="33" t="s">
        <v>210</v>
      </c>
      <c r="O942" s="33" t="s">
        <v>147</v>
      </c>
    </row>
    <row r="943" customFormat="false" ht="15" hidden="false" customHeight="false" outlineLevel="0" collapsed="false">
      <c r="A943" s="33" t="s">
        <v>1156</v>
      </c>
      <c r="B943" s="34" t="n">
        <v>45466</v>
      </c>
      <c r="C943" s="34" t="n">
        <v>45485</v>
      </c>
      <c r="D943" s="33" t="n">
        <v>47</v>
      </c>
      <c r="E943" s="33" t="s">
        <v>139</v>
      </c>
      <c r="F943" s="33" t="s">
        <v>181</v>
      </c>
      <c r="G943" s="33" t="s">
        <v>182</v>
      </c>
      <c r="H943" s="33" t="s">
        <v>183</v>
      </c>
      <c r="I943" s="33" t="s">
        <v>152</v>
      </c>
      <c r="J943" s="33" t="s">
        <v>144</v>
      </c>
      <c r="K943" s="33" t="s">
        <v>160</v>
      </c>
      <c r="L943" s="35" t="n">
        <v>69156.97</v>
      </c>
      <c r="M943" s="33" t="n">
        <v>4</v>
      </c>
      <c r="N943" s="33" t="s">
        <v>146</v>
      </c>
      <c r="O943" s="33" t="s">
        <v>147</v>
      </c>
    </row>
    <row r="944" customFormat="false" ht="15" hidden="false" customHeight="false" outlineLevel="0" collapsed="false">
      <c r="A944" s="33" t="s">
        <v>1157</v>
      </c>
      <c r="B944" s="34" t="n">
        <v>45644</v>
      </c>
      <c r="C944" s="34" t="n">
        <v>45646</v>
      </c>
      <c r="D944" s="33" t="n">
        <v>50</v>
      </c>
      <c r="E944" s="33" t="s">
        <v>139</v>
      </c>
      <c r="F944" s="33" t="s">
        <v>226</v>
      </c>
      <c r="G944" s="33" t="s">
        <v>386</v>
      </c>
      <c r="H944" s="33" t="s">
        <v>228</v>
      </c>
      <c r="I944" s="33" t="s">
        <v>143</v>
      </c>
      <c r="J944" s="33" t="s">
        <v>159</v>
      </c>
      <c r="K944" s="33" t="s">
        <v>160</v>
      </c>
      <c r="L944" s="35" t="n">
        <v>6619.42</v>
      </c>
      <c r="M944" s="33" t="n">
        <v>4</v>
      </c>
      <c r="N944" s="33" t="s">
        <v>146</v>
      </c>
      <c r="O944" s="33" t="s">
        <v>147</v>
      </c>
    </row>
    <row r="945" customFormat="false" ht="15" hidden="false" customHeight="false" outlineLevel="0" collapsed="false">
      <c r="A945" s="33" t="s">
        <v>1158</v>
      </c>
      <c r="B945" s="34" t="n">
        <v>45594</v>
      </c>
      <c r="C945" s="34" t="n">
        <v>45600</v>
      </c>
      <c r="D945" s="33" t="n">
        <v>37</v>
      </c>
      <c r="E945" s="33" t="s">
        <v>139</v>
      </c>
      <c r="F945" s="33" t="s">
        <v>169</v>
      </c>
      <c r="G945" s="33" t="s">
        <v>170</v>
      </c>
      <c r="H945" s="33" t="s">
        <v>164</v>
      </c>
      <c r="I945" s="33" t="s">
        <v>158</v>
      </c>
      <c r="J945" s="33" t="s">
        <v>159</v>
      </c>
      <c r="K945" s="33" t="s">
        <v>160</v>
      </c>
      <c r="L945" s="35" t="n">
        <v>6852.23</v>
      </c>
      <c r="M945" s="33" t="n">
        <v>5</v>
      </c>
      <c r="N945" s="33" t="s">
        <v>146</v>
      </c>
      <c r="O945" s="33" t="s">
        <v>147</v>
      </c>
    </row>
    <row r="946" customFormat="false" ht="15" hidden="false" customHeight="false" outlineLevel="0" collapsed="false">
      <c r="A946" s="33" t="s">
        <v>1159</v>
      </c>
      <c r="B946" s="34" t="n">
        <v>45300</v>
      </c>
      <c r="C946" s="34" t="n">
        <v>45302</v>
      </c>
      <c r="D946" s="33" t="n">
        <v>5</v>
      </c>
      <c r="E946" s="33" t="s">
        <v>154</v>
      </c>
      <c r="F946" s="33" t="s">
        <v>155</v>
      </c>
      <c r="G946" s="33" t="s">
        <v>220</v>
      </c>
      <c r="H946" s="33" t="s">
        <v>222</v>
      </c>
      <c r="I946" s="33" t="s">
        <v>143</v>
      </c>
      <c r="J946" s="33" t="s">
        <v>159</v>
      </c>
      <c r="K946" s="33" t="s">
        <v>160</v>
      </c>
      <c r="L946" s="35" t="n">
        <v>1731.07</v>
      </c>
      <c r="M946" s="33" t="n">
        <v>4</v>
      </c>
      <c r="N946" s="33" t="s">
        <v>146</v>
      </c>
      <c r="O946" s="33" t="s">
        <v>147</v>
      </c>
    </row>
    <row r="947" customFormat="false" ht="15" hidden="false" customHeight="false" outlineLevel="0" collapsed="false">
      <c r="A947" s="33" t="s">
        <v>1160</v>
      </c>
      <c r="B947" s="34" t="n">
        <v>45629</v>
      </c>
      <c r="C947" s="34" t="n">
        <v>45630</v>
      </c>
      <c r="D947" s="33" t="n">
        <v>0</v>
      </c>
      <c r="E947" s="33" t="s">
        <v>139</v>
      </c>
      <c r="F947" s="33" t="s">
        <v>155</v>
      </c>
      <c r="G947" s="33" t="s">
        <v>156</v>
      </c>
      <c r="H947" s="33" t="s">
        <v>222</v>
      </c>
      <c r="I947" s="33" t="s">
        <v>158</v>
      </c>
      <c r="J947" s="33" t="s">
        <v>159</v>
      </c>
      <c r="K947" s="33" t="s">
        <v>184</v>
      </c>
      <c r="L947" s="35" t="n">
        <v>1021.59</v>
      </c>
      <c r="M947" s="33" t="n">
        <v>4</v>
      </c>
      <c r="N947" s="33" t="s">
        <v>146</v>
      </c>
      <c r="O947" s="33" t="s">
        <v>147</v>
      </c>
    </row>
    <row r="948" customFormat="false" ht="15" hidden="false" customHeight="false" outlineLevel="0" collapsed="false">
      <c r="A948" s="33" t="s">
        <v>1161</v>
      </c>
      <c r="B948" s="34" t="n">
        <v>45328</v>
      </c>
      <c r="C948" s="34" t="n">
        <v>45332</v>
      </c>
      <c r="D948" s="33" t="n">
        <v>74</v>
      </c>
      <c r="E948" s="33" t="s">
        <v>154</v>
      </c>
      <c r="F948" s="33" t="s">
        <v>169</v>
      </c>
      <c r="G948" s="33" t="s">
        <v>213</v>
      </c>
      <c r="H948" s="33" t="s">
        <v>164</v>
      </c>
      <c r="I948" s="33" t="s">
        <v>143</v>
      </c>
      <c r="J948" s="33" t="s">
        <v>159</v>
      </c>
      <c r="K948" s="33" t="s">
        <v>160</v>
      </c>
      <c r="L948" s="35" t="n">
        <v>4612.02</v>
      </c>
      <c r="M948" s="33" t="n">
        <v>5</v>
      </c>
      <c r="N948" s="33" t="s">
        <v>146</v>
      </c>
      <c r="O948" s="36"/>
    </row>
    <row r="949" customFormat="false" ht="15" hidden="false" customHeight="false" outlineLevel="0" collapsed="false">
      <c r="A949" s="33" t="s">
        <v>1162</v>
      </c>
      <c r="B949" s="34" t="n">
        <v>45498</v>
      </c>
      <c r="C949" s="34" t="n">
        <v>45507</v>
      </c>
      <c r="D949" s="33" t="n">
        <v>41</v>
      </c>
      <c r="E949" s="33" t="s">
        <v>154</v>
      </c>
      <c r="F949" s="33" t="s">
        <v>173</v>
      </c>
      <c r="G949" s="33" t="s">
        <v>174</v>
      </c>
      <c r="H949" s="33" t="s">
        <v>175</v>
      </c>
      <c r="I949" s="33" t="s">
        <v>152</v>
      </c>
      <c r="J949" s="33" t="s">
        <v>159</v>
      </c>
      <c r="K949" s="33" t="s">
        <v>209</v>
      </c>
      <c r="L949" s="35" t="n">
        <v>23653.16</v>
      </c>
      <c r="M949" s="33" t="n">
        <v>4</v>
      </c>
      <c r="N949" s="33" t="s">
        <v>146</v>
      </c>
      <c r="O949" s="33" t="s">
        <v>247</v>
      </c>
    </row>
    <row r="950" customFormat="false" ht="15" hidden="false" customHeight="false" outlineLevel="0" collapsed="false">
      <c r="A950" s="33" t="s">
        <v>1163</v>
      </c>
      <c r="B950" s="34" t="n">
        <v>45548</v>
      </c>
      <c r="C950" s="34" t="n">
        <v>45563</v>
      </c>
      <c r="D950" s="33" t="n">
        <v>37</v>
      </c>
      <c r="E950" s="33" t="s">
        <v>154</v>
      </c>
      <c r="F950" s="33" t="s">
        <v>181</v>
      </c>
      <c r="G950" s="33" t="s">
        <v>182</v>
      </c>
      <c r="H950" s="33" t="s">
        <v>183</v>
      </c>
      <c r="I950" s="33" t="s">
        <v>158</v>
      </c>
      <c r="J950" s="33" t="s">
        <v>159</v>
      </c>
      <c r="K950" s="36"/>
      <c r="L950" s="35" t="n">
        <v>37596.39</v>
      </c>
      <c r="M950" s="33" t="n">
        <v>4</v>
      </c>
      <c r="N950" s="33" t="s">
        <v>146</v>
      </c>
      <c r="O950" s="33" t="s">
        <v>147</v>
      </c>
    </row>
    <row r="951" customFormat="false" ht="15" hidden="false" customHeight="false" outlineLevel="0" collapsed="false">
      <c r="A951" s="33" t="s">
        <v>1164</v>
      </c>
      <c r="B951" s="34" t="n">
        <v>45457</v>
      </c>
      <c r="C951" s="34" t="n">
        <v>45460</v>
      </c>
      <c r="D951" s="33" t="n">
        <v>60</v>
      </c>
      <c r="E951" s="33" t="s">
        <v>139</v>
      </c>
      <c r="F951" s="33" t="s">
        <v>226</v>
      </c>
      <c r="G951" s="33" t="s">
        <v>258</v>
      </c>
      <c r="H951" s="33" t="s">
        <v>228</v>
      </c>
      <c r="I951" s="33" t="s">
        <v>158</v>
      </c>
      <c r="J951" s="33" t="s">
        <v>144</v>
      </c>
      <c r="K951" s="33" t="s">
        <v>184</v>
      </c>
      <c r="L951" s="35" t="n">
        <v>18287.86</v>
      </c>
      <c r="M951" s="33" t="n">
        <v>3</v>
      </c>
      <c r="N951" s="33" t="s">
        <v>146</v>
      </c>
      <c r="O951" s="33" t="s">
        <v>147</v>
      </c>
    </row>
    <row r="952" customFormat="false" ht="15" hidden="false" customHeight="false" outlineLevel="0" collapsed="false">
      <c r="A952" s="33" t="s">
        <v>1165</v>
      </c>
      <c r="B952" s="34" t="n">
        <v>45340</v>
      </c>
      <c r="C952" s="34" t="n">
        <v>45345</v>
      </c>
      <c r="D952" s="33" t="n">
        <v>43</v>
      </c>
      <c r="E952" s="33" t="s">
        <v>139</v>
      </c>
      <c r="F952" s="33" t="s">
        <v>140</v>
      </c>
      <c r="G952" s="33" t="s">
        <v>141</v>
      </c>
      <c r="H952" s="33" t="s">
        <v>290</v>
      </c>
      <c r="I952" s="33" t="s">
        <v>143</v>
      </c>
      <c r="J952" s="33" t="s">
        <v>159</v>
      </c>
      <c r="K952" s="33" t="s">
        <v>184</v>
      </c>
      <c r="L952" s="35" t="n">
        <v>12145.9</v>
      </c>
      <c r="M952" s="33" t="n">
        <v>4</v>
      </c>
      <c r="N952" s="33" t="s">
        <v>146</v>
      </c>
      <c r="O952" s="33" t="s">
        <v>147</v>
      </c>
    </row>
    <row r="953" customFormat="false" ht="15" hidden="false" customHeight="false" outlineLevel="0" collapsed="false">
      <c r="A953" s="33" t="s">
        <v>1166</v>
      </c>
      <c r="B953" s="34" t="n">
        <v>45540</v>
      </c>
      <c r="C953" s="34" t="n">
        <v>45548</v>
      </c>
      <c r="D953" s="33" t="n">
        <v>35</v>
      </c>
      <c r="E953" s="33" t="s">
        <v>154</v>
      </c>
      <c r="F953" s="33" t="s">
        <v>173</v>
      </c>
      <c r="G953" s="33" t="s">
        <v>174</v>
      </c>
      <c r="H953" s="33" t="s">
        <v>175</v>
      </c>
      <c r="I953" s="33" t="s">
        <v>143</v>
      </c>
      <c r="J953" s="33" t="s">
        <v>159</v>
      </c>
      <c r="K953" s="33" t="s">
        <v>184</v>
      </c>
      <c r="L953" s="35" t="n">
        <v>20147.49</v>
      </c>
      <c r="M953" s="33" t="n">
        <v>5</v>
      </c>
      <c r="N953" s="33" t="s">
        <v>210</v>
      </c>
      <c r="O953" s="36"/>
    </row>
    <row r="954" customFormat="false" ht="15" hidden="false" customHeight="false" outlineLevel="0" collapsed="false">
      <c r="A954" s="33" t="s">
        <v>1167</v>
      </c>
      <c r="B954" s="34" t="n">
        <v>45585</v>
      </c>
      <c r="C954" s="34" t="n">
        <v>45586</v>
      </c>
      <c r="D954" s="33" t="n">
        <v>56</v>
      </c>
      <c r="E954" s="33" t="s">
        <v>154</v>
      </c>
      <c r="F954" s="33" t="s">
        <v>203</v>
      </c>
      <c r="G954" s="33" t="s">
        <v>192</v>
      </c>
      <c r="H954" s="33" t="s">
        <v>233</v>
      </c>
      <c r="I954" s="33" t="s">
        <v>152</v>
      </c>
      <c r="J954" s="33" t="s">
        <v>159</v>
      </c>
      <c r="K954" s="33" t="s">
        <v>160</v>
      </c>
      <c r="L954" s="35" t="n">
        <v>885.82</v>
      </c>
      <c r="M954" s="33" t="n">
        <v>4</v>
      </c>
      <c r="N954" s="33" t="s">
        <v>146</v>
      </c>
      <c r="O954" s="33" t="s">
        <v>206</v>
      </c>
    </row>
    <row r="955" customFormat="false" ht="15" hidden="false" customHeight="false" outlineLevel="0" collapsed="false">
      <c r="A955" s="33" t="s">
        <v>1168</v>
      </c>
      <c r="B955" s="34" t="n">
        <v>45449</v>
      </c>
      <c r="C955" s="34" t="n">
        <v>45454</v>
      </c>
      <c r="D955" s="33" t="n">
        <v>61</v>
      </c>
      <c r="E955" s="33" t="s">
        <v>154</v>
      </c>
      <c r="F955" s="33" t="s">
        <v>181</v>
      </c>
      <c r="G955" s="33" t="s">
        <v>237</v>
      </c>
      <c r="H955" s="33" t="s">
        <v>245</v>
      </c>
      <c r="I955" s="33" t="s">
        <v>143</v>
      </c>
      <c r="J955" s="33" t="s">
        <v>144</v>
      </c>
      <c r="K955" s="33" t="s">
        <v>145</v>
      </c>
      <c r="L955" s="35" t="n">
        <v>20935.9</v>
      </c>
      <c r="M955" s="33" t="n">
        <v>3</v>
      </c>
      <c r="N955" s="33" t="s">
        <v>210</v>
      </c>
      <c r="O955" s="33" t="s">
        <v>147</v>
      </c>
    </row>
    <row r="956" customFormat="false" ht="15" hidden="false" customHeight="false" outlineLevel="0" collapsed="false">
      <c r="A956" s="33" t="s">
        <v>1169</v>
      </c>
      <c r="B956" s="34" t="n">
        <v>45318</v>
      </c>
      <c r="C956" s="34" t="n">
        <v>45317</v>
      </c>
      <c r="D956" s="33" t="n">
        <v>23</v>
      </c>
      <c r="E956" s="33" t="s">
        <v>154</v>
      </c>
      <c r="F956" s="33" t="s">
        <v>240</v>
      </c>
      <c r="G956" s="33" t="s">
        <v>192</v>
      </c>
      <c r="H956" s="33" t="s">
        <v>233</v>
      </c>
      <c r="I956" s="33" t="s">
        <v>143</v>
      </c>
      <c r="J956" s="33" t="s">
        <v>159</v>
      </c>
      <c r="K956" s="33" t="s">
        <v>145</v>
      </c>
      <c r="L956" s="35" t="n">
        <v>984.25</v>
      </c>
      <c r="M956" s="36"/>
      <c r="N956" s="33" t="s">
        <v>146</v>
      </c>
      <c r="O956" s="33" t="s">
        <v>147</v>
      </c>
    </row>
    <row r="957" customFormat="false" ht="15" hidden="false" customHeight="false" outlineLevel="0" collapsed="false">
      <c r="A957" s="33" t="s">
        <v>1170</v>
      </c>
      <c r="B957" s="34" t="n">
        <v>45465</v>
      </c>
      <c r="C957" s="34" t="n">
        <v>45472</v>
      </c>
      <c r="D957" s="33" t="n">
        <v>66</v>
      </c>
      <c r="E957" s="33" t="s">
        <v>154</v>
      </c>
      <c r="F957" s="33" t="s">
        <v>181</v>
      </c>
      <c r="G957" s="33" t="s">
        <v>188</v>
      </c>
      <c r="H957" s="33" t="s">
        <v>245</v>
      </c>
      <c r="I957" s="33" t="s">
        <v>143</v>
      </c>
      <c r="J957" s="33" t="s">
        <v>176</v>
      </c>
      <c r="K957" s="33" t="s">
        <v>145</v>
      </c>
      <c r="L957" s="35" t="n">
        <v>64724.44</v>
      </c>
      <c r="M957" s="33" t="n">
        <v>4</v>
      </c>
      <c r="N957" s="33" t="s">
        <v>146</v>
      </c>
      <c r="O957" s="33" t="s">
        <v>147</v>
      </c>
    </row>
    <row r="958" customFormat="false" ht="15" hidden="false" customHeight="false" outlineLevel="0" collapsed="false">
      <c r="A958" s="33" t="s">
        <v>1171</v>
      </c>
      <c r="B958" s="34" t="n">
        <v>45348</v>
      </c>
      <c r="C958" s="34" t="n">
        <v>45355</v>
      </c>
      <c r="D958" s="33" t="n">
        <v>69</v>
      </c>
      <c r="E958" s="33" t="s">
        <v>154</v>
      </c>
      <c r="F958" s="33" t="s">
        <v>181</v>
      </c>
      <c r="G958" s="33" t="s">
        <v>237</v>
      </c>
      <c r="H958" s="33" t="s">
        <v>183</v>
      </c>
      <c r="I958" s="33" t="s">
        <v>152</v>
      </c>
      <c r="J958" s="33" t="s">
        <v>176</v>
      </c>
      <c r="K958" s="33" t="s">
        <v>160</v>
      </c>
      <c r="L958" s="35" t="n">
        <v>55018.85</v>
      </c>
      <c r="M958" s="33" t="n">
        <v>4</v>
      </c>
      <c r="N958" s="33" t="s">
        <v>146</v>
      </c>
      <c r="O958" s="33" t="s">
        <v>147</v>
      </c>
    </row>
    <row r="959" customFormat="false" ht="15" hidden="false" customHeight="false" outlineLevel="0" collapsed="false">
      <c r="A959" s="33" t="s">
        <v>1172</v>
      </c>
      <c r="B959" s="34" t="n">
        <v>45335</v>
      </c>
      <c r="C959" s="34" t="n">
        <v>45336</v>
      </c>
      <c r="D959" s="33" t="n">
        <v>88</v>
      </c>
      <c r="E959" s="33" t="s">
        <v>139</v>
      </c>
      <c r="F959" s="33" t="s">
        <v>203</v>
      </c>
      <c r="G959" s="33" t="s">
        <v>192</v>
      </c>
      <c r="H959" s="33" t="s">
        <v>193</v>
      </c>
      <c r="I959" s="33" t="s">
        <v>143</v>
      </c>
      <c r="J959" s="33" t="s">
        <v>159</v>
      </c>
      <c r="K959" s="33" t="s">
        <v>160</v>
      </c>
      <c r="L959" s="35" t="n">
        <v>1007.66</v>
      </c>
      <c r="M959" s="33" t="n">
        <v>3</v>
      </c>
      <c r="N959" s="33" t="s">
        <v>146</v>
      </c>
      <c r="O959" s="33" t="s">
        <v>147</v>
      </c>
    </row>
    <row r="960" customFormat="false" ht="15" hidden="false" customHeight="false" outlineLevel="0" collapsed="false">
      <c r="A960" s="33" t="s">
        <v>1173</v>
      </c>
      <c r="B960" s="34" t="n">
        <v>45451</v>
      </c>
      <c r="C960" s="34" t="n">
        <v>45452</v>
      </c>
      <c r="D960" s="33" t="n">
        <v>8</v>
      </c>
      <c r="E960" s="33" t="s">
        <v>154</v>
      </c>
      <c r="F960" s="33" t="s">
        <v>155</v>
      </c>
      <c r="G960" s="33" t="s">
        <v>156</v>
      </c>
      <c r="H960" s="33" t="s">
        <v>157</v>
      </c>
      <c r="I960" s="33" t="s">
        <v>158</v>
      </c>
      <c r="J960" s="33" t="s">
        <v>144</v>
      </c>
      <c r="K960" s="36"/>
      <c r="L960" s="35" t="n">
        <v>1264.33</v>
      </c>
      <c r="M960" s="33" t="n">
        <v>4</v>
      </c>
      <c r="N960" s="33" t="s">
        <v>146</v>
      </c>
      <c r="O960" s="33" t="s">
        <v>147</v>
      </c>
    </row>
    <row r="961" customFormat="false" ht="15" hidden="false" customHeight="false" outlineLevel="0" collapsed="false">
      <c r="A961" s="33" t="s">
        <v>1174</v>
      </c>
      <c r="B961" s="34" t="n">
        <v>45462</v>
      </c>
      <c r="C961" s="34" t="n">
        <v>45463</v>
      </c>
      <c r="D961" s="33" t="n">
        <v>21</v>
      </c>
      <c r="E961" s="33" t="s">
        <v>139</v>
      </c>
      <c r="F961" s="33" t="s">
        <v>149</v>
      </c>
      <c r="G961" s="33" t="s">
        <v>150</v>
      </c>
      <c r="H961" s="33" t="s">
        <v>186</v>
      </c>
      <c r="I961" s="33" t="s">
        <v>143</v>
      </c>
      <c r="J961" s="33" t="s">
        <v>159</v>
      </c>
      <c r="K961" s="33" t="s">
        <v>209</v>
      </c>
      <c r="L961" s="35" t="n">
        <v>1536.65</v>
      </c>
      <c r="M961" s="33" t="n">
        <v>3</v>
      </c>
      <c r="N961" s="33" t="s">
        <v>146</v>
      </c>
      <c r="O961" s="33" t="s">
        <v>147</v>
      </c>
    </row>
    <row r="962" customFormat="false" ht="15" hidden="false" customHeight="false" outlineLevel="0" collapsed="false">
      <c r="A962" s="33" t="s">
        <v>1175</v>
      </c>
      <c r="B962" s="34" t="n">
        <v>45336</v>
      </c>
      <c r="C962" s="34" t="n">
        <v>45338</v>
      </c>
      <c r="D962" s="33" t="n">
        <v>41</v>
      </c>
      <c r="E962" s="33" t="s">
        <v>139</v>
      </c>
      <c r="F962" s="33" t="s">
        <v>203</v>
      </c>
      <c r="G962" s="33" t="s">
        <v>204</v>
      </c>
      <c r="H962" s="33" t="s">
        <v>233</v>
      </c>
      <c r="I962" s="33" t="s">
        <v>143</v>
      </c>
      <c r="J962" s="33" t="s">
        <v>159</v>
      </c>
      <c r="K962" s="33" t="s">
        <v>145</v>
      </c>
      <c r="L962" s="35" t="n">
        <v>2215.85</v>
      </c>
      <c r="M962" s="33" t="n">
        <v>3</v>
      </c>
      <c r="N962" s="33" t="s">
        <v>146</v>
      </c>
      <c r="O962" s="33" t="s">
        <v>147</v>
      </c>
    </row>
    <row r="963" customFormat="false" ht="15" hidden="false" customHeight="false" outlineLevel="0" collapsed="false">
      <c r="A963" s="33" t="s">
        <v>1176</v>
      </c>
      <c r="B963" s="34" t="n">
        <v>45344</v>
      </c>
      <c r="C963" s="34" t="n">
        <v>45345</v>
      </c>
      <c r="D963" s="33" t="n">
        <v>40</v>
      </c>
      <c r="E963" s="33" t="s">
        <v>154</v>
      </c>
      <c r="F963" s="33" t="s">
        <v>181</v>
      </c>
      <c r="G963" s="33" t="s">
        <v>182</v>
      </c>
      <c r="H963" s="33" t="s">
        <v>183</v>
      </c>
      <c r="I963" s="33" t="s">
        <v>152</v>
      </c>
      <c r="J963" s="33" t="s">
        <v>159</v>
      </c>
      <c r="K963" s="33" t="s">
        <v>145</v>
      </c>
      <c r="L963" s="35" t="n">
        <v>2423.1</v>
      </c>
      <c r="M963" s="33" t="n">
        <v>4</v>
      </c>
      <c r="N963" s="33" t="s">
        <v>146</v>
      </c>
      <c r="O963" s="33" t="s">
        <v>147</v>
      </c>
    </row>
    <row r="964" customFormat="false" ht="15" hidden="false" customHeight="false" outlineLevel="0" collapsed="false">
      <c r="A964" s="33" t="s">
        <v>1177</v>
      </c>
      <c r="B964" s="34" t="n">
        <v>45612</v>
      </c>
      <c r="C964" s="34" t="n">
        <v>45619</v>
      </c>
      <c r="D964" s="33" t="n">
        <v>61</v>
      </c>
      <c r="E964" s="33" t="s">
        <v>190</v>
      </c>
      <c r="F964" s="33" t="s">
        <v>212</v>
      </c>
      <c r="G964" s="33" t="s">
        <v>230</v>
      </c>
      <c r="H964" s="33" t="s">
        <v>171</v>
      </c>
      <c r="I964" s="33" t="s">
        <v>143</v>
      </c>
      <c r="J964" s="33" t="s">
        <v>176</v>
      </c>
      <c r="K964" s="33" t="s">
        <v>145</v>
      </c>
      <c r="L964" s="35" t="n">
        <v>30454.83</v>
      </c>
      <c r="M964" s="33" t="n">
        <v>5</v>
      </c>
      <c r="N964" s="33" t="s">
        <v>146</v>
      </c>
      <c r="O964" s="33" t="s">
        <v>147</v>
      </c>
    </row>
    <row r="965" customFormat="false" ht="15" hidden="false" customHeight="false" outlineLevel="0" collapsed="false">
      <c r="A965" s="33" t="s">
        <v>1178</v>
      </c>
      <c r="B965" s="34" t="n">
        <v>45487</v>
      </c>
      <c r="C965" s="34" t="n">
        <v>45489</v>
      </c>
      <c r="D965" s="33" t="n">
        <v>30</v>
      </c>
      <c r="E965" s="33" t="s">
        <v>139</v>
      </c>
      <c r="F965" s="33" t="s">
        <v>203</v>
      </c>
      <c r="G965" s="33" t="s">
        <v>217</v>
      </c>
      <c r="H965" s="33" t="s">
        <v>233</v>
      </c>
      <c r="I965" s="33" t="s">
        <v>143</v>
      </c>
      <c r="J965" s="33" t="s">
        <v>159</v>
      </c>
      <c r="K965" s="33" t="s">
        <v>184</v>
      </c>
      <c r="L965" s="35" t="n">
        <v>1810.83</v>
      </c>
      <c r="M965" s="33" t="n">
        <v>5</v>
      </c>
      <c r="N965" s="33" t="s">
        <v>146</v>
      </c>
      <c r="O965" s="33" t="s">
        <v>247</v>
      </c>
    </row>
    <row r="966" customFormat="false" ht="15" hidden="false" customHeight="false" outlineLevel="0" collapsed="false">
      <c r="A966" s="33" t="s">
        <v>1179</v>
      </c>
      <c r="B966" s="34" t="n">
        <v>45352</v>
      </c>
      <c r="C966" s="34" t="n">
        <v>45353</v>
      </c>
      <c r="D966" s="33" t="n">
        <v>41</v>
      </c>
      <c r="E966" s="33" t="s">
        <v>139</v>
      </c>
      <c r="F966" s="33" t="s">
        <v>203</v>
      </c>
      <c r="G966" s="33" t="s">
        <v>232</v>
      </c>
      <c r="H966" s="33" t="s">
        <v>205</v>
      </c>
      <c r="I966" s="33" t="s">
        <v>143</v>
      </c>
      <c r="J966" s="33" t="s">
        <v>159</v>
      </c>
      <c r="K966" s="33" t="s">
        <v>145</v>
      </c>
      <c r="L966" s="35" t="n">
        <v>774.2</v>
      </c>
      <c r="M966" s="33" t="n">
        <v>3</v>
      </c>
      <c r="N966" s="33" t="s">
        <v>146</v>
      </c>
      <c r="O966" s="33" t="s">
        <v>147</v>
      </c>
    </row>
    <row r="967" customFormat="false" ht="15" hidden="false" customHeight="false" outlineLevel="0" collapsed="false">
      <c r="A967" s="33" t="s">
        <v>1180</v>
      </c>
      <c r="B967" s="34" t="n">
        <v>45534</v>
      </c>
      <c r="C967" s="34" t="n">
        <v>45540</v>
      </c>
      <c r="D967" s="33" t="n">
        <v>59</v>
      </c>
      <c r="E967" s="33" t="s">
        <v>139</v>
      </c>
      <c r="F967" s="33" t="s">
        <v>140</v>
      </c>
      <c r="G967" s="33" t="s">
        <v>316</v>
      </c>
      <c r="H967" s="33" t="s">
        <v>142</v>
      </c>
      <c r="I967" s="33" t="s">
        <v>152</v>
      </c>
      <c r="J967" s="33" t="s">
        <v>159</v>
      </c>
      <c r="K967" s="33" t="s">
        <v>145</v>
      </c>
      <c r="L967" s="35" t="n">
        <v>14044.65</v>
      </c>
      <c r="M967" s="33" t="n">
        <v>5</v>
      </c>
      <c r="N967" s="33" t="s">
        <v>146</v>
      </c>
      <c r="O967" s="33" t="s">
        <v>147</v>
      </c>
    </row>
    <row r="968" customFormat="false" ht="15" hidden="false" customHeight="false" outlineLevel="0" collapsed="false">
      <c r="A968" s="33" t="s">
        <v>1181</v>
      </c>
      <c r="B968" s="34" t="n">
        <v>45400</v>
      </c>
      <c r="C968" s="34" t="n">
        <v>45402</v>
      </c>
      <c r="D968" s="33" t="n">
        <v>43</v>
      </c>
      <c r="E968" s="33" t="s">
        <v>139</v>
      </c>
      <c r="F968" s="33" t="s">
        <v>191</v>
      </c>
      <c r="G968" s="33" t="s">
        <v>232</v>
      </c>
      <c r="H968" s="33" t="s">
        <v>233</v>
      </c>
      <c r="I968" s="33" t="s">
        <v>143</v>
      </c>
      <c r="J968" s="33" t="s">
        <v>159</v>
      </c>
      <c r="K968" s="33" t="s">
        <v>160</v>
      </c>
      <c r="L968" s="35" t="n">
        <v>1498.58</v>
      </c>
      <c r="M968" s="33" t="n">
        <v>4</v>
      </c>
      <c r="N968" s="33" t="s">
        <v>210</v>
      </c>
      <c r="O968" s="33" t="s">
        <v>147</v>
      </c>
    </row>
    <row r="969" customFormat="false" ht="15" hidden="false" customHeight="false" outlineLevel="0" collapsed="false">
      <c r="A969" s="33" t="s">
        <v>1182</v>
      </c>
      <c r="B969" s="34" t="n">
        <v>45354</v>
      </c>
      <c r="C969" s="34" t="n">
        <v>45356</v>
      </c>
      <c r="D969" s="33" t="n">
        <v>46</v>
      </c>
      <c r="E969" s="33" t="s">
        <v>139</v>
      </c>
      <c r="F969" s="33" t="s">
        <v>169</v>
      </c>
      <c r="G969" s="33" t="s">
        <v>230</v>
      </c>
      <c r="H969" s="33" t="s">
        <v>195</v>
      </c>
      <c r="I969" s="33" t="s">
        <v>143</v>
      </c>
      <c r="J969" s="33" t="s">
        <v>159</v>
      </c>
      <c r="K969" s="33" t="s">
        <v>209</v>
      </c>
      <c r="L969" s="35" t="n">
        <v>2081.76</v>
      </c>
      <c r="M969" s="33" t="n">
        <v>4</v>
      </c>
      <c r="N969" s="33" t="s">
        <v>146</v>
      </c>
      <c r="O969" s="33" t="s">
        <v>147</v>
      </c>
    </row>
    <row r="970" customFormat="false" ht="15" hidden="false" customHeight="false" outlineLevel="0" collapsed="false">
      <c r="A970" s="33" t="s">
        <v>1183</v>
      </c>
      <c r="B970" s="34" t="n">
        <v>45628</v>
      </c>
      <c r="C970" s="34" t="n">
        <v>45635</v>
      </c>
      <c r="D970" s="33" t="n">
        <v>32</v>
      </c>
      <c r="E970" s="33" t="s">
        <v>139</v>
      </c>
      <c r="F970" s="33" t="s">
        <v>212</v>
      </c>
      <c r="G970" s="33" t="s">
        <v>213</v>
      </c>
      <c r="H970" s="33" t="s">
        <v>171</v>
      </c>
      <c r="I970" s="33" t="s">
        <v>143</v>
      </c>
      <c r="J970" s="33" t="s">
        <v>144</v>
      </c>
      <c r="K970" s="33" t="s">
        <v>184</v>
      </c>
      <c r="L970" s="35" t="n">
        <v>13088.27</v>
      </c>
      <c r="M970" s="33" t="n">
        <v>5</v>
      </c>
      <c r="N970" s="33" t="s">
        <v>146</v>
      </c>
      <c r="O970" s="33" t="s">
        <v>147</v>
      </c>
    </row>
    <row r="971" customFormat="false" ht="15" hidden="false" customHeight="false" outlineLevel="0" collapsed="false">
      <c r="A971" s="33" t="s">
        <v>1184</v>
      </c>
      <c r="B971" s="34" t="n">
        <v>45557</v>
      </c>
      <c r="C971" s="34" t="n">
        <v>45558</v>
      </c>
      <c r="D971" s="33" t="n">
        <v>14</v>
      </c>
      <c r="E971" s="33" t="s">
        <v>257</v>
      </c>
      <c r="F971" s="33" t="s">
        <v>240</v>
      </c>
      <c r="G971" s="33" t="s">
        <v>241</v>
      </c>
      <c r="H971" s="33" t="s">
        <v>205</v>
      </c>
      <c r="I971" s="33" t="s">
        <v>143</v>
      </c>
      <c r="J971" s="33" t="s">
        <v>176</v>
      </c>
      <c r="K971" s="33" t="s">
        <v>145</v>
      </c>
      <c r="L971" s="35" t="n">
        <v>2780.38</v>
      </c>
      <c r="M971" s="33" t="n">
        <v>3</v>
      </c>
      <c r="N971" s="33" t="s">
        <v>146</v>
      </c>
      <c r="O971" s="33" t="s">
        <v>147</v>
      </c>
    </row>
    <row r="972" customFormat="false" ht="15" hidden="false" customHeight="false" outlineLevel="0" collapsed="false">
      <c r="A972" s="33" t="s">
        <v>1185</v>
      </c>
      <c r="B972" s="34" t="n">
        <v>45596</v>
      </c>
      <c r="C972" s="34" t="n">
        <v>45601</v>
      </c>
      <c r="D972" s="33" t="n">
        <v>24</v>
      </c>
      <c r="E972" s="33" t="s">
        <v>154</v>
      </c>
      <c r="F972" s="33" t="s">
        <v>169</v>
      </c>
      <c r="G972" s="33" t="s">
        <v>163</v>
      </c>
      <c r="H972" s="33" t="s">
        <v>164</v>
      </c>
      <c r="I972" s="33" t="s">
        <v>143</v>
      </c>
      <c r="J972" s="33" t="s">
        <v>144</v>
      </c>
      <c r="K972" s="33" t="s">
        <v>209</v>
      </c>
      <c r="L972" s="35" t="n">
        <v>11114.62</v>
      </c>
      <c r="M972" s="33" t="n">
        <v>4</v>
      </c>
      <c r="N972" s="33" t="s">
        <v>146</v>
      </c>
      <c r="O972" s="33" t="s">
        <v>147</v>
      </c>
    </row>
    <row r="973" customFormat="false" ht="15" hidden="false" customHeight="false" outlineLevel="0" collapsed="false">
      <c r="A973" s="33" t="s">
        <v>1186</v>
      </c>
      <c r="B973" s="34" t="n">
        <v>45397</v>
      </c>
      <c r="C973" s="34" t="n">
        <v>45403</v>
      </c>
      <c r="D973" s="33" t="n">
        <v>55</v>
      </c>
      <c r="E973" s="33" t="s">
        <v>139</v>
      </c>
      <c r="F973" s="33" t="s">
        <v>169</v>
      </c>
      <c r="G973" s="33" t="s">
        <v>163</v>
      </c>
      <c r="H973" s="33" t="s">
        <v>164</v>
      </c>
      <c r="I973" s="33" t="s">
        <v>143</v>
      </c>
      <c r="J973" s="33" t="s">
        <v>144</v>
      </c>
      <c r="K973" s="33" t="s">
        <v>145</v>
      </c>
      <c r="L973" s="35" t="n">
        <v>10600.01</v>
      </c>
      <c r="M973" s="33" t="n">
        <v>5</v>
      </c>
      <c r="N973" s="33" t="s">
        <v>146</v>
      </c>
      <c r="O973" s="33" t="s">
        <v>147</v>
      </c>
    </row>
    <row r="974" customFormat="false" ht="15" hidden="false" customHeight="false" outlineLevel="0" collapsed="false">
      <c r="A974" s="33" t="s">
        <v>1187</v>
      </c>
      <c r="B974" s="34" t="n">
        <v>45456</v>
      </c>
      <c r="C974" s="34" t="n">
        <v>45457</v>
      </c>
      <c r="D974" s="33" t="n">
        <v>63</v>
      </c>
      <c r="E974" s="33" t="s">
        <v>139</v>
      </c>
      <c r="F974" s="33" t="s">
        <v>173</v>
      </c>
      <c r="G974" s="33" t="s">
        <v>198</v>
      </c>
      <c r="H974" s="33" t="s">
        <v>199</v>
      </c>
      <c r="I974" s="33" t="s">
        <v>152</v>
      </c>
      <c r="J974" s="33" t="s">
        <v>176</v>
      </c>
      <c r="K974" s="33" t="s">
        <v>145</v>
      </c>
      <c r="L974" s="35" t="n">
        <v>10308.85</v>
      </c>
      <c r="M974" s="33" t="n">
        <v>3</v>
      </c>
      <c r="N974" s="33" t="s">
        <v>146</v>
      </c>
      <c r="O974" s="33" t="s">
        <v>147</v>
      </c>
    </row>
    <row r="975" customFormat="false" ht="15" hidden="false" customHeight="false" outlineLevel="0" collapsed="false">
      <c r="A975" s="33" t="s">
        <v>1188</v>
      </c>
      <c r="B975" s="34" t="n">
        <v>45628</v>
      </c>
      <c r="C975" s="34" t="n">
        <v>45635</v>
      </c>
      <c r="D975" s="33" t="n">
        <v>14</v>
      </c>
      <c r="E975" s="33" t="s">
        <v>154</v>
      </c>
      <c r="F975" s="33" t="s">
        <v>169</v>
      </c>
      <c r="G975" s="33" t="s">
        <v>213</v>
      </c>
      <c r="H975" s="33" t="s">
        <v>164</v>
      </c>
      <c r="I975" s="33" t="s">
        <v>143</v>
      </c>
      <c r="J975" s="33" t="s">
        <v>159</v>
      </c>
      <c r="K975" s="33" t="s">
        <v>184</v>
      </c>
      <c r="L975" s="35" t="n">
        <v>7402.04</v>
      </c>
      <c r="M975" s="36"/>
      <c r="N975" s="33" t="s">
        <v>146</v>
      </c>
      <c r="O975" s="33" t="s">
        <v>247</v>
      </c>
    </row>
    <row r="976" customFormat="false" ht="15" hidden="false" customHeight="false" outlineLevel="0" collapsed="false">
      <c r="A976" s="33" t="s">
        <v>1189</v>
      </c>
      <c r="B976" s="34" t="n">
        <v>45418</v>
      </c>
      <c r="C976" s="34" t="n">
        <v>45419</v>
      </c>
      <c r="D976" s="33" t="n">
        <v>24</v>
      </c>
      <c r="E976" s="33" t="s">
        <v>154</v>
      </c>
      <c r="F976" s="33" t="s">
        <v>203</v>
      </c>
      <c r="G976" s="33" t="s">
        <v>192</v>
      </c>
      <c r="H976" s="33" t="s">
        <v>233</v>
      </c>
      <c r="I976" s="33" t="s">
        <v>143</v>
      </c>
      <c r="J976" s="33" t="s">
        <v>159</v>
      </c>
      <c r="K976" s="33" t="s">
        <v>160</v>
      </c>
      <c r="L976" s="35" t="n">
        <v>815.45</v>
      </c>
      <c r="M976" s="33" t="n">
        <v>2</v>
      </c>
      <c r="N976" s="33" t="s">
        <v>146</v>
      </c>
      <c r="O976" s="33" t="s">
        <v>147</v>
      </c>
    </row>
    <row r="977" customFormat="false" ht="15" hidden="false" customHeight="false" outlineLevel="0" collapsed="false">
      <c r="A977" s="33" t="s">
        <v>1190</v>
      </c>
      <c r="B977" s="34" t="n">
        <v>45533</v>
      </c>
      <c r="C977" s="34" t="n">
        <v>45537</v>
      </c>
      <c r="D977" s="33" t="n">
        <v>42</v>
      </c>
      <c r="E977" s="33" t="s">
        <v>154</v>
      </c>
      <c r="F977" s="33" t="s">
        <v>226</v>
      </c>
      <c r="G977" s="33" t="s">
        <v>386</v>
      </c>
      <c r="H977" s="33" t="s">
        <v>263</v>
      </c>
      <c r="I977" s="33" t="s">
        <v>143</v>
      </c>
      <c r="J977" s="33" t="s">
        <v>159</v>
      </c>
      <c r="K977" s="33" t="s">
        <v>145</v>
      </c>
      <c r="L977" s="35" t="n">
        <v>10838.63</v>
      </c>
      <c r="M977" s="33" t="n">
        <v>5</v>
      </c>
      <c r="N977" s="33" t="s">
        <v>146</v>
      </c>
      <c r="O977" s="33" t="s">
        <v>147</v>
      </c>
    </row>
    <row r="978" customFormat="false" ht="15" hidden="false" customHeight="false" outlineLevel="0" collapsed="false">
      <c r="A978" s="33" t="s">
        <v>1191</v>
      </c>
      <c r="B978" s="34" t="n">
        <v>45456</v>
      </c>
      <c r="C978" s="34" t="n">
        <v>45458</v>
      </c>
      <c r="D978" s="33" t="n">
        <v>36</v>
      </c>
      <c r="E978" s="33" t="s">
        <v>139</v>
      </c>
      <c r="F978" s="33" t="s">
        <v>149</v>
      </c>
      <c r="G978" s="33" t="s">
        <v>243</v>
      </c>
      <c r="H978" s="33" t="s">
        <v>151</v>
      </c>
      <c r="I978" s="33" t="s">
        <v>143</v>
      </c>
      <c r="J978" s="33" t="s">
        <v>159</v>
      </c>
      <c r="K978" s="33" t="s">
        <v>209</v>
      </c>
      <c r="L978" s="35" t="n">
        <v>3250.08</v>
      </c>
      <c r="M978" s="33" t="n">
        <v>4</v>
      </c>
      <c r="N978" s="33" t="s">
        <v>146</v>
      </c>
      <c r="O978" s="33" t="s">
        <v>147</v>
      </c>
    </row>
    <row r="979" customFormat="false" ht="15" hidden="false" customHeight="false" outlineLevel="0" collapsed="false">
      <c r="A979" s="33" t="s">
        <v>1192</v>
      </c>
      <c r="B979" s="34" t="n">
        <v>45590</v>
      </c>
      <c r="C979" s="34" t="n">
        <v>45594</v>
      </c>
      <c r="D979" s="36"/>
      <c r="E979" s="33" t="s">
        <v>154</v>
      </c>
      <c r="F979" s="33" t="s">
        <v>140</v>
      </c>
      <c r="G979" s="33" t="s">
        <v>141</v>
      </c>
      <c r="H979" s="33" t="s">
        <v>290</v>
      </c>
      <c r="I979" s="33" t="s">
        <v>152</v>
      </c>
      <c r="J979" s="33" t="s">
        <v>159</v>
      </c>
      <c r="K979" s="33" t="s">
        <v>160</v>
      </c>
      <c r="L979" s="35" t="n">
        <v>8295.34</v>
      </c>
      <c r="M979" s="33" t="n">
        <v>4</v>
      </c>
      <c r="N979" s="33" t="s">
        <v>146</v>
      </c>
      <c r="O979" s="33" t="s">
        <v>147</v>
      </c>
    </row>
    <row r="980" customFormat="false" ht="15" hidden="false" customHeight="false" outlineLevel="0" collapsed="false">
      <c r="A980" s="33" t="s">
        <v>1193</v>
      </c>
      <c r="B980" s="34" t="n">
        <v>45628</v>
      </c>
      <c r="C980" s="34" t="n">
        <v>45633</v>
      </c>
      <c r="D980" s="33" t="n">
        <v>64</v>
      </c>
      <c r="E980" s="33" t="s">
        <v>154</v>
      </c>
      <c r="F980" s="33" t="s">
        <v>169</v>
      </c>
      <c r="G980" s="33" t="s">
        <v>213</v>
      </c>
      <c r="H980" s="33" t="s">
        <v>171</v>
      </c>
      <c r="I980" s="33" t="s">
        <v>152</v>
      </c>
      <c r="J980" s="33" t="s">
        <v>144</v>
      </c>
      <c r="K980" s="33" t="s">
        <v>184</v>
      </c>
      <c r="L980" s="35" t="n">
        <v>8992.07</v>
      </c>
      <c r="M980" s="33" t="n">
        <v>5</v>
      </c>
      <c r="N980" s="33" t="s">
        <v>146</v>
      </c>
      <c r="O980" s="33" t="s">
        <v>147</v>
      </c>
    </row>
    <row r="981" customFormat="false" ht="15" hidden="false" customHeight="false" outlineLevel="0" collapsed="false">
      <c r="A981" s="33" t="s">
        <v>786</v>
      </c>
      <c r="B981" s="34" t="n">
        <v>45639</v>
      </c>
      <c r="C981" s="34" t="n">
        <v>45640</v>
      </c>
      <c r="D981" s="33" t="n">
        <v>92</v>
      </c>
      <c r="E981" s="33" t="s">
        <v>154</v>
      </c>
      <c r="F981" s="33" t="s">
        <v>203</v>
      </c>
      <c r="G981" s="33" t="s">
        <v>217</v>
      </c>
      <c r="H981" s="33" t="s">
        <v>193</v>
      </c>
      <c r="I981" s="33" t="s">
        <v>143</v>
      </c>
      <c r="J981" s="33" t="s">
        <v>144</v>
      </c>
      <c r="K981" s="33" t="s">
        <v>145</v>
      </c>
      <c r="L981" s="35" t="n">
        <v>1863.16</v>
      </c>
      <c r="M981" s="33" t="n">
        <v>4</v>
      </c>
      <c r="N981" s="33" t="s">
        <v>146</v>
      </c>
      <c r="O981" s="33" t="s">
        <v>147</v>
      </c>
    </row>
    <row r="982" customFormat="false" ht="15" hidden="false" customHeight="false" outlineLevel="0" collapsed="false">
      <c r="A982" s="33" t="s">
        <v>1194</v>
      </c>
      <c r="B982" s="34" t="n">
        <v>45403</v>
      </c>
      <c r="C982" s="34" t="n">
        <v>45405</v>
      </c>
      <c r="D982" s="33" t="n">
        <v>96</v>
      </c>
      <c r="E982" s="33" t="s">
        <v>139</v>
      </c>
      <c r="F982" s="33" t="s">
        <v>173</v>
      </c>
      <c r="G982" s="33" t="s">
        <v>198</v>
      </c>
      <c r="H982" s="33" t="s">
        <v>199</v>
      </c>
      <c r="I982" s="33" t="s">
        <v>152</v>
      </c>
      <c r="J982" s="33" t="s">
        <v>144</v>
      </c>
      <c r="K982" s="33" t="s">
        <v>160</v>
      </c>
      <c r="L982" s="35" t="n">
        <v>10025.83</v>
      </c>
      <c r="M982" s="33" t="n">
        <v>5</v>
      </c>
      <c r="N982" s="33" t="s">
        <v>210</v>
      </c>
      <c r="O982" s="33" t="s">
        <v>147</v>
      </c>
    </row>
    <row r="983" customFormat="false" ht="15" hidden="false" customHeight="false" outlineLevel="0" collapsed="false">
      <c r="A983" s="33" t="s">
        <v>1195</v>
      </c>
      <c r="B983" s="34" t="n">
        <v>45390</v>
      </c>
      <c r="C983" s="34" t="n">
        <v>45391</v>
      </c>
      <c r="D983" s="33" t="n">
        <v>1</v>
      </c>
      <c r="E983" s="33" t="s">
        <v>154</v>
      </c>
      <c r="F983" s="33" t="s">
        <v>155</v>
      </c>
      <c r="G983" s="33" t="s">
        <v>156</v>
      </c>
      <c r="H983" s="33" t="s">
        <v>157</v>
      </c>
      <c r="I983" s="33" t="s">
        <v>143</v>
      </c>
      <c r="J983" s="33" t="s">
        <v>176</v>
      </c>
      <c r="K983" s="33" t="s">
        <v>145</v>
      </c>
      <c r="L983" s="35" t="n">
        <v>3189.82</v>
      </c>
      <c r="M983" s="33" t="n">
        <v>4</v>
      </c>
      <c r="N983" s="33" t="s">
        <v>146</v>
      </c>
      <c r="O983" s="33" t="s">
        <v>295</v>
      </c>
    </row>
    <row r="984" customFormat="false" ht="15" hidden="false" customHeight="false" outlineLevel="0" collapsed="false">
      <c r="A984" s="33" t="s">
        <v>1196</v>
      </c>
      <c r="B984" s="34" t="n">
        <v>45575</v>
      </c>
      <c r="C984" s="34" t="n">
        <v>45585</v>
      </c>
      <c r="D984" s="33" t="n">
        <v>55</v>
      </c>
      <c r="E984" s="33" t="s">
        <v>154</v>
      </c>
      <c r="F984" s="33" t="s">
        <v>169</v>
      </c>
      <c r="G984" s="33" t="s">
        <v>163</v>
      </c>
      <c r="H984" s="33" t="s">
        <v>171</v>
      </c>
      <c r="I984" s="33" t="s">
        <v>152</v>
      </c>
      <c r="J984" s="33" t="s">
        <v>144</v>
      </c>
      <c r="K984" s="33" t="s">
        <v>160</v>
      </c>
      <c r="L984" s="35" t="n">
        <v>24196.59</v>
      </c>
      <c r="M984" s="33" t="n">
        <v>5</v>
      </c>
      <c r="N984" s="33" t="s">
        <v>146</v>
      </c>
      <c r="O984" s="33" t="s">
        <v>147</v>
      </c>
    </row>
    <row r="985" customFormat="false" ht="15" hidden="false" customHeight="false" outlineLevel="0" collapsed="false">
      <c r="A985" s="33" t="s">
        <v>1197</v>
      </c>
      <c r="B985" s="34" t="n">
        <v>45494</v>
      </c>
      <c r="C985" s="34" t="n">
        <v>45497</v>
      </c>
      <c r="D985" s="33" t="n">
        <v>9</v>
      </c>
      <c r="E985" s="33" t="s">
        <v>154</v>
      </c>
      <c r="F985" s="33" t="s">
        <v>155</v>
      </c>
      <c r="G985" s="33" t="s">
        <v>220</v>
      </c>
      <c r="H985" s="33" t="s">
        <v>222</v>
      </c>
      <c r="I985" s="33" t="s">
        <v>143</v>
      </c>
      <c r="J985" s="33" t="s">
        <v>176</v>
      </c>
      <c r="K985" s="33" t="s">
        <v>160</v>
      </c>
      <c r="L985" s="35" t="n">
        <v>9917.65</v>
      </c>
      <c r="M985" s="33" t="n">
        <v>5</v>
      </c>
      <c r="N985" s="33" t="s">
        <v>146</v>
      </c>
      <c r="O985" s="33" t="s">
        <v>147</v>
      </c>
    </row>
    <row r="986" customFormat="false" ht="15" hidden="false" customHeight="false" outlineLevel="0" collapsed="false">
      <c r="A986" s="33" t="s">
        <v>1198</v>
      </c>
      <c r="B986" s="34" t="n">
        <v>45442</v>
      </c>
      <c r="C986" s="34" t="n">
        <v>45445</v>
      </c>
      <c r="D986" s="33" t="n">
        <v>43</v>
      </c>
      <c r="E986" s="33" t="s">
        <v>139</v>
      </c>
      <c r="F986" s="33" t="s">
        <v>140</v>
      </c>
      <c r="G986" s="33" t="s">
        <v>316</v>
      </c>
      <c r="H986" s="33" t="s">
        <v>290</v>
      </c>
      <c r="I986" s="33" t="s">
        <v>152</v>
      </c>
      <c r="J986" s="33" t="s">
        <v>176</v>
      </c>
      <c r="K986" s="33" t="s">
        <v>145</v>
      </c>
      <c r="L986" s="35" t="n">
        <v>19017.06</v>
      </c>
      <c r="M986" s="36"/>
      <c r="N986" s="33" t="s">
        <v>146</v>
      </c>
      <c r="O986" s="33" t="s">
        <v>147</v>
      </c>
    </row>
    <row r="987" customFormat="false" ht="15" hidden="false" customHeight="false" outlineLevel="0" collapsed="false">
      <c r="A987" s="33" t="s">
        <v>1199</v>
      </c>
      <c r="B987" s="34" t="n">
        <v>45586</v>
      </c>
      <c r="C987" s="34" t="n">
        <v>45595</v>
      </c>
      <c r="D987" s="33" t="n">
        <v>44</v>
      </c>
      <c r="E987" s="33" t="s">
        <v>139</v>
      </c>
      <c r="F987" s="33" t="s">
        <v>226</v>
      </c>
      <c r="G987" s="33" t="s">
        <v>258</v>
      </c>
      <c r="H987" s="33" t="s">
        <v>263</v>
      </c>
      <c r="I987" s="33" t="s">
        <v>143</v>
      </c>
      <c r="J987" s="33" t="s">
        <v>176</v>
      </c>
      <c r="K987" s="33" t="s">
        <v>145</v>
      </c>
      <c r="L987" s="35" t="n">
        <v>124313.49</v>
      </c>
      <c r="M987" s="33" t="n">
        <v>4</v>
      </c>
      <c r="N987" s="33" t="s">
        <v>146</v>
      </c>
      <c r="O987" s="33" t="s">
        <v>147</v>
      </c>
    </row>
    <row r="988" customFormat="false" ht="15" hidden="false" customHeight="false" outlineLevel="0" collapsed="false">
      <c r="A988" s="33" t="s">
        <v>1200</v>
      </c>
      <c r="B988" s="34" t="n">
        <v>45435</v>
      </c>
      <c r="C988" s="34" t="n">
        <v>45437</v>
      </c>
      <c r="D988" s="33" t="n">
        <v>44</v>
      </c>
      <c r="E988" s="33" t="s">
        <v>154</v>
      </c>
      <c r="F988" s="33" t="s">
        <v>140</v>
      </c>
      <c r="G988" s="33" t="s">
        <v>141</v>
      </c>
      <c r="H988" s="33" t="s">
        <v>142</v>
      </c>
      <c r="I988" s="33" t="s">
        <v>143</v>
      </c>
      <c r="J988" s="33" t="s">
        <v>159</v>
      </c>
      <c r="K988" s="33" t="s">
        <v>160</v>
      </c>
      <c r="L988" s="35" t="n">
        <v>4348.49</v>
      </c>
      <c r="M988" s="33" t="n">
        <v>4</v>
      </c>
      <c r="N988" s="33" t="s">
        <v>146</v>
      </c>
      <c r="O988" s="33" t="s">
        <v>147</v>
      </c>
    </row>
    <row r="989" customFormat="false" ht="15" hidden="false" customHeight="false" outlineLevel="0" collapsed="false">
      <c r="A989" s="33" t="s">
        <v>1201</v>
      </c>
      <c r="B989" s="34" t="n">
        <v>45312</v>
      </c>
      <c r="C989" s="34" t="n">
        <v>45313</v>
      </c>
      <c r="D989" s="33" t="n">
        <v>67</v>
      </c>
      <c r="E989" s="33" t="s">
        <v>154</v>
      </c>
      <c r="F989" s="33" t="s">
        <v>181</v>
      </c>
      <c r="G989" s="33" t="s">
        <v>182</v>
      </c>
      <c r="H989" s="33" t="s">
        <v>183</v>
      </c>
      <c r="I989" s="33" t="s">
        <v>152</v>
      </c>
      <c r="J989" s="33" t="s">
        <v>144</v>
      </c>
      <c r="K989" s="33" t="s">
        <v>184</v>
      </c>
      <c r="L989" s="35" t="n">
        <v>3548.93</v>
      </c>
      <c r="M989" s="33" t="n">
        <v>4</v>
      </c>
      <c r="N989" s="33" t="s">
        <v>146</v>
      </c>
      <c r="O989" s="33" t="s">
        <v>147</v>
      </c>
    </row>
    <row r="990" customFormat="false" ht="15" hidden="false" customHeight="false" outlineLevel="0" collapsed="false">
      <c r="A990" s="33" t="s">
        <v>1202</v>
      </c>
      <c r="B990" s="34" t="n">
        <v>45402</v>
      </c>
      <c r="C990" s="34" t="n">
        <v>45404</v>
      </c>
      <c r="D990" s="33" t="n">
        <v>67</v>
      </c>
      <c r="E990" s="33" t="s">
        <v>154</v>
      </c>
      <c r="F990" s="33" t="s">
        <v>203</v>
      </c>
      <c r="G990" s="33" t="s">
        <v>204</v>
      </c>
      <c r="H990" s="33" t="s">
        <v>193</v>
      </c>
      <c r="I990" s="33" t="s">
        <v>143</v>
      </c>
      <c r="J990" s="33" t="s">
        <v>159</v>
      </c>
      <c r="K990" s="33" t="s">
        <v>209</v>
      </c>
      <c r="L990" s="35" t="n">
        <v>1562.05</v>
      </c>
      <c r="M990" s="33" t="n">
        <v>4</v>
      </c>
      <c r="N990" s="33" t="s">
        <v>146</v>
      </c>
      <c r="O990" s="33" t="s">
        <v>206</v>
      </c>
    </row>
    <row r="991" customFormat="false" ht="15" hidden="false" customHeight="false" outlineLevel="0" collapsed="false">
      <c r="A991" s="33" t="s">
        <v>1203</v>
      </c>
      <c r="B991" s="34" t="n">
        <v>45562</v>
      </c>
      <c r="C991" s="34" t="n">
        <v>45564</v>
      </c>
      <c r="D991" s="33" t="n">
        <v>14</v>
      </c>
      <c r="E991" s="33" t="s">
        <v>139</v>
      </c>
      <c r="F991" s="33" t="s">
        <v>203</v>
      </c>
      <c r="G991" s="33" t="s">
        <v>217</v>
      </c>
      <c r="H991" s="33" t="s">
        <v>205</v>
      </c>
      <c r="I991" s="33" t="s">
        <v>143</v>
      </c>
      <c r="J991" s="33" t="s">
        <v>159</v>
      </c>
      <c r="K991" s="33" t="s">
        <v>145</v>
      </c>
      <c r="L991" s="35" t="n">
        <v>1604.6</v>
      </c>
      <c r="M991" s="33" t="n">
        <v>3</v>
      </c>
      <c r="N991" s="33" t="s">
        <v>146</v>
      </c>
      <c r="O991" s="33" t="s">
        <v>147</v>
      </c>
    </row>
    <row r="992" customFormat="false" ht="15" hidden="false" customHeight="false" outlineLevel="0" collapsed="false">
      <c r="A992" s="33" t="s">
        <v>1204</v>
      </c>
      <c r="B992" s="34" t="n">
        <v>45540</v>
      </c>
      <c r="C992" s="34" t="n">
        <v>45544</v>
      </c>
      <c r="D992" s="33" t="n">
        <v>26</v>
      </c>
      <c r="E992" s="33" t="s">
        <v>139</v>
      </c>
      <c r="F992" s="33" t="s">
        <v>169</v>
      </c>
      <c r="G992" s="33" t="s">
        <v>163</v>
      </c>
      <c r="H992" s="33" t="s">
        <v>164</v>
      </c>
      <c r="I992" s="33" t="s">
        <v>152</v>
      </c>
      <c r="J992" s="33" t="s">
        <v>176</v>
      </c>
      <c r="K992" s="33" t="s">
        <v>160</v>
      </c>
      <c r="L992" s="35" t="n">
        <v>11791.08</v>
      </c>
      <c r="M992" s="36"/>
      <c r="N992" s="33" t="s">
        <v>146</v>
      </c>
      <c r="O992" s="33" t="s">
        <v>147</v>
      </c>
    </row>
    <row r="993" customFormat="false" ht="15" hidden="false" customHeight="false" outlineLevel="0" collapsed="false">
      <c r="A993" s="33" t="s">
        <v>1205</v>
      </c>
      <c r="B993" s="34" t="n">
        <v>45515</v>
      </c>
      <c r="C993" s="34" t="n">
        <v>45516</v>
      </c>
      <c r="D993" s="33" t="n">
        <v>40</v>
      </c>
      <c r="E993" s="33" t="s">
        <v>154</v>
      </c>
      <c r="F993" s="33" t="s">
        <v>169</v>
      </c>
      <c r="G993" s="33" t="s">
        <v>213</v>
      </c>
      <c r="H993" s="33" t="s">
        <v>195</v>
      </c>
      <c r="I993" s="33" t="s">
        <v>143</v>
      </c>
      <c r="J993" s="33" t="s">
        <v>144</v>
      </c>
      <c r="K993" s="33" t="s">
        <v>145</v>
      </c>
      <c r="L993" s="35" t="n">
        <v>2025.98</v>
      </c>
      <c r="M993" s="33" t="n">
        <v>4</v>
      </c>
      <c r="N993" s="33" t="s">
        <v>146</v>
      </c>
      <c r="O993" s="33" t="s">
        <v>147</v>
      </c>
    </row>
    <row r="994" customFormat="false" ht="15" hidden="false" customHeight="false" outlineLevel="0" collapsed="false">
      <c r="A994" s="33" t="s">
        <v>1206</v>
      </c>
      <c r="B994" s="34" t="n">
        <v>45566</v>
      </c>
      <c r="C994" s="34" t="n">
        <v>45568</v>
      </c>
      <c r="D994" s="33" t="n">
        <v>19</v>
      </c>
      <c r="E994" s="33" t="s">
        <v>216</v>
      </c>
      <c r="F994" s="33" t="s">
        <v>149</v>
      </c>
      <c r="G994" s="33" t="s">
        <v>243</v>
      </c>
      <c r="H994" s="33" t="s">
        <v>151</v>
      </c>
      <c r="I994" s="33" t="s">
        <v>143</v>
      </c>
      <c r="J994" s="33" t="s">
        <v>144</v>
      </c>
      <c r="K994" s="33" t="s">
        <v>145</v>
      </c>
      <c r="L994" s="35" t="n">
        <v>5324.87</v>
      </c>
      <c r="M994" s="33" t="n">
        <v>5</v>
      </c>
      <c r="N994" s="33" t="s">
        <v>146</v>
      </c>
      <c r="O994" s="33" t="s">
        <v>147</v>
      </c>
    </row>
    <row r="995" customFormat="false" ht="15" hidden="false" customHeight="false" outlineLevel="0" collapsed="false">
      <c r="A995" s="33" t="s">
        <v>1207</v>
      </c>
      <c r="B995" s="34" t="n">
        <v>45510</v>
      </c>
      <c r="C995" s="34" t="n">
        <v>45511</v>
      </c>
      <c r="D995" s="33" t="n">
        <v>6</v>
      </c>
      <c r="E995" s="33" t="s">
        <v>139</v>
      </c>
      <c r="F995" s="33" t="s">
        <v>376</v>
      </c>
      <c r="G995" s="33" t="s">
        <v>302</v>
      </c>
      <c r="H995" s="33" t="s">
        <v>157</v>
      </c>
      <c r="I995" s="33" t="s">
        <v>152</v>
      </c>
      <c r="J995" s="33" t="s">
        <v>144</v>
      </c>
      <c r="K995" s="33" t="s">
        <v>160</v>
      </c>
      <c r="L995" s="35" t="n">
        <v>1187.21</v>
      </c>
      <c r="M995" s="33" t="n">
        <v>5</v>
      </c>
      <c r="N995" s="33" t="s">
        <v>146</v>
      </c>
      <c r="O995" s="33" t="s">
        <v>147</v>
      </c>
    </row>
    <row r="996" customFormat="false" ht="15" hidden="false" customHeight="false" outlineLevel="0" collapsed="false">
      <c r="A996" s="33" t="s">
        <v>1208</v>
      </c>
      <c r="B996" s="34" t="n">
        <v>45650</v>
      </c>
      <c r="C996" s="34" t="n">
        <v>45662</v>
      </c>
      <c r="D996" s="33" t="n">
        <v>46</v>
      </c>
      <c r="E996" s="33" t="s">
        <v>154</v>
      </c>
      <c r="F996" s="33" t="s">
        <v>181</v>
      </c>
      <c r="G996" s="33" t="s">
        <v>237</v>
      </c>
      <c r="H996" s="33" t="s">
        <v>245</v>
      </c>
      <c r="I996" s="33" t="s">
        <v>143</v>
      </c>
      <c r="J996" s="33" t="s">
        <v>159</v>
      </c>
      <c r="K996" s="33" t="s">
        <v>160</v>
      </c>
      <c r="L996" s="35" t="n">
        <v>21438.21</v>
      </c>
      <c r="M996" s="33" t="n">
        <v>4</v>
      </c>
      <c r="N996" s="33" t="s">
        <v>210</v>
      </c>
      <c r="O996" s="33" t="s">
        <v>147</v>
      </c>
    </row>
    <row r="997" customFormat="false" ht="15" hidden="false" customHeight="false" outlineLevel="0" collapsed="false">
      <c r="A997" s="33" t="s">
        <v>1209</v>
      </c>
      <c r="B997" s="34" t="n">
        <v>45399</v>
      </c>
      <c r="C997" s="34" t="n">
        <v>45404</v>
      </c>
      <c r="D997" s="33" t="n">
        <v>56</v>
      </c>
      <c r="E997" s="33" t="s">
        <v>139</v>
      </c>
      <c r="F997" s="33" t="s">
        <v>226</v>
      </c>
      <c r="G997" s="33" t="s">
        <v>258</v>
      </c>
      <c r="H997" s="33" t="s">
        <v>228</v>
      </c>
      <c r="I997" s="33" t="s">
        <v>143</v>
      </c>
      <c r="J997" s="33" t="s">
        <v>144</v>
      </c>
      <c r="K997" s="33" t="s">
        <v>160</v>
      </c>
      <c r="L997" s="35" t="n">
        <v>29696.1</v>
      </c>
      <c r="M997" s="33" t="n">
        <v>4</v>
      </c>
      <c r="N997" s="33" t="s">
        <v>210</v>
      </c>
      <c r="O997" s="33" t="s">
        <v>147</v>
      </c>
    </row>
    <row r="998" customFormat="false" ht="15" hidden="false" customHeight="false" outlineLevel="0" collapsed="false">
      <c r="A998" s="33" t="s">
        <v>1210</v>
      </c>
      <c r="B998" s="34" t="n">
        <v>45486</v>
      </c>
      <c r="C998" s="34" t="n">
        <v>45488</v>
      </c>
      <c r="D998" s="33" t="n">
        <v>62</v>
      </c>
      <c r="E998" s="33" t="s">
        <v>139</v>
      </c>
      <c r="F998" s="33" t="s">
        <v>203</v>
      </c>
      <c r="G998" s="33" t="s">
        <v>217</v>
      </c>
      <c r="H998" s="33" t="s">
        <v>233</v>
      </c>
      <c r="I998" s="33" t="s">
        <v>143</v>
      </c>
      <c r="J998" s="33" t="s">
        <v>176</v>
      </c>
      <c r="K998" s="33" t="s">
        <v>184</v>
      </c>
      <c r="L998" s="35" t="n">
        <v>5769.68</v>
      </c>
      <c r="M998" s="33" t="n">
        <v>3</v>
      </c>
      <c r="N998" s="33" t="s">
        <v>146</v>
      </c>
      <c r="O998" s="33" t="s">
        <v>206</v>
      </c>
    </row>
    <row r="999" customFormat="false" ht="15" hidden="false" customHeight="false" outlineLevel="0" collapsed="false">
      <c r="A999" s="33" t="s">
        <v>1211</v>
      </c>
      <c r="B999" s="34" t="n">
        <v>45436</v>
      </c>
      <c r="C999" s="34" t="n">
        <v>45441</v>
      </c>
      <c r="D999" s="33" t="n">
        <v>23</v>
      </c>
      <c r="E999" s="33" t="s">
        <v>139</v>
      </c>
      <c r="F999" s="33" t="s">
        <v>173</v>
      </c>
      <c r="G999" s="33" t="s">
        <v>198</v>
      </c>
      <c r="H999" s="33" t="s">
        <v>199</v>
      </c>
      <c r="I999" s="33" t="s">
        <v>152</v>
      </c>
      <c r="J999" s="33" t="s">
        <v>159</v>
      </c>
      <c r="K999" s="33" t="s">
        <v>184</v>
      </c>
      <c r="L999" s="35" t="n">
        <v>14397.2</v>
      </c>
      <c r="M999" s="33" t="n">
        <v>3</v>
      </c>
      <c r="N999" s="33" t="s">
        <v>146</v>
      </c>
      <c r="O999" s="33" t="s">
        <v>147</v>
      </c>
    </row>
    <row r="1000" customFormat="false" ht="15" hidden="false" customHeight="false" outlineLevel="0" collapsed="false">
      <c r="A1000" s="33" t="s">
        <v>1212</v>
      </c>
      <c r="B1000" s="34" t="n">
        <v>45555</v>
      </c>
      <c r="C1000" s="34" t="n">
        <v>45556</v>
      </c>
      <c r="D1000" s="33" t="n">
        <v>33</v>
      </c>
      <c r="E1000" s="33" t="s">
        <v>154</v>
      </c>
      <c r="F1000" s="33" t="s">
        <v>203</v>
      </c>
      <c r="G1000" s="33" t="s">
        <v>204</v>
      </c>
      <c r="H1000" s="33" t="s">
        <v>205</v>
      </c>
      <c r="I1000" s="33" t="s">
        <v>143</v>
      </c>
      <c r="J1000" s="33" t="s">
        <v>159</v>
      </c>
      <c r="K1000" s="36"/>
      <c r="L1000" s="35" t="n">
        <v>770.72</v>
      </c>
      <c r="M1000" s="33" t="n">
        <v>3</v>
      </c>
      <c r="N1000" s="33" t="s">
        <v>146</v>
      </c>
      <c r="O1000" s="33" t="s">
        <v>147</v>
      </c>
    </row>
    <row r="1001" customFormat="false" ht="15" hidden="false" customHeight="false" outlineLevel="0" collapsed="false">
      <c r="A1001" s="33" t="s">
        <v>1213</v>
      </c>
      <c r="B1001" s="34" t="n">
        <v>45464</v>
      </c>
      <c r="C1001" s="34" t="n">
        <v>45465</v>
      </c>
      <c r="D1001" s="33" t="n">
        <v>33</v>
      </c>
      <c r="E1001" s="33" t="s">
        <v>139</v>
      </c>
      <c r="F1001" s="33" t="s">
        <v>191</v>
      </c>
      <c r="G1001" s="33" t="s">
        <v>241</v>
      </c>
      <c r="H1001" s="33" t="s">
        <v>205</v>
      </c>
      <c r="I1001" s="33" t="s">
        <v>143</v>
      </c>
      <c r="J1001" s="33" t="s">
        <v>159</v>
      </c>
      <c r="K1001" s="33" t="s">
        <v>184</v>
      </c>
      <c r="L1001" s="35" t="n">
        <v>803.07</v>
      </c>
      <c r="M1001" s="33" t="n">
        <v>3</v>
      </c>
      <c r="N1001" s="33" t="s">
        <v>210</v>
      </c>
      <c r="O1001" s="33" t="s">
        <v>147</v>
      </c>
    </row>
    <row r="1002" customFormat="false" ht="15" hidden="false" customHeight="false" outlineLevel="0" collapsed="false">
      <c r="A1002" s="33" t="s">
        <v>1214</v>
      </c>
      <c r="B1002" s="34" t="n">
        <v>45655</v>
      </c>
      <c r="C1002" s="34" t="n">
        <v>45658</v>
      </c>
      <c r="D1002" s="33" t="n">
        <v>18</v>
      </c>
      <c r="E1002" s="33" t="s">
        <v>139</v>
      </c>
      <c r="F1002" s="33" t="s">
        <v>203</v>
      </c>
      <c r="G1002" s="33" t="s">
        <v>204</v>
      </c>
      <c r="H1002" s="33" t="s">
        <v>205</v>
      </c>
      <c r="I1002" s="33" t="s">
        <v>143</v>
      </c>
      <c r="J1002" s="33" t="s">
        <v>159</v>
      </c>
      <c r="K1002" s="33" t="s">
        <v>160</v>
      </c>
      <c r="L1002" s="35" t="n">
        <v>2809.35</v>
      </c>
      <c r="M1002" s="33" t="n">
        <v>4</v>
      </c>
      <c r="N1002" s="33" t="s">
        <v>210</v>
      </c>
      <c r="O1002" s="33" t="s">
        <v>147</v>
      </c>
    </row>
    <row r="1003" customFormat="false" ht="15" hidden="false" customHeight="false" outlineLevel="0" collapsed="false">
      <c r="A1003" s="33" t="s">
        <v>1215</v>
      </c>
      <c r="B1003" s="34" t="n">
        <v>45465</v>
      </c>
      <c r="C1003" s="34" t="n">
        <v>45466</v>
      </c>
      <c r="D1003" s="33" t="n">
        <v>14</v>
      </c>
      <c r="E1003" s="33" t="s">
        <v>216</v>
      </c>
      <c r="F1003" s="33" t="s">
        <v>155</v>
      </c>
      <c r="G1003" s="33" t="s">
        <v>220</v>
      </c>
      <c r="H1003" s="33" t="s">
        <v>157</v>
      </c>
      <c r="I1003" s="33" t="s">
        <v>152</v>
      </c>
      <c r="J1003" s="33" t="s">
        <v>159</v>
      </c>
      <c r="K1003" s="33" t="s">
        <v>145</v>
      </c>
      <c r="L1003" s="35" t="n">
        <v>770.09</v>
      </c>
      <c r="M1003" s="33" t="n">
        <v>4</v>
      </c>
      <c r="N1003" s="33" t="s">
        <v>210</v>
      </c>
      <c r="O1003" s="33" t="s">
        <v>147</v>
      </c>
    </row>
    <row r="1004" customFormat="false" ht="15" hidden="false" customHeight="false" outlineLevel="0" collapsed="false">
      <c r="A1004" s="33" t="s">
        <v>1216</v>
      </c>
      <c r="B1004" s="34" t="n">
        <v>45582</v>
      </c>
      <c r="C1004" s="34" t="n">
        <v>45583</v>
      </c>
      <c r="D1004" s="33" t="n">
        <v>11</v>
      </c>
      <c r="E1004" s="33" t="s">
        <v>139</v>
      </c>
      <c r="F1004" s="33" t="s">
        <v>155</v>
      </c>
      <c r="G1004" s="33" t="s">
        <v>156</v>
      </c>
      <c r="H1004" s="33" t="s">
        <v>222</v>
      </c>
      <c r="I1004" s="33" t="s">
        <v>152</v>
      </c>
      <c r="J1004" s="33" t="s">
        <v>159</v>
      </c>
      <c r="K1004" s="33" t="s">
        <v>145</v>
      </c>
      <c r="L1004" s="35" t="n">
        <v>968.33</v>
      </c>
      <c r="M1004" s="33" t="n">
        <v>4</v>
      </c>
      <c r="N1004" s="33" t="s">
        <v>210</v>
      </c>
      <c r="O1004" s="33" t="s">
        <v>147</v>
      </c>
    </row>
    <row r="1005" customFormat="false" ht="15" hidden="false" customHeight="false" outlineLevel="0" collapsed="false">
      <c r="A1005" s="33" t="s">
        <v>1217</v>
      </c>
      <c r="B1005" s="34" t="n">
        <v>45530</v>
      </c>
      <c r="C1005" s="34" t="n">
        <v>45534</v>
      </c>
      <c r="D1005" s="33" t="n">
        <v>20</v>
      </c>
      <c r="E1005" s="33" t="s">
        <v>154</v>
      </c>
      <c r="F1005" s="33" t="s">
        <v>169</v>
      </c>
      <c r="G1005" s="33" t="s">
        <v>213</v>
      </c>
      <c r="H1005" s="33" t="s">
        <v>164</v>
      </c>
      <c r="I1005" s="33" t="s">
        <v>152</v>
      </c>
      <c r="J1005" s="33" t="s">
        <v>159</v>
      </c>
      <c r="K1005" s="33" t="s">
        <v>209</v>
      </c>
      <c r="L1005" s="35" t="n">
        <v>3988.84</v>
      </c>
      <c r="M1005" s="33" t="n">
        <v>4</v>
      </c>
      <c r="N1005" s="33" t="s">
        <v>146</v>
      </c>
      <c r="O1005" s="33" t="s">
        <v>147</v>
      </c>
    </row>
    <row r="1006" customFormat="false" ht="15" hidden="false" customHeight="false" outlineLevel="0" collapsed="false">
      <c r="A1006" s="33" t="s">
        <v>1218</v>
      </c>
      <c r="B1006" s="34" t="n">
        <v>45516</v>
      </c>
      <c r="C1006" s="34" t="n">
        <v>45518</v>
      </c>
      <c r="D1006" s="33" t="n">
        <v>1</v>
      </c>
      <c r="E1006" s="33" t="s">
        <v>154</v>
      </c>
      <c r="F1006" s="33" t="s">
        <v>155</v>
      </c>
      <c r="G1006" s="33" t="s">
        <v>302</v>
      </c>
      <c r="H1006" s="33" t="s">
        <v>157</v>
      </c>
      <c r="I1006" s="33" t="s">
        <v>152</v>
      </c>
      <c r="J1006" s="33" t="s">
        <v>159</v>
      </c>
      <c r="K1006" s="33" t="s">
        <v>184</v>
      </c>
      <c r="L1006" s="35" t="n">
        <v>1543.2</v>
      </c>
      <c r="M1006" s="33" t="n">
        <v>3</v>
      </c>
      <c r="N1006" s="33" t="s">
        <v>210</v>
      </c>
      <c r="O1006" s="33" t="s">
        <v>147</v>
      </c>
    </row>
    <row r="1007" customFormat="false" ht="15" hidden="false" customHeight="false" outlineLevel="0" collapsed="false">
      <c r="A1007" s="33" t="s">
        <v>1219</v>
      </c>
      <c r="B1007" s="34" t="n">
        <v>45336</v>
      </c>
      <c r="C1007" s="34" t="n">
        <v>45337</v>
      </c>
      <c r="D1007" s="33" t="n">
        <v>56</v>
      </c>
      <c r="E1007" s="33" t="s">
        <v>154</v>
      </c>
      <c r="F1007" s="33" t="s">
        <v>203</v>
      </c>
      <c r="G1007" s="33" t="s">
        <v>217</v>
      </c>
      <c r="H1007" s="33" t="s">
        <v>193</v>
      </c>
      <c r="I1007" s="33" t="s">
        <v>143</v>
      </c>
      <c r="J1007" s="33" t="s">
        <v>159</v>
      </c>
      <c r="K1007" s="33" t="s">
        <v>145</v>
      </c>
      <c r="L1007" s="35" t="n">
        <v>778.87</v>
      </c>
      <c r="M1007" s="33" t="n">
        <v>4</v>
      </c>
      <c r="N1007" s="33" t="s">
        <v>146</v>
      </c>
      <c r="O1007" s="33" t="s">
        <v>147</v>
      </c>
    </row>
    <row r="1008" customFormat="false" ht="15" hidden="false" customHeight="false" outlineLevel="0" collapsed="false">
      <c r="A1008" s="33" t="s">
        <v>1220</v>
      </c>
      <c r="B1008" s="34" t="n">
        <v>45605</v>
      </c>
      <c r="C1008" s="34" t="n">
        <v>45616</v>
      </c>
      <c r="D1008" s="33" t="n">
        <v>36</v>
      </c>
      <c r="E1008" s="33" t="s">
        <v>257</v>
      </c>
      <c r="F1008" s="33" t="s">
        <v>226</v>
      </c>
      <c r="G1008" s="33" t="s">
        <v>258</v>
      </c>
      <c r="H1008" s="33" t="s">
        <v>228</v>
      </c>
      <c r="I1008" s="33" t="s">
        <v>143</v>
      </c>
      <c r="J1008" s="33" t="s">
        <v>159</v>
      </c>
      <c r="K1008" s="33" t="s">
        <v>145</v>
      </c>
      <c r="L1008" s="35" t="n">
        <v>41031.79</v>
      </c>
      <c r="M1008" s="33" t="n">
        <v>5</v>
      </c>
      <c r="N1008" s="33" t="s">
        <v>146</v>
      </c>
      <c r="O1008" s="33" t="s">
        <v>147</v>
      </c>
    </row>
    <row r="1009" customFormat="false" ht="15" hidden="false" customHeight="false" outlineLevel="0" collapsed="false">
      <c r="A1009" s="33" t="s">
        <v>1221</v>
      </c>
      <c r="B1009" s="34" t="n">
        <v>45338</v>
      </c>
      <c r="C1009" s="34" t="n">
        <v>45342</v>
      </c>
      <c r="D1009" s="33" t="n">
        <v>46</v>
      </c>
      <c r="E1009" s="33" t="s">
        <v>139</v>
      </c>
      <c r="F1009" s="33" t="s">
        <v>181</v>
      </c>
      <c r="G1009" s="33" t="s">
        <v>188</v>
      </c>
      <c r="H1009" s="33" t="s">
        <v>183</v>
      </c>
      <c r="I1009" s="33" t="s">
        <v>143</v>
      </c>
      <c r="J1009" s="33" t="s">
        <v>159</v>
      </c>
      <c r="K1009" s="33" t="s">
        <v>184</v>
      </c>
      <c r="L1009" s="35" t="n">
        <v>9924.64</v>
      </c>
      <c r="M1009" s="33" t="n">
        <v>4</v>
      </c>
      <c r="N1009" s="33" t="s">
        <v>146</v>
      </c>
      <c r="O1009" s="33" t="s">
        <v>147</v>
      </c>
    </row>
    <row r="1010" customFormat="false" ht="15" hidden="false" customHeight="false" outlineLevel="0" collapsed="false">
      <c r="A1010" s="33" t="s">
        <v>1222</v>
      </c>
      <c r="B1010" s="34" t="n">
        <v>45569</v>
      </c>
      <c r="C1010" s="34" t="n">
        <v>45571</v>
      </c>
      <c r="D1010" s="33" t="n">
        <v>34</v>
      </c>
      <c r="E1010" s="33" t="s">
        <v>139</v>
      </c>
      <c r="F1010" s="33" t="s">
        <v>149</v>
      </c>
      <c r="G1010" s="33" t="s">
        <v>150</v>
      </c>
      <c r="H1010" s="33" t="s">
        <v>151</v>
      </c>
      <c r="I1010" s="33" t="s">
        <v>143</v>
      </c>
      <c r="J1010" s="33" t="s">
        <v>176</v>
      </c>
      <c r="K1010" s="33" t="s">
        <v>160</v>
      </c>
      <c r="L1010" s="35" t="n">
        <v>8020.38</v>
      </c>
      <c r="M1010" s="33" t="n">
        <v>5</v>
      </c>
      <c r="N1010" s="33" t="s">
        <v>146</v>
      </c>
      <c r="O1010" s="33" t="s">
        <v>147</v>
      </c>
    </row>
    <row r="1011" customFormat="false" ht="15" hidden="false" customHeight="false" outlineLevel="0" collapsed="false">
      <c r="A1011" s="33" t="s">
        <v>1223</v>
      </c>
      <c r="B1011" s="34" t="n">
        <v>45622</v>
      </c>
      <c r="C1011" s="34" t="n">
        <v>45634</v>
      </c>
      <c r="D1011" s="33" t="n">
        <v>60</v>
      </c>
      <c r="E1011" s="33" t="s">
        <v>154</v>
      </c>
      <c r="F1011" s="33" t="s">
        <v>181</v>
      </c>
      <c r="G1011" s="33" t="s">
        <v>182</v>
      </c>
      <c r="H1011" s="33" t="s">
        <v>183</v>
      </c>
      <c r="I1011" s="33" t="s">
        <v>143</v>
      </c>
      <c r="J1011" s="33" t="s">
        <v>159</v>
      </c>
      <c r="K1011" s="33" t="s">
        <v>145</v>
      </c>
      <c r="L1011" s="35" t="n">
        <v>33057.72</v>
      </c>
      <c r="M1011" s="33" t="n">
        <v>4</v>
      </c>
      <c r="N1011" s="33" t="s">
        <v>146</v>
      </c>
      <c r="O1011" s="33" t="s">
        <v>147</v>
      </c>
    </row>
    <row r="1012" customFormat="false" ht="15" hidden="false" customHeight="false" outlineLevel="0" collapsed="false">
      <c r="A1012" s="33" t="s">
        <v>1224</v>
      </c>
      <c r="B1012" s="34" t="n">
        <v>45577</v>
      </c>
      <c r="C1012" s="34" t="n">
        <v>45578</v>
      </c>
      <c r="D1012" s="33" t="n">
        <v>49</v>
      </c>
      <c r="E1012" s="33" t="s">
        <v>154</v>
      </c>
      <c r="F1012" s="33" t="s">
        <v>240</v>
      </c>
      <c r="G1012" s="33" t="s">
        <v>204</v>
      </c>
      <c r="H1012" s="33" t="s">
        <v>233</v>
      </c>
      <c r="I1012" s="33" t="s">
        <v>143</v>
      </c>
      <c r="J1012" s="33" t="s">
        <v>144</v>
      </c>
      <c r="K1012" s="33" t="s">
        <v>184</v>
      </c>
      <c r="L1012" s="35" t="n">
        <v>1956.63</v>
      </c>
      <c r="M1012" s="33" t="n">
        <v>2</v>
      </c>
      <c r="N1012" s="33" t="s">
        <v>146</v>
      </c>
      <c r="O1012" s="33" t="s">
        <v>147</v>
      </c>
    </row>
    <row r="1013" customFormat="false" ht="15" hidden="false" customHeight="false" outlineLevel="0" collapsed="false">
      <c r="A1013" s="33" t="s">
        <v>1225</v>
      </c>
      <c r="B1013" s="34" t="n">
        <v>45459</v>
      </c>
      <c r="C1013" s="34" t="n">
        <v>45460</v>
      </c>
      <c r="D1013" s="33" t="n">
        <v>25</v>
      </c>
      <c r="E1013" s="33" t="s">
        <v>139</v>
      </c>
      <c r="F1013" s="33" t="s">
        <v>149</v>
      </c>
      <c r="G1013" s="33" t="s">
        <v>150</v>
      </c>
      <c r="H1013" s="33" t="s">
        <v>186</v>
      </c>
      <c r="I1013" s="33" t="s">
        <v>143</v>
      </c>
      <c r="J1013" s="33" t="s">
        <v>144</v>
      </c>
      <c r="K1013" s="33" t="s">
        <v>145</v>
      </c>
      <c r="L1013" s="35" t="n">
        <v>3007.25</v>
      </c>
      <c r="M1013" s="33" t="n">
        <v>4</v>
      </c>
      <c r="N1013" s="33" t="s">
        <v>146</v>
      </c>
      <c r="O1013" s="33" t="s">
        <v>147</v>
      </c>
    </row>
    <row r="1014" customFormat="false" ht="15" hidden="false" customHeight="false" outlineLevel="0" collapsed="false">
      <c r="A1014" s="33" t="s">
        <v>1226</v>
      </c>
      <c r="B1014" s="34" t="n">
        <v>45624</v>
      </c>
      <c r="C1014" s="34" t="n">
        <v>45625</v>
      </c>
      <c r="D1014" s="33" t="n">
        <v>7</v>
      </c>
      <c r="E1014" s="33" t="s">
        <v>154</v>
      </c>
      <c r="F1014" s="33" t="s">
        <v>203</v>
      </c>
      <c r="G1014" s="33" t="s">
        <v>204</v>
      </c>
      <c r="H1014" s="33" t="s">
        <v>193</v>
      </c>
      <c r="I1014" s="33" t="s">
        <v>143</v>
      </c>
      <c r="J1014" s="33" t="s">
        <v>176</v>
      </c>
      <c r="K1014" s="33" t="s">
        <v>145</v>
      </c>
      <c r="L1014" s="35" t="n">
        <v>3726.38</v>
      </c>
      <c r="M1014" s="33" t="n">
        <v>4</v>
      </c>
      <c r="N1014" s="33" t="s">
        <v>146</v>
      </c>
      <c r="O1014" s="33" t="s">
        <v>147</v>
      </c>
    </row>
    <row r="1015" customFormat="false" ht="15" hidden="false" customHeight="false" outlineLevel="0" collapsed="false">
      <c r="A1015" s="33" t="s">
        <v>1227</v>
      </c>
      <c r="B1015" s="34" t="n">
        <v>45305</v>
      </c>
      <c r="C1015" s="34" t="n">
        <v>45308</v>
      </c>
      <c r="D1015" s="33" t="n">
        <v>73</v>
      </c>
      <c r="E1015" s="33" t="s">
        <v>139</v>
      </c>
      <c r="F1015" s="33" t="s">
        <v>203</v>
      </c>
      <c r="G1015" s="33" t="s">
        <v>232</v>
      </c>
      <c r="H1015" s="33" t="s">
        <v>233</v>
      </c>
      <c r="I1015" s="33" t="s">
        <v>143</v>
      </c>
      <c r="J1015" s="33" t="s">
        <v>159</v>
      </c>
      <c r="K1015" s="33" t="s">
        <v>160</v>
      </c>
      <c r="L1015" s="35" t="n">
        <v>3253.09</v>
      </c>
      <c r="M1015" s="33" t="n">
        <v>4</v>
      </c>
      <c r="N1015" s="33" t="s">
        <v>146</v>
      </c>
      <c r="O1015" s="33" t="s">
        <v>247</v>
      </c>
    </row>
    <row r="1016" customFormat="false" ht="15" hidden="false" customHeight="false" outlineLevel="0" collapsed="false">
      <c r="A1016" s="33" t="s">
        <v>1228</v>
      </c>
      <c r="B1016" s="34" t="n">
        <v>45556</v>
      </c>
      <c r="C1016" s="34" t="n">
        <v>45564</v>
      </c>
      <c r="D1016" s="33" t="n">
        <v>82</v>
      </c>
      <c r="E1016" s="33" t="s">
        <v>139</v>
      </c>
      <c r="F1016" s="33" t="s">
        <v>140</v>
      </c>
      <c r="G1016" s="33" t="s">
        <v>167</v>
      </c>
      <c r="H1016" s="33" t="s">
        <v>290</v>
      </c>
      <c r="I1016" s="33" t="s">
        <v>152</v>
      </c>
      <c r="J1016" s="33" t="s">
        <v>144</v>
      </c>
      <c r="K1016" s="33" t="s">
        <v>145</v>
      </c>
      <c r="L1016" s="35" t="n">
        <v>33742.15</v>
      </c>
      <c r="M1016" s="33" t="n">
        <v>4</v>
      </c>
      <c r="N1016" s="33" t="s">
        <v>146</v>
      </c>
      <c r="O1016" s="33" t="s">
        <v>147</v>
      </c>
    </row>
    <row r="1017" customFormat="false" ht="15" hidden="false" customHeight="false" outlineLevel="0" collapsed="false">
      <c r="A1017" s="33" t="s">
        <v>1229</v>
      </c>
      <c r="B1017" s="34" t="n">
        <v>45499</v>
      </c>
      <c r="C1017" s="34" t="n">
        <v>45507</v>
      </c>
      <c r="D1017" s="33" t="n">
        <v>42</v>
      </c>
      <c r="E1017" s="33" t="s">
        <v>154</v>
      </c>
      <c r="F1017" s="33" t="s">
        <v>140</v>
      </c>
      <c r="G1017" s="33" t="s">
        <v>316</v>
      </c>
      <c r="H1017" s="33" t="s">
        <v>290</v>
      </c>
      <c r="I1017" s="33" t="s">
        <v>152</v>
      </c>
      <c r="J1017" s="33" t="s">
        <v>144</v>
      </c>
      <c r="K1017" s="33" t="s">
        <v>145</v>
      </c>
      <c r="L1017" s="35" t="n">
        <v>24982.42</v>
      </c>
      <c r="M1017" s="33" t="n">
        <v>3</v>
      </c>
      <c r="N1017" s="33" t="s">
        <v>146</v>
      </c>
      <c r="O1017" s="33" t="s">
        <v>147</v>
      </c>
    </row>
    <row r="1018" customFormat="false" ht="15" hidden="false" customHeight="false" outlineLevel="0" collapsed="false">
      <c r="A1018" s="33" t="s">
        <v>1230</v>
      </c>
      <c r="B1018" s="34" t="n">
        <v>45408</v>
      </c>
      <c r="C1018" s="34" t="n">
        <v>45410</v>
      </c>
      <c r="D1018" s="36"/>
      <c r="E1018" s="33" t="s">
        <v>154</v>
      </c>
      <c r="F1018" s="33" t="s">
        <v>203</v>
      </c>
      <c r="G1018" s="33" t="s">
        <v>204</v>
      </c>
      <c r="H1018" s="33" t="s">
        <v>205</v>
      </c>
      <c r="I1018" s="33" t="s">
        <v>143</v>
      </c>
      <c r="J1018" s="33" t="s">
        <v>159</v>
      </c>
      <c r="K1018" s="33" t="s">
        <v>184</v>
      </c>
      <c r="L1018" s="35" t="n">
        <v>2054.74</v>
      </c>
      <c r="M1018" s="33" t="n">
        <v>4</v>
      </c>
      <c r="N1018" s="33" t="s">
        <v>146</v>
      </c>
      <c r="O1018" s="33" t="s">
        <v>147</v>
      </c>
    </row>
    <row r="1019" customFormat="false" ht="15" hidden="false" customHeight="false" outlineLevel="0" collapsed="false">
      <c r="A1019" s="33" t="s">
        <v>1231</v>
      </c>
      <c r="B1019" s="34" t="n">
        <v>45414</v>
      </c>
      <c r="C1019" s="34" t="n">
        <v>45416</v>
      </c>
      <c r="D1019" s="33" t="n">
        <v>6</v>
      </c>
      <c r="E1019" s="33" t="s">
        <v>154</v>
      </c>
      <c r="F1019" s="33" t="s">
        <v>155</v>
      </c>
      <c r="G1019" s="33" t="s">
        <v>156</v>
      </c>
      <c r="H1019" s="33" t="s">
        <v>157</v>
      </c>
      <c r="I1019" s="33" t="s">
        <v>152</v>
      </c>
      <c r="J1019" s="33" t="s">
        <v>144</v>
      </c>
      <c r="K1019" s="33" t="s">
        <v>160</v>
      </c>
      <c r="L1019" s="35" t="n">
        <v>2726.56</v>
      </c>
      <c r="M1019" s="33" t="n">
        <v>3</v>
      </c>
      <c r="N1019" s="33" t="s">
        <v>146</v>
      </c>
      <c r="O1019" s="33" t="s">
        <v>147</v>
      </c>
    </row>
    <row r="1020" customFormat="false" ht="15" hidden="false" customHeight="false" outlineLevel="0" collapsed="false">
      <c r="A1020" s="33" t="s">
        <v>1232</v>
      </c>
      <c r="B1020" s="34" t="n">
        <v>45312</v>
      </c>
      <c r="C1020" s="34" t="n">
        <v>45317</v>
      </c>
      <c r="D1020" s="33" t="n">
        <v>34</v>
      </c>
      <c r="E1020" s="33" t="s">
        <v>139</v>
      </c>
      <c r="F1020" s="33" t="s">
        <v>173</v>
      </c>
      <c r="G1020" s="33" t="s">
        <v>198</v>
      </c>
      <c r="H1020" s="33" t="s">
        <v>175</v>
      </c>
      <c r="I1020" s="33" t="s">
        <v>143</v>
      </c>
      <c r="J1020" s="33" t="s">
        <v>159</v>
      </c>
      <c r="K1020" s="33" t="s">
        <v>160</v>
      </c>
      <c r="L1020" s="35" t="n">
        <v>14740.03</v>
      </c>
      <c r="M1020" s="33" t="n">
        <v>3</v>
      </c>
      <c r="N1020" s="33" t="s">
        <v>146</v>
      </c>
      <c r="O1020" s="33" t="s">
        <v>147</v>
      </c>
    </row>
    <row r="1021" customFormat="false" ht="15" hidden="false" customHeight="false" outlineLevel="0" collapsed="false">
      <c r="A1021" s="33" t="s">
        <v>1233</v>
      </c>
      <c r="B1021" s="34" t="n">
        <v>45624</v>
      </c>
      <c r="C1021" s="34" t="n">
        <v>45626</v>
      </c>
      <c r="D1021" s="33" t="n">
        <v>39</v>
      </c>
      <c r="E1021" s="33" t="s">
        <v>139</v>
      </c>
      <c r="F1021" s="33" t="s">
        <v>191</v>
      </c>
      <c r="G1021" s="33" t="s">
        <v>204</v>
      </c>
      <c r="H1021" s="33" t="s">
        <v>193</v>
      </c>
      <c r="I1021" s="33" t="s">
        <v>143</v>
      </c>
      <c r="J1021" s="33" t="s">
        <v>159</v>
      </c>
      <c r="K1021" s="33" t="s">
        <v>160</v>
      </c>
      <c r="L1021" s="35" t="n">
        <v>1759.73</v>
      </c>
      <c r="M1021" s="33" t="n">
        <v>3</v>
      </c>
      <c r="N1021" s="33" t="s">
        <v>146</v>
      </c>
      <c r="O1021" s="33" t="s">
        <v>147</v>
      </c>
    </row>
    <row r="1022" customFormat="false" ht="15" hidden="false" customHeight="false" outlineLevel="0" collapsed="false">
      <c r="A1022" s="33" t="s">
        <v>1234</v>
      </c>
      <c r="B1022" s="34" t="n">
        <v>45312</v>
      </c>
      <c r="C1022" s="34" t="n">
        <v>45313</v>
      </c>
      <c r="D1022" s="33" t="n">
        <v>49</v>
      </c>
      <c r="E1022" s="33" t="s">
        <v>154</v>
      </c>
      <c r="F1022" s="33" t="s">
        <v>140</v>
      </c>
      <c r="G1022" s="33" t="s">
        <v>316</v>
      </c>
      <c r="H1022" s="33" t="s">
        <v>290</v>
      </c>
      <c r="I1022" s="33" t="s">
        <v>158</v>
      </c>
      <c r="J1022" s="33" t="s">
        <v>159</v>
      </c>
      <c r="K1022" s="33" t="s">
        <v>145</v>
      </c>
      <c r="L1022" s="35" t="n">
        <v>1736.78</v>
      </c>
      <c r="M1022" s="33" t="n">
        <v>5</v>
      </c>
      <c r="N1022" s="33" t="s">
        <v>146</v>
      </c>
      <c r="O1022" s="33" t="s">
        <v>147</v>
      </c>
    </row>
    <row r="1023" customFormat="false" ht="15" hidden="false" customHeight="false" outlineLevel="0" collapsed="false">
      <c r="A1023" s="33" t="s">
        <v>1235</v>
      </c>
      <c r="B1023" s="34" t="n">
        <v>45493</v>
      </c>
      <c r="C1023" s="34" t="n">
        <v>45498</v>
      </c>
      <c r="D1023" s="33" t="n">
        <v>32</v>
      </c>
      <c r="E1023" s="33" t="s">
        <v>154</v>
      </c>
      <c r="F1023" s="33" t="s">
        <v>169</v>
      </c>
      <c r="G1023" s="33" t="s">
        <v>170</v>
      </c>
      <c r="H1023" s="33" t="s">
        <v>171</v>
      </c>
      <c r="I1023" s="33" t="s">
        <v>158</v>
      </c>
      <c r="J1023" s="33" t="s">
        <v>176</v>
      </c>
      <c r="K1023" s="33" t="s">
        <v>184</v>
      </c>
      <c r="L1023" s="35" t="n">
        <v>24006.96</v>
      </c>
      <c r="M1023" s="33" t="n">
        <v>4</v>
      </c>
      <c r="N1023" s="33" t="s">
        <v>146</v>
      </c>
      <c r="O1023" s="33" t="s">
        <v>206</v>
      </c>
    </row>
    <row r="1024" customFormat="false" ht="15" hidden="false" customHeight="false" outlineLevel="0" collapsed="false">
      <c r="A1024" s="33" t="s">
        <v>1236</v>
      </c>
      <c r="B1024" s="34" t="n">
        <v>45346</v>
      </c>
      <c r="C1024" s="34" t="n">
        <v>45348</v>
      </c>
      <c r="D1024" s="33" t="n">
        <v>46</v>
      </c>
      <c r="E1024" s="33" t="s">
        <v>154</v>
      </c>
      <c r="F1024" s="33" t="s">
        <v>173</v>
      </c>
      <c r="G1024" s="33" t="s">
        <v>178</v>
      </c>
      <c r="H1024" s="33" t="s">
        <v>175</v>
      </c>
      <c r="I1024" s="33" t="s">
        <v>143</v>
      </c>
      <c r="J1024" s="33" t="s">
        <v>144</v>
      </c>
      <c r="K1024" s="33" t="s">
        <v>184</v>
      </c>
      <c r="L1024" s="35" t="n">
        <v>10130.25</v>
      </c>
      <c r="M1024" s="33" t="n">
        <v>5</v>
      </c>
      <c r="N1024" s="33" t="s">
        <v>146</v>
      </c>
      <c r="O1024" s="33" t="s">
        <v>147</v>
      </c>
    </row>
    <row r="1025" customFormat="false" ht="15" hidden="false" customHeight="false" outlineLevel="0" collapsed="false">
      <c r="A1025" s="33" t="s">
        <v>1237</v>
      </c>
      <c r="B1025" s="34" t="n">
        <v>45456</v>
      </c>
      <c r="C1025" s="34" t="n">
        <v>45457</v>
      </c>
      <c r="D1025" s="33" t="n">
        <v>41</v>
      </c>
      <c r="E1025" s="33" t="s">
        <v>139</v>
      </c>
      <c r="F1025" s="33" t="s">
        <v>169</v>
      </c>
      <c r="G1025" s="33" t="s">
        <v>170</v>
      </c>
      <c r="H1025" s="33" t="s">
        <v>164</v>
      </c>
      <c r="I1025" s="33" t="s">
        <v>152</v>
      </c>
      <c r="J1025" s="33" t="s">
        <v>159</v>
      </c>
      <c r="K1025" s="33" t="s">
        <v>160</v>
      </c>
      <c r="L1025" s="35" t="n">
        <v>1161</v>
      </c>
      <c r="M1025" s="33" t="n">
        <v>4</v>
      </c>
      <c r="N1025" s="33" t="s">
        <v>146</v>
      </c>
      <c r="O1025" s="33" t="s">
        <v>147</v>
      </c>
    </row>
    <row r="1026" customFormat="false" ht="15" hidden="false" customHeight="false" outlineLevel="0" collapsed="false">
      <c r="A1026" s="33" t="s">
        <v>1238</v>
      </c>
      <c r="B1026" s="34" t="n">
        <v>45403</v>
      </c>
      <c r="C1026" s="34" t="n">
        <v>45409</v>
      </c>
      <c r="D1026" s="33" t="n">
        <v>31</v>
      </c>
      <c r="E1026" s="33" t="s">
        <v>139</v>
      </c>
      <c r="F1026" s="33" t="s">
        <v>162</v>
      </c>
      <c r="G1026" s="33" t="s">
        <v>163</v>
      </c>
      <c r="H1026" s="33" t="s">
        <v>164</v>
      </c>
      <c r="I1026" s="33" t="s">
        <v>143</v>
      </c>
      <c r="J1026" s="33" t="s">
        <v>176</v>
      </c>
      <c r="K1026" s="33" t="s">
        <v>145</v>
      </c>
      <c r="L1026" s="35" t="n">
        <v>22710.02</v>
      </c>
      <c r="M1026" s="33" t="n">
        <v>5</v>
      </c>
      <c r="N1026" s="33" t="s">
        <v>146</v>
      </c>
      <c r="O1026" s="33" t="s">
        <v>147</v>
      </c>
    </row>
    <row r="1027" customFormat="false" ht="15" hidden="false" customHeight="false" outlineLevel="0" collapsed="false">
      <c r="A1027" s="33" t="s">
        <v>1239</v>
      </c>
      <c r="B1027" s="34" t="n">
        <v>45432</v>
      </c>
      <c r="C1027" s="34" t="n">
        <v>45434</v>
      </c>
      <c r="D1027" s="33" t="n">
        <v>42</v>
      </c>
      <c r="E1027" s="33" t="s">
        <v>180</v>
      </c>
      <c r="F1027" s="33" t="s">
        <v>140</v>
      </c>
      <c r="G1027" s="33" t="s">
        <v>141</v>
      </c>
      <c r="H1027" s="33" t="s">
        <v>142</v>
      </c>
      <c r="I1027" s="33" t="s">
        <v>143</v>
      </c>
      <c r="J1027" s="33" t="s">
        <v>159</v>
      </c>
      <c r="K1027" s="33" t="s">
        <v>160</v>
      </c>
      <c r="L1027" s="35" t="n">
        <v>3651.13</v>
      </c>
      <c r="M1027" s="33" t="n">
        <v>3</v>
      </c>
      <c r="N1027" s="33" t="s">
        <v>210</v>
      </c>
      <c r="O1027" s="33" t="s">
        <v>147</v>
      </c>
    </row>
    <row r="1028" customFormat="false" ht="15" hidden="false" customHeight="false" outlineLevel="0" collapsed="false">
      <c r="A1028" s="33" t="s">
        <v>1232</v>
      </c>
      <c r="B1028" s="34" t="n">
        <v>45312</v>
      </c>
      <c r="C1028" s="34" t="n">
        <v>45317</v>
      </c>
      <c r="D1028" s="33" t="n">
        <v>34</v>
      </c>
      <c r="E1028" s="33" t="s">
        <v>139</v>
      </c>
      <c r="F1028" s="33" t="s">
        <v>173</v>
      </c>
      <c r="G1028" s="33" t="s">
        <v>198</v>
      </c>
      <c r="H1028" s="33" t="s">
        <v>175</v>
      </c>
      <c r="I1028" s="33" t="s">
        <v>143</v>
      </c>
      <c r="J1028" s="33" t="s">
        <v>159</v>
      </c>
      <c r="K1028" s="33" t="s">
        <v>160</v>
      </c>
      <c r="L1028" s="35" t="n">
        <v>14740.03</v>
      </c>
      <c r="M1028" s="33" t="n">
        <v>3</v>
      </c>
      <c r="N1028" s="33" t="s">
        <v>146</v>
      </c>
      <c r="O1028" s="33" t="s">
        <v>147</v>
      </c>
    </row>
    <row r="1029" customFormat="false" ht="15" hidden="false" customHeight="false" outlineLevel="0" collapsed="false">
      <c r="A1029" s="33" t="s">
        <v>1240</v>
      </c>
      <c r="B1029" s="34" t="n">
        <v>45404</v>
      </c>
      <c r="C1029" s="34" t="n">
        <v>45405</v>
      </c>
      <c r="D1029" s="33" t="n">
        <v>63</v>
      </c>
      <c r="E1029" s="33" t="s">
        <v>139</v>
      </c>
      <c r="F1029" s="33" t="s">
        <v>203</v>
      </c>
      <c r="G1029" s="33" t="s">
        <v>217</v>
      </c>
      <c r="H1029" s="33" t="s">
        <v>193</v>
      </c>
      <c r="I1029" s="33" t="s">
        <v>143</v>
      </c>
      <c r="J1029" s="33" t="s">
        <v>176</v>
      </c>
      <c r="K1029" s="33" t="s">
        <v>145</v>
      </c>
      <c r="L1029" s="35" t="n">
        <v>2493.04</v>
      </c>
      <c r="M1029" s="33" t="n">
        <v>4</v>
      </c>
      <c r="N1029" s="33" t="s">
        <v>146</v>
      </c>
      <c r="O1029" s="33" t="s">
        <v>147</v>
      </c>
    </row>
    <row r="1030" customFormat="false" ht="15" hidden="false" customHeight="false" outlineLevel="0" collapsed="false">
      <c r="A1030" s="33" t="s">
        <v>1144</v>
      </c>
      <c r="B1030" s="34" t="n">
        <v>45565</v>
      </c>
      <c r="C1030" s="34" t="n">
        <v>45568</v>
      </c>
      <c r="D1030" s="33" t="n">
        <v>4</v>
      </c>
      <c r="E1030" s="33" t="s">
        <v>154</v>
      </c>
      <c r="F1030" s="33" t="s">
        <v>155</v>
      </c>
      <c r="G1030" s="33" t="s">
        <v>302</v>
      </c>
      <c r="H1030" s="33" t="s">
        <v>222</v>
      </c>
      <c r="I1030" s="33" t="s">
        <v>143</v>
      </c>
      <c r="J1030" s="33" t="s">
        <v>176</v>
      </c>
      <c r="K1030" s="33" t="s">
        <v>209</v>
      </c>
      <c r="L1030" s="35" t="n">
        <v>7112.15</v>
      </c>
      <c r="M1030" s="33" t="n">
        <v>4</v>
      </c>
      <c r="N1030" s="33" t="s">
        <v>146</v>
      </c>
      <c r="O1030" s="33" t="s">
        <v>147</v>
      </c>
    </row>
    <row r="1031" customFormat="false" ht="15" hidden="false" customHeight="false" outlineLevel="0" collapsed="false">
      <c r="A1031" s="33" t="s">
        <v>1241</v>
      </c>
      <c r="B1031" s="34" t="n">
        <v>45347</v>
      </c>
      <c r="C1031" s="34" t="n">
        <v>45357</v>
      </c>
      <c r="D1031" s="33" t="n">
        <v>39</v>
      </c>
      <c r="E1031" s="33" t="s">
        <v>139</v>
      </c>
      <c r="F1031" s="33" t="s">
        <v>140</v>
      </c>
      <c r="G1031" s="33" t="s">
        <v>316</v>
      </c>
      <c r="H1031" s="33" t="s">
        <v>290</v>
      </c>
      <c r="I1031" s="33" t="s">
        <v>143</v>
      </c>
      <c r="J1031" s="33" t="s">
        <v>159</v>
      </c>
      <c r="K1031" s="33" t="s">
        <v>145</v>
      </c>
      <c r="L1031" s="35" t="n">
        <v>23992.36</v>
      </c>
      <c r="M1031" s="33" t="n">
        <v>3</v>
      </c>
      <c r="N1031" s="33" t="s">
        <v>146</v>
      </c>
      <c r="O1031" s="33" t="s">
        <v>147</v>
      </c>
    </row>
    <row r="1032" customFormat="false" ht="15" hidden="false" customHeight="false" outlineLevel="0" collapsed="false">
      <c r="A1032" s="33" t="s">
        <v>1242</v>
      </c>
      <c r="B1032" s="34" t="n">
        <v>45548</v>
      </c>
      <c r="C1032" s="34" t="n">
        <v>45549</v>
      </c>
      <c r="D1032" s="33" t="n">
        <v>50</v>
      </c>
      <c r="E1032" s="33" t="s">
        <v>154</v>
      </c>
      <c r="F1032" s="33" t="s">
        <v>181</v>
      </c>
      <c r="G1032" s="33" t="s">
        <v>237</v>
      </c>
      <c r="H1032" s="33" t="s">
        <v>245</v>
      </c>
      <c r="I1032" s="33" t="s">
        <v>152</v>
      </c>
      <c r="J1032" s="33" t="s">
        <v>159</v>
      </c>
      <c r="K1032" s="33" t="s">
        <v>160</v>
      </c>
      <c r="L1032" s="35" t="n">
        <v>1966.19</v>
      </c>
      <c r="M1032" s="33" t="n">
        <v>4</v>
      </c>
      <c r="N1032" s="33" t="s">
        <v>210</v>
      </c>
      <c r="O1032" s="33" t="s">
        <v>147</v>
      </c>
    </row>
    <row r="1033" customFormat="false" ht="15" hidden="false" customHeight="false" outlineLevel="0" collapsed="false">
      <c r="A1033" s="33" t="s">
        <v>1243</v>
      </c>
      <c r="B1033" s="34" t="n">
        <v>45450</v>
      </c>
      <c r="C1033" s="34" t="n">
        <v>45458</v>
      </c>
      <c r="D1033" s="33" t="n">
        <v>64</v>
      </c>
      <c r="E1033" s="33" t="s">
        <v>139</v>
      </c>
      <c r="F1033" s="33" t="s">
        <v>169</v>
      </c>
      <c r="G1033" s="33" t="s">
        <v>213</v>
      </c>
      <c r="H1033" s="33" t="s">
        <v>164</v>
      </c>
      <c r="I1033" s="33" t="s">
        <v>143</v>
      </c>
      <c r="J1033" s="33" t="s">
        <v>159</v>
      </c>
      <c r="K1033" s="33" t="s">
        <v>145</v>
      </c>
      <c r="L1033" s="35" t="n">
        <v>7529.76</v>
      </c>
      <c r="M1033" s="33" t="n">
        <v>5</v>
      </c>
      <c r="N1033" s="33" t="s">
        <v>146</v>
      </c>
      <c r="O1033" s="33" t="s">
        <v>147</v>
      </c>
    </row>
    <row r="1034" customFormat="false" ht="15" hidden="false" customHeight="false" outlineLevel="0" collapsed="false">
      <c r="A1034" s="33" t="s">
        <v>1244</v>
      </c>
      <c r="B1034" s="34" t="n">
        <v>45609</v>
      </c>
      <c r="C1034" s="34" t="n">
        <v>45610</v>
      </c>
      <c r="D1034" s="33" t="n">
        <v>47</v>
      </c>
      <c r="E1034" s="33" t="s">
        <v>257</v>
      </c>
      <c r="F1034" s="33" t="s">
        <v>203</v>
      </c>
      <c r="G1034" s="33" t="s">
        <v>241</v>
      </c>
      <c r="H1034" s="33" t="s">
        <v>205</v>
      </c>
      <c r="I1034" s="33" t="s">
        <v>143</v>
      </c>
      <c r="J1034" s="33" t="s">
        <v>159</v>
      </c>
      <c r="K1034" s="33" t="s">
        <v>160</v>
      </c>
      <c r="L1034" s="35" t="n">
        <v>886.48</v>
      </c>
      <c r="M1034" s="33" t="n">
        <v>2</v>
      </c>
      <c r="N1034" s="33" t="s">
        <v>146</v>
      </c>
      <c r="O1034" s="33" t="s">
        <v>147</v>
      </c>
    </row>
    <row r="1035" customFormat="false" ht="15" hidden="false" customHeight="false" outlineLevel="0" collapsed="false">
      <c r="A1035" s="33" t="s">
        <v>1115</v>
      </c>
      <c r="B1035" s="34" t="n">
        <v>45656</v>
      </c>
      <c r="C1035" s="34" t="n">
        <v>45661</v>
      </c>
      <c r="D1035" s="33" t="n">
        <v>42</v>
      </c>
      <c r="E1035" s="33" t="s">
        <v>154</v>
      </c>
      <c r="F1035" s="33" t="s">
        <v>173</v>
      </c>
      <c r="G1035" s="33" t="s">
        <v>178</v>
      </c>
      <c r="H1035" s="33" t="s">
        <v>175</v>
      </c>
      <c r="I1035" s="33" t="s">
        <v>143</v>
      </c>
      <c r="J1035" s="33" t="s">
        <v>159</v>
      </c>
      <c r="K1035" s="33" t="s">
        <v>160</v>
      </c>
      <c r="L1035" s="35" t="n">
        <v>13588.97</v>
      </c>
      <c r="M1035" s="33" t="n">
        <v>4</v>
      </c>
      <c r="N1035" s="33" t="s">
        <v>146</v>
      </c>
      <c r="O1035" s="33" t="s">
        <v>147</v>
      </c>
    </row>
    <row r="1036" customFormat="false" ht="15" hidden="false" customHeight="false" outlineLevel="0" collapsed="false">
      <c r="A1036" s="33" t="s">
        <v>1245</v>
      </c>
      <c r="B1036" s="34" t="n">
        <v>45439</v>
      </c>
      <c r="C1036" s="34" t="n">
        <v>45440</v>
      </c>
      <c r="D1036" s="33" t="n">
        <v>19</v>
      </c>
      <c r="E1036" s="33" t="s">
        <v>139</v>
      </c>
      <c r="F1036" s="33" t="s">
        <v>203</v>
      </c>
      <c r="G1036" s="33" t="s">
        <v>241</v>
      </c>
      <c r="H1036" s="33" t="s">
        <v>205</v>
      </c>
      <c r="I1036" s="33" t="s">
        <v>158</v>
      </c>
      <c r="J1036" s="33" t="s">
        <v>144</v>
      </c>
      <c r="K1036" s="33" t="s">
        <v>209</v>
      </c>
      <c r="L1036" s="35" t="n">
        <v>1740.25</v>
      </c>
      <c r="M1036" s="33" t="n">
        <v>3</v>
      </c>
      <c r="N1036" s="33" t="s">
        <v>146</v>
      </c>
      <c r="O1036" s="33" t="s">
        <v>147</v>
      </c>
    </row>
    <row r="1037" customFormat="false" ht="15" hidden="false" customHeight="false" outlineLevel="0" collapsed="false">
      <c r="A1037" s="33" t="s">
        <v>1246</v>
      </c>
      <c r="B1037" s="34" t="n">
        <v>45389</v>
      </c>
      <c r="C1037" s="34" t="n">
        <v>45390</v>
      </c>
      <c r="D1037" s="33" t="n">
        <v>74</v>
      </c>
      <c r="E1037" s="33" t="s">
        <v>139</v>
      </c>
      <c r="F1037" s="33" t="s">
        <v>140</v>
      </c>
      <c r="G1037" s="33" t="s">
        <v>141</v>
      </c>
      <c r="H1037" s="33" t="s">
        <v>290</v>
      </c>
      <c r="I1037" s="33" t="s">
        <v>152</v>
      </c>
      <c r="J1037" s="33" t="s">
        <v>144</v>
      </c>
      <c r="K1037" s="33" t="s">
        <v>209</v>
      </c>
      <c r="L1037" s="35" t="n">
        <v>3917.08</v>
      </c>
      <c r="M1037" s="33" t="n">
        <v>3</v>
      </c>
      <c r="N1037" s="33" t="s">
        <v>146</v>
      </c>
      <c r="O1037" s="33" t="s">
        <v>147</v>
      </c>
    </row>
    <row r="1038" customFormat="false" ht="15" hidden="false" customHeight="false" outlineLevel="0" collapsed="false">
      <c r="A1038" s="33" t="s">
        <v>1247</v>
      </c>
      <c r="B1038" s="34" t="n">
        <v>45394</v>
      </c>
      <c r="C1038" s="34" t="n">
        <v>45397</v>
      </c>
      <c r="D1038" s="33" t="n">
        <v>30</v>
      </c>
      <c r="E1038" s="33" t="s">
        <v>139</v>
      </c>
      <c r="F1038" s="33" t="s">
        <v>149</v>
      </c>
      <c r="G1038" s="33" t="s">
        <v>150</v>
      </c>
      <c r="H1038" s="33" t="s">
        <v>186</v>
      </c>
      <c r="I1038" s="33" t="s">
        <v>143</v>
      </c>
      <c r="J1038" s="33" t="s">
        <v>144</v>
      </c>
      <c r="K1038" s="33" t="s">
        <v>184</v>
      </c>
      <c r="L1038" s="35" t="n">
        <v>8628.5</v>
      </c>
      <c r="M1038" s="33" t="n">
        <v>4</v>
      </c>
      <c r="N1038" s="33" t="s">
        <v>146</v>
      </c>
      <c r="O1038" s="33" t="s">
        <v>147</v>
      </c>
    </row>
    <row r="1039" customFormat="false" ht="15" hidden="false" customHeight="false" outlineLevel="0" collapsed="false">
      <c r="A1039" s="33" t="s">
        <v>1248</v>
      </c>
      <c r="B1039" s="34" t="n">
        <v>45615</v>
      </c>
      <c r="C1039" s="34" t="n">
        <v>45616</v>
      </c>
      <c r="D1039" s="33" t="n">
        <v>72</v>
      </c>
      <c r="E1039" s="33" t="s">
        <v>154</v>
      </c>
      <c r="F1039" s="33" t="s">
        <v>203</v>
      </c>
      <c r="G1039" s="33" t="s">
        <v>204</v>
      </c>
      <c r="H1039" s="33" t="s">
        <v>193</v>
      </c>
      <c r="I1039" s="33" t="s">
        <v>143</v>
      </c>
      <c r="J1039" s="33" t="s">
        <v>144</v>
      </c>
      <c r="K1039" s="33" t="s">
        <v>160</v>
      </c>
      <c r="L1039" s="35" t="n">
        <v>1372.62</v>
      </c>
      <c r="M1039" s="33" t="n">
        <v>4</v>
      </c>
      <c r="N1039" s="33" t="s">
        <v>146</v>
      </c>
      <c r="O1039" s="33" t="s">
        <v>147</v>
      </c>
    </row>
    <row r="1040" customFormat="false" ht="15" hidden="false" customHeight="false" outlineLevel="0" collapsed="false">
      <c r="A1040" s="33" t="s">
        <v>1249</v>
      </c>
      <c r="B1040" s="34" t="n">
        <v>45478</v>
      </c>
      <c r="C1040" s="34" t="n">
        <v>45485</v>
      </c>
      <c r="D1040" s="33" t="n">
        <v>48</v>
      </c>
      <c r="E1040" s="33" t="s">
        <v>154</v>
      </c>
      <c r="F1040" s="33" t="s">
        <v>181</v>
      </c>
      <c r="G1040" s="33" t="s">
        <v>188</v>
      </c>
      <c r="H1040" s="33" t="s">
        <v>183</v>
      </c>
      <c r="I1040" s="33" t="s">
        <v>152</v>
      </c>
      <c r="J1040" s="33" t="s">
        <v>159</v>
      </c>
      <c r="K1040" s="33" t="s">
        <v>145</v>
      </c>
      <c r="L1040" s="35" t="n">
        <v>14863.62</v>
      </c>
      <c r="M1040" s="33" t="n">
        <v>4</v>
      </c>
      <c r="N1040" s="33" t="s">
        <v>146</v>
      </c>
      <c r="O1040" s="33" t="s">
        <v>147</v>
      </c>
    </row>
    <row r="1041" customFormat="false" ht="15" hidden="false" customHeight="false" outlineLevel="0" collapsed="false">
      <c r="A1041" s="33" t="s">
        <v>1250</v>
      </c>
      <c r="B1041" s="34" t="n">
        <v>45638</v>
      </c>
      <c r="C1041" s="34" t="n">
        <v>45640</v>
      </c>
      <c r="D1041" s="33" t="n">
        <v>59</v>
      </c>
      <c r="E1041" s="33" t="s">
        <v>139</v>
      </c>
      <c r="F1041" s="33" t="s">
        <v>203</v>
      </c>
      <c r="G1041" s="33" t="s">
        <v>241</v>
      </c>
      <c r="H1041" s="33" t="s">
        <v>233</v>
      </c>
      <c r="I1041" s="33" t="s">
        <v>143</v>
      </c>
      <c r="J1041" s="33" t="s">
        <v>176</v>
      </c>
      <c r="K1041" s="33" t="s">
        <v>160</v>
      </c>
      <c r="L1041" s="35" t="n">
        <v>5541.47</v>
      </c>
      <c r="M1041" s="33" t="n">
        <v>4</v>
      </c>
      <c r="N1041" s="33" t="s">
        <v>146</v>
      </c>
      <c r="O1041" s="33" t="s">
        <v>247</v>
      </c>
    </row>
    <row r="1042" customFormat="false" ht="15" hidden="false" customHeight="false" outlineLevel="0" collapsed="false">
      <c r="A1042" s="33" t="s">
        <v>1251</v>
      </c>
      <c r="B1042" s="34" t="n">
        <v>45462</v>
      </c>
      <c r="C1042" s="34" t="n">
        <v>45466</v>
      </c>
      <c r="D1042" s="33" t="n">
        <v>53</v>
      </c>
      <c r="E1042" s="33" t="s">
        <v>139</v>
      </c>
      <c r="F1042" s="33" t="s">
        <v>203</v>
      </c>
      <c r="G1042" s="33" t="s">
        <v>204</v>
      </c>
      <c r="H1042" s="33" t="s">
        <v>205</v>
      </c>
      <c r="I1042" s="33" t="s">
        <v>143</v>
      </c>
      <c r="J1042" s="33" t="s">
        <v>159</v>
      </c>
      <c r="K1042" s="33" t="s">
        <v>145</v>
      </c>
      <c r="L1042" s="35" t="n">
        <v>3255.43</v>
      </c>
      <c r="M1042" s="33" t="n">
        <v>3</v>
      </c>
      <c r="N1042" s="33" t="s">
        <v>146</v>
      </c>
      <c r="O1042" s="33" t="s">
        <v>147</v>
      </c>
    </row>
    <row r="1043" customFormat="false" ht="15" hidden="false" customHeight="false" outlineLevel="0" collapsed="false">
      <c r="A1043" s="33" t="s">
        <v>1252</v>
      </c>
      <c r="B1043" s="34" t="n">
        <v>45481</v>
      </c>
      <c r="C1043" s="34" t="n">
        <v>45484</v>
      </c>
      <c r="D1043" s="33" t="n">
        <v>72</v>
      </c>
      <c r="E1043" s="33" t="s">
        <v>139</v>
      </c>
      <c r="F1043" s="33" t="s">
        <v>226</v>
      </c>
      <c r="G1043" s="33" t="s">
        <v>258</v>
      </c>
      <c r="H1043" s="33" t="s">
        <v>263</v>
      </c>
      <c r="I1043" s="33" t="s">
        <v>152</v>
      </c>
      <c r="J1043" s="33" t="s">
        <v>176</v>
      </c>
      <c r="K1043" s="33" t="s">
        <v>209</v>
      </c>
      <c r="L1043" s="35" t="n">
        <v>24254.59</v>
      </c>
      <c r="M1043" s="33" t="n">
        <v>4</v>
      </c>
      <c r="N1043" s="33" t="s">
        <v>146</v>
      </c>
      <c r="O1043" s="36"/>
    </row>
    <row r="1044" customFormat="false" ht="15" hidden="false" customHeight="false" outlineLevel="0" collapsed="false">
      <c r="A1044" s="33" t="s">
        <v>1253</v>
      </c>
      <c r="B1044" s="34" t="n">
        <v>45508</v>
      </c>
      <c r="C1044" s="34" t="n">
        <v>45513</v>
      </c>
      <c r="D1044" s="33" t="n">
        <v>39</v>
      </c>
      <c r="E1044" s="33" t="s">
        <v>139</v>
      </c>
      <c r="F1044" s="33" t="s">
        <v>169</v>
      </c>
      <c r="G1044" s="33" t="s">
        <v>213</v>
      </c>
      <c r="H1044" s="33" t="s">
        <v>171</v>
      </c>
      <c r="I1044" s="33" t="s">
        <v>143</v>
      </c>
      <c r="J1044" s="33" t="s">
        <v>159</v>
      </c>
      <c r="K1044" s="33" t="s">
        <v>160</v>
      </c>
      <c r="L1044" s="35" t="n">
        <v>5092.79</v>
      </c>
      <c r="M1044" s="33" t="n">
        <v>5</v>
      </c>
      <c r="N1044" s="33" t="s">
        <v>146</v>
      </c>
      <c r="O1044" s="33" t="s">
        <v>147</v>
      </c>
    </row>
    <row r="1045" customFormat="false" ht="15" hidden="false" customHeight="false" outlineLevel="0" collapsed="false">
      <c r="A1045" s="33" t="s">
        <v>1254</v>
      </c>
      <c r="B1045" s="34" t="n">
        <v>45456</v>
      </c>
      <c r="C1045" s="34" t="n">
        <v>45463</v>
      </c>
      <c r="D1045" s="33" t="n">
        <v>38</v>
      </c>
      <c r="E1045" s="33" t="s">
        <v>154</v>
      </c>
      <c r="F1045" s="33" t="s">
        <v>162</v>
      </c>
      <c r="G1045" s="33" t="s">
        <v>230</v>
      </c>
      <c r="H1045" s="33" t="s">
        <v>195</v>
      </c>
      <c r="I1045" s="33" t="s">
        <v>152</v>
      </c>
      <c r="J1045" s="33" t="s">
        <v>159</v>
      </c>
      <c r="K1045" s="33" t="s">
        <v>209</v>
      </c>
      <c r="L1045" s="35" t="n">
        <v>6949.85</v>
      </c>
      <c r="M1045" s="33" t="n">
        <v>4</v>
      </c>
      <c r="N1045" s="33" t="s">
        <v>146</v>
      </c>
      <c r="O1045" s="33" t="s">
        <v>147</v>
      </c>
    </row>
    <row r="1046" customFormat="false" ht="15" hidden="false" customHeight="false" outlineLevel="0" collapsed="false">
      <c r="A1046" s="33" t="s">
        <v>1255</v>
      </c>
      <c r="B1046" s="34" t="n">
        <v>45360</v>
      </c>
      <c r="C1046" s="34" t="n">
        <v>45362</v>
      </c>
      <c r="D1046" s="33" t="n">
        <v>39</v>
      </c>
      <c r="E1046" s="33" t="s">
        <v>139</v>
      </c>
      <c r="F1046" s="33" t="s">
        <v>140</v>
      </c>
      <c r="G1046" s="33" t="s">
        <v>316</v>
      </c>
      <c r="H1046" s="33" t="s">
        <v>290</v>
      </c>
      <c r="I1046" s="33" t="s">
        <v>152</v>
      </c>
      <c r="J1046" s="33" t="s">
        <v>159</v>
      </c>
      <c r="K1046" s="33" t="s">
        <v>184</v>
      </c>
      <c r="L1046" s="35" t="n">
        <v>4569.34</v>
      </c>
      <c r="M1046" s="33" t="n">
        <v>5</v>
      </c>
      <c r="N1046" s="33" t="s">
        <v>146</v>
      </c>
      <c r="O1046" s="33" t="s">
        <v>147</v>
      </c>
    </row>
    <row r="1047" customFormat="false" ht="15" hidden="false" customHeight="false" outlineLevel="0" collapsed="false">
      <c r="A1047" s="33" t="s">
        <v>1256</v>
      </c>
      <c r="B1047" s="34" t="n">
        <v>45495</v>
      </c>
      <c r="C1047" s="34" t="n">
        <v>45497</v>
      </c>
      <c r="D1047" s="36"/>
      <c r="E1047" s="33" t="s">
        <v>279</v>
      </c>
      <c r="F1047" s="33" t="s">
        <v>169</v>
      </c>
      <c r="G1047" s="33" t="s">
        <v>230</v>
      </c>
      <c r="H1047" s="33" t="s">
        <v>171</v>
      </c>
      <c r="I1047" s="33" t="s">
        <v>143</v>
      </c>
      <c r="J1047" s="33" t="s">
        <v>159</v>
      </c>
      <c r="K1047" s="33" t="s">
        <v>145</v>
      </c>
      <c r="L1047" s="35" t="n">
        <v>2350.97</v>
      </c>
      <c r="M1047" s="33" t="n">
        <v>4</v>
      </c>
      <c r="N1047" s="33" t="s">
        <v>146</v>
      </c>
      <c r="O1047" s="33" t="s">
        <v>206</v>
      </c>
    </row>
    <row r="1048" customFormat="false" ht="15" hidden="false" customHeight="false" outlineLevel="0" collapsed="false">
      <c r="A1048" s="33" t="s">
        <v>1257</v>
      </c>
      <c r="B1048" s="34" t="n">
        <v>45416</v>
      </c>
      <c r="C1048" s="34" t="n">
        <v>45417</v>
      </c>
      <c r="D1048" s="33" t="n">
        <v>25</v>
      </c>
      <c r="E1048" s="33" t="s">
        <v>154</v>
      </c>
      <c r="F1048" s="33" t="s">
        <v>203</v>
      </c>
      <c r="G1048" s="33" t="s">
        <v>204</v>
      </c>
      <c r="H1048" s="33" t="s">
        <v>205</v>
      </c>
      <c r="I1048" s="33" t="s">
        <v>143</v>
      </c>
      <c r="J1048" s="33" t="s">
        <v>144</v>
      </c>
      <c r="K1048" s="33" t="s">
        <v>160</v>
      </c>
      <c r="L1048" s="35" t="n">
        <v>1341.79</v>
      </c>
      <c r="M1048" s="33" t="n">
        <v>3</v>
      </c>
      <c r="N1048" s="33" t="s">
        <v>146</v>
      </c>
      <c r="O1048" s="33" t="s">
        <v>147</v>
      </c>
    </row>
    <row r="1049" customFormat="false" ht="15" hidden="false" customHeight="false" outlineLevel="0" collapsed="false">
      <c r="A1049" s="33" t="s">
        <v>1258</v>
      </c>
      <c r="B1049" s="34" t="n">
        <v>45343</v>
      </c>
      <c r="C1049" s="34" t="n">
        <v>45344</v>
      </c>
      <c r="D1049" s="33" t="n">
        <v>42</v>
      </c>
      <c r="E1049" s="33" t="s">
        <v>139</v>
      </c>
      <c r="F1049" s="33" t="s">
        <v>203</v>
      </c>
      <c r="G1049" s="33" t="s">
        <v>192</v>
      </c>
      <c r="H1049" s="33" t="s">
        <v>193</v>
      </c>
      <c r="I1049" s="33" t="s">
        <v>143</v>
      </c>
      <c r="J1049" s="33" t="s">
        <v>159</v>
      </c>
      <c r="K1049" s="33" t="s">
        <v>145</v>
      </c>
      <c r="L1049" s="35" t="n">
        <v>911.05</v>
      </c>
      <c r="M1049" s="33" t="n">
        <v>3</v>
      </c>
      <c r="N1049" s="33" t="s">
        <v>146</v>
      </c>
      <c r="O1049" s="33" t="s">
        <v>147</v>
      </c>
    </row>
    <row r="1050" customFormat="false" ht="15" hidden="false" customHeight="false" outlineLevel="0" collapsed="false">
      <c r="A1050" s="33" t="s">
        <v>1259</v>
      </c>
      <c r="B1050" s="34" t="n">
        <v>45572</v>
      </c>
      <c r="C1050" s="34" t="n">
        <v>45574</v>
      </c>
      <c r="D1050" s="33" t="n">
        <v>96</v>
      </c>
      <c r="E1050" s="33" t="s">
        <v>154</v>
      </c>
      <c r="F1050" s="33" t="s">
        <v>173</v>
      </c>
      <c r="G1050" s="33" t="s">
        <v>178</v>
      </c>
      <c r="H1050" s="33" t="s">
        <v>175</v>
      </c>
      <c r="I1050" s="33" t="s">
        <v>158</v>
      </c>
      <c r="J1050" s="33" t="s">
        <v>159</v>
      </c>
      <c r="K1050" s="33" t="s">
        <v>160</v>
      </c>
      <c r="L1050" s="35" t="n">
        <v>4599.48</v>
      </c>
      <c r="M1050" s="33" t="n">
        <v>4</v>
      </c>
      <c r="N1050" s="33" t="s">
        <v>146</v>
      </c>
      <c r="O1050" s="33" t="s">
        <v>147</v>
      </c>
    </row>
    <row r="1051" customFormat="false" ht="15" hidden="false" customHeight="false" outlineLevel="0" collapsed="false">
      <c r="A1051" s="33" t="s">
        <v>1260</v>
      </c>
      <c r="B1051" s="34" t="n">
        <v>45405</v>
      </c>
      <c r="C1051" s="34" t="n">
        <v>45409</v>
      </c>
      <c r="D1051" s="33" t="n">
        <v>77</v>
      </c>
      <c r="E1051" s="33" t="s">
        <v>139</v>
      </c>
      <c r="F1051" s="33" t="s">
        <v>181</v>
      </c>
      <c r="G1051" s="33" t="s">
        <v>237</v>
      </c>
      <c r="H1051" s="33" t="s">
        <v>245</v>
      </c>
      <c r="I1051" s="33" t="s">
        <v>152</v>
      </c>
      <c r="J1051" s="33" t="s">
        <v>144</v>
      </c>
      <c r="K1051" s="33" t="s">
        <v>184</v>
      </c>
      <c r="L1051" s="35" t="n">
        <v>18189.93</v>
      </c>
      <c r="M1051" s="33" t="n">
        <v>3</v>
      </c>
      <c r="N1051" s="33" t="s">
        <v>146</v>
      </c>
      <c r="O1051" s="33" t="s">
        <v>147</v>
      </c>
    </row>
    <row r="1052" customFormat="false" ht="15" hidden="false" customHeight="false" outlineLevel="0" collapsed="false">
      <c r="A1052" s="33" t="s">
        <v>1261</v>
      </c>
      <c r="B1052" s="34" t="n">
        <v>45407</v>
      </c>
      <c r="C1052" s="34" t="n">
        <v>45408</v>
      </c>
      <c r="D1052" s="33" t="n">
        <v>59</v>
      </c>
      <c r="E1052" s="33" t="s">
        <v>139</v>
      </c>
      <c r="F1052" s="33" t="s">
        <v>334</v>
      </c>
      <c r="G1052" s="33" t="s">
        <v>217</v>
      </c>
      <c r="H1052" s="33" t="s">
        <v>193</v>
      </c>
      <c r="I1052" s="33" t="s">
        <v>143</v>
      </c>
      <c r="J1052" s="33" t="s">
        <v>159</v>
      </c>
      <c r="K1052" s="33" t="s">
        <v>160</v>
      </c>
      <c r="L1052" s="35" t="n">
        <v>1091.03</v>
      </c>
      <c r="M1052" s="33" t="n">
        <v>3</v>
      </c>
      <c r="N1052" s="33" t="s">
        <v>146</v>
      </c>
      <c r="O1052" s="33" t="s">
        <v>247</v>
      </c>
    </row>
    <row r="1053" customFormat="false" ht="15" hidden="false" customHeight="false" outlineLevel="0" collapsed="false">
      <c r="A1053" s="33" t="s">
        <v>1262</v>
      </c>
      <c r="B1053" s="34" t="n">
        <v>45557</v>
      </c>
      <c r="C1053" s="34" t="n">
        <v>45564</v>
      </c>
      <c r="D1053" s="33" t="n">
        <v>27</v>
      </c>
      <c r="E1053" s="33" t="s">
        <v>139</v>
      </c>
      <c r="F1053" s="33" t="s">
        <v>140</v>
      </c>
      <c r="G1053" s="33" t="s">
        <v>141</v>
      </c>
      <c r="H1053" s="33" t="s">
        <v>142</v>
      </c>
      <c r="I1053" s="33" t="s">
        <v>152</v>
      </c>
      <c r="J1053" s="33" t="s">
        <v>176</v>
      </c>
      <c r="K1053" s="33" t="s">
        <v>145</v>
      </c>
      <c r="L1053" s="35" t="n">
        <v>54177.59</v>
      </c>
      <c r="M1053" s="33" t="n">
        <v>5</v>
      </c>
      <c r="N1053" s="33" t="s">
        <v>146</v>
      </c>
      <c r="O1053" s="33" t="s">
        <v>247</v>
      </c>
    </row>
    <row r="1054" customFormat="false" ht="15" hidden="false" customHeight="false" outlineLevel="0" collapsed="false">
      <c r="A1054" s="33" t="s">
        <v>1263</v>
      </c>
      <c r="B1054" s="34" t="n">
        <v>45314</v>
      </c>
      <c r="C1054" s="34" t="n">
        <v>45320</v>
      </c>
      <c r="D1054" s="33" t="n">
        <v>57</v>
      </c>
      <c r="E1054" s="33" t="s">
        <v>154</v>
      </c>
      <c r="F1054" s="33" t="s">
        <v>140</v>
      </c>
      <c r="G1054" s="33" t="s">
        <v>316</v>
      </c>
      <c r="H1054" s="33" t="s">
        <v>290</v>
      </c>
      <c r="I1054" s="33" t="s">
        <v>143</v>
      </c>
      <c r="J1054" s="33" t="s">
        <v>144</v>
      </c>
      <c r="K1054" s="33" t="s">
        <v>209</v>
      </c>
      <c r="L1054" s="35" t="n">
        <v>18417</v>
      </c>
      <c r="M1054" s="33" t="n">
        <v>2</v>
      </c>
      <c r="N1054" s="33" t="s">
        <v>146</v>
      </c>
      <c r="O1054" s="33" t="s">
        <v>147</v>
      </c>
    </row>
    <row r="1055" customFormat="false" ht="15" hidden="false" customHeight="false" outlineLevel="0" collapsed="false">
      <c r="A1055" s="33" t="s">
        <v>1264</v>
      </c>
      <c r="B1055" s="34" t="n">
        <v>45390</v>
      </c>
      <c r="C1055" s="34" t="n">
        <v>45391</v>
      </c>
      <c r="D1055" s="33" t="n">
        <v>15</v>
      </c>
      <c r="E1055" s="33" t="s">
        <v>154</v>
      </c>
      <c r="F1055" s="33" t="s">
        <v>169</v>
      </c>
      <c r="G1055" s="33" t="s">
        <v>213</v>
      </c>
      <c r="H1055" s="33" t="s">
        <v>171</v>
      </c>
      <c r="I1055" s="33" t="s">
        <v>158</v>
      </c>
      <c r="J1055" s="33" t="s">
        <v>159</v>
      </c>
      <c r="K1055" s="33" t="s">
        <v>145</v>
      </c>
      <c r="L1055" s="35" t="n">
        <v>1064.29</v>
      </c>
      <c r="M1055" s="33" t="n">
        <v>4</v>
      </c>
      <c r="N1055" s="33" t="s">
        <v>146</v>
      </c>
      <c r="O1055" s="33" t="s">
        <v>147</v>
      </c>
    </row>
    <row r="1056" customFormat="false" ht="15" hidden="false" customHeight="false" outlineLevel="0" collapsed="false">
      <c r="A1056" s="33" t="s">
        <v>1265</v>
      </c>
      <c r="B1056" s="34" t="n">
        <v>45510</v>
      </c>
      <c r="C1056" s="34" t="n">
        <v>45518</v>
      </c>
      <c r="D1056" s="33" t="n">
        <v>64</v>
      </c>
      <c r="E1056" s="33" t="s">
        <v>154</v>
      </c>
      <c r="F1056" s="33" t="s">
        <v>181</v>
      </c>
      <c r="G1056" s="33" t="s">
        <v>188</v>
      </c>
      <c r="H1056" s="33" t="s">
        <v>245</v>
      </c>
      <c r="I1056" s="33" t="s">
        <v>158</v>
      </c>
      <c r="J1056" s="33" t="s">
        <v>176</v>
      </c>
      <c r="K1056" s="33" t="s">
        <v>160</v>
      </c>
      <c r="L1056" s="35" t="n">
        <v>62974.47</v>
      </c>
      <c r="M1056" s="33" t="n">
        <v>4</v>
      </c>
      <c r="N1056" s="33" t="s">
        <v>146</v>
      </c>
      <c r="O1056" s="33" t="s">
        <v>147</v>
      </c>
    </row>
    <row r="1057" customFormat="false" ht="15" hidden="false" customHeight="false" outlineLevel="0" collapsed="false">
      <c r="A1057" s="33" t="s">
        <v>1266</v>
      </c>
      <c r="B1057" s="34" t="n">
        <v>45559</v>
      </c>
      <c r="C1057" s="34" t="n">
        <v>45561</v>
      </c>
      <c r="D1057" s="33" t="n">
        <v>10</v>
      </c>
      <c r="E1057" s="33" t="s">
        <v>139</v>
      </c>
      <c r="F1057" s="33" t="s">
        <v>155</v>
      </c>
      <c r="G1057" s="33" t="s">
        <v>302</v>
      </c>
      <c r="H1057" s="33" t="s">
        <v>157</v>
      </c>
      <c r="I1057" s="33" t="s">
        <v>143</v>
      </c>
      <c r="J1057" s="33" t="s">
        <v>159</v>
      </c>
      <c r="K1057" s="33" t="s">
        <v>145</v>
      </c>
      <c r="L1057" s="35" t="n">
        <v>1821.77</v>
      </c>
      <c r="M1057" s="33" t="n">
        <v>3</v>
      </c>
      <c r="N1057" s="33" t="s">
        <v>146</v>
      </c>
      <c r="O1057" s="33" t="s">
        <v>147</v>
      </c>
    </row>
    <row r="1058" customFormat="false" ht="15" hidden="false" customHeight="false" outlineLevel="0" collapsed="false">
      <c r="A1058" s="33" t="s">
        <v>1267</v>
      </c>
      <c r="B1058" s="34" t="n">
        <v>45373</v>
      </c>
      <c r="C1058" s="34" t="n">
        <v>45378</v>
      </c>
      <c r="D1058" s="33" t="n">
        <v>41</v>
      </c>
      <c r="E1058" s="33" t="s">
        <v>139</v>
      </c>
      <c r="F1058" s="33" t="s">
        <v>173</v>
      </c>
      <c r="G1058" s="33" t="s">
        <v>178</v>
      </c>
      <c r="H1058" s="33" t="s">
        <v>175</v>
      </c>
      <c r="I1058" s="33" t="s">
        <v>152</v>
      </c>
      <c r="J1058" s="33" t="s">
        <v>159</v>
      </c>
      <c r="K1058" s="33" t="s">
        <v>160</v>
      </c>
      <c r="L1058" s="35" t="n">
        <v>12964.19</v>
      </c>
      <c r="M1058" s="36"/>
      <c r="N1058" s="33" t="s">
        <v>146</v>
      </c>
      <c r="O1058" s="33" t="s">
        <v>147</v>
      </c>
    </row>
    <row r="1059" customFormat="false" ht="15" hidden="false" customHeight="false" outlineLevel="0" collapsed="false">
      <c r="A1059" s="33" t="s">
        <v>1268</v>
      </c>
      <c r="B1059" s="34" t="n">
        <v>45412</v>
      </c>
      <c r="C1059" s="34" t="n">
        <v>45415</v>
      </c>
      <c r="D1059" s="33" t="n">
        <v>79</v>
      </c>
      <c r="E1059" s="33" t="s">
        <v>154</v>
      </c>
      <c r="F1059" s="33" t="s">
        <v>169</v>
      </c>
      <c r="G1059" s="33" t="s">
        <v>230</v>
      </c>
      <c r="H1059" s="33" t="s">
        <v>164</v>
      </c>
      <c r="I1059" s="33" t="s">
        <v>152</v>
      </c>
      <c r="J1059" s="33" t="s">
        <v>159</v>
      </c>
      <c r="K1059" s="33" t="s">
        <v>160</v>
      </c>
      <c r="L1059" s="35" t="n">
        <v>3057.11</v>
      </c>
      <c r="M1059" s="33" t="n">
        <v>4</v>
      </c>
      <c r="N1059" s="33" t="s">
        <v>146</v>
      </c>
      <c r="O1059" s="33" t="s">
        <v>147</v>
      </c>
    </row>
    <row r="1060" customFormat="false" ht="15" hidden="false" customHeight="false" outlineLevel="0" collapsed="false">
      <c r="A1060" s="33" t="s">
        <v>1269</v>
      </c>
      <c r="B1060" s="34" t="n">
        <v>45571</v>
      </c>
      <c r="C1060" s="34" t="n">
        <v>45574</v>
      </c>
      <c r="D1060" s="33" t="n">
        <v>14</v>
      </c>
      <c r="E1060" s="33" t="s">
        <v>180</v>
      </c>
      <c r="F1060" s="33" t="s">
        <v>140</v>
      </c>
      <c r="G1060" s="33" t="s">
        <v>141</v>
      </c>
      <c r="H1060" s="33" t="s">
        <v>142</v>
      </c>
      <c r="I1060" s="33" t="s">
        <v>143</v>
      </c>
      <c r="J1060" s="33" t="s">
        <v>144</v>
      </c>
      <c r="K1060" s="33" t="s">
        <v>145</v>
      </c>
      <c r="L1060" s="35" t="n">
        <v>11966.19</v>
      </c>
      <c r="M1060" s="33" t="n">
        <v>5</v>
      </c>
      <c r="N1060" s="33" t="s">
        <v>146</v>
      </c>
      <c r="O1060" s="33" t="s">
        <v>147</v>
      </c>
    </row>
    <row r="1061" customFormat="false" ht="15" hidden="false" customHeight="false" outlineLevel="0" collapsed="false">
      <c r="A1061" s="33" t="s">
        <v>1270</v>
      </c>
      <c r="B1061" s="34" t="n">
        <v>45598</v>
      </c>
      <c r="C1061" s="34" t="n">
        <v>45599</v>
      </c>
      <c r="D1061" s="33" t="n">
        <v>61</v>
      </c>
      <c r="E1061" s="33" t="s">
        <v>154</v>
      </c>
      <c r="F1061" s="33" t="s">
        <v>334</v>
      </c>
      <c r="G1061" s="33" t="s">
        <v>241</v>
      </c>
      <c r="H1061" s="33" t="s">
        <v>233</v>
      </c>
      <c r="I1061" s="33" t="s">
        <v>143</v>
      </c>
      <c r="J1061" s="33" t="s">
        <v>144</v>
      </c>
      <c r="K1061" s="33" t="s">
        <v>184</v>
      </c>
      <c r="L1061" s="35" t="n">
        <v>1634.12</v>
      </c>
      <c r="M1061" s="33" t="n">
        <v>3</v>
      </c>
      <c r="N1061" s="33" t="s">
        <v>146</v>
      </c>
      <c r="O1061" s="33" t="s">
        <v>147</v>
      </c>
    </row>
    <row r="1062" customFormat="false" ht="15" hidden="false" customHeight="false" outlineLevel="0" collapsed="false">
      <c r="A1062" s="33" t="s">
        <v>1271</v>
      </c>
      <c r="B1062" s="34" t="n">
        <v>45330</v>
      </c>
      <c r="C1062" s="34" t="n">
        <v>45333</v>
      </c>
      <c r="D1062" s="33" t="n">
        <v>25</v>
      </c>
      <c r="E1062" s="33" t="s">
        <v>139</v>
      </c>
      <c r="F1062" s="33" t="s">
        <v>149</v>
      </c>
      <c r="G1062" s="33" t="s">
        <v>224</v>
      </c>
      <c r="H1062" s="33" t="s">
        <v>186</v>
      </c>
      <c r="I1062" s="33" t="s">
        <v>143</v>
      </c>
      <c r="J1062" s="33" t="s">
        <v>176</v>
      </c>
      <c r="K1062" s="33" t="s">
        <v>145</v>
      </c>
      <c r="L1062" s="35" t="n">
        <v>15108.3</v>
      </c>
      <c r="M1062" s="33" t="n">
        <v>4</v>
      </c>
      <c r="N1062" s="33" t="s">
        <v>146</v>
      </c>
      <c r="O1062" s="33" t="s">
        <v>247</v>
      </c>
    </row>
    <row r="1063" customFormat="false" ht="15" hidden="false" customHeight="false" outlineLevel="0" collapsed="false">
      <c r="A1063" s="33" t="s">
        <v>1272</v>
      </c>
      <c r="B1063" s="34" t="n">
        <v>45603</v>
      </c>
      <c r="C1063" s="34" t="n">
        <v>45605</v>
      </c>
      <c r="D1063" s="33" t="n">
        <v>26</v>
      </c>
      <c r="E1063" s="33" t="s">
        <v>216</v>
      </c>
      <c r="F1063" s="33" t="s">
        <v>169</v>
      </c>
      <c r="G1063" s="33" t="s">
        <v>163</v>
      </c>
      <c r="H1063" s="33" t="s">
        <v>171</v>
      </c>
      <c r="I1063" s="33" t="s">
        <v>152</v>
      </c>
      <c r="J1063" s="33" t="s">
        <v>176</v>
      </c>
      <c r="K1063" s="33" t="s">
        <v>184</v>
      </c>
      <c r="L1063" s="35" t="n">
        <v>8506.43</v>
      </c>
      <c r="M1063" s="33" t="n">
        <v>3</v>
      </c>
      <c r="N1063" s="33" t="s">
        <v>146</v>
      </c>
      <c r="O1063" s="33" t="s">
        <v>147</v>
      </c>
    </row>
    <row r="1064" customFormat="false" ht="15" hidden="false" customHeight="false" outlineLevel="0" collapsed="false">
      <c r="A1064" s="33" t="s">
        <v>1273</v>
      </c>
      <c r="B1064" s="34" t="n">
        <v>45426</v>
      </c>
      <c r="C1064" s="34" t="n">
        <v>45428</v>
      </c>
      <c r="D1064" s="33" t="n">
        <v>0</v>
      </c>
      <c r="E1064" s="33" t="s">
        <v>139</v>
      </c>
      <c r="F1064" s="33" t="s">
        <v>288</v>
      </c>
      <c r="G1064" s="33" t="s">
        <v>220</v>
      </c>
      <c r="H1064" s="33" t="s">
        <v>222</v>
      </c>
      <c r="I1064" s="33" t="s">
        <v>143</v>
      </c>
      <c r="J1064" s="33" t="s">
        <v>159</v>
      </c>
      <c r="K1064" s="33" t="s">
        <v>209</v>
      </c>
      <c r="L1064" s="35" t="n">
        <v>1835.53</v>
      </c>
      <c r="M1064" s="33" t="n">
        <v>4</v>
      </c>
      <c r="N1064" s="33" t="s">
        <v>146</v>
      </c>
      <c r="O1064" s="33" t="s">
        <v>147</v>
      </c>
    </row>
    <row r="1065" customFormat="false" ht="15" hidden="false" customHeight="false" outlineLevel="0" collapsed="false">
      <c r="A1065" s="33" t="s">
        <v>1274</v>
      </c>
      <c r="B1065" s="34" t="n">
        <v>45443</v>
      </c>
      <c r="C1065" s="34" t="n">
        <v>45448</v>
      </c>
      <c r="D1065" s="33" t="n">
        <v>65</v>
      </c>
      <c r="E1065" s="33" t="s">
        <v>154</v>
      </c>
      <c r="F1065" s="33" t="s">
        <v>181</v>
      </c>
      <c r="G1065" s="33" t="s">
        <v>237</v>
      </c>
      <c r="H1065" s="33" t="s">
        <v>245</v>
      </c>
      <c r="I1065" s="33" t="s">
        <v>152</v>
      </c>
      <c r="J1065" s="33" t="s">
        <v>144</v>
      </c>
      <c r="K1065" s="33" t="s">
        <v>145</v>
      </c>
      <c r="L1065" s="35" t="n">
        <v>17766.25</v>
      </c>
      <c r="M1065" s="33" t="n">
        <v>5</v>
      </c>
      <c r="N1065" s="33" t="s">
        <v>146</v>
      </c>
      <c r="O1065" s="33" t="s">
        <v>206</v>
      </c>
    </row>
    <row r="1066" customFormat="false" ht="15" hidden="false" customHeight="false" outlineLevel="0" collapsed="false">
      <c r="A1066" s="33" t="s">
        <v>1275</v>
      </c>
      <c r="B1066" s="34" t="n">
        <v>45643</v>
      </c>
      <c r="C1066" s="34" t="n">
        <v>45655</v>
      </c>
      <c r="D1066" s="33" t="n">
        <v>62</v>
      </c>
      <c r="E1066" s="33" t="s">
        <v>139</v>
      </c>
      <c r="F1066" s="33" t="s">
        <v>226</v>
      </c>
      <c r="G1066" s="33" t="s">
        <v>386</v>
      </c>
      <c r="H1066" s="36"/>
      <c r="I1066" s="33" t="s">
        <v>143</v>
      </c>
      <c r="J1066" s="33" t="s">
        <v>176</v>
      </c>
      <c r="K1066" s="33" t="s">
        <v>209</v>
      </c>
      <c r="L1066" s="35" t="n">
        <v>134635.61</v>
      </c>
      <c r="M1066" s="33" t="n">
        <v>3</v>
      </c>
      <c r="N1066" s="33" t="s">
        <v>146</v>
      </c>
      <c r="O1066" s="33" t="s">
        <v>147</v>
      </c>
    </row>
    <row r="1067" customFormat="false" ht="15" hidden="false" customHeight="false" outlineLevel="0" collapsed="false">
      <c r="A1067" s="33" t="s">
        <v>1276</v>
      </c>
      <c r="B1067" s="34" t="n">
        <v>45650</v>
      </c>
      <c r="C1067" s="34" t="n">
        <v>45661</v>
      </c>
      <c r="D1067" s="33" t="n">
        <v>47</v>
      </c>
      <c r="E1067" s="33" t="s">
        <v>190</v>
      </c>
      <c r="F1067" s="33" t="s">
        <v>173</v>
      </c>
      <c r="G1067" s="33" t="s">
        <v>198</v>
      </c>
      <c r="H1067" s="33" t="s">
        <v>175</v>
      </c>
      <c r="I1067" s="33" t="s">
        <v>143</v>
      </c>
      <c r="J1067" s="33" t="s">
        <v>159</v>
      </c>
      <c r="K1067" s="33" t="s">
        <v>145</v>
      </c>
      <c r="L1067" s="35" t="n">
        <v>30182.39</v>
      </c>
      <c r="M1067" s="33" t="n">
        <v>4</v>
      </c>
      <c r="N1067" s="33" t="s">
        <v>146</v>
      </c>
      <c r="O1067" s="33" t="s">
        <v>147</v>
      </c>
    </row>
    <row r="1068" customFormat="false" ht="15" hidden="false" customHeight="false" outlineLevel="0" collapsed="false">
      <c r="A1068" s="33" t="s">
        <v>1277</v>
      </c>
      <c r="B1068" s="34" t="n">
        <v>45524</v>
      </c>
      <c r="C1068" s="34" t="n">
        <v>45530</v>
      </c>
      <c r="D1068" s="33" t="n">
        <v>61</v>
      </c>
      <c r="E1068" s="33" t="s">
        <v>139</v>
      </c>
      <c r="F1068" s="33" t="s">
        <v>169</v>
      </c>
      <c r="G1068" s="33" t="s">
        <v>230</v>
      </c>
      <c r="H1068" s="33" t="s">
        <v>195</v>
      </c>
      <c r="I1068" s="33" t="s">
        <v>143</v>
      </c>
      <c r="J1068" s="33" t="s">
        <v>176</v>
      </c>
      <c r="K1068" s="33" t="s">
        <v>145</v>
      </c>
      <c r="L1068" s="35" t="n">
        <v>14192.31</v>
      </c>
      <c r="M1068" s="33" t="n">
        <v>5</v>
      </c>
      <c r="N1068" s="33" t="s">
        <v>146</v>
      </c>
      <c r="O1068" s="33" t="s">
        <v>147</v>
      </c>
    </row>
    <row r="1069" customFormat="false" ht="15" hidden="false" customHeight="false" outlineLevel="0" collapsed="false">
      <c r="A1069" s="33" t="s">
        <v>1278</v>
      </c>
      <c r="B1069" s="34" t="n">
        <v>45351</v>
      </c>
      <c r="C1069" s="34" t="n">
        <v>45356</v>
      </c>
      <c r="D1069" s="33" t="n">
        <v>53</v>
      </c>
      <c r="E1069" s="33" t="s">
        <v>154</v>
      </c>
      <c r="F1069" s="33" t="s">
        <v>140</v>
      </c>
      <c r="G1069" s="33" t="s">
        <v>141</v>
      </c>
      <c r="H1069" s="33" t="s">
        <v>142</v>
      </c>
      <c r="I1069" s="33" t="s">
        <v>143</v>
      </c>
      <c r="J1069" s="33" t="s">
        <v>159</v>
      </c>
      <c r="K1069" s="33" t="s">
        <v>209</v>
      </c>
      <c r="L1069" s="35" t="n">
        <v>13044.92</v>
      </c>
      <c r="M1069" s="33" t="n">
        <v>4</v>
      </c>
      <c r="N1069" s="33" t="s">
        <v>210</v>
      </c>
      <c r="O1069" s="33" t="s">
        <v>147</v>
      </c>
    </row>
    <row r="1070" customFormat="false" ht="15" hidden="false" customHeight="false" outlineLevel="0" collapsed="false">
      <c r="A1070" s="33" t="s">
        <v>1279</v>
      </c>
      <c r="B1070" s="34" t="n">
        <v>45458</v>
      </c>
      <c r="C1070" s="34" t="n">
        <v>45472</v>
      </c>
      <c r="D1070" s="33" t="n">
        <v>67</v>
      </c>
      <c r="E1070" s="33" t="s">
        <v>139</v>
      </c>
      <c r="F1070" s="33" t="s">
        <v>181</v>
      </c>
      <c r="G1070" s="33" t="s">
        <v>237</v>
      </c>
      <c r="H1070" s="33" t="s">
        <v>183</v>
      </c>
      <c r="I1070" s="33" t="s">
        <v>152</v>
      </c>
      <c r="J1070" s="33" t="s">
        <v>159</v>
      </c>
      <c r="K1070" s="33" t="s">
        <v>145</v>
      </c>
      <c r="L1070" s="35" t="n">
        <v>34014.83</v>
      </c>
      <c r="M1070" s="33" t="n">
        <v>3</v>
      </c>
      <c r="N1070" s="33" t="s">
        <v>146</v>
      </c>
      <c r="O1070" s="33" t="s">
        <v>147</v>
      </c>
    </row>
    <row r="1071" customFormat="false" ht="15" hidden="false" customHeight="false" outlineLevel="0" collapsed="false">
      <c r="A1071" s="33" t="s">
        <v>1280</v>
      </c>
      <c r="B1071" s="34" t="n">
        <v>45327</v>
      </c>
      <c r="C1071" s="34" t="n">
        <v>45328</v>
      </c>
      <c r="D1071" s="33" t="n">
        <v>11</v>
      </c>
      <c r="E1071" s="33" t="s">
        <v>139</v>
      </c>
      <c r="F1071" s="33" t="s">
        <v>155</v>
      </c>
      <c r="G1071" s="33" t="s">
        <v>220</v>
      </c>
      <c r="H1071" s="33" t="s">
        <v>222</v>
      </c>
      <c r="I1071" s="33" t="s">
        <v>143</v>
      </c>
      <c r="J1071" s="33" t="s">
        <v>159</v>
      </c>
      <c r="K1071" s="33" t="s">
        <v>145</v>
      </c>
      <c r="L1071" s="35" t="n">
        <v>876.22</v>
      </c>
      <c r="M1071" s="33" t="n">
        <v>3</v>
      </c>
      <c r="N1071" s="33" t="s">
        <v>146</v>
      </c>
      <c r="O1071" s="33" t="s">
        <v>147</v>
      </c>
    </row>
    <row r="1072" customFormat="false" ht="15" hidden="false" customHeight="false" outlineLevel="0" collapsed="false">
      <c r="A1072" s="33" t="s">
        <v>1281</v>
      </c>
      <c r="B1072" s="34" t="n">
        <v>45381</v>
      </c>
      <c r="C1072" s="34" t="n">
        <v>45387</v>
      </c>
      <c r="D1072" s="33" t="n">
        <v>52</v>
      </c>
      <c r="E1072" s="33" t="s">
        <v>154</v>
      </c>
      <c r="F1072" s="33" t="s">
        <v>181</v>
      </c>
      <c r="G1072" s="33" t="s">
        <v>188</v>
      </c>
      <c r="H1072" s="33" t="s">
        <v>183</v>
      </c>
      <c r="I1072" s="33" t="s">
        <v>143</v>
      </c>
      <c r="J1072" s="33" t="s">
        <v>159</v>
      </c>
      <c r="K1072" s="33" t="s">
        <v>209</v>
      </c>
      <c r="L1072" s="35" t="n">
        <v>15218.72</v>
      </c>
      <c r="M1072" s="33" t="n">
        <v>4</v>
      </c>
      <c r="N1072" s="33" t="s">
        <v>146</v>
      </c>
      <c r="O1072" s="33" t="s">
        <v>147</v>
      </c>
    </row>
    <row r="1073" customFormat="false" ht="15" hidden="false" customHeight="false" outlineLevel="0" collapsed="false">
      <c r="A1073" s="33" t="s">
        <v>1282</v>
      </c>
      <c r="B1073" s="34" t="n">
        <v>45604</v>
      </c>
      <c r="C1073" s="34" t="n">
        <v>45605</v>
      </c>
      <c r="D1073" s="36"/>
      <c r="E1073" s="33" t="s">
        <v>154</v>
      </c>
      <c r="F1073" s="33" t="s">
        <v>203</v>
      </c>
      <c r="G1073" s="33" t="s">
        <v>204</v>
      </c>
      <c r="H1073" s="33" t="s">
        <v>193</v>
      </c>
      <c r="I1073" s="33" t="s">
        <v>143</v>
      </c>
      <c r="J1073" s="33" t="s">
        <v>176</v>
      </c>
      <c r="K1073" s="33" t="s">
        <v>145</v>
      </c>
      <c r="L1073" s="35" t="n">
        <v>3251.85</v>
      </c>
      <c r="M1073" s="33" t="n">
        <v>5</v>
      </c>
      <c r="N1073" s="33" t="s">
        <v>146</v>
      </c>
      <c r="O1073" s="33" t="s">
        <v>147</v>
      </c>
    </row>
    <row r="1074" customFormat="false" ht="15" hidden="false" customHeight="false" outlineLevel="0" collapsed="false">
      <c r="A1074" s="33" t="s">
        <v>1283</v>
      </c>
      <c r="B1074" s="34" t="n">
        <v>45356</v>
      </c>
      <c r="C1074" s="34" t="n">
        <v>45357</v>
      </c>
      <c r="D1074" s="33" t="n">
        <v>54</v>
      </c>
      <c r="E1074" s="33" t="s">
        <v>154</v>
      </c>
      <c r="F1074" s="33" t="s">
        <v>240</v>
      </c>
      <c r="G1074" s="33" t="s">
        <v>192</v>
      </c>
      <c r="H1074" s="33" t="s">
        <v>233</v>
      </c>
      <c r="I1074" s="33" t="s">
        <v>143</v>
      </c>
      <c r="J1074" s="33" t="s">
        <v>159</v>
      </c>
      <c r="K1074" s="36"/>
      <c r="L1074" s="35" t="n">
        <v>886.8</v>
      </c>
      <c r="M1074" s="33" t="n">
        <v>2</v>
      </c>
      <c r="N1074" s="33" t="s">
        <v>146</v>
      </c>
      <c r="O1074" s="33" t="s">
        <v>295</v>
      </c>
    </row>
    <row r="1075" customFormat="false" ht="15" hidden="false" customHeight="false" outlineLevel="0" collapsed="false">
      <c r="A1075" s="33" t="s">
        <v>1284</v>
      </c>
      <c r="B1075" s="34" t="n">
        <v>45579</v>
      </c>
      <c r="C1075" s="34" t="n">
        <v>45581</v>
      </c>
      <c r="D1075" s="33" t="n">
        <v>3</v>
      </c>
      <c r="E1075" s="33" t="s">
        <v>139</v>
      </c>
      <c r="F1075" s="33" t="s">
        <v>288</v>
      </c>
      <c r="G1075" s="33" t="s">
        <v>302</v>
      </c>
      <c r="H1075" s="33" t="s">
        <v>222</v>
      </c>
      <c r="I1075" s="33" t="s">
        <v>143</v>
      </c>
      <c r="J1075" s="33" t="s">
        <v>159</v>
      </c>
      <c r="K1075" s="33" t="s">
        <v>145</v>
      </c>
      <c r="L1075" s="35" t="n">
        <v>1836.26</v>
      </c>
      <c r="M1075" s="33" t="n">
        <v>5</v>
      </c>
      <c r="N1075" s="33" t="s">
        <v>146</v>
      </c>
      <c r="O1075" s="33" t="s">
        <v>147</v>
      </c>
    </row>
    <row r="1076" customFormat="false" ht="15" hidden="false" customHeight="false" outlineLevel="0" collapsed="false">
      <c r="A1076" s="33" t="s">
        <v>1285</v>
      </c>
      <c r="B1076" s="34" t="n">
        <v>45471</v>
      </c>
      <c r="C1076" s="34" t="n">
        <v>45473</v>
      </c>
      <c r="D1076" s="33" t="n">
        <v>61</v>
      </c>
      <c r="E1076" s="33" t="s">
        <v>154</v>
      </c>
      <c r="F1076" s="33" t="s">
        <v>169</v>
      </c>
      <c r="G1076" s="33" t="s">
        <v>163</v>
      </c>
      <c r="H1076" s="33" t="s">
        <v>195</v>
      </c>
      <c r="I1076" s="33" t="s">
        <v>158</v>
      </c>
      <c r="J1076" s="33" t="s">
        <v>159</v>
      </c>
      <c r="K1076" s="33" t="s">
        <v>145</v>
      </c>
      <c r="L1076" s="35" t="n">
        <v>2410.5</v>
      </c>
      <c r="M1076" s="33" t="n">
        <v>3</v>
      </c>
      <c r="N1076" s="33" t="s">
        <v>146</v>
      </c>
      <c r="O1076" s="33" t="s">
        <v>247</v>
      </c>
    </row>
    <row r="1077" customFormat="false" ht="15" hidden="false" customHeight="false" outlineLevel="0" collapsed="false">
      <c r="A1077" s="33" t="s">
        <v>1286</v>
      </c>
      <c r="B1077" s="34" t="n">
        <v>45597</v>
      </c>
      <c r="C1077" s="34" t="n">
        <v>45598</v>
      </c>
      <c r="D1077" s="33" t="n">
        <v>30</v>
      </c>
      <c r="E1077" s="33" t="s">
        <v>154</v>
      </c>
      <c r="F1077" s="33" t="s">
        <v>191</v>
      </c>
      <c r="G1077" s="33" t="s">
        <v>241</v>
      </c>
      <c r="H1077" s="33" t="s">
        <v>205</v>
      </c>
      <c r="I1077" s="33" t="s">
        <v>143</v>
      </c>
      <c r="J1077" s="33" t="s">
        <v>159</v>
      </c>
      <c r="K1077" s="33" t="s">
        <v>160</v>
      </c>
      <c r="L1077" s="35" t="n">
        <v>1017.54</v>
      </c>
      <c r="M1077" s="33" t="n">
        <v>3</v>
      </c>
      <c r="N1077" s="33" t="s">
        <v>146</v>
      </c>
      <c r="O1077" s="33" t="s">
        <v>147</v>
      </c>
    </row>
    <row r="1078" customFormat="false" ht="15" hidden="false" customHeight="false" outlineLevel="0" collapsed="false">
      <c r="A1078" s="33" t="s">
        <v>1287</v>
      </c>
      <c r="B1078" s="34" t="n">
        <v>45388</v>
      </c>
      <c r="C1078" s="34" t="n">
        <v>45401</v>
      </c>
      <c r="D1078" s="33" t="n">
        <v>68</v>
      </c>
      <c r="E1078" s="33" t="s">
        <v>154</v>
      </c>
      <c r="F1078" s="33" t="s">
        <v>226</v>
      </c>
      <c r="G1078" s="33" t="s">
        <v>386</v>
      </c>
      <c r="H1078" s="33" t="s">
        <v>263</v>
      </c>
      <c r="I1078" s="33" t="s">
        <v>152</v>
      </c>
      <c r="J1078" s="33" t="s">
        <v>176</v>
      </c>
      <c r="K1078" s="33" t="s">
        <v>145</v>
      </c>
      <c r="L1078" s="35" t="n">
        <v>123839.31</v>
      </c>
      <c r="M1078" s="33" t="n">
        <v>3</v>
      </c>
      <c r="N1078" s="33" t="s">
        <v>210</v>
      </c>
      <c r="O1078" s="33" t="s">
        <v>147</v>
      </c>
    </row>
    <row r="1079" customFormat="false" ht="15" hidden="false" customHeight="false" outlineLevel="0" collapsed="false">
      <c r="A1079" s="33" t="s">
        <v>1288</v>
      </c>
      <c r="B1079" s="34" t="n">
        <v>45617</v>
      </c>
      <c r="C1079" s="34" t="n">
        <v>45619</v>
      </c>
      <c r="D1079" s="33" t="n">
        <v>20</v>
      </c>
      <c r="E1079" s="33" t="s">
        <v>139</v>
      </c>
      <c r="F1079" s="33" t="s">
        <v>203</v>
      </c>
      <c r="G1079" s="33" t="s">
        <v>204</v>
      </c>
      <c r="H1079" s="33" t="s">
        <v>193</v>
      </c>
      <c r="I1079" s="33" t="s">
        <v>143</v>
      </c>
      <c r="J1079" s="33" t="s">
        <v>159</v>
      </c>
      <c r="K1079" s="33" t="s">
        <v>145</v>
      </c>
      <c r="L1079" s="35" t="n">
        <v>1927.83</v>
      </c>
      <c r="M1079" s="33" t="n">
        <v>2</v>
      </c>
      <c r="N1079" s="33" t="s">
        <v>146</v>
      </c>
      <c r="O1079" s="33" t="s">
        <v>147</v>
      </c>
    </row>
    <row r="1080" customFormat="false" ht="15" hidden="false" customHeight="false" outlineLevel="0" collapsed="false">
      <c r="A1080" s="33" t="s">
        <v>1289</v>
      </c>
      <c r="B1080" s="34" t="n">
        <v>45436</v>
      </c>
      <c r="C1080" s="34" t="n">
        <v>45441</v>
      </c>
      <c r="D1080" s="33" t="n">
        <v>46</v>
      </c>
      <c r="E1080" s="33" t="s">
        <v>154</v>
      </c>
      <c r="F1080" s="33" t="s">
        <v>212</v>
      </c>
      <c r="G1080" s="33" t="s">
        <v>170</v>
      </c>
      <c r="H1080" s="33" t="s">
        <v>171</v>
      </c>
      <c r="I1080" s="33" t="s">
        <v>152</v>
      </c>
      <c r="J1080" s="33" t="s">
        <v>159</v>
      </c>
      <c r="K1080" s="33" t="s">
        <v>145</v>
      </c>
      <c r="L1080" s="35" t="n">
        <v>6133.65</v>
      </c>
      <c r="M1080" s="33" t="n">
        <v>4</v>
      </c>
      <c r="N1080" s="33" t="s">
        <v>146</v>
      </c>
      <c r="O1080" s="33" t="s">
        <v>147</v>
      </c>
    </row>
    <row r="1081" customFormat="false" ht="15" hidden="false" customHeight="false" outlineLevel="0" collapsed="false">
      <c r="A1081" s="33" t="s">
        <v>1290</v>
      </c>
      <c r="B1081" s="34" t="n">
        <v>45438</v>
      </c>
      <c r="C1081" s="34" t="n">
        <v>45442</v>
      </c>
      <c r="D1081" s="33" t="n">
        <v>0</v>
      </c>
      <c r="E1081" s="33" t="s">
        <v>154</v>
      </c>
      <c r="F1081" s="33" t="s">
        <v>155</v>
      </c>
      <c r="G1081" s="33" t="s">
        <v>156</v>
      </c>
      <c r="H1081" s="33" t="s">
        <v>222</v>
      </c>
      <c r="I1081" s="33" t="s">
        <v>152</v>
      </c>
      <c r="J1081" s="33" t="s">
        <v>159</v>
      </c>
      <c r="K1081" s="33" t="s">
        <v>160</v>
      </c>
      <c r="L1081" s="35" t="n">
        <v>3484.5</v>
      </c>
      <c r="M1081" s="33" t="n">
        <v>5</v>
      </c>
      <c r="N1081" s="33" t="s">
        <v>146</v>
      </c>
      <c r="O1081" s="33" t="s">
        <v>147</v>
      </c>
    </row>
    <row r="1082" customFormat="false" ht="15" hidden="false" customHeight="false" outlineLevel="0" collapsed="false">
      <c r="A1082" s="33" t="s">
        <v>1291</v>
      </c>
      <c r="B1082" s="34" t="n">
        <v>45571</v>
      </c>
      <c r="C1082" s="34" t="n">
        <v>45573</v>
      </c>
      <c r="D1082" s="33" t="n">
        <v>64</v>
      </c>
      <c r="E1082" s="33" t="s">
        <v>154</v>
      </c>
      <c r="F1082" s="33" t="s">
        <v>181</v>
      </c>
      <c r="G1082" s="33" t="s">
        <v>182</v>
      </c>
      <c r="H1082" s="33" t="s">
        <v>183</v>
      </c>
      <c r="I1082" s="33" t="s">
        <v>143</v>
      </c>
      <c r="J1082" s="33" t="s">
        <v>176</v>
      </c>
      <c r="K1082" s="33" t="s">
        <v>160</v>
      </c>
      <c r="L1082" s="35" t="n">
        <v>16543.18</v>
      </c>
      <c r="M1082" s="33" t="n">
        <v>5</v>
      </c>
      <c r="N1082" s="33" t="s">
        <v>146</v>
      </c>
      <c r="O1082" s="33" t="s">
        <v>147</v>
      </c>
    </row>
    <row r="1083" customFormat="false" ht="15" hidden="false" customHeight="false" outlineLevel="0" collapsed="false">
      <c r="A1083" s="33" t="s">
        <v>1292</v>
      </c>
      <c r="B1083" s="34" t="n">
        <v>45310</v>
      </c>
      <c r="C1083" s="34" t="n">
        <v>45311</v>
      </c>
      <c r="D1083" s="33" t="n">
        <v>9</v>
      </c>
      <c r="E1083" s="33" t="s">
        <v>139</v>
      </c>
      <c r="F1083" s="33" t="s">
        <v>155</v>
      </c>
      <c r="G1083" s="33" t="s">
        <v>220</v>
      </c>
      <c r="H1083" s="33" t="s">
        <v>157</v>
      </c>
      <c r="I1083" s="33" t="s">
        <v>152</v>
      </c>
      <c r="J1083" s="33" t="s">
        <v>159</v>
      </c>
      <c r="K1083" s="33" t="s">
        <v>160</v>
      </c>
      <c r="L1083" s="35" t="n">
        <v>860.52</v>
      </c>
      <c r="M1083" s="33" t="n">
        <v>4</v>
      </c>
      <c r="N1083" s="33" t="s">
        <v>210</v>
      </c>
      <c r="O1083" s="33" t="s">
        <v>147</v>
      </c>
    </row>
    <row r="1084" customFormat="false" ht="15" hidden="false" customHeight="false" outlineLevel="0" collapsed="false">
      <c r="A1084" s="33" t="s">
        <v>1293</v>
      </c>
      <c r="B1084" s="34" t="n">
        <v>45605</v>
      </c>
      <c r="C1084" s="34" t="n">
        <v>45608</v>
      </c>
      <c r="D1084" s="33" t="n">
        <v>30</v>
      </c>
      <c r="E1084" s="33" t="s">
        <v>139</v>
      </c>
      <c r="F1084" s="33" t="s">
        <v>149</v>
      </c>
      <c r="G1084" s="33" t="s">
        <v>224</v>
      </c>
      <c r="H1084" s="33" t="s">
        <v>151</v>
      </c>
      <c r="I1084" s="33" t="s">
        <v>152</v>
      </c>
      <c r="J1084" s="33" t="s">
        <v>159</v>
      </c>
      <c r="K1084" s="33" t="s">
        <v>160</v>
      </c>
      <c r="L1084" s="35" t="n">
        <v>4361.95</v>
      </c>
      <c r="M1084" s="33" t="n">
        <v>3</v>
      </c>
      <c r="N1084" s="33" t="s">
        <v>146</v>
      </c>
      <c r="O1084" s="33" t="s">
        <v>147</v>
      </c>
    </row>
    <row r="1085" customFormat="false" ht="15" hidden="false" customHeight="false" outlineLevel="0" collapsed="false">
      <c r="A1085" s="33" t="s">
        <v>1294</v>
      </c>
      <c r="B1085" s="34" t="n">
        <v>45471</v>
      </c>
      <c r="C1085" s="34" t="n">
        <v>45472</v>
      </c>
      <c r="D1085" s="33" t="n">
        <v>5</v>
      </c>
      <c r="E1085" s="33" t="s">
        <v>279</v>
      </c>
      <c r="F1085" s="33" t="s">
        <v>155</v>
      </c>
      <c r="G1085" s="33" t="s">
        <v>302</v>
      </c>
      <c r="H1085" s="33" t="s">
        <v>222</v>
      </c>
      <c r="I1085" s="33" t="s">
        <v>158</v>
      </c>
      <c r="J1085" s="33" t="s">
        <v>159</v>
      </c>
      <c r="K1085" s="33" t="s">
        <v>160</v>
      </c>
      <c r="L1085" s="35" t="n">
        <v>983.07</v>
      </c>
      <c r="M1085" s="33" t="n">
        <v>5</v>
      </c>
      <c r="N1085" s="33" t="s">
        <v>146</v>
      </c>
      <c r="O1085" s="33" t="s">
        <v>147</v>
      </c>
    </row>
    <row r="1086" customFormat="false" ht="15" hidden="false" customHeight="false" outlineLevel="0" collapsed="false">
      <c r="A1086" s="33" t="s">
        <v>1295</v>
      </c>
      <c r="B1086" s="34" t="n">
        <v>45638</v>
      </c>
      <c r="C1086" s="34" t="n">
        <v>45639</v>
      </c>
      <c r="D1086" s="33" t="n">
        <v>71</v>
      </c>
      <c r="E1086" s="33" t="s">
        <v>154</v>
      </c>
      <c r="F1086" s="33" t="s">
        <v>203</v>
      </c>
      <c r="G1086" s="33" t="s">
        <v>241</v>
      </c>
      <c r="H1086" s="33" t="s">
        <v>193</v>
      </c>
      <c r="I1086" s="33" t="s">
        <v>143</v>
      </c>
      <c r="J1086" s="33" t="s">
        <v>159</v>
      </c>
      <c r="K1086" s="33" t="s">
        <v>160</v>
      </c>
      <c r="L1086" s="35" t="n">
        <v>946.85</v>
      </c>
      <c r="M1086" s="33" t="n">
        <v>3</v>
      </c>
      <c r="N1086" s="33" t="s">
        <v>146</v>
      </c>
      <c r="O1086" s="33" t="s">
        <v>295</v>
      </c>
    </row>
    <row r="1087" customFormat="false" ht="15" hidden="false" customHeight="false" outlineLevel="0" collapsed="false">
      <c r="A1087" s="33" t="s">
        <v>1296</v>
      </c>
      <c r="B1087" s="34" t="n">
        <v>45554</v>
      </c>
      <c r="C1087" s="34" t="n">
        <v>45555</v>
      </c>
      <c r="D1087" s="33" t="n">
        <v>1</v>
      </c>
      <c r="E1087" s="33" t="s">
        <v>139</v>
      </c>
      <c r="F1087" s="33" t="s">
        <v>155</v>
      </c>
      <c r="G1087" s="33" t="s">
        <v>220</v>
      </c>
      <c r="H1087" s="36"/>
      <c r="I1087" s="33" t="s">
        <v>143</v>
      </c>
      <c r="J1087" s="33" t="s">
        <v>176</v>
      </c>
      <c r="K1087" s="33" t="s">
        <v>184</v>
      </c>
      <c r="L1087" s="35" t="n">
        <v>2946.61</v>
      </c>
      <c r="M1087" s="33" t="n">
        <v>4</v>
      </c>
      <c r="N1087" s="33" t="s">
        <v>146</v>
      </c>
      <c r="O1087" s="33" t="s">
        <v>147</v>
      </c>
    </row>
    <row r="1088" customFormat="false" ht="15" hidden="false" customHeight="false" outlineLevel="0" collapsed="false">
      <c r="A1088" s="33" t="s">
        <v>1297</v>
      </c>
      <c r="B1088" s="34" t="n">
        <v>45461</v>
      </c>
      <c r="C1088" s="34" t="n">
        <v>45463</v>
      </c>
      <c r="D1088" s="33" t="n">
        <v>24</v>
      </c>
      <c r="E1088" s="33" t="s">
        <v>139</v>
      </c>
      <c r="F1088" s="33" t="s">
        <v>149</v>
      </c>
      <c r="G1088" s="33" t="s">
        <v>243</v>
      </c>
      <c r="H1088" s="33" t="s">
        <v>186</v>
      </c>
      <c r="I1088" s="33" t="s">
        <v>158</v>
      </c>
      <c r="J1088" s="33" t="s">
        <v>176</v>
      </c>
      <c r="K1088" s="33" t="s">
        <v>145</v>
      </c>
      <c r="L1088" s="35" t="n">
        <v>9735.28</v>
      </c>
      <c r="M1088" s="33" t="n">
        <v>3</v>
      </c>
      <c r="N1088" s="33" t="s">
        <v>146</v>
      </c>
      <c r="O1088" s="33" t="s">
        <v>147</v>
      </c>
    </row>
    <row r="1089" customFormat="false" ht="15" hidden="false" customHeight="false" outlineLevel="0" collapsed="false">
      <c r="A1089" s="33" t="s">
        <v>1298</v>
      </c>
      <c r="B1089" s="34" t="n">
        <v>45465</v>
      </c>
      <c r="C1089" s="34" t="n">
        <v>45468</v>
      </c>
      <c r="D1089" s="33" t="n">
        <v>24</v>
      </c>
      <c r="E1089" s="33" t="s">
        <v>139</v>
      </c>
      <c r="F1089" s="33" t="s">
        <v>140</v>
      </c>
      <c r="G1089" s="33" t="s">
        <v>141</v>
      </c>
      <c r="H1089" s="33" t="s">
        <v>142</v>
      </c>
      <c r="I1089" s="33" t="s">
        <v>143</v>
      </c>
      <c r="J1089" s="33" t="s">
        <v>144</v>
      </c>
      <c r="K1089" s="33" t="s">
        <v>160</v>
      </c>
      <c r="L1089" s="35" t="n">
        <v>11531.06</v>
      </c>
      <c r="M1089" s="33" t="n">
        <v>5</v>
      </c>
      <c r="N1089" s="33" t="s">
        <v>146</v>
      </c>
      <c r="O1089" s="33" t="s">
        <v>147</v>
      </c>
    </row>
    <row r="1090" customFormat="false" ht="15" hidden="false" customHeight="false" outlineLevel="0" collapsed="false">
      <c r="A1090" s="33" t="s">
        <v>1299</v>
      </c>
      <c r="B1090" s="34" t="n">
        <v>45399</v>
      </c>
      <c r="C1090" s="34" t="n">
        <v>45393</v>
      </c>
      <c r="D1090" s="33" t="n">
        <v>44</v>
      </c>
      <c r="E1090" s="33" t="s">
        <v>279</v>
      </c>
      <c r="F1090" s="33" t="s">
        <v>181</v>
      </c>
      <c r="G1090" s="33" t="s">
        <v>237</v>
      </c>
      <c r="H1090" s="33" t="s">
        <v>245</v>
      </c>
      <c r="I1090" s="33" t="s">
        <v>152</v>
      </c>
      <c r="J1090" s="33" t="s">
        <v>144</v>
      </c>
      <c r="K1090" s="33" t="s">
        <v>145</v>
      </c>
      <c r="L1090" s="35" t="n">
        <v>24612.24</v>
      </c>
      <c r="M1090" s="33" t="n">
        <v>5</v>
      </c>
      <c r="N1090" s="33" t="s">
        <v>146</v>
      </c>
      <c r="O1090" s="33" t="s">
        <v>147</v>
      </c>
    </row>
    <row r="1091" customFormat="false" ht="15" hidden="false" customHeight="false" outlineLevel="0" collapsed="false">
      <c r="A1091" s="33" t="s">
        <v>1300</v>
      </c>
      <c r="B1091" s="34" t="n">
        <v>45324</v>
      </c>
      <c r="C1091" s="34" t="n">
        <v>45325</v>
      </c>
      <c r="D1091" s="33" t="n">
        <v>37</v>
      </c>
      <c r="E1091" s="33" t="s">
        <v>154</v>
      </c>
      <c r="F1091" s="33" t="s">
        <v>203</v>
      </c>
      <c r="G1091" s="33" t="s">
        <v>192</v>
      </c>
      <c r="H1091" s="33" t="s">
        <v>205</v>
      </c>
      <c r="I1091" s="33" t="s">
        <v>143</v>
      </c>
      <c r="J1091" s="33" t="s">
        <v>159</v>
      </c>
      <c r="K1091" s="33" t="s">
        <v>160</v>
      </c>
      <c r="L1091" s="35" t="n">
        <v>904.45</v>
      </c>
      <c r="M1091" s="33" t="n">
        <v>4</v>
      </c>
      <c r="N1091" s="33" t="s">
        <v>146</v>
      </c>
      <c r="O1091" s="33" t="s">
        <v>147</v>
      </c>
    </row>
    <row r="1092" customFormat="false" ht="15" hidden="false" customHeight="false" outlineLevel="0" collapsed="false">
      <c r="A1092" s="33" t="s">
        <v>1301</v>
      </c>
      <c r="B1092" s="34" t="n">
        <v>45332</v>
      </c>
      <c r="C1092" s="34" t="n">
        <v>45333</v>
      </c>
      <c r="D1092" s="33" t="n">
        <v>4</v>
      </c>
      <c r="E1092" s="33" t="s">
        <v>154</v>
      </c>
      <c r="F1092" s="33" t="s">
        <v>155</v>
      </c>
      <c r="G1092" s="33" t="s">
        <v>156</v>
      </c>
      <c r="H1092" s="33" t="s">
        <v>157</v>
      </c>
      <c r="I1092" s="33" t="s">
        <v>143</v>
      </c>
      <c r="J1092" s="33" t="s">
        <v>144</v>
      </c>
      <c r="K1092" s="33" t="s">
        <v>145</v>
      </c>
      <c r="L1092" s="35" t="n">
        <v>1478.7</v>
      </c>
      <c r="M1092" s="33" t="n">
        <v>5</v>
      </c>
      <c r="N1092" s="33" t="s">
        <v>146</v>
      </c>
      <c r="O1092" s="33" t="s">
        <v>247</v>
      </c>
    </row>
    <row r="1093" customFormat="false" ht="15" hidden="false" customHeight="false" outlineLevel="0" collapsed="false">
      <c r="A1093" s="33" t="s">
        <v>1302</v>
      </c>
      <c r="B1093" s="34" t="n">
        <v>45414</v>
      </c>
      <c r="C1093" s="34" t="n">
        <v>45415</v>
      </c>
      <c r="D1093" s="33" t="n">
        <v>25</v>
      </c>
      <c r="E1093" s="33" t="s">
        <v>139</v>
      </c>
      <c r="F1093" s="33" t="s">
        <v>149</v>
      </c>
      <c r="G1093" s="33" t="s">
        <v>243</v>
      </c>
      <c r="H1093" s="33" t="s">
        <v>186</v>
      </c>
      <c r="I1093" s="33" t="s">
        <v>143</v>
      </c>
      <c r="J1093" s="33" t="s">
        <v>159</v>
      </c>
      <c r="K1093" s="33" t="s">
        <v>184</v>
      </c>
      <c r="L1093" s="35" t="n">
        <v>1675.8</v>
      </c>
      <c r="M1093" s="33" t="n">
        <v>5</v>
      </c>
      <c r="N1093" s="33" t="s">
        <v>146</v>
      </c>
      <c r="O1093" s="33" t="s">
        <v>147</v>
      </c>
    </row>
    <row r="1094" customFormat="false" ht="15" hidden="false" customHeight="false" outlineLevel="0" collapsed="false">
      <c r="A1094" s="33" t="s">
        <v>1303</v>
      </c>
      <c r="B1094" s="34" t="n">
        <v>45494</v>
      </c>
      <c r="C1094" s="34" t="n">
        <v>45509</v>
      </c>
      <c r="D1094" s="33" t="n">
        <v>41</v>
      </c>
      <c r="E1094" s="33" t="s">
        <v>154</v>
      </c>
      <c r="F1094" s="33" t="s">
        <v>181</v>
      </c>
      <c r="G1094" s="33" t="s">
        <v>237</v>
      </c>
      <c r="H1094" s="33" t="s">
        <v>245</v>
      </c>
      <c r="I1094" s="33" t="s">
        <v>143</v>
      </c>
      <c r="J1094" s="33" t="s">
        <v>176</v>
      </c>
      <c r="K1094" s="33" t="s">
        <v>184</v>
      </c>
      <c r="L1094" s="35" t="n">
        <v>120609.23</v>
      </c>
      <c r="M1094" s="33" t="n">
        <v>3</v>
      </c>
      <c r="N1094" s="33" t="s">
        <v>146</v>
      </c>
      <c r="O1094" s="33" t="s">
        <v>147</v>
      </c>
    </row>
    <row r="1095" customFormat="false" ht="15" hidden="false" customHeight="false" outlineLevel="0" collapsed="false">
      <c r="A1095" s="33" t="s">
        <v>1304</v>
      </c>
      <c r="B1095" s="34" t="n">
        <v>45347</v>
      </c>
      <c r="C1095" s="34" t="n">
        <v>45350</v>
      </c>
      <c r="D1095" s="33" t="n">
        <v>33</v>
      </c>
      <c r="E1095" s="33" t="s">
        <v>154</v>
      </c>
      <c r="F1095" s="33" t="s">
        <v>181</v>
      </c>
      <c r="G1095" s="33" t="s">
        <v>188</v>
      </c>
      <c r="H1095" s="33" t="s">
        <v>245</v>
      </c>
      <c r="I1095" s="33" t="s">
        <v>152</v>
      </c>
      <c r="J1095" s="33" t="s">
        <v>144</v>
      </c>
      <c r="K1095" s="33" t="s">
        <v>145</v>
      </c>
      <c r="L1095" s="35" t="n">
        <v>10926.32</v>
      </c>
      <c r="M1095" s="33" t="n">
        <v>4</v>
      </c>
      <c r="N1095" s="33" t="s">
        <v>146</v>
      </c>
      <c r="O1095" s="33" t="s">
        <v>147</v>
      </c>
    </row>
    <row r="1096" customFormat="false" ht="15" hidden="false" customHeight="false" outlineLevel="0" collapsed="false">
      <c r="A1096" s="33" t="s">
        <v>1305</v>
      </c>
      <c r="B1096" s="34" t="n">
        <v>45631</v>
      </c>
      <c r="C1096" s="34" t="n">
        <v>45637</v>
      </c>
      <c r="D1096" s="33" t="n">
        <v>22</v>
      </c>
      <c r="E1096" s="33" t="s">
        <v>139</v>
      </c>
      <c r="F1096" s="33" t="s">
        <v>169</v>
      </c>
      <c r="G1096" s="33" t="s">
        <v>213</v>
      </c>
      <c r="H1096" s="33" t="s">
        <v>164</v>
      </c>
      <c r="I1096" s="33" t="s">
        <v>143</v>
      </c>
      <c r="J1096" s="33" t="s">
        <v>159</v>
      </c>
      <c r="K1096" s="33" t="s">
        <v>184</v>
      </c>
      <c r="L1096" s="35" t="n">
        <v>6700.01</v>
      </c>
      <c r="M1096" s="33" t="n">
        <v>4</v>
      </c>
      <c r="N1096" s="33" t="s">
        <v>146</v>
      </c>
      <c r="O1096" s="33" t="s">
        <v>206</v>
      </c>
    </row>
    <row r="1097" customFormat="false" ht="15" hidden="false" customHeight="false" outlineLevel="0" collapsed="false">
      <c r="A1097" s="33" t="s">
        <v>1306</v>
      </c>
      <c r="B1097" s="34" t="n">
        <v>45577</v>
      </c>
      <c r="C1097" s="34" t="n">
        <v>45579</v>
      </c>
      <c r="D1097" s="33" t="n">
        <v>22</v>
      </c>
      <c r="E1097" s="33" t="s">
        <v>139</v>
      </c>
      <c r="F1097" s="33" t="s">
        <v>149</v>
      </c>
      <c r="G1097" s="33" t="s">
        <v>224</v>
      </c>
      <c r="H1097" s="33" t="s">
        <v>186</v>
      </c>
      <c r="I1097" s="33" t="s">
        <v>143</v>
      </c>
      <c r="J1097" s="33" t="s">
        <v>176</v>
      </c>
      <c r="K1097" s="33" t="s">
        <v>184</v>
      </c>
      <c r="L1097" s="35" t="n">
        <v>8411.22</v>
      </c>
      <c r="M1097" s="33" t="n">
        <v>4</v>
      </c>
      <c r="N1097" s="33" t="s">
        <v>146</v>
      </c>
      <c r="O1097" s="36"/>
    </row>
    <row r="1098" customFormat="false" ht="15" hidden="false" customHeight="false" outlineLevel="0" collapsed="false">
      <c r="A1098" s="33" t="s">
        <v>1307</v>
      </c>
      <c r="B1098" s="34" t="n">
        <v>45632</v>
      </c>
      <c r="C1098" s="34" t="n">
        <v>45637</v>
      </c>
      <c r="D1098" s="33" t="n">
        <v>54</v>
      </c>
      <c r="E1098" s="33" t="s">
        <v>139</v>
      </c>
      <c r="F1098" s="33" t="s">
        <v>140</v>
      </c>
      <c r="G1098" s="33" t="s">
        <v>167</v>
      </c>
      <c r="H1098" s="33" t="s">
        <v>290</v>
      </c>
      <c r="I1098" s="33" t="s">
        <v>143</v>
      </c>
      <c r="J1098" s="33" t="s">
        <v>159</v>
      </c>
      <c r="K1098" s="33" t="s">
        <v>145</v>
      </c>
      <c r="L1098" s="35" t="n">
        <v>9932.08</v>
      </c>
      <c r="M1098" s="33" t="n">
        <v>4</v>
      </c>
      <c r="N1098" s="33" t="s">
        <v>146</v>
      </c>
      <c r="O1098" s="33" t="s">
        <v>147</v>
      </c>
    </row>
    <row r="1099" customFormat="false" ht="15" hidden="false" customHeight="false" outlineLevel="0" collapsed="false">
      <c r="A1099" s="33" t="s">
        <v>1308</v>
      </c>
      <c r="B1099" s="34" t="n">
        <v>45563</v>
      </c>
      <c r="C1099" s="34" t="n">
        <v>45570</v>
      </c>
      <c r="D1099" s="33" t="n">
        <v>51</v>
      </c>
      <c r="E1099" s="33" t="s">
        <v>154</v>
      </c>
      <c r="F1099" s="33" t="s">
        <v>140</v>
      </c>
      <c r="G1099" s="33" t="s">
        <v>141</v>
      </c>
      <c r="H1099" s="33" t="s">
        <v>142</v>
      </c>
      <c r="I1099" s="33" t="s">
        <v>158</v>
      </c>
      <c r="J1099" s="33" t="s">
        <v>159</v>
      </c>
      <c r="K1099" s="33" t="s">
        <v>160</v>
      </c>
      <c r="L1099" s="35" t="n">
        <v>15468.43</v>
      </c>
      <c r="M1099" s="33" t="n">
        <v>4</v>
      </c>
      <c r="N1099" s="33" t="s">
        <v>146</v>
      </c>
      <c r="O1099" s="33" t="s">
        <v>247</v>
      </c>
    </row>
    <row r="1100" customFormat="false" ht="15" hidden="false" customHeight="false" outlineLevel="0" collapsed="false">
      <c r="A1100" s="33" t="s">
        <v>1309</v>
      </c>
      <c r="B1100" s="34" t="n">
        <v>45492</v>
      </c>
      <c r="C1100" s="34" t="n">
        <v>45501</v>
      </c>
      <c r="D1100" s="33" t="n">
        <v>42</v>
      </c>
      <c r="E1100" s="33" t="s">
        <v>139</v>
      </c>
      <c r="F1100" s="33" t="s">
        <v>181</v>
      </c>
      <c r="G1100" s="33" t="s">
        <v>237</v>
      </c>
      <c r="H1100" s="33" t="s">
        <v>183</v>
      </c>
      <c r="I1100" s="33" t="s">
        <v>143</v>
      </c>
      <c r="J1100" s="33" t="s">
        <v>159</v>
      </c>
      <c r="K1100" s="33" t="s">
        <v>145</v>
      </c>
      <c r="L1100" s="35" t="n">
        <v>19475.2</v>
      </c>
      <c r="M1100" s="33" t="n">
        <v>4</v>
      </c>
      <c r="N1100" s="33" t="s">
        <v>146</v>
      </c>
      <c r="O1100" s="33" t="s">
        <v>147</v>
      </c>
    </row>
    <row r="1101" customFormat="false" ht="15" hidden="false" customHeight="false" outlineLevel="0" collapsed="false">
      <c r="A1101" s="33" t="s">
        <v>1310</v>
      </c>
      <c r="B1101" s="34" t="n">
        <v>45607</v>
      </c>
      <c r="C1101" s="34" t="n">
        <v>45608</v>
      </c>
      <c r="D1101" s="33" t="n">
        <v>44</v>
      </c>
      <c r="E1101" s="33" t="s">
        <v>154</v>
      </c>
      <c r="F1101" s="33" t="s">
        <v>173</v>
      </c>
      <c r="G1101" s="33" t="s">
        <v>174</v>
      </c>
      <c r="H1101" s="33" t="s">
        <v>199</v>
      </c>
      <c r="I1101" s="33" t="s">
        <v>143</v>
      </c>
      <c r="J1101" s="33" t="s">
        <v>176</v>
      </c>
      <c r="K1101" s="33" t="s">
        <v>145</v>
      </c>
      <c r="L1101" s="35" t="n">
        <v>6399.03</v>
      </c>
      <c r="M1101" s="33" t="n">
        <v>5</v>
      </c>
      <c r="N1101" s="33" t="s">
        <v>146</v>
      </c>
      <c r="O1101" s="33" t="s">
        <v>147</v>
      </c>
    </row>
    <row r="1102" customFormat="false" ht="15" hidden="false" customHeight="false" outlineLevel="0" collapsed="false">
      <c r="A1102" s="33" t="s">
        <v>1311</v>
      </c>
      <c r="B1102" s="34" t="n">
        <v>45377</v>
      </c>
      <c r="C1102" s="34" t="n">
        <v>45378</v>
      </c>
      <c r="D1102" s="36"/>
      <c r="E1102" s="33" t="s">
        <v>139</v>
      </c>
      <c r="F1102" s="33" t="s">
        <v>149</v>
      </c>
      <c r="G1102" s="33" t="s">
        <v>224</v>
      </c>
      <c r="H1102" s="33" t="s">
        <v>151</v>
      </c>
      <c r="I1102" s="33" t="s">
        <v>143</v>
      </c>
      <c r="J1102" s="33" t="s">
        <v>176</v>
      </c>
      <c r="K1102" s="33" t="s">
        <v>160</v>
      </c>
      <c r="L1102" s="35" t="n">
        <v>4824.11</v>
      </c>
      <c r="M1102" s="33" t="n">
        <v>4</v>
      </c>
      <c r="N1102" s="33" t="s">
        <v>146</v>
      </c>
      <c r="O1102" s="33" t="s">
        <v>147</v>
      </c>
    </row>
    <row r="1103" customFormat="false" ht="15" hidden="false" customHeight="false" outlineLevel="0" collapsed="false">
      <c r="A1103" s="33" t="s">
        <v>1312</v>
      </c>
      <c r="B1103" s="34" t="n">
        <v>45383</v>
      </c>
      <c r="C1103" s="34" t="n">
        <v>45384</v>
      </c>
      <c r="D1103" s="33" t="n">
        <v>39</v>
      </c>
      <c r="E1103" s="33" t="s">
        <v>139</v>
      </c>
      <c r="F1103" s="33" t="s">
        <v>203</v>
      </c>
      <c r="G1103" s="33" t="s">
        <v>232</v>
      </c>
      <c r="H1103" s="33" t="s">
        <v>205</v>
      </c>
      <c r="I1103" s="33" t="s">
        <v>143</v>
      </c>
      <c r="J1103" s="33" t="s">
        <v>176</v>
      </c>
      <c r="K1103" s="33" t="s">
        <v>145</v>
      </c>
      <c r="L1103" s="35" t="n">
        <v>3643.12</v>
      </c>
      <c r="M1103" s="33" t="n">
        <v>3</v>
      </c>
      <c r="N1103" s="33" t="s">
        <v>146</v>
      </c>
      <c r="O1103" s="33" t="s">
        <v>147</v>
      </c>
    </row>
    <row r="1104" customFormat="false" ht="15" hidden="false" customHeight="false" outlineLevel="0" collapsed="false">
      <c r="A1104" s="33" t="s">
        <v>1313</v>
      </c>
      <c r="B1104" s="34" t="n">
        <v>45393</v>
      </c>
      <c r="C1104" s="34" t="n">
        <v>45396</v>
      </c>
      <c r="D1104" s="33" t="n">
        <v>11</v>
      </c>
      <c r="E1104" s="33" t="s">
        <v>154</v>
      </c>
      <c r="F1104" s="33" t="s">
        <v>155</v>
      </c>
      <c r="G1104" s="33" t="s">
        <v>302</v>
      </c>
      <c r="H1104" s="33" t="s">
        <v>222</v>
      </c>
      <c r="I1104" s="33" t="s">
        <v>143</v>
      </c>
      <c r="J1104" s="33" t="s">
        <v>144</v>
      </c>
      <c r="K1104" s="33" t="s">
        <v>145</v>
      </c>
      <c r="L1104" s="35" t="n">
        <v>5690.23</v>
      </c>
      <c r="M1104" s="33" t="n">
        <v>4</v>
      </c>
      <c r="N1104" s="33" t="s">
        <v>146</v>
      </c>
      <c r="O1104" s="33" t="s">
        <v>147</v>
      </c>
    </row>
    <row r="1105" customFormat="false" ht="15" hidden="false" customHeight="false" outlineLevel="0" collapsed="false">
      <c r="A1105" s="33" t="s">
        <v>1314</v>
      </c>
      <c r="B1105" s="34" t="n">
        <v>45402</v>
      </c>
      <c r="C1105" s="34" t="n">
        <v>45403</v>
      </c>
      <c r="D1105" s="33" t="n">
        <v>49</v>
      </c>
      <c r="E1105" s="33" t="s">
        <v>257</v>
      </c>
      <c r="F1105" s="33" t="s">
        <v>162</v>
      </c>
      <c r="G1105" s="33" t="s">
        <v>170</v>
      </c>
      <c r="H1105" s="33" t="s">
        <v>171</v>
      </c>
      <c r="I1105" s="33" t="s">
        <v>143</v>
      </c>
      <c r="J1105" s="33" t="s">
        <v>144</v>
      </c>
      <c r="K1105" s="33" t="s">
        <v>209</v>
      </c>
      <c r="L1105" s="35" t="n">
        <v>2056.72</v>
      </c>
      <c r="M1105" s="33" t="n">
        <v>4</v>
      </c>
      <c r="N1105" s="33" t="s">
        <v>146</v>
      </c>
      <c r="O1105" s="33" t="s">
        <v>147</v>
      </c>
    </row>
    <row r="1106" customFormat="false" ht="15" hidden="false" customHeight="false" outlineLevel="0" collapsed="false">
      <c r="A1106" s="33" t="s">
        <v>1315</v>
      </c>
      <c r="B1106" s="34" t="n">
        <v>45323</v>
      </c>
      <c r="C1106" s="34" t="n">
        <v>45335</v>
      </c>
      <c r="D1106" s="33" t="n">
        <v>52</v>
      </c>
      <c r="E1106" s="33" t="s">
        <v>154</v>
      </c>
      <c r="F1106" s="33" t="s">
        <v>181</v>
      </c>
      <c r="G1106" s="33" t="s">
        <v>188</v>
      </c>
      <c r="H1106" s="33" t="s">
        <v>183</v>
      </c>
      <c r="I1106" s="33" t="s">
        <v>143</v>
      </c>
      <c r="J1106" s="33" t="s">
        <v>176</v>
      </c>
      <c r="K1106" s="33" t="s">
        <v>160</v>
      </c>
      <c r="L1106" s="35" t="n">
        <v>112513.53</v>
      </c>
      <c r="M1106" s="33" t="n">
        <v>4</v>
      </c>
      <c r="N1106" s="33" t="s">
        <v>210</v>
      </c>
      <c r="O1106" s="33" t="s">
        <v>147</v>
      </c>
    </row>
    <row r="1107" customFormat="false" ht="15" hidden="false" customHeight="false" outlineLevel="0" collapsed="false">
      <c r="A1107" s="33" t="s">
        <v>1316</v>
      </c>
      <c r="B1107" s="34" t="n">
        <v>45336</v>
      </c>
      <c r="C1107" s="34" t="n">
        <v>45337</v>
      </c>
      <c r="D1107" s="33" t="n">
        <v>25</v>
      </c>
      <c r="E1107" s="33" t="s">
        <v>154</v>
      </c>
      <c r="F1107" s="33" t="s">
        <v>203</v>
      </c>
      <c r="G1107" s="33" t="s">
        <v>204</v>
      </c>
      <c r="H1107" s="33" t="s">
        <v>193</v>
      </c>
      <c r="I1107" s="33" t="s">
        <v>143</v>
      </c>
      <c r="J1107" s="33" t="s">
        <v>159</v>
      </c>
      <c r="K1107" s="33" t="s">
        <v>209</v>
      </c>
      <c r="L1107" s="35" t="n">
        <v>945.16</v>
      </c>
      <c r="M1107" s="33" t="n">
        <v>2</v>
      </c>
      <c r="N1107" s="33" t="s">
        <v>210</v>
      </c>
      <c r="O1107" s="33" t="s">
        <v>147</v>
      </c>
    </row>
    <row r="1108" customFormat="false" ht="15" hidden="false" customHeight="false" outlineLevel="0" collapsed="false">
      <c r="A1108" s="33" t="s">
        <v>1317</v>
      </c>
      <c r="B1108" s="34" t="n">
        <v>45633</v>
      </c>
      <c r="C1108" s="34" t="n">
        <v>45635</v>
      </c>
      <c r="D1108" s="33" t="n">
        <v>30</v>
      </c>
      <c r="E1108" s="33" t="s">
        <v>154</v>
      </c>
      <c r="F1108" s="33" t="s">
        <v>212</v>
      </c>
      <c r="G1108" s="33" t="s">
        <v>163</v>
      </c>
      <c r="H1108" s="33" t="s">
        <v>171</v>
      </c>
      <c r="I1108" s="33" t="s">
        <v>143</v>
      </c>
      <c r="J1108" s="33" t="s">
        <v>159</v>
      </c>
      <c r="K1108" s="33" t="s">
        <v>145</v>
      </c>
      <c r="L1108" s="35" t="n">
        <v>2205.41</v>
      </c>
      <c r="M1108" s="33" t="n">
        <v>4</v>
      </c>
      <c r="N1108" s="33" t="s">
        <v>146</v>
      </c>
      <c r="O1108" s="33" t="s">
        <v>147</v>
      </c>
    </row>
    <row r="1109" customFormat="false" ht="15" hidden="false" customHeight="false" outlineLevel="0" collapsed="false">
      <c r="A1109" s="33" t="s">
        <v>1318</v>
      </c>
      <c r="B1109" s="34" t="n">
        <v>45560</v>
      </c>
      <c r="C1109" s="34" t="n">
        <v>45562</v>
      </c>
      <c r="D1109" s="33" t="n">
        <v>45</v>
      </c>
      <c r="E1109" s="33" t="s">
        <v>139</v>
      </c>
      <c r="F1109" s="33" t="s">
        <v>169</v>
      </c>
      <c r="G1109" s="33" t="s">
        <v>170</v>
      </c>
      <c r="H1109" s="33" t="s">
        <v>171</v>
      </c>
      <c r="I1109" s="33" t="s">
        <v>143</v>
      </c>
      <c r="J1109" s="33" t="s">
        <v>159</v>
      </c>
      <c r="K1109" s="33" t="s">
        <v>160</v>
      </c>
      <c r="L1109" s="35" t="n">
        <v>2424.9</v>
      </c>
      <c r="M1109" s="33" t="n">
        <v>4</v>
      </c>
      <c r="N1109" s="33" t="s">
        <v>146</v>
      </c>
      <c r="O1109" s="33" t="s">
        <v>247</v>
      </c>
    </row>
    <row r="1110" customFormat="false" ht="15" hidden="false" customHeight="false" outlineLevel="0" collapsed="false">
      <c r="A1110" s="33" t="s">
        <v>1319</v>
      </c>
      <c r="B1110" s="34" t="n">
        <v>45525</v>
      </c>
      <c r="C1110" s="34" t="n">
        <v>45528</v>
      </c>
      <c r="D1110" s="33" t="n">
        <v>0</v>
      </c>
      <c r="E1110" s="33" t="s">
        <v>139</v>
      </c>
      <c r="F1110" s="33" t="s">
        <v>155</v>
      </c>
      <c r="G1110" s="33" t="s">
        <v>302</v>
      </c>
      <c r="H1110" s="33" t="s">
        <v>222</v>
      </c>
      <c r="I1110" s="33" t="s">
        <v>143</v>
      </c>
      <c r="J1110" s="33" t="s">
        <v>159</v>
      </c>
      <c r="K1110" s="33" t="s">
        <v>160</v>
      </c>
      <c r="L1110" s="35" t="n">
        <v>2478.55</v>
      </c>
      <c r="M1110" s="33" t="n">
        <v>4</v>
      </c>
      <c r="N1110" s="33" t="s">
        <v>146</v>
      </c>
      <c r="O1110" s="33" t="s">
        <v>147</v>
      </c>
    </row>
    <row r="1111" customFormat="false" ht="15" hidden="false" customHeight="false" outlineLevel="0" collapsed="false">
      <c r="A1111" s="33" t="s">
        <v>1320</v>
      </c>
      <c r="B1111" s="34" t="n">
        <v>45503</v>
      </c>
      <c r="C1111" s="34" t="n">
        <v>45505</v>
      </c>
      <c r="D1111" s="33" t="n">
        <v>48</v>
      </c>
      <c r="E1111" s="33" t="s">
        <v>154</v>
      </c>
      <c r="F1111" s="33" t="s">
        <v>212</v>
      </c>
      <c r="G1111" s="33" t="s">
        <v>230</v>
      </c>
      <c r="H1111" s="33" t="s">
        <v>171</v>
      </c>
      <c r="I1111" s="33" t="s">
        <v>152</v>
      </c>
      <c r="J1111" s="33" t="s">
        <v>159</v>
      </c>
      <c r="K1111" s="33" t="s">
        <v>209</v>
      </c>
      <c r="L1111" s="35" t="n">
        <v>2149.73</v>
      </c>
      <c r="M1111" s="36"/>
      <c r="N1111" s="33" t="s">
        <v>146</v>
      </c>
      <c r="O1111" s="33" t="s">
        <v>147</v>
      </c>
    </row>
    <row r="1112" customFormat="false" ht="15" hidden="false" customHeight="false" outlineLevel="0" collapsed="false">
      <c r="A1112" s="33" t="s">
        <v>1321</v>
      </c>
      <c r="B1112" s="34" t="n">
        <v>45311</v>
      </c>
      <c r="C1112" s="34" t="n">
        <v>45312</v>
      </c>
      <c r="D1112" s="33" t="n">
        <v>33</v>
      </c>
      <c r="E1112" s="33" t="s">
        <v>257</v>
      </c>
      <c r="F1112" s="33" t="s">
        <v>203</v>
      </c>
      <c r="G1112" s="33" t="s">
        <v>192</v>
      </c>
      <c r="H1112" s="33" t="s">
        <v>205</v>
      </c>
      <c r="I1112" s="33" t="s">
        <v>143</v>
      </c>
      <c r="J1112" s="33" t="s">
        <v>176</v>
      </c>
      <c r="K1112" s="33" t="s">
        <v>145</v>
      </c>
      <c r="L1112" s="35" t="n">
        <v>2852</v>
      </c>
      <c r="M1112" s="33" t="n">
        <v>4</v>
      </c>
      <c r="N1112" s="33" t="s">
        <v>146</v>
      </c>
      <c r="O1112" s="33" t="s">
        <v>147</v>
      </c>
    </row>
    <row r="1113" customFormat="false" ht="15" hidden="false" customHeight="false" outlineLevel="0" collapsed="false">
      <c r="A1113" s="33" t="s">
        <v>1322</v>
      </c>
      <c r="B1113" s="34" t="n">
        <v>45402</v>
      </c>
      <c r="C1113" s="34" t="n">
        <v>45404</v>
      </c>
      <c r="D1113" s="33" t="n">
        <v>27</v>
      </c>
      <c r="E1113" s="33" t="s">
        <v>216</v>
      </c>
      <c r="F1113" s="33" t="s">
        <v>149</v>
      </c>
      <c r="G1113" s="33" t="s">
        <v>224</v>
      </c>
      <c r="H1113" s="33" t="s">
        <v>186</v>
      </c>
      <c r="I1113" s="33" t="s">
        <v>152</v>
      </c>
      <c r="J1113" s="33" t="s">
        <v>159</v>
      </c>
      <c r="K1113" s="33" t="s">
        <v>184</v>
      </c>
      <c r="L1113" s="35" t="n">
        <v>2415.62</v>
      </c>
      <c r="M1113" s="33" t="n">
        <v>5</v>
      </c>
      <c r="N1113" s="33" t="s">
        <v>146</v>
      </c>
      <c r="O1113" s="33" t="s">
        <v>147</v>
      </c>
    </row>
    <row r="1114" customFormat="false" ht="15" hidden="false" customHeight="false" outlineLevel="0" collapsed="false">
      <c r="A1114" s="33" t="s">
        <v>1323</v>
      </c>
      <c r="B1114" s="34" t="n">
        <v>45325</v>
      </c>
      <c r="C1114" s="34" t="n">
        <v>45326</v>
      </c>
      <c r="D1114" s="36" t="n">
        <v>-3</v>
      </c>
      <c r="E1114" s="33" t="s">
        <v>190</v>
      </c>
      <c r="F1114" s="33" t="s">
        <v>149</v>
      </c>
      <c r="G1114" s="33" t="s">
        <v>150</v>
      </c>
      <c r="H1114" s="33" t="s">
        <v>151</v>
      </c>
      <c r="I1114" s="33" t="s">
        <v>158</v>
      </c>
      <c r="J1114" s="33" t="s">
        <v>159</v>
      </c>
      <c r="K1114" s="33" t="s">
        <v>160</v>
      </c>
      <c r="L1114" s="35" t="n">
        <v>1684.39</v>
      </c>
      <c r="M1114" s="33" t="n">
        <v>4</v>
      </c>
      <c r="N1114" s="33" t="s">
        <v>146</v>
      </c>
      <c r="O1114" s="33" t="s">
        <v>147</v>
      </c>
    </row>
    <row r="1115" customFormat="false" ht="15" hidden="false" customHeight="false" outlineLevel="0" collapsed="false">
      <c r="A1115" s="33" t="s">
        <v>1324</v>
      </c>
      <c r="B1115" s="34" t="n">
        <v>45646</v>
      </c>
      <c r="C1115" s="34" t="n">
        <v>45650</v>
      </c>
      <c r="D1115" s="33" t="n">
        <v>96</v>
      </c>
      <c r="E1115" s="33" t="s">
        <v>139</v>
      </c>
      <c r="F1115" s="33" t="s">
        <v>162</v>
      </c>
      <c r="G1115" s="33" t="s">
        <v>163</v>
      </c>
      <c r="H1115" s="33" t="s">
        <v>171</v>
      </c>
      <c r="I1115" s="33" t="s">
        <v>152</v>
      </c>
      <c r="J1115" s="33" t="s">
        <v>176</v>
      </c>
      <c r="K1115" s="33" t="s">
        <v>184</v>
      </c>
      <c r="L1115" s="35" t="n">
        <v>14408.76</v>
      </c>
      <c r="M1115" s="33" t="n">
        <v>4</v>
      </c>
      <c r="N1115" s="33" t="s">
        <v>146</v>
      </c>
      <c r="O1115" s="33" t="s">
        <v>147</v>
      </c>
    </row>
    <row r="1116" customFormat="false" ht="15" hidden="false" customHeight="false" outlineLevel="0" collapsed="false">
      <c r="A1116" s="33" t="s">
        <v>1325</v>
      </c>
      <c r="B1116" s="34" t="n">
        <v>45473</v>
      </c>
      <c r="C1116" s="34" t="n">
        <v>45474</v>
      </c>
      <c r="D1116" s="33" t="n">
        <v>9</v>
      </c>
      <c r="E1116" s="33" t="s">
        <v>154</v>
      </c>
      <c r="F1116" s="33" t="s">
        <v>203</v>
      </c>
      <c r="G1116" s="33" t="s">
        <v>204</v>
      </c>
      <c r="H1116" s="33" t="s">
        <v>205</v>
      </c>
      <c r="I1116" s="33" t="s">
        <v>143</v>
      </c>
      <c r="J1116" s="33" t="s">
        <v>159</v>
      </c>
      <c r="K1116" s="33" t="s">
        <v>145</v>
      </c>
      <c r="L1116" s="35" t="n">
        <v>864.58</v>
      </c>
      <c r="M1116" s="33" t="n">
        <v>3</v>
      </c>
      <c r="N1116" s="33" t="s">
        <v>146</v>
      </c>
      <c r="O1116" s="33" t="s">
        <v>147</v>
      </c>
    </row>
    <row r="1117" customFormat="false" ht="15" hidden="false" customHeight="false" outlineLevel="0" collapsed="false">
      <c r="A1117" s="33" t="s">
        <v>1326</v>
      </c>
      <c r="B1117" s="34" t="n">
        <v>45494</v>
      </c>
      <c r="C1117" s="34" t="n">
        <v>45495</v>
      </c>
      <c r="D1117" s="33" t="n">
        <v>5</v>
      </c>
      <c r="E1117" s="33" t="s">
        <v>154</v>
      </c>
      <c r="F1117" s="33" t="s">
        <v>155</v>
      </c>
      <c r="G1117" s="33" t="s">
        <v>220</v>
      </c>
      <c r="H1117" s="33" t="s">
        <v>157</v>
      </c>
      <c r="I1117" s="33" t="s">
        <v>143</v>
      </c>
      <c r="J1117" s="33" t="s">
        <v>176</v>
      </c>
      <c r="K1117" s="33" t="s">
        <v>184</v>
      </c>
      <c r="L1117" s="35" t="n">
        <v>3273.45</v>
      </c>
      <c r="M1117" s="33" t="n">
        <v>4</v>
      </c>
      <c r="N1117" s="33" t="s">
        <v>146</v>
      </c>
      <c r="O1117" s="33" t="s">
        <v>147</v>
      </c>
    </row>
    <row r="1118" customFormat="false" ht="15" hidden="false" customHeight="false" outlineLevel="0" collapsed="false">
      <c r="A1118" s="33" t="s">
        <v>1327</v>
      </c>
      <c r="B1118" s="34" t="n">
        <v>45652</v>
      </c>
      <c r="C1118" s="34" t="n">
        <v>45653</v>
      </c>
      <c r="D1118" s="33" t="n">
        <v>4</v>
      </c>
      <c r="E1118" s="33" t="s">
        <v>154</v>
      </c>
      <c r="F1118" s="33" t="s">
        <v>155</v>
      </c>
      <c r="G1118" s="33" t="s">
        <v>302</v>
      </c>
      <c r="H1118" s="33" t="s">
        <v>157</v>
      </c>
      <c r="I1118" s="33" t="s">
        <v>143</v>
      </c>
      <c r="J1118" s="33" t="s">
        <v>144</v>
      </c>
      <c r="K1118" s="33" t="s">
        <v>145</v>
      </c>
      <c r="L1118" s="35" t="n">
        <v>1561.39</v>
      </c>
      <c r="M1118" s="33" t="n">
        <v>5</v>
      </c>
      <c r="N1118" s="33" t="s">
        <v>146</v>
      </c>
      <c r="O1118" s="33" t="s">
        <v>147</v>
      </c>
    </row>
    <row r="1119" customFormat="false" ht="15" hidden="false" customHeight="false" outlineLevel="0" collapsed="false">
      <c r="A1119" s="33" t="s">
        <v>1328</v>
      </c>
      <c r="B1119" s="34" t="n">
        <v>45395</v>
      </c>
      <c r="C1119" s="34" t="n">
        <v>45398</v>
      </c>
      <c r="D1119" s="33" t="n">
        <v>68</v>
      </c>
      <c r="E1119" s="33" t="s">
        <v>154</v>
      </c>
      <c r="F1119" s="33" t="s">
        <v>140</v>
      </c>
      <c r="G1119" s="33" t="s">
        <v>167</v>
      </c>
      <c r="H1119" s="33" t="s">
        <v>142</v>
      </c>
      <c r="I1119" s="33" t="s">
        <v>152</v>
      </c>
      <c r="J1119" s="33" t="s">
        <v>159</v>
      </c>
      <c r="K1119" s="33" t="s">
        <v>145</v>
      </c>
      <c r="L1119" s="35" t="n">
        <v>5286.82</v>
      </c>
      <c r="M1119" s="33" t="n">
        <v>5</v>
      </c>
      <c r="N1119" s="33" t="s">
        <v>146</v>
      </c>
      <c r="O1119" s="33" t="s">
        <v>147</v>
      </c>
    </row>
    <row r="1120" customFormat="false" ht="15" hidden="false" customHeight="false" outlineLevel="0" collapsed="false">
      <c r="A1120" s="33" t="s">
        <v>1329</v>
      </c>
      <c r="B1120" s="34" t="n">
        <v>45559</v>
      </c>
      <c r="C1120" s="34" t="n">
        <v>45568</v>
      </c>
      <c r="D1120" s="33" t="n">
        <v>66</v>
      </c>
      <c r="E1120" s="33" t="s">
        <v>139</v>
      </c>
      <c r="F1120" s="33" t="s">
        <v>181</v>
      </c>
      <c r="G1120" s="33" t="s">
        <v>188</v>
      </c>
      <c r="H1120" s="33" t="s">
        <v>245</v>
      </c>
      <c r="I1120" s="33" t="s">
        <v>143</v>
      </c>
      <c r="J1120" s="33" t="s">
        <v>159</v>
      </c>
      <c r="K1120" s="33" t="s">
        <v>160</v>
      </c>
      <c r="L1120" s="35" t="n">
        <v>21553.74</v>
      </c>
      <c r="M1120" s="33" t="n">
        <v>4</v>
      </c>
      <c r="N1120" s="33" t="s">
        <v>146</v>
      </c>
      <c r="O1120" s="33" t="s">
        <v>147</v>
      </c>
    </row>
    <row r="1121" customFormat="false" ht="15" hidden="false" customHeight="false" outlineLevel="0" collapsed="false">
      <c r="A1121" s="33" t="s">
        <v>1330</v>
      </c>
      <c r="B1121" s="34" t="n">
        <v>45497</v>
      </c>
      <c r="C1121" s="34" t="n">
        <v>45501</v>
      </c>
      <c r="D1121" s="33" t="n">
        <v>28</v>
      </c>
      <c r="E1121" s="33" t="s">
        <v>139</v>
      </c>
      <c r="F1121" s="33" t="s">
        <v>149</v>
      </c>
      <c r="G1121" s="33" t="s">
        <v>243</v>
      </c>
      <c r="H1121" s="33" t="s">
        <v>151</v>
      </c>
      <c r="I1121" s="33" t="s">
        <v>143</v>
      </c>
      <c r="J1121" s="33" t="s">
        <v>159</v>
      </c>
      <c r="K1121" s="33" t="s">
        <v>184</v>
      </c>
      <c r="L1121" s="35" t="n">
        <v>4898.38</v>
      </c>
      <c r="M1121" s="33" t="n">
        <v>3</v>
      </c>
      <c r="N1121" s="33" t="s">
        <v>146</v>
      </c>
      <c r="O1121" s="33" t="s">
        <v>147</v>
      </c>
    </row>
    <row r="1122" customFormat="false" ht="15" hidden="false" customHeight="false" outlineLevel="0" collapsed="false">
      <c r="A1122" s="33" t="s">
        <v>1331</v>
      </c>
      <c r="B1122" s="34" t="n">
        <v>45603</v>
      </c>
      <c r="C1122" s="34" t="n">
        <v>45606</v>
      </c>
      <c r="D1122" s="33" t="n">
        <v>0</v>
      </c>
      <c r="E1122" s="33" t="s">
        <v>139</v>
      </c>
      <c r="F1122" s="33" t="s">
        <v>288</v>
      </c>
      <c r="G1122" s="33" t="s">
        <v>302</v>
      </c>
      <c r="H1122" s="33" t="s">
        <v>157</v>
      </c>
      <c r="I1122" s="33" t="s">
        <v>152</v>
      </c>
      <c r="J1122" s="33" t="s">
        <v>159</v>
      </c>
      <c r="K1122" s="33" t="s">
        <v>209</v>
      </c>
      <c r="L1122" s="35" t="n">
        <v>2987.44</v>
      </c>
      <c r="M1122" s="33" t="n">
        <v>3</v>
      </c>
      <c r="N1122" s="33" t="s">
        <v>210</v>
      </c>
      <c r="O1122" s="33" t="s">
        <v>147</v>
      </c>
    </row>
    <row r="1123" customFormat="false" ht="15" hidden="false" customHeight="false" outlineLevel="0" collapsed="false">
      <c r="A1123" s="33" t="s">
        <v>1332</v>
      </c>
      <c r="B1123" s="34" t="n">
        <v>45614</v>
      </c>
      <c r="C1123" s="34" t="n">
        <v>45615</v>
      </c>
      <c r="D1123" s="33" t="n">
        <v>70</v>
      </c>
      <c r="E1123" s="33" t="s">
        <v>139</v>
      </c>
      <c r="F1123" s="33" t="s">
        <v>203</v>
      </c>
      <c r="G1123" s="33" t="s">
        <v>192</v>
      </c>
      <c r="H1123" s="33" t="s">
        <v>193</v>
      </c>
      <c r="I1123" s="33" t="s">
        <v>143</v>
      </c>
      <c r="J1123" s="33" t="s">
        <v>159</v>
      </c>
      <c r="K1123" s="33" t="s">
        <v>209</v>
      </c>
      <c r="L1123" s="35" t="n">
        <v>898.51</v>
      </c>
      <c r="M1123" s="33" t="n">
        <v>3</v>
      </c>
      <c r="N1123" s="33" t="s">
        <v>146</v>
      </c>
      <c r="O1123" s="33" t="s">
        <v>147</v>
      </c>
    </row>
    <row r="1124" customFormat="false" ht="15" hidden="false" customHeight="false" outlineLevel="0" collapsed="false">
      <c r="A1124" s="33" t="s">
        <v>1333</v>
      </c>
      <c r="B1124" s="34" t="n">
        <v>45514</v>
      </c>
      <c r="C1124" s="34" t="n">
        <v>45518</v>
      </c>
      <c r="D1124" s="33" t="n">
        <v>61</v>
      </c>
      <c r="E1124" s="33" t="s">
        <v>139</v>
      </c>
      <c r="F1124" s="33" t="s">
        <v>226</v>
      </c>
      <c r="G1124" s="33" t="s">
        <v>258</v>
      </c>
      <c r="H1124" s="33" t="s">
        <v>263</v>
      </c>
      <c r="I1124" s="33" t="s">
        <v>143</v>
      </c>
      <c r="J1124" s="33" t="s">
        <v>176</v>
      </c>
      <c r="K1124" s="33" t="s">
        <v>184</v>
      </c>
      <c r="L1124" s="35" t="n">
        <v>42642.35</v>
      </c>
      <c r="M1124" s="33" t="n">
        <v>5</v>
      </c>
      <c r="N1124" s="33" t="s">
        <v>146</v>
      </c>
      <c r="O1124" s="36"/>
    </row>
    <row r="1125" customFormat="false" ht="15" hidden="false" customHeight="false" outlineLevel="0" collapsed="false">
      <c r="A1125" s="33" t="s">
        <v>1334</v>
      </c>
      <c r="B1125" s="34" t="n">
        <v>45636</v>
      </c>
      <c r="C1125" s="34" t="n">
        <v>45637</v>
      </c>
      <c r="D1125" s="33" t="n">
        <v>24</v>
      </c>
      <c r="E1125" s="33" t="s">
        <v>190</v>
      </c>
      <c r="F1125" s="33" t="s">
        <v>149</v>
      </c>
      <c r="G1125" s="33" t="s">
        <v>150</v>
      </c>
      <c r="H1125" s="33" t="s">
        <v>186</v>
      </c>
      <c r="I1125" s="33" t="s">
        <v>152</v>
      </c>
      <c r="J1125" s="33" t="s">
        <v>159</v>
      </c>
      <c r="K1125" s="33" t="s">
        <v>209</v>
      </c>
      <c r="L1125" s="35" t="n">
        <v>1556.45</v>
      </c>
      <c r="M1125" s="33" t="n">
        <v>4</v>
      </c>
      <c r="N1125" s="33" t="s">
        <v>146</v>
      </c>
      <c r="O1125" s="33" t="s">
        <v>147</v>
      </c>
    </row>
    <row r="1126" customFormat="false" ht="15" hidden="false" customHeight="false" outlineLevel="0" collapsed="false">
      <c r="A1126" s="33" t="s">
        <v>1335</v>
      </c>
      <c r="B1126" s="34" t="n">
        <v>45396</v>
      </c>
      <c r="C1126" s="34" t="n">
        <v>45398</v>
      </c>
      <c r="D1126" s="33" t="n">
        <v>53</v>
      </c>
      <c r="E1126" s="33" t="s">
        <v>139</v>
      </c>
      <c r="F1126" s="33" t="s">
        <v>169</v>
      </c>
      <c r="G1126" s="33" t="s">
        <v>170</v>
      </c>
      <c r="H1126" s="33" t="s">
        <v>171</v>
      </c>
      <c r="I1126" s="33" t="s">
        <v>152</v>
      </c>
      <c r="J1126" s="33" t="s">
        <v>144</v>
      </c>
      <c r="K1126" s="33" t="s">
        <v>209</v>
      </c>
      <c r="L1126" s="35" t="n">
        <v>2653.13</v>
      </c>
      <c r="M1126" s="33" t="n">
        <v>3</v>
      </c>
      <c r="N1126" s="33" t="s">
        <v>146</v>
      </c>
      <c r="O1126" s="33" t="s">
        <v>147</v>
      </c>
    </row>
    <row r="1127" customFormat="false" ht="15" hidden="false" customHeight="false" outlineLevel="0" collapsed="false">
      <c r="A1127" s="33" t="s">
        <v>1336</v>
      </c>
      <c r="B1127" s="34" t="n">
        <v>45476</v>
      </c>
      <c r="C1127" s="34" t="n">
        <v>45477</v>
      </c>
      <c r="D1127" s="33" t="n">
        <v>58</v>
      </c>
      <c r="E1127" s="33" t="s">
        <v>190</v>
      </c>
      <c r="F1127" s="33" t="s">
        <v>226</v>
      </c>
      <c r="G1127" s="33" t="s">
        <v>258</v>
      </c>
      <c r="H1127" s="33" t="s">
        <v>263</v>
      </c>
      <c r="I1127" s="33" t="s">
        <v>158</v>
      </c>
      <c r="J1127" s="33" t="s">
        <v>159</v>
      </c>
      <c r="K1127" s="33" t="s">
        <v>160</v>
      </c>
      <c r="L1127" s="35" t="n">
        <v>3902.74</v>
      </c>
      <c r="M1127" s="33" t="n">
        <v>4</v>
      </c>
      <c r="N1127" s="33" t="s">
        <v>210</v>
      </c>
      <c r="O1127" s="33" t="s">
        <v>147</v>
      </c>
    </row>
    <row r="1128" customFormat="false" ht="15" hidden="false" customHeight="false" outlineLevel="0" collapsed="false">
      <c r="A1128" s="33" t="s">
        <v>1337</v>
      </c>
      <c r="B1128" s="34" t="n">
        <v>45300</v>
      </c>
      <c r="C1128" s="34" t="n">
        <v>45305</v>
      </c>
      <c r="D1128" s="33" t="n">
        <v>29</v>
      </c>
      <c r="E1128" s="33" t="s">
        <v>139</v>
      </c>
      <c r="F1128" s="33" t="s">
        <v>149</v>
      </c>
      <c r="G1128" s="33" t="s">
        <v>224</v>
      </c>
      <c r="H1128" s="33" t="s">
        <v>151</v>
      </c>
      <c r="I1128" s="33" t="s">
        <v>143</v>
      </c>
      <c r="J1128" s="33" t="s">
        <v>159</v>
      </c>
      <c r="K1128" s="33" t="s">
        <v>209</v>
      </c>
      <c r="L1128" s="35" t="n">
        <v>7211.78</v>
      </c>
      <c r="M1128" s="33" t="n">
        <v>3</v>
      </c>
      <c r="N1128" s="33" t="s">
        <v>146</v>
      </c>
      <c r="O1128" s="33" t="s">
        <v>147</v>
      </c>
    </row>
    <row r="1129" customFormat="false" ht="15" hidden="false" customHeight="false" outlineLevel="0" collapsed="false">
      <c r="A1129" s="33" t="s">
        <v>1338</v>
      </c>
      <c r="B1129" s="34" t="n">
        <v>45480</v>
      </c>
      <c r="C1129" s="34" t="n">
        <v>45481</v>
      </c>
      <c r="D1129" s="33" t="n">
        <v>49</v>
      </c>
      <c r="E1129" s="33" t="s">
        <v>154</v>
      </c>
      <c r="F1129" s="33" t="s">
        <v>203</v>
      </c>
      <c r="G1129" s="33" t="s">
        <v>204</v>
      </c>
      <c r="H1129" s="33" t="s">
        <v>193</v>
      </c>
      <c r="I1129" s="33" t="s">
        <v>143</v>
      </c>
      <c r="J1129" s="33" t="s">
        <v>159</v>
      </c>
      <c r="K1129" s="33" t="s">
        <v>145</v>
      </c>
      <c r="L1129" s="35" t="n">
        <v>943.73</v>
      </c>
      <c r="M1129" s="33" t="n">
        <v>4</v>
      </c>
      <c r="N1129" s="33" t="s">
        <v>146</v>
      </c>
      <c r="O1129" s="33" t="s">
        <v>147</v>
      </c>
    </row>
    <row r="1130" customFormat="false" ht="15" hidden="false" customHeight="false" outlineLevel="0" collapsed="false">
      <c r="A1130" s="33" t="s">
        <v>1339</v>
      </c>
      <c r="B1130" s="34" t="n">
        <v>45639</v>
      </c>
      <c r="C1130" s="34" t="n">
        <v>45641</v>
      </c>
      <c r="D1130" s="33" t="n">
        <v>6</v>
      </c>
      <c r="E1130" s="33" t="s">
        <v>154</v>
      </c>
      <c r="F1130" s="33" t="s">
        <v>155</v>
      </c>
      <c r="G1130" s="33" t="s">
        <v>302</v>
      </c>
      <c r="H1130" s="33" t="s">
        <v>157</v>
      </c>
      <c r="I1130" s="33" t="s">
        <v>152</v>
      </c>
      <c r="J1130" s="33" t="s">
        <v>144</v>
      </c>
      <c r="K1130" s="33" t="s">
        <v>145</v>
      </c>
      <c r="L1130" s="35" t="n">
        <v>2937.72</v>
      </c>
      <c r="M1130" s="33" t="n">
        <v>5</v>
      </c>
      <c r="N1130" s="33" t="s">
        <v>146</v>
      </c>
      <c r="O1130" s="33" t="s">
        <v>147</v>
      </c>
    </row>
    <row r="1131" customFormat="false" ht="15" hidden="false" customHeight="false" outlineLevel="0" collapsed="false">
      <c r="A1131" s="33" t="s">
        <v>1340</v>
      </c>
      <c r="B1131" s="34" t="n">
        <v>45303</v>
      </c>
      <c r="C1131" s="34" t="n">
        <v>45310</v>
      </c>
      <c r="D1131" s="33" t="n">
        <v>82</v>
      </c>
      <c r="E1131" s="33" t="s">
        <v>257</v>
      </c>
      <c r="F1131" s="33" t="s">
        <v>212</v>
      </c>
      <c r="G1131" s="33" t="s">
        <v>230</v>
      </c>
      <c r="H1131" s="33" t="s">
        <v>164</v>
      </c>
      <c r="I1131" s="33" t="s">
        <v>143</v>
      </c>
      <c r="J1131" s="33" t="s">
        <v>159</v>
      </c>
      <c r="K1131" s="33" t="s">
        <v>184</v>
      </c>
      <c r="L1131" s="35" t="n">
        <v>8059.93</v>
      </c>
      <c r="M1131" s="33" t="n">
        <v>5</v>
      </c>
      <c r="N1131" s="33" t="s">
        <v>146</v>
      </c>
      <c r="O1131" s="33" t="s">
        <v>147</v>
      </c>
    </row>
    <row r="1132" customFormat="false" ht="15" hidden="false" customHeight="false" outlineLevel="0" collapsed="false">
      <c r="A1132" s="33" t="s">
        <v>1341</v>
      </c>
      <c r="B1132" s="34" t="n">
        <v>45649</v>
      </c>
      <c r="C1132" s="34" t="n">
        <v>45650</v>
      </c>
      <c r="D1132" s="33" t="n">
        <v>96</v>
      </c>
      <c r="E1132" s="33" t="s">
        <v>139</v>
      </c>
      <c r="F1132" s="33" t="s">
        <v>173</v>
      </c>
      <c r="G1132" s="33" t="s">
        <v>174</v>
      </c>
      <c r="H1132" s="33" t="s">
        <v>175</v>
      </c>
      <c r="I1132" s="33" t="s">
        <v>152</v>
      </c>
      <c r="J1132" s="33" t="s">
        <v>159</v>
      </c>
      <c r="K1132" s="36"/>
      <c r="L1132" s="35" t="n">
        <v>2827.14</v>
      </c>
      <c r="M1132" s="33" t="n">
        <v>3</v>
      </c>
      <c r="N1132" s="33" t="s">
        <v>146</v>
      </c>
      <c r="O1132" s="33" t="s">
        <v>147</v>
      </c>
    </row>
    <row r="1133" customFormat="false" ht="15" hidden="false" customHeight="false" outlineLevel="0" collapsed="false">
      <c r="A1133" s="33" t="s">
        <v>1342</v>
      </c>
      <c r="B1133" s="34" t="n">
        <v>45521</v>
      </c>
      <c r="C1133" s="34" t="n">
        <v>45530</v>
      </c>
      <c r="D1133" s="33" t="n">
        <v>34</v>
      </c>
      <c r="E1133" s="33" t="s">
        <v>279</v>
      </c>
      <c r="F1133" s="33" t="s">
        <v>173</v>
      </c>
      <c r="G1133" s="33" t="s">
        <v>198</v>
      </c>
      <c r="H1133" s="33" t="s">
        <v>175</v>
      </c>
      <c r="I1133" s="33" t="s">
        <v>152</v>
      </c>
      <c r="J1133" s="33" t="s">
        <v>159</v>
      </c>
      <c r="K1133" s="33" t="s">
        <v>145</v>
      </c>
      <c r="L1133" s="35" t="n">
        <v>20041.97</v>
      </c>
      <c r="M1133" s="33" t="n">
        <v>3</v>
      </c>
      <c r="N1133" s="33" t="s">
        <v>146</v>
      </c>
      <c r="O1133" s="33" t="s">
        <v>147</v>
      </c>
    </row>
    <row r="1134" customFormat="false" ht="15" hidden="false" customHeight="false" outlineLevel="0" collapsed="false">
      <c r="A1134" s="33" t="s">
        <v>1343</v>
      </c>
      <c r="B1134" s="34" t="n">
        <v>45476</v>
      </c>
      <c r="C1134" s="34" t="n">
        <v>45477</v>
      </c>
      <c r="D1134" s="33" t="n">
        <v>3</v>
      </c>
      <c r="E1134" s="33" t="s">
        <v>154</v>
      </c>
      <c r="F1134" s="33" t="s">
        <v>155</v>
      </c>
      <c r="G1134" s="33" t="s">
        <v>302</v>
      </c>
      <c r="H1134" s="33" t="s">
        <v>222</v>
      </c>
      <c r="I1134" s="33" t="s">
        <v>143</v>
      </c>
      <c r="J1134" s="33" t="s">
        <v>159</v>
      </c>
      <c r="K1134" s="33" t="s">
        <v>145</v>
      </c>
      <c r="L1134" s="35" t="n">
        <v>1002.79</v>
      </c>
      <c r="M1134" s="33" t="n">
        <v>4</v>
      </c>
      <c r="N1134" s="33" t="s">
        <v>210</v>
      </c>
      <c r="O1134" s="33" t="s">
        <v>147</v>
      </c>
    </row>
    <row r="1135" customFormat="false" ht="15" hidden="false" customHeight="false" outlineLevel="0" collapsed="false">
      <c r="A1135" s="33" t="s">
        <v>1344</v>
      </c>
      <c r="B1135" s="34" t="n">
        <v>45639</v>
      </c>
      <c r="C1135" s="34" t="n">
        <v>45643</v>
      </c>
      <c r="D1135" s="33" t="n">
        <v>9</v>
      </c>
      <c r="E1135" s="33" t="s">
        <v>139</v>
      </c>
      <c r="F1135" s="33" t="s">
        <v>155</v>
      </c>
      <c r="G1135" s="33" t="s">
        <v>220</v>
      </c>
      <c r="H1135" s="33" t="s">
        <v>222</v>
      </c>
      <c r="I1135" s="33" t="s">
        <v>152</v>
      </c>
      <c r="J1135" s="33" t="s">
        <v>159</v>
      </c>
      <c r="K1135" s="33" t="s">
        <v>160</v>
      </c>
      <c r="L1135" s="35" t="n">
        <v>3321.68</v>
      </c>
      <c r="M1135" s="33" t="n">
        <v>4</v>
      </c>
      <c r="N1135" s="33" t="s">
        <v>146</v>
      </c>
      <c r="O1135" s="33" t="s">
        <v>147</v>
      </c>
    </row>
    <row r="1136" customFormat="false" ht="15" hidden="false" customHeight="false" outlineLevel="0" collapsed="false">
      <c r="A1136" s="33" t="s">
        <v>1345</v>
      </c>
      <c r="B1136" s="34" t="n">
        <v>45543</v>
      </c>
      <c r="C1136" s="34" t="n">
        <v>45544</v>
      </c>
      <c r="D1136" s="33" t="n">
        <v>50</v>
      </c>
      <c r="E1136" s="33" t="s">
        <v>139</v>
      </c>
      <c r="F1136" s="33" t="s">
        <v>334</v>
      </c>
      <c r="G1136" s="33" t="s">
        <v>204</v>
      </c>
      <c r="H1136" s="33" t="s">
        <v>193</v>
      </c>
      <c r="I1136" s="33" t="s">
        <v>143</v>
      </c>
      <c r="J1136" s="33" t="s">
        <v>159</v>
      </c>
      <c r="K1136" s="33" t="s">
        <v>145</v>
      </c>
      <c r="L1136" s="35" t="n">
        <v>866.88</v>
      </c>
      <c r="M1136" s="33" t="n">
        <v>5</v>
      </c>
      <c r="N1136" s="33" t="s">
        <v>146</v>
      </c>
      <c r="O1136" s="33" t="s">
        <v>147</v>
      </c>
    </row>
    <row r="1137" customFormat="false" ht="15" hidden="false" customHeight="false" outlineLevel="0" collapsed="false">
      <c r="A1137" s="33" t="s">
        <v>1346</v>
      </c>
      <c r="B1137" s="34" t="n">
        <v>45564</v>
      </c>
      <c r="C1137" s="34" t="n">
        <v>45567</v>
      </c>
      <c r="D1137" s="36" t="n">
        <v>150</v>
      </c>
      <c r="E1137" s="33" t="s">
        <v>154</v>
      </c>
      <c r="F1137" s="33" t="s">
        <v>173</v>
      </c>
      <c r="G1137" s="33" t="s">
        <v>198</v>
      </c>
      <c r="H1137" s="33" t="s">
        <v>199</v>
      </c>
      <c r="I1137" s="33" t="s">
        <v>158</v>
      </c>
      <c r="J1137" s="33" t="s">
        <v>159</v>
      </c>
      <c r="K1137" s="33" t="s">
        <v>145</v>
      </c>
      <c r="L1137" s="35" t="n">
        <v>7515.06</v>
      </c>
      <c r="M1137" s="33" t="n">
        <v>4</v>
      </c>
      <c r="N1137" s="33" t="s">
        <v>146</v>
      </c>
      <c r="O1137" s="33" t="s">
        <v>147</v>
      </c>
    </row>
    <row r="1138" customFormat="false" ht="15" hidden="false" customHeight="false" outlineLevel="0" collapsed="false">
      <c r="A1138" s="33" t="s">
        <v>449</v>
      </c>
      <c r="B1138" s="34" t="n">
        <v>45573</v>
      </c>
      <c r="C1138" s="34" t="n">
        <v>45574</v>
      </c>
      <c r="D1138" s="33" t="n">
        <v>74</v>
      </c>
      <c r="E1138" s="33" t="s">
        <v>257</v>
      </c>
      <c r="F1138" s="33" t="s">
        <v>203</v>
      </c>
      <c r="G1138" s="33" t="s">
        <v>204</v>
      </c>
      <c r="H1138" s="33" t="s">
        <v>205</v>
      </c>
      <c r="I1138" s="33" t="s">
        <v>143</v>
      </c>
      <c r="J1138" s="33" t="s">
        <v>159</v>
      </c>
      <c r="K1138" s="33" t="s">
        <v>184</v>
      </c>
      <c r="L1138" s="35" t="n">
        <v>771.97</v>
      </c>
      <c r="M1138" s="33" t="n">
        <v>3</v>
      </c>
      <c r="N1138" s="33" t="s">
        <v>146</v>
      </c>
      <c r="O1138" s="33" t="s">
        <v>147</v>
      </c>
    </row>
    <row r="1139" customFormat="false" ht="15" hidden="false" customHeight="false" outlineLevel="0" collapsed="false">
      <c r="A1139" s="33" t="s">
        <v>1347</v>
      </c>
      <c r="B1139" s="34" t="n">
        <v>45656</v>
      </c>
      <c r="C1139" s="34" t="n">
        <v>45658</v>
      </c>
      <c r="D1139" s="33" t="n">
        <v>38</v>
      </c>
      <c r="E1139" s="33" t="s">
        <v>139</v>
      </c>
      <c r="F1139" s="33" t="s">
        <v>203</v>
      </c>
      <c r="G1139" s="33" t="s">
        <v>192</v>
      </c>
      <c r="H1139" s="33" t="s">
        <v>233</v>
      </c>
      <c r="I1139" s="33" t="s">
        <v>143</v>
      </c>
      <c r="J1139" s="33" t="s">
        <v>159</v>
      </c>
      <c r="K1139" s="33" t="s">
        <v>145</v>
      </c>
      <c r="L1139" s="35" t="n">
        <v>1952.96</v>
      </c>
      <c r="M1139" s="33" t="n">
        <v>2</v>
      </c>
      <c r="N1139" s="33" t="s">
        <v>146</v>
      </c>
      <c r="O1139" s="33" t="s">
        <v>147</v>
      </c>
    </row>
    <row r="1140" customFormat="false" ht="15" hidden="false" customHeight="false" outlineLevel="0" collapsed="false">
      <c r="A1140" s="33" t="s">
        <v>1348</v>
      </c>
      <c r="B1140" s="34" t="n">
        <v>45522</v>
      </c>
      <c r="C1140" s="34" t="n">
        <v>45527</v>
      </c>
      <c r="D1140" s="33" t="n">
        <v>30</v>
      </c>
      <c r="E1140" s="33" t="s">
        <v>139</v>
      </c>
      <c r="F1140" s="33" t="s">
        <v>149</v>
      </c>
      <c r="G1140" s="33" t="s">
        <v>243</v>
      </c>
      <c r="H1140" s="33" t="s">
        <v>186</v>
      </c>
      <c r="I1140" s="33" t="s">
        <v>152</v>
      </c>
      <c r="J1140" s="33" t="s">
        <v>159</v>
      </c>
      <c r="K1140" s="33" t="s">
        <v>145</v>
      </c>
      <c r="L1140" s="35" t="n">
        <v>9294.99</v>
      </c>
      <c r="M1140" s="33" t="n">
        <v>3</v>
      </c>
      <c r="N1140" s="33" t="s">
        <v>210</v>
      </c>
      <c r="O1140" s="33" t="s">
        <v>147</v>
      </c>
    </row>
    <row r="1141" customFormat="false" ht="15" hidden="false" customHeight="false" outlineLevel="0" collapsed="false">
      <c r="A1141" s="33" t="s">
        <v>1349</v>
      </c>
      <c r="B1141" s="34" t="n">
        <v>45335</v>
      </c>
      <c r="C1141" s="34" t="n">
        <v>45337</v>
      </c>
      <c r="D1141" s="33" t="n">
        <v>7</v>
      </c>
      <c r="E1141" s="33" t="s">
        <v>154</v>
      </c>
      <c r="F1141" s="33" t="s">
        <v>155</v>
      </c>
      <c r="G1141" s="33" t="s">
        <v>302</v>
      </c>
      <c r="H1141" s="33" t="s">
        <v>222</v>
      </c>
      <c r="I1141" s="33" t="s">
        <v>143</v>
      </c>
      <c r="J1141" s="33" t="s">
        <v>159</v>
      </c>
      <c r="K1141" s="33" t="s">
        <v>145</v>
      </c>
      <c r="L1141" s="35" t="n">
        <v>1870.04</v>
      </c>
      <c r="M1141" s="33" t="n">
        <v>4</v>
      </c>
      <c r="N1141" s="33" t="s">
        <v>146</v>
      </c>
      <c r="O1141" s="33" t="s">
        <v>147</v>
      </c>
    </row>
    <row r="1142" customFormat="false" ht="15" hidden="false" customHeight="false" outlineLevel="0" collapsed="false">
      <c r="A1142" s="33" t="s">
        <v>1350</v>
      </c>
      <c r="B1142" s="34" t="n">
        <v>45409</v>
      </c>
      <c r="C1142" s="34" t="n">
        <v>45413</v>
      </c>
      <c r="D1142" s="33" t="n">
        <v>5</v>
      </c>
      <c r="E1142" s="33" t="s">
        <v>139</v>
      </c>
      <c r="F1142" s="33" t="s">
        <v>155</v>
      </c>
      <c r="G1142" s="33" t="s">
        <v>220</v>
      </c>
      <c r="H1142" s="33" t="s">
        <v>222</v>
      </c>
      <c r="I1142" s="33" t="s">
        <v>152</v>
      </c>
      <c r="J1142" s="33" t="s">
        <v>159</v>
      </c>
      <c r="K1142" s="33" t="s">
        <v>184</v>
      </c>
      <c r="L1142" s="35" t="n">
        <v>3172.6</v>
      </c>
      <c r="M1142" s="33" t="n">
        <v>4</v>
      </c>
      <c r="N1142" s="33" t="s">
        <v>146</v>
      </c>
      <c r="O1142" s="33" t="s">
        <v>147</v>
      </c>
    </row>
    <row r="1143" customFormat="false" ht="15" hidden="false" customHeight="false" outlineLevel="0" collapsed="false">
      <c r="A1143" s="33" t="s">
        <v>1351</v>
      </c>
      <c r="B1143" s="34" t="n">
        <v>45607</v>
      </c>
      <c r="C1143" s="34" t="n">
        <v>45608</v>
      </c>
      <c r="D1143" s="33" t="n">
        <v>3</v>
      </c>
      <c r="E1143" s="33" t="s">
        <v>154</v>
      </c>
      <c r="F1143" s="33" t="s">
        <v>155</v>
      </c>
      <c r="G1143" s="33" t="s">
        <v>302</v>
      </c>
      <c r="H1143" s="33" t="s">
        <v>222</v>
      </c>
      <c r="I1143" s="33" t="s">
        <v>152</v>
      </c>
      <c r="J1143" s="33" t="s">
        <v>159</v>
      </c>
      <c r="K1143" s="33" t="s">
        <v>184</v>
      </c>
      <c r="L1143" s="35" t="n">
        <v>628.17</v>
      </c>
      <c r="M1143" s="33" t="n">
        <v>4</v>
      </c>
      <c r="N1143" s="33" t="s">
        <v>146</v>
      </c>
      <c r="O1143" s="33" t="s">
        <v>147</v>
      </c>
    </row>
    <row r="1144" customFormat="false" ht="15" hidden="false" customHeight="false" outlineLevel="0" collapsed="false">
      <c r="A1144" s="33" t="s">
        <v>1352</v>
      </c>
      <c r="B1144" s="34" t="n">
        <v>45580</v>
      </c>
      <c r="C1144" s="34" t="n">
        <v>45581</v>
      </c>
      <c r="D1144" s="33" t="n">
        <v>62</v>
      </c>
      <c r="E1144" s="33" t="s">
        <v>190</v>
      </c>
      <c r="F1144" s="33" t="s">
        <v>203</v>
      </c>
      <c r="G1144" s="33" t="s">
        <v>204</v>
      </c>
      <c r="H1144" s="33" t="s">
        <v>233</v>
      </c>
      <c r="I1144" s="33" t="s">
        <v>143</v>
      </c>
      <c r="J1144" s="33" t="s">
        <v>176</v>
      </c>
      <c r="K1144" s="33" t="s">
        <v>145</v>
      </c>
      <c r="L1144" s="35" t="n">
        <v>2164.31</v>
      </c>
      <c r="M1144" s="33" t="n">
        <v>3</v>
      </c>
      <c r="N1144" s="33" t="s">
        <v>146</v>
      </c>
      <c r="O1144" s="33" t="s">
        <v>147</v>
      </c>
    </row>
    <row r="1145" customFormat="false" ht="15" hidden="false" customHeight="false" outlineLevel="0" collapsed="false">
      <c r="A1145" s="33" t="s">
        <v>1353</v>
      </c>
      <c r="B1145" s="34" t="n">
        <v>45326</v>
      </c>
      <c r="C1145" s="34" t="n">
        <v>45329</v>
      </c>
      <c r="D1145" s="33" t="n">
        <v>15</v>
      </c>
      <c r="E1145" s="33" t="s">
        <v>154</v>
      </c>
      <c r="F1145" s="33" t="s">
        <v>334</v>
      </c>
      <c r="G1145" s="33" t="s">
        <v>241</v>
      </c>
      <c r="H1145" s="33" t="s">
        <v>205</v>
      </c>
      <c r="I1145" s="33" t="s">
        <v>143</v>
      </c>
      <c r="J1145" s="33" t="s">
        <v>159</v>
      </c>
      <c r="K1145" s="33" t="s">
        <v>160</v>
      </c>
      <c r="L1145" s="35" t="n">
        <v>2900.83</v>
      </c>
      <c r="M1145" s="33" t="n">
        <v>2</v>
      </c>
      <c r="N1145" s="33" t="s">
        <v>146</v>
      </c>
      <c r="O1145" s="33" t="s">
        <v>147</v>
      </c>
    </row>
    <row r="1146" customFormat="false" ht="15" hidden="false" customHeight="false" outlineLevel="0" collapsed="false">
      <c r="A1146" s="33" t="s">
        <v>1354</v>
      </c>
      <c r="B1146" s="34" t="n">
        <v>45604</v>
      </c>
      <c r="C1146" s="34" t="n">
        <v>45610</v>
      </c>
      <c r="D1146" s="33" t="n">
        <v>35</v>
      </c>
      <c r="E1146" s="33" t="s">
        <v>139</v>
      </c>
      <c r="F1146" s="33" t="s">
        <v>173</v>
      </c>
      <c r="G1146" s="33" t="s">
        <v>174</v>
      </c>
      <c r="H1146" s="33" t="s">
        <v>175</v>
      </c>
      <c r="I1146" s="33" t="s">
        <v>143</v>
      </c>
      <c r="J1146" s="33" t="s">
        <v>159</v>
      </c>
      <c r="K1146" s="36"/>
      <c r="L1146" s="35" t="n">
        <v>19519.01</v>
      </c>
      <c r="M1146" s="33" t="n">
        <v>5</v>
      </c>
      <c r="N1146" s="33" t="s">
        <v>146</v>
      </c>
      <c r="O1146" s="33" t="s">
        <v>147</v>
      </c>
    </row>
    <row r="1147" customFormat="false" ht="15" hidden="false" customHeight="false" outlineLevel="0" collapsed="false">
      <c r="A1147" s="33" t="s">
        <v>1355</v>
      </c>
      <c r="B1147" s="34" t="n">
        <v>45461</v>
      </c>
      <c r="C1147" s="34" t="n">
        <v>45465</v>
      </c>
      <c r="D1147" s="33" t="n">
        <v>63</v>
      </c>
      <c r="E1147" s="33" t="s">
        <v>279</v>
      </c>
      <c r="F1147" s="33" t="s">
        <v>181</v>
      </c>
      <c r="G1147" s="33" t="s">
        <v>182</v>
      </c>
      <c r="H1147" s="33" t="s">
        <v>183</v>
      </c>
      <c r="I1147" s="33" t="s">
        <v>143</v>
      </c>
      <c r="J1147" s="33" t="s">
        <v>159</v>
      </c>
      <c r="K1147" s="33" t="s">
        <v>145</v>
      </c>
      <c r="L1147" s="35" t="n">
        <v>9685.65</v>
      </c>
      <c r="M1147" s="33" t="n">
        <v>3</v>
      </c>
      <c r="N1147" s="33" t="s">
        <v>210</v>
      </c>
      <c r="O1147" s="33" t="s">
        <v>147</v>
      </c>
    </row>
    <row r="1148" customFormat="false" ht="15" hidden="false" customHeight="false" outlineLevel="0" collapsed="false">
      <c r="A1148" s="33" t="s">
        <v>1356</v>
      </c>
      <c r="B1148" s="34" t="n">
        <v>45546</v>
      </c>
      <c r="C1148" s="34" t="n">
        <v>45553</v>
      </c>
      <c r="D1148" s="33" t="n">
        <v>38</v>
      </c>
      <c r="E1148" s="33" t="s">
        <v>139</v>
      </c>
      <c r="F1148" s="33" t="s">
        <v>173</v>
      </c>
      <c r="G1148" s="33" t="s">
        <v>178</v>
      </c>
      <c r="H1148" s="33" t="s">
        <v>175</v>
      </c>
      <c r="I1148" s="33" t="s">
        <v>143</v>
      </c>
      <c r="J1148" s="33" t="s">
        <v>159</v>
      </c>
      <c r="K1148" s="33" t="s">
        <v>145</v>
      </c>
      <c r="L1148" s="35" t="n">
        <v>21743.57</v>
      </c>
      <c r="M1148" s="33" t="n">
        <v>4</v>
      </c>
      <c r="N1148" s="33" t="s">
        <v>146</v>
      </c>
      <c r="O1148" s="33" t="s">
        <v>147</v>
      </c>
    </row>
    <row r="1149" customFormat="false" ht="15" hidden="false" customHeight="false" outlineLevel="0" collapsed="false">
      <c r="A1149" s="33" t="s">
        <v>1357</v>
      </c>
      <c r="B1149" s="34" t="n">
        <v>45378</v>
      </c>
      <c r="C1149" s="34" t="n">
        <v>45380</v>
      </c>
      <c r="D1149" s="33" t="n">
        <v>43</v>
      </c>
      <c r="E1149" s="33" t="s">
        <v>154</v>
      </c>
      <c r="F1149" s="33" t="s">
        <v>162</v>
      </c>
      <c r="G1149" s="33" t="s">
        <v>213</v>
      </c>
      <c r="H1149" s="33" t="s">
        <v>164</v>
      </c>
      <c r="I1149" s="33" t="s">
        <v>143</v>
      </c>
      <c r="J1149" s="33" t="s">
        <v>159</v>
      </c>
      <c r="K1149" s="33" t="s">
        <v>184</v>
      </c>
      <c r="L1149" s="35" t="n">
        <v>2002.33</v>
      </c>
      <c r="M1149" s="33" t="n">
        <v>5</v>
      </c>
      <c r="N1149" s="33" t="s">
        <v>146</v>
      </c>
      <c r="O1149" s="36"/>
    </row>
    <row r="1150" customFormat="false" ht="15" hidden="false" customHeight="false" outlineLevel="0" collapsed="false">
      <c r="A1150" s="33" t="s">
        <v>1358</v>
      </c>
      <c r="B1150" s="34" t="n">
        <v>45494</v>
      </c>
      <c r="C1150" s="34" t="n">
        <v>45500</v>
      </c>
      <c r="D1150" s="33" t="n">
        <v>53</v>
      </c>
      <c r="E1150" s="33" t="s">
        <v>139</v>
      </c>
      <c r="F1150" s="33" t="s">
        <v>173</v>
      </c>
      <c r="G1150" s="33" t="s">
        <v>178</v>
      </c>
      <c r="H1150" s="33" t="s">
        <v>175</v>
      </c>
      <c r="I1150" s="33" t="s">
        <v>158</v>
      </c>
      <c r="J1150" s="33" t="s">
        <v>159</v>
      </c>
      <c r="K1150" s="33" t="s">
        <v>160</v>
      </c>
      <c r="L1150" s="35" t="n">
        <v>17820.46</v>
      </c>
      <c r="M1150" s="33" t="n">
        <v>4</v>
      </c>
      <c r="N1150" s="33" t="s">
        <v>146</v>
      </c>
      <c r="O1150" s="33" t="s">
        <v>247</v>
      </c>
    </row>
    <row r="1151" customFormat="false" ht="15" hidden="false" customHeight="false" outlineLevel="0" collapsed="false">
      <c r="A1151" s="33" t="s">
        <v>1359</v>
      </c>
      <c r="B1151" s="34" t="n">
        <v>45478</v>
      </c>
      <c r="C1151" s="34" t="n">
        <v>45479</v>
      </c>
      <c r="D1151" s="33" t="n">
        <v>96</v>
      </c>
      <c r="E1151" s="33" t="s">
        <v>190</v>
      </c>
      <c r="F1151" s="33" t="s">
        <v>203</v>
      </c>
      <c r="G1151" s="33" t="s">
        <v>192</v>
      </c>
      <c r="H1151" s="36"/>
      <c r="I1151" s="33" t="s">
        <v>143</v>
      </c>
      <c r="J1151" s="33" t="s">
        <v>176</v>
      </c>
      <c r="K1151" s="33" t="s">
        <v>184</v>
      </c>
      <c r="L1151" s="35" t="n">
        <v>2502.46</v>
      </c>
      <c r="M1151" s="33" t="n">
        <v>3</v>
      </c>
      <c r="N1151" s="33" t="s">
        <v>146</v>
      </c>
      <c r="O1151" s="33" t="s">
        <v>147</v>
      </c>
    </row>
    <row r="1152" customFormat="false" ht="15" hidden="false" customHeight="false" outlineLevel="0" collapsed="false">
      <c r="A1152" s="33" t="s">
        <v>1360</v>
      </c>
      <c r="B1152" s="34" t="n">
        <v>45592</v>
      </c>
      <c r="C1152" s="34" t="n">
        <v>45605</v>
      </c>
      <c r="D1152" s="33" t="n">
        <v>64</v>
      </c>
      <c r="E1152" s="33" t="s">
        <v>154</v>
      </c>
      <c r="F1152" s="33" t="s">
        <v>226</v>
      </c>
      <c r="G1152" s="33" t="s">
        <v>227</v>
      </c>
      <c r="H1152" s="33" t="s">
        <v>263</v>
      </c>
      <c r="I1152" s="33" t="s">
        <v>152</v>
      </c>
      <c r="J1152" s="33" t="s">
        <v>176</v>
      </c>
      <c r="K1152" s="36"/>
      <c r="L1152" s="35" t="n">
        <v>169004.29</v>
      </c>
      <c r="M1152" s="33" t="n">
        <v>3</v>
      </c>
      <c r="N1152" s="33" t="s">
        <v>146</v>
      </c>
      <c r="O1152" s="33" t="s">
        <v>147</v>
      </c>
    </row>
    <row r="1153" customFormat="false" ht="15" hidden="false" customHeight="false" outlineLevel="0" collapsed="false">
      <c r="A1153" s="33" t="s">
        <v>561</v>
      </c>
      <c r="B1153" s="34" t="n">
        <v>45297</v>
      </c>
      <c r="C1153" s="34" t="n">
        <v>45303</v>
      </c>
      <c r="D1153" s="33" t="n">
        <v>63</v>
      </c>
      <c r="E1153" s="33" t="s">
        <v>139</v>
      </c>
      <c r="F1153" s="33" t="s">
        <v>226</v>
      </c>
      <c r="G1153" s="33" t="s">
        <v>227</v>
      </c>
      <c r="H1153" s="33" t="s">
        <v>263</v>
      </c>
      <c r="I1153" s="33" t="s">
        <v>152</v>
      </c>
      <c r="J1153" s="33" t="s">
        <v>176</v>
      </c>
      <c r="K1153" s="33" t="s">
        <v>160</v>
      </c>
      <c r="L1153" s="35" t="n">
        <v>65817.81</v>
      </c>
      <c r="M1153" s="33" t="n">
        <v>2</v>
      </c>
      <c r="N1153" s="33" t="s">
        <v>146</v>
      </c>
      <c r="O1153" s="33" t="s">
        <v>247</v>
      </c>
    </row>
    <row r="1154" customFormat="false" ht="15" hidden="false" customHeight="false" outlineLevel="0" collapsed="false">
      <c r="A1154" s="33" t="s">
        <v>453</v>
      </c>
      <c r="B1154" s="34" t="n">
        <v>45356</v>
      </c>
      <c r="C1154" s="34" t="n">
        <v>45358</v>
      </c>
      <c r="D1154" s="33" t="n">
        <v>3</v>
      </c>
      <c r="E1154" s="33" t="s">
        <v>154</v>
      </c>
      <c r="F1154" s="33" t="s">
        <v>155</v>
      </c>
      <c r="G1154" s="33" t="s">
        <v>220</v>
      </c>
      <c r="H1154" s="33" t="s">
        <v>222</v>
      </c>
      <c r="I1154" s="33" t="s">
        <v>143</v>
      </c>
      <c r="J1154" s="33" t="s">
        <v>159</v>
      </c>
      <c r="K1154" s="33" t="s">
        <v>184</v>
      </c>
      <c r="L1154" s="35" t="n">
        <v>1901.6</v>
      </c>
      <c r="M1154" s="33" t="n">
        <v>3</v>
      </c>
      <c r="N1154" s="33" t="s">
        <v>146</v>
      </c>
      <c r="O1154" s="33" t="s">
        <v>147</v>
      </c>
    </row>
    <row r="1155" customFormat="false" ht="15" hidden="false" customHeight="false" outlineLevel="0" collapsed="false">
      <c r="A1155" s="33" t="s">
        <v>1361</v>
      </c>
      <c r="B1155" s="34" t="n">
        <v>45542</v>
      </c>
      <c r="C1155" s="34" t="n">
        <v>45545</v>
      </c>
      <c r="D1155" s="33" t="n">
        <v>16</v>
      </c>
      <c r="E1155" s="33" t="s">
        <v>139</v>
      </c>
      <c r="F1155" s="33" t="s">
        <v>140</v>
      </c>
      <c r="G1155" s="33" t="s">
        <v>316</v>
      </c>
      <c r="H1155" s="33" t="s">
        <v>290</v>
      </c>
      <c r="I1155" s="33" t="s">
        <v>143</v>
      </c>
      <c r="J1155" s="33" t="s">
        <v>159</v>
      </c>
      <c r="K1155" s="33" t="s">
        <v>209</v>
      </c>
      <c r="L1155" s="35" t="n">
        <v>7473.18</v>
      </c>
      <c r="M1155" s="33" t="n">
        <v>2</v>
      </c>
      <c r="N1155" s="33" t="s">
        <v>146</v>
      </c>
      <c r="O1155" s="33" t="s">
        <v>147</v>
      </c>
    </row>
    <row r="1156" customFormat="false" ht="15" hidden="false" customHeight="false" outlineLevel="0" collapsed="false">
      <c r="A1156" s="33" t="s">
        <v>723</v>
      </c>
      <c r="B1156" s="34" t="n">
        <v>45385</v>
      </c>
      <c r="C1156" s="34" t="n">
        <v>45389</v>
      </c>
      <c r="D1156" s="33" t="n">
        <v>14</v>
      </c>
      <c r="E1156" s="33" t="s">
        <v>139</v>
      </c>
      <c r="F1156" s="33" t="s">
        <v>162</v>
      </c>
      <c r="G1156" s="33" t="s">
        <v>230</v>
      </c>
      <c r="H1156" s="33" t="s">
        <v>171</v>
      </c>
      <c r="I1156" s="33" t="s">
        <v>143</v>
      </c>
      <c r="J1156" s="33" t="s">
        <v>159</v>
      </c>
      <c r="K1156" s="33" t="s">
        <v>145</v>
      </c>
      <c r="L1156" s="35" t="n">
        <v>4453.35</v>
      </c>
      <c r="M1156" s="33" t="n">
        <v>4</v>
      </c>
      <c r="N1156" s="33" t="s">
        <v>146</v>
      </c>
      <c r="O1156" s="33" t="s">
        <v>147</v>
      </c>
    </row>
    <row r="1157" customFormat="false" ht="15" hidden="false" customHeight="false" outlineLevel="0" collapsed="false">
      <c r="A1157" s="33" t="s">
        <v>1362</v>
      </c>
      <c r="B1157" s="34" t="n">
        <v>45348</v>
      </c>
      <c r="C1157" s="34" t="n">
        <v>45356</v>
      </c>
      <c r="D1157" s="33" t="n">
        <v>53</v>
      </c>
      <c r="E1157" s="33" t="s">
        <v>139</v>
      </c>
      <c r="F1157" s="33" t="s">
        <v>181</v>
      </c>
      <c r="G1157" s="33" t="s">
        <v>182</v>
      </c>
      <c r="H1157" s="33" t="s">
        <v>183</v>
      </c>
      <c r="I1157" s="33" t="s">
        <v>143</v>
      </c>
      <c r="J1157" s="33" t="s">
        <v>176</v>
      </c>
      <c r="K1157" s="33" t="s">
        <v>160</v>
      </c>
      <c r="L1157" s="35" t="n">
        <v>60138.25</v>
      </c>
      <c r="M1157" s="33" t="n">
        <v>5</v>
      </c>
      <c r="N1157" s="33" t="s">
        <v>146</v>
      </c>
      <c r="O1157" s="33" t="s">
        <v>147</v>
      </c>
    </row>
    <row r="1158" customFormat="false" ht="15" hidden="false" customHeight="false" outlineLevel="0" collapsed="false">
      <c r="A1158" s="33" t="s">
        <v>1363</v>
      </c>
      <c r="B1158" s="34" t="n">
        <v>45406</v>
      </c>
      <c r="C1158" s="34" t="n">
        <v>45407</v>
      </c>
      <c r="D1158" s="33" t="n">
        <v>60</v>
      </c>
      <c r="E1158" s="33" t="s">
        <v>139</v>
      </c>
      <c r="F1158" s="33" t="s">
        <v>181</v>
      </c>
      <c r="G1158" s="33" t="s">
        <v>188</v>
      </c>
      <c r="H1158" s="33" t="s">
        <v>183</v>
      </c>
      <c r="I1158" s="33" t="s">
        <v>152</v>
      </c>
      <c r="J1158" s="33" t="s">
        <v>159</v>
      </c>
      <c r="K1158" s="33" t="s">
        <v>145</v>
      </c>
      <c r="L1158" s="35" t="n">
        <v>2585.29</v>
      </c>
      <c r="M1158" s="33" t="n">
        <v>4</v>
      </c>
      <c r="N1158" s="33" t="s">
        <v>146</v>
      </c>
      <c r="O1158" s="33" t="s">
        <v>147</v>
      </c>
    </row>
    <row r="1159" customFormat="false" ht="15" hidden="false" customHeight="false" outlineLevel="0" collapsed="false">
      <c r="A1159" s="33" t="s">
        <v>780</v>
      </c>
      <c r="B1159" s="34" t="n">
        <v>45504</v>
      </c>
      <c r="C1159" s="34" t="n">
        <v>45508</v>
      </c>
      <c r="D1159" s="33" t="n">
        <v>69</v>
      </c>
      <c r="E1159" s="33" t="s">
        <v>180</v>
      </c>
      <c r="F1159" s="33" t="s">
        <v>226</v>
      </c>
      <c r="G1159" s="33" t="s">
        <v>386</v>
      </c>
      <c r="H1159" s="33" t="s">
        <v>263</v>
      </c>
      <c r="I1159" s="33" t="s">
        <v>152</v>
      </c>
      <c r="J1159" s="33" t="s">
        <v>159</v>
      </c>
      <c r="K1159" s="33" t="s">
        <v>160</v>
      </c>
      <c r="L1159" s="35" t="n">
        <v>14951.13</v>
      </c>
      <c r="M1159" s="33" t="n">
        <v>5</v>
      </c>
      <c r="N1159" s="33" t="s">
        <v>210</v>
      </c>
      <c r="O1159" s="33" t="s">
        <v>147</v>
      </c>
    </row>
    <row r="1160" customFormat="false" ht="15" hidden="false" customHeight="false" outlineLevel="0" collapsed="false">
      <c r="A1160" s="33" t="s">
        <v>1364</v>
      </c>
      <c r="B1160" s="34" t="n">
        <v>45612</v>
      </c>
      <c r="C1160" s="34" t="n">
        <v>45615</v>
      </c>
      <c r="D1160" s="33" t="n">
        <v>33</v>
      </c>
      <c r="E1160" s="33" t="s">
        <v>139</v>
      </c>
      <c r="F1160" s="33" t="s">
        <v>149</v>
      </c>
      <c r="G1160" s="33" t="s">
        <v>224</v>
      </c>
      <c r="H1160" s="33" t="s">
        <v>151</v>
      </c>
      <c r="I1160" s="33" t="s">
        <v>143</v>
      </c>
      <c r="J1160" s="33" t="s">
        <v>176</v>
      </c>
      <c r="K1160" s="33" t="s">
        <v>145</v>
      </c>
      <c r="L1160" s="35" t="n">
        <v>16730.45</v>
      </c>
      <c r="M1160" s="33" t="n">
        <v>4</v>
      </c>
      <c r="N1160" s="33" t="s">
        <v>146</v>
      </c>
      <c r="O1160" s="33" t="s">
        <v>147</v>
      </c>
    </row>
    <row r="1161" customFormat="false" ht="15" hidden="false" customHeight="false" outlineLevel="0" collapsed="false">
      <c r="A1161" s="33" t="s">
        <v>1365</v>
      </c>
      <c r="B1161" s="34" t="n">
        <v>45327</v>
      </c>
      <c r="C1161" s="34" t="n">
        <v>45329</v>
      </c>
      <c r="D1161" s="33" t="n">
        <v>61</v>
      </c>
      <c r="E1161" s="33" t="s">
        <v>216</v>
      </c>
      <c r="F1161" s="33" t="s">
        <v>169</v>
      </c>
      <c r="G1161" s="33" t="s">
        <v>163</v>
      </c>
      <c r="H1161" s="33" t="s">
        <v>164</v>
      </c>
      <c r="I1161" s="33" t="s">
        <v>143</v>
      </c>
      <c r="J1161" s="33" t="s">
        <v>159</v>
      </c>
      <c r="K1161" s="33" t="s">
        <v>145</v>
      </c>
      <c r="L1161" s="35" t="n">
        <v>2251</v>
      </c>
      <c r="M1161" s="36"/>
      <c r="N1161" s="33" t="s">
        <v>146</v>
      </c>
      <c r="O1161" s="33" t="s">
        <v>147</v>
      </c>
    </row>
    <row r="1162" customFormat="false" ht="15" hidden="false" customHeight="false" outlineLevel="0" collapsed="false">
      <c r="A1162" s="33" t="s">
        <v>1366</v>
      </c>
      <c r="B1162" s="34" t="n">
        <v>45398</v>
      </c>
      <c r="C1162" s="34" t="n">
        <v>45400</v>
      </c>
      <c r="D1162" s="33" t="n">
        <v>51</v>
      </c>
      <c r="E1162" s="33" t="s">
        <v>154</v>
      </c>
      <c r="F1162" s="33" t="s">
        <v>181</v>
      </c>
      <c r="G1162" s="33" t="s">
        <v>188</v>
      </c>
      <c r="H1162" s="33" t="s">
        <v>183</v>
      </c>
      <c r="I1162" s="33" t="s">
        <v>143</v>
      </c>
      <c r="J1162" s="33" t="s">
        <v>159</v>
      </c>
      <c r="K1162" s="33" t="s">
        <v>160</v>
      </c>
      <c r="L1162" s="35" t="n">
        <v>4399.25</v>
      </c>
      <c r="M1162" s="33" t="n">
        <v>5</v>
      </c>
      <c r="N1162" s="33" t="s">
        <v>146</v>
      </c>
      <c r="O1162" s="33" t="s">
        <v>147</v>
      </c>
    </row>
    <row r="1163" customFormat="false" ht="15" hidden="false" customHeight="false" outlineLevel="0" collapsed="false">
      <c r="A1163" s="33" t="s">
        <v>1367</v>
      </c>
      <c r="B1163" s="34" t="n">
        <v>45653</v>
      </c>
      <c r="C1163" s="34" t="n">
        <v>45654</v>
      </c>
      <c r="D1163" s="33" t="n">
        <v>36</v>
      </c>
      <c r="E1163" s="33" t="s">
        <v>139</v>
      </c>
      <c r="F1163" s="33" t="s">
        <v>149</v>
      </c>
      <c r="G1163" s="33" t="s">
        <v>243</v>
      </c>
      <c r="H1163" s="33" t="s">
        <v>151</v>
      </c>
      <c r="I1163" s="33" t="s">
        <v>143</v>
      </c>
      <c r="J1163" s="33" t="s">
        <v>159</v>
      </c>
      <c r="K1163" s="33" t="s">
        <v>145</v>
      </c>
      <c r="L1163" s="35" t="n">
        <v>1620.35</v>
      </c>
      <c r="M1163" s="33" t="n">
        <v>4</v>
      </c>
      <c r="N1163" s="33" t="s">
        <v>146</v>
      </c>
      <c r="O1163" s="33" t="s">
        <v>147</v>
      </c>
    </row>
    <row r="1164" customFormat="false" ht="15" hidden="false" customHeight="false" outlineLevel="0" collapsed="false">
      <c r="A1164" s="33" t="s">
        <v>989</v>
      </c>
      <c r="B1164" s="34" t="n">
        <v>45297</v>
      </c>
      <c r="C1164" s="34" t="n">
        <v>45300</v>
      </c>
      <c r="D1164" s="33" t="n">
        <v>55</v>
      </c>
      <c r="E1164" s="33" t="s">
        <v>279</v>
      </c>
      <c r="F1164" s="33" t="s">
        <v>203</v>
      </c>
      <c r="G1164" s="33" t="s">
        <v>241</v>
      </c>
      <c r="H1164" s="33" t="s">
        <v>233</v>
      </c>
      <c r="I1164" s="33" t="s">
        <v>143</v>
      </c>
      <c r="J1164" s="33" t="s">
        <v>159</v>
      </c>
      <c r="K1164" s="33" t="s">
        <v>145</v>
      </c>
      <c r="L1164" s="35" t="n">
        <v>2307.47</v>
      </c>
      <c r="M1164" s="33" t="n">
        <v>3</v>
      </c>
      <c r="N1164" s="33" t="s">
        <v>146</v>
      </c>
      <c r="O1164" s="33" t="s">
        <v>147</v>
      </c>
    </row>
    <row r="1165" customFormat="false" ht="15" hidden="false" customHeight="false" outlineLevel="0" collapsed="false">
      <c r="A1165" s="33" t="s">
        <v>1368</v>
      </c>
      <c r="B1165" s="34" t="n">
        <v>45466</v>
      </c>
      <c r="C1165" s="34" t="n">
        <v>45467</v>
      </c>
      <c r="D1165" s="33" t="n">
        <v>67</v>
      </c>
      <c r="E1165" s="33" t="s">
        <v>154</v>
      </c>
      <c r="F1165" s="33" t="s">
        <v>203</v>
      </c>
      <c r="G1165" s="33" t="s">
        <v>241</v>
      </c>
      <c r="H1165" s="33" t="s">
        <v>193</v>
      </c>
      <c r="I1165" s="33" t="s">
        <v>143</v>
      </c>
      <c r="J1165" s="33" t="s">
        <v>159</v>
      </c>
      <c r="K1165" s="33" t="s">
        <v>160</v>
      </c>
      <c r="L1165" s="35" t="n">
        <v>937.11</v>
      </c>
      <c r="M1165" s="33" t="n">
        <v>2</v>
      </c>
      <c r="N1165" s="33" t="s">
        <v>146</v>
      </c>
      <c r="O1165" s="33" t="s">
        <v>147</v>
      </c>
    </row>
    <row r="1166" customFormat="false" ht="15" hidden="false" customHeight="false" outlineLevel="0" collapsed="false">
      <c r="A1166" s="33" t="s">
        <v>1369</v>
      </c>
      <c r="B1166" s="34" t="n">
        <v>45308</v>
      </c>
      <c r="C1166" s="34" t="n">
        <v>45310</v>
      </c>
      <c r="D1166" s="33" t="n">
        <v>5</v>
      </c>
      <c r="E1166" s="33" t="s">
        <v>154</v>
      </c>
      <c r="F1166" s="33" t="s">
        <v>155</v>
      </c>
      <c r="G1166" s="33" t="s">
        <v>302</v>
      </c>
      <c r="H1166" s="33" t="s">
        <v>222</v>
      </c>
      <c r="I1166" s="33" t="s">
        <v>152</v>
      </c>
      <c r="J1166" s="33" t="s">
        <v>159</v>
      </c>
      <c r="K1166" s="33" t="s">
        <v>145</v>
      </c>
      <c r="L1166" s="35" t="n">
        <v>1214.05</v>
      </c>
      <c r="M1166" s="33" t="n">
        <v>5</v>
      </c>
      <c r="N1166" s="33" t="s">
        <v>146</v>
      </c>
      <c r="O1166" s="33" t="s">
        <v>147</v>
      </c>
    </row>
    <row r="1167" customFormat="false" ht="15" hidden="false" customHeight="false" outlineLevel="0" collapsed="false">
      <c r="A1167" s="33" t="s">
        <v>1370</v>
      </c>
      <c r="B1167" s="34" t="n">
        <v>45369</v>
      </c>
      <c r="C1167" s="34" t="n">
        <v>45378</v>
      </c>
      <c r="D1167" s="33" t="n">
        <v>31</v>
      </c>
      <c r="E1167" s="33" t="s">
        <v>154</v>
      </c>
      <c r="F1167" s="33" t="s">
        <v>169</v>
      </c>
      <c r="G1167" s="33" t="s">
        <v>230</v>
      </c>
      <c r="H1167" s="33" t="s">
        <v>171</v>
      </c>
      <c r="I1167" s="33" t="s">
        <v>158</v>
      </c>
      <c r="J1167" s="33" t="s">
        <v>176</v>
      </c>
      <c r="K1167" s="33" t="s">
        <v>209</v>
      </c>
      <c r="L1167" s="35" t="n">
        <v>35903</v>
      </c>
      <c r="M1167" s="33" t="n">
        <v>4</v>
      </c>
      <c r="N1167" s="33" t="s">
        <v>210</v>
      </c>
      <c r="O1167" s="33" t="s">
        <v>147</v>
      </c>
    </row>
    <row r="1168" customFormat="false" ht="15" hidden="false" customHeight="false" outlineLevel="0" collapsed="false">
      <c r="A1168" s="33" t="s">
        <v>1371</v>
      </c>
      <c r="B1168" s="34" t="n">
        <v>45432</v>
      </c>
      <c r="C1168" s="34" t="n">
        <v>45435</v>
      </c>
      <c r="D1168" s="33" t="n">
        <v>40</v>
      </c>
      <c r="E1168" s="33" t="s">
        <v>139</v>
      </c>
      <c r="F1168" s="33" t="s">
        <v>169</v>
      </c>
      <c r="G1168" s="33" t="s">
        <v>213</v>
      </c>
      <c r="H1168" s="33" t="s">
        <v>171</v>
      </c>
      <c r="I1168" s="33" t="s">
        <v>152</v>
      </c>
      <c r="J1168" s="33" t="s">
        <v>144</v>
      </c>
      <c r="K1168" s="33" t="s">
        <v>209</v>
      </c>
      <c r="L1168" s="35" t="n">
        <v>6448</v>
      </c>
      <c r="M1168" s="33" t="n">
        <v>3</v>
      </c>
      <c r="N1168" s="33" t="s">
        <v>146</v>
      </c>
      <c r="O1168" s="33" t="s">
        <v>247</v>
      </c>
    </row>
    <row r="1169" customFormat="false" ht="15" hidden="false" customHeight="false" outlineLevel="0" collapsed="false">
      <c r="A1169" s="33" t="s">
        <v>1372</v>
      </c>
      <c r="B1169" s="34" t="n">
        <v>45613</v>
      </c>
      <c r="C1169" s="34" t="n">
        <v>45614</v>
      </c>
      <c r="D1169" s="33" t="n">
        <v>26</v>
      </c>
      <c r="E1169" s="33" t="s">
        <v>154</v>
      </c>
      <c r="F1169" s="33" t="s">
        <v>203</v>
      </c>
      <c r="G1169" s="33" t="s">
        <v>241</v>
      </c>
      <c r="H1169" s="33" t="s">
        <v>193</v>
      </c>
      <c r="I1169" s="33" t="s">
        <v>143</v>
      </c>
      <c r="J1169" s="33" t="s">
        <v>159</v>
      </c>
      <c r="K1169" s="33" t="s">
        <v>145</v>
      </c>
      <c r="L1169" s="35" t="n">
        <v>743.46</v>
      </c>
      <c r="M1169" s="33" t="n">
        <v>3</v>
      </c>
      <c r="N1169" s="33" t="s">
        <v>146</v>
      </c>
      <c r="O1169" s="33" t="s">
        <v>147</v>
      </c>
    </row>
    <row r="1170" customFormat="false" ht="15" hidden="false" customHeight="false" outlineLevel="0" collapsed="false">
      <c r="A1170" s="33" t="s">
        <v>1373</v>
      </c>
      <c r="B1170" s="34" t="n">
        <v>45489</v>
      </c>
      <c r="C1170" s="34" t="n">
        <v>45491</v>
      </c>
      <c r="D1170" s="33" t="n">
        <v>56</v>
      </c>
      <c r="E1170" s="33" t="s">
        <v>139</v>
      </c>
      <c r="F1170" s="33" t="s">
        <v>140</v>
      </c>
      <c r="G1170" s="33" t="s">
        <v>141</v>
      </c>
      <c r="H1170" s="33" t="s">
        <v>142</v>
      </c>
      <c r="I1170" s="33" t="s">
        <v>143</v>
      </c>
      <c r="J1170" s="33" t="s">
        <v>159</v>
      </c>
      <c r="K1170" s="33" t="s">
        <v>209</v>
      </c>
      <c r="L1170" s="35" t="n">
        <v>5203.06</v>
      </c>
      <c r="M1170" s="33" t="n">
        <v>2</v>
      </c>
      <c r="N1170" s="33" t="s">
        <v>146</v>
      </c>
      <c r="O1170" s="33" t="s">
        <v>147</v>
      </c>
    </row>
    <row r="1171" customFormat="false" ht="15" hidden="false" customHeight="false" outlineLevel="0" collapsed="false">
      <c r="A1171" s="33" t="s">
        <v>1374</v>
      </c>
      <c r="B1171" s="34" t="n">
        <v>45492</v>
      </c>
      <c r="C1171" s="34" t="n">
        <v>45496</v>
      </c>
      <c r="D1171" s="33" t="n">
        <v>36</v>
      </c>
      <c r="E1171" s="33" t="s">
        <v>154</v>
      </c>
      <c r="F1171" s="33" t="s">
        <v>169</v>
      </c>
      <c r="G1171" s="33" t="s">
        <v>213</v>
      </c>
      <c r="H1171" s="33" t="s">
        <v>164</v>
      </c>
      <c r="I1171" s="33" t="s">
        <v>152</v>
      </c>
      <c r="J1171" s="33" t="s">
        <v>144</v>
      </c>
      <c r="K1171" s="33" t="s">
        <v>160</v>
      </c>
      <c r="L1171" s="35" t="n">
        <v>8174.73</v>
      </c>
      <c r="M1171" s="33" t="n">
        <v>4</v>
      </c>
      <c r="N1171" s="33" t="s">
        <v>146</v>
      </c>
      <c r="O1171" s="33" t="s">
        <v>147</v>
      </c>
    </row>
    <row r="1172" customFormat="false" ht="15" hidden="false" customHeight="false" outlineLevel="0" collapsed="false">
      <c r="A1172" s="33" t="s">
        <v>1375</v>
      </c>
      <c r="B1172" s="34" t="n">
        <v>45436</v>
      </c>
      <c r="C1172" s="34" t="n">
        <v>45439</v>
      </c>
      <c r="D1172" s="33" t="n">
        <v>6</v>
      </c>
      <c r="E1172" s="33" t="s">
        <v>154</v>
      </c>
      <c r="F1172" s="33" t="s">
        <v>155</v>
      </c>
      <c r="G1172" s="33" t="s">
        <v>156</v>
      </c>
      <c r="H1172" s="33" t="s">
        <v>157</v>
      </c>
      <c r="I1172" s="33" t="s">
        <v>152</v>
      </c>
      <c r="J1172" s="33" t="s">
        <v>144</v>
      </c>
      <c r="K1172" s="33" t="s">
        <v>184</v>
      </c>
      <c r="L1172" s="35" t="n">
        <v>4371.96</v>
      </c>
      <c r="M1172" s="33" t="n">
        <v>5</v>
      </c>
      <c r="N1172" s="33" t="s">
        <v>146</v>
      </c>
      <c r="O1172" s="33" t="s">
        <v>147</v>
      </c>
    </row>
    <row r="1173" customFormat="false" ht="15" hidden="false" customHeight="false" outlineLevel="0" collapsed="false">
      <c r="A1173" s="33" t="s">
        <v>1376</v>
      </c>
      <c r="B1173" s="34" t="n">
        <v>45606</v>
      </c>
      <c r="C1173" s="34" t="n">
        <v>45607</v>
      </c>
      <c r="D1173" s="33" t="n">
        <v>68</v>
      </c>
      <c r="E1173" s="33" t="s">
        <v>154</v>
      </c>
      <c r="F1173" s="33" t="s">
        <v>334</v>
      </c>
      <c r="G1173" s="33" t="s">
        <v>204</v>
      </c>
      <c r="H1173" s="33" t="s">
        <v>233</v>
      </c>
      <c r="I1173" s="33" t="s">
        <v>143</v>
      </c>
      <c r="J1173" s="33" t="s">
        <v>159</v>
      </c>
      <c r="K1173" s="33" t="s">
        <v>145</v>
      </c>
      <c r="L1173" s="35" t="n">
        <v>990.14</v>
      </c>
      <c r="M1173" s="33" t="n">
        <v>3</v>
      </c>
      <c r="N1173" s="33" t="s">
        <v>146</v>
      </c>
      <c r="O1173" s="33" t="s">
        <v>147</v>
      </c>
    </row>
    <row r="1174" customFormat="false" ht="15" hidden="false" customHeight="false" outlineLevel="0" collapsed="false">
      <c r="A1174" s="33" t="s">
        <v>1377</v>
      </c>
      <c r="B1174" s="34" t="n">
        <v>45354</v>
      </c>
      <c r="C1174" s="34" t="n">
        <v>45361</v>
      </c>
      <c r="D1174" s="33" t="n">
        <v>69</v>
      </c>
      <c r="E1174" s="33" t="s">
        <v>139</v>
      </c>
      <c r="F1174" s="33" t="s">
        <v>181</v>
      </c>
      <c r="G1174" s="33" t="s">
        <v>182</v>
      </c>
      <c r="H1174" s="33" t="s">
        <v>183</v>
      </c>
      <c r="I1174" s="33" t="s">
        <v>143</v>
      </c>
      <c r="J1174" s="33" t="s">
        <v>176</v>
      </c>
      <c r="K1174" s="33" t="s">
        <v>160</v>
      </c>
      <c r="L1174" s="35" t="n">
        <v>52451.62</v>
      </c>
      <c r="M1174" s="33" t="n">
        <v>2</v>
      </c>
      <c r="N1174" s="33" t="s">
        <v>146</v>
      </c>
      <c r="O1174" s="33" t="s">
        <v>147</v>
      </c>
    </row>
    <row r="1175" customFormat="false" ht="15" hidden="false" customHeight="false" outlineLevel="0" collapsed="false">
      <c r="A1175" s="33" t="s">
        <v>1378</v>
      </c>
      <c r="B1175" s="34" t="n">
        <v>45400</v>
      </c>
      <c r="C1175" s="34" t="n">
        <v>45401</v>
      </c>
      <c r="D1175" s="33" t="n">
        <v>23</v>
      </c>
      <c r="E1175" s="33" t="s">
        <v>139</v>
      </c>
      <c r="F1175" s="33" t="s">
        <v>149</v>
      </c>
      <c r="G1175" s="33" t="s">
        <v>224</v>
      </c>
      <c r="H1175" s="33" t="s">
        <v>151</v>
      </c>
      <c r="I1175" s="33" t="s">
        <v>158</v>
      </c>
      <c r="J1175" s="33" t="s">
        <v>159</v>
      </c>
      <c r="K1175" s="33" t="s">
        <v>145</v>
      </c>
      <c r="L1175" s="35" t="n">
        <v>1563.83</v>
      </c>
      <c r="M1175" s="33" t="n">
        <v>5</v>
      </c>
      <c r="N1175" s="33" t="s">
        <v>146</v>
      </c>
      <c r="O1175" s="33" t="s">
        <v>147</v>
      </c>
    </row>
    <row r="1176" customFormat="false" ht="15" hidden="false" customHeight="false" outlineLevel="0" collapsed="false">
      <c r="A1176" s="33" t="s">
        <v>1379</v>
      </c>
      <c r="B1176" s="34" t="n">
        <v>45540</v>
      </c>
      <c r="C1176" s="34" t="n">
        <v>45542</v>
      </c>
      <c r="D1176" s="33" t="n">
        <v>10</v>
      </c>
      <c r="E1176" s="33" t="s">
        <v>257</v>
      </c>
      <c r="F1176" s="33" t="s">
        <v>376</v>
      </c>
      <c r="G1176" s="33" t="s">
        <v>220</v>
      </c>
      <c r="H1176" s="33" t="s">
        <v>157</v>
      </c>
      <c r="I1176" s="33" t="s">
        <v>143</v>
      </c>
      <c r="J1176" s="33" t="s">
        <v>159</v>
      </c>
      <c r="K1176" s="33" t="s">
        <v>160</v>
      </c>
      <c r="L1176" s="35" t="n">
        <v>1501.1</v>
      </c>
      <c r="M1176" s="33" t="n">
        <v>3</v>
      </c>
      <c r="N1176" s="33" t="s">
        <v>146</v>
      </c>
      <c r="O1176" s="33" t="s">
        <v>147</v>
      </c>
    </row>
    <row r="1177" customFormat="false" ht="15" hidden="false" customHeight="false" outlineLevel="0" collapsed="false">
      <c r="A1177" s="33" t="s">
        <v>1380</v>
      </c>
      <c r="B1177" s="34" t="n">
        <v>45484</v>
      </c>
      <c r="C1177" s="34" t="n">
        <v>45489</v>
      </c>
      <c r="D1177" s="36"/>
      <c r="E1177" s="33" t="s">
        <v>139</v>
      </c>
      <c r="F1177" s="33" t="s">
        <v>181</v>
      </c>
      <c r="G1177" s="33" t="s">
        <v>237</v>
      </c>
      <c r="H1177" s="33" t="s">
        <v>183</v>
      </c>
      <c r="I1177" s="33" t="s">
        <v>143</v>
      </c>
      <c r="J1177" s="33" t="s">
        <v>144</v>
      </c>
      <c r="K1177" s="33" t="s">
        <v>184</v>
      </c>
      <c r="L1177" s="35" t="n">
        <v>22103.98</v>
      </c>
      <c r="M1177" s="33" t="n">
        <v>4</v>
      </c>
      <c r="N1177" s="33" t="s">
        <v>146</v>
      </c>
      <c r="O1177" s="33" t="s">
        <v>147</v>
      </c>
    </row>
    <row r="1178" customFormat="false" ht="15" hidden="false" customHeight="false" outlineLevel="0" collapsed="false">
      <c r="A1178" s="33" t="s">
        <v>1381</v>
      </c>
      <c r="B1178" s="34" t="n">
        <v>45574</v>
      </c>
      <c r="C1178" s="34" t="n">
        <v>45575</v>
      </c>
      <c r="D1178" s="33" t="n">
        <v>6</v>
      </c>
      <c r="E1178" s="33" t="s">
        <v>139</v>
      </c>
      <c r="F1178" s="33" t="s">
        <v>334</v>
      </c>
      <c r="G1178" s="33" t="s">
        <v>232</v>
      </c>
      <c r="H1178" s="33" t="s">
        <v>233</v>
      </c>
      <c r="I1178" s="33" t="s">
        <v>143</v>
      </c>
      <c r="J1178" s="33" t="s">
        <v>159</v>
      </c>
      <c r="K1178" s="33" t="s">
        <v>184</v>
      </c>
      <c r="L1178" s="35" t="n">
        <v>894.62</v>
      </c>
      <c r="M1178" s="33" t="n">
        <v>3</v>
      </c>
      <c r="N1178" s="33" t="s">
        <v>146</v>
      </c>
      <c r="O1178" s="33" t="s">
        <v>147</v>
      </c>
    </row>
    <row r="1179" customFormat="false" ht="15" hidden="false" customHeight="false" outlineLevel="0" collapsed="false">
      <c r="A1179" s="33" t="s">
        <v>1382</v>
      </c>
      <c r="B1179" s="34" t="n">
        <v>45410</v>
      </c>
      <c r="C1179" s="34" t="n">
        <v>45412</v>
      </c>
      <c r="D1179" s="33" t="n">
        <v>28</v>
      </c>
      <c r="E1179" s="33" t="s">
        <v>139</v>
      </c>
      <c r="F1179" s="33" t="s">
        <v>173</v>
      </c>
      <c r="G1179" s="33" t="s">
        <v>174</v>
      </c>
      <c r="H1179" s="33" t="s">
        <v>199</v>
      </c>
      <c r="I1179" s="33" t="s">
        <v>152</v>
      </c>
      <c r="J1179" s="33" t="s">
        <v>159</v>
      </c>
      <c r="K1179" s="33" t="s">
        <v>209</v>
      </c>
      <c r="L1179" s="35" t="n">
        <v>5042.97</v>
      </c>
      <c r="M1179" s="33" t="n">
        <v>4</v>
      </c>
      <c r="N1179" s="33" t="s">
        <v>146</v>
      </c>
      <c r="O1179" s="33" t="s">
        <v>147</v>
      </c>
    </row>
    <row r="1180" customFormat="false" ht="15" hidden="false" customHeight="false" outlineLevel="0" collapsed="false">
      <c r="A1180" s="33" t="s">
        <v>1383</v>
      </c>
      <c r="B1180" s="34" t="n">
        <v>45585</v>
      </c>
      <c r="C1180" s="34" t="n">
        <v>45586</v>
      </c>
      <c r="D1180" s="33" t="n">
        <v>73</v>
      </c>
      <c r="E1180" s="33" t="s">
        <v>139</v>
      </c>
      <c r="F1180" s="33" t="s">
        <v>203</v>
      </c>
      <c r="G1180" s="33" t="s">
        <v>204</v>
      </c>
      <c r="H1180" s="33" t="s">
        <v>193</v>
      </c>
      <c r="I1180" s="33" t="s">
        <v>143</v>
      </c>
      <c r="J1180" s="33" t="s">
        <v>144</v>
      </c>
      <c r="K1180" s="33" t="s">
        <v>160</v>
      </c>
      <c r="L1180" s="35" t="n">
        <v>1551.57</v>
      </c>
      <c r="M1180" s="36"/>
      <c r="N1180" s="33" t="s">
        <v>146</v>
      </c>
      <c r="O1180" s="33" t="s">
        <v>147</v>
      </c>
    </row>
    <row r="1181" customFormat="false" ht="15" hidden="false" customHeight="false" outlineLevel="0" collapsed="false">
      <c r="A1181" s="33" t="s">
        <v>1384</v>
      </c>
      <c r="B1181" s="34" t="n">
        <v>45299</v>
      </c>
      <c r="C1181" s="34" t="n">
        <v>45300</v>
      </c>
      <c r="D1181" s="33" t="n">
        <v>21</v>
      </c>
      <c r="E1181" s="33" t="s">
        <v>257</v>
      </c>
      <c r="F1181" s="33" t="s">
        <v>203</v>
      </c>
      <c r="G1181" s="33" t="s">
        <v>217</v>
      </c>
      <c r="H1181" s="33" t="s">
        <v>193</v>
      </c>
      <c r="I1181" s="33" t="s">
        <v>143</v>
      </c>
      <c r="J1181" s="33" t="s">
        <v>159</v>
      </c>
      <c r="K1181" s="33" t="s">
        <v>145</v>
      </c>
      <c r="L1181" s="35" t="n">
        <v>950.39</v>
      </c>
      <c r="M1181" s="33" t="n">
        <v>3</v>
      </c>
      <c r="N1181" s="33" t="s">
        <v>146</v>
      </c>
      <c r="O1181" s="33" t="s">
        <v>147</v>
      </c>
    </row>
    <row r="1182" customFormat="false" ht="15" hidden="false" customHeight="false" outlineLevel="0" collapsed="false">
      <c r="A1182" s="33" t="s">
        <v>1385</v>
      </c>
      <c r="B1182" s="34" t="n">
        <v>45551</v>
      </c>
      <c r="C1182" s="34" t="n">
        <v>45553</v>
      </c>
      <c r="D1182" s="33" t="n">
        <v>7</v>
      </c>
      <c r="E1182" s="33" t="s">
        <v>180</v>
      </c>
      <c r="F1182" s="33" t="s">
        <v>155</v>
      </c>
      <c r="G1182" s="33" t="s">
        <v>302</v>
      </c>
      <c r="H1182" s="33" t="s">
        <v>157</v>
      </c>
      <c r="I1182" s="33" t="s">
        <v>143</v>
      </c>
      <c r="J1182" s="33" t="s">
        <v>159</v>
      </c>
      <c r="K1182" s="33" t="s">
        <v>160</v>
      </c>
      <c r="L1182" s="35" t="n">
        <v>1454.51</v>
      </c>
      <c r="M1182" s="33" t="n">
        <v>5</v>
      </c>
      <c r="N1182" s="33" t="s">
        <v>146</v>
      </c>
      <c r="O1182" s="33" t="s">
        <v>147</v>
      </c>
    </row>
    <row r="1183" customFormat="false" ht="15" hidden="false" customHeight="false" outlineLevel="0" collapsed="false">
      <c r="A1183" s="33" t="s">
        <v>1386</v>
      </c>
      <c r="B1183" s="34" t="n">
        <v>45603</v>
      </c>
      <c r="C1183" s="34" t="n">
        <v>45609</v>
      </c>
      <c r="D1183" s="33" t="n">
        <v>29</v>
      </c>
      <c r="E1183" s="33" t="s">
        <v>190</v>
      </c>
      <c r="F1183" s="33" t="s">
        <v>162</v>
      </c>
      <c r="G1183" s="33" t="s">
        <v>163</v>
      </c>
      <c r="H1183" s="33" t="s">
        <v>195</v>
      </c>
      <c r="I1183" s="33" t="s">
        <v>143</v>
      </c>
      <c r="J1183" s="33" t="s">
        <v>159</v>
      </c>
      <c r="K1183" s="33" t="s">
        <v>209</v>
      </c>
      <c r="L1183" s="35" t="n">
        <v>6435.9</v>
      </c>
      <c r="M1183" s="36"/>
      <c r="N1183" s="33" t="s">
        <v>146</v>
      </c>
      <c r="O1183" s="33" t="s">
        <v>147</v>
      </c>
    </row>
    <row r="1184" customFormat="false" ht="15" hidden="false" customHeight="false" outlineLevel="0" collapsed="false">
      <c r="A1184" s="33" t="s">
        <v>1387</v>
      </c>
      <c r="B1184" s="34" t="n">
        <v>45345</v>
      </c>
      <c r="C1184" s="34" t="n">
        <v>45349</v>
      </c>
      <c r="D1184" s="33" t="n">
        <v>29</v>
      </c>
      <c r="E1184" s="33" t="s">
        <v>190</v>
      </c>
      <c r="F1184" s="33" t="s">
        <v>149</v>
      </c>
      <c r="G1184" s="33" t="s">
        <v>150</v>
      </c>
      <c r="H1184" s="33" t="s">
        <v>151</v>
      </c>
      <c r="I1184" s="33" t="s">
        <v>152</v>
      </c>
      <c r="J1184" s="33" t="s">
        <v>159</v>
      </c>
      <c r="K1184" s="33" t="s">
        <v>184</v>
      </c>
      <c r="L1184" s="35" t="n">
        <v>5367.15</v>
      </c>
      <c r="M1184" s="33" t="n">
        <v>4</v>
      </c>
      <c r="N1184" s="33" t="s">
        <v>146</v>
      </c>
      <c r="O1184" s="33" t="s">
        <v>147</v>
      </c>
    </row>
    <row r="1185" customFormat="false" ht="15" hidden="false" customHeight="false" outlineLevel="0" collapsed="false">
      <c r="A1185" s="33" t="s">
        <v>1388</v>
      </c>
      <c r="B1185" s="34" t="n">
        <v>45507</v>
      </c>
      <c r="C1185" s="34" t="n">
        <v>45509</v>
      </c>
      <c r="D1185" s="33" t="n">
        <v>37</v>
      </c>
      <c r="E1185" s="33" t="s">
        <v>139</v>
      </c>
      <c r="F1185" s="33" t="s">
        <v>149</v>
      </c>
      <c r="G1185" s="33" t="s">
        <v>224</v>
      </c>
      <c r="H1185" s="33" t="s">
        <v>186</v>
      </c>
      <c r="I1185" s="33" t="s">
        <v>152</v>
      </c>
      <c r="J1185" s="33" t="s">
        <v>144</v>
      </c>
      <c r="K1185" s="33" t="s">
        <v>145</v>
      </c>
      <c r="L1185" s="35" t="n">
        <v>4467.72</v>
      </c>
      <c r="M1185" s="33" t="n">
        <v>4</v>
      </c>
      <c r="N1185" s="33" t="s">
        <v>146</v>
      </c>
      <c r="O1185" s="33" t="s">
        <v>206</v>
      </c>
    </row>
    <row r="1186" customFormat="false" ht="15" hidden="false" customHeight="false" outlineLevel="0" collapsed="false">
      <c r="A1186" s="33" t="s">
        <v>1389</v>
      </c>
      <c r="B1186" s="34" t="n">
        <v>45612</v>
      </c>
      <c r="C1186" s="34" t="n">
        <v>45617</v>
      </c>
      <c r="D1186" s="36"/>
      <c r="E1186" s="33" t="s">
        <v>139</v>
      </c>
      <c r="F1186" s="33" t="s">
        <v>169</v>
      </c>
      <c r="G1186" s="33" t="s">
        <v>213</v>
      </c>
      <c r="H1186" s="33" t="s">
        <v>171</v>
      </c>
      <c r="I1186" s="33" t="s">
        <v>158</v>
      </c>
      <c r="J1186" s="33" t="s">
        <v>176</v>
      </c>
      <c r="K1186" s="33" t="s">
        <v>145</v>
      </c>
      <c r="L1186" s="35" t="n">
        <v>19918.36</v>
      </c>
      <c r="M1186" s="33" t="n">
        <v>4</v>
      </c>
      <c r="N1186" s="33" t="s">
        <v>146</v>
      </c>
      <c r="O1186" s="33" t="s">
        <v>147</v>
      </c>
    </row>
    <row r="1187" customFormat="false" ht="15" hidden="false" customHeight="false" outlineLevel="0" collapsed="false">
      <c r="A1187" s="33" t="s">
        <v>1390</v>
      </c>
      <c r="B1187" s="34" t="n">
        <v>45347</v>
      </c>
      <c r="C1187" s="34" t="n">
        <v>45353</v>
      </c>
      <c r="D1187" s="33" t="n">
        <v>46</v>
      </c>
      <c r="E1187" s="33" t="s">
        <v>139</v>
      </c>
      <c r="F1187" s="33" t="s">
        <v>181</v>
      </c>
      <c r="G1187" s="33" t="s">
        <v>188</v>
      </c>
      <c r="H1187" s="33" t="s">
        <v>245</v>
      </c>
      <c r="I1187" s="33" t="s">
        <v>158</v>
      </c>
      <c r="J1187" s="33" t="s">
        <v>144</v>
      </c>
      <c r="K1187" s="33" t="s">
        <v>160</v>
      </c>
      <c r="L1187" s="35" t="n">
        <v>25917.75</v>
      </c>
      <c r="M1187" s="33" t="n">
        <v>4</v>
      </c>
      <c r="N1187" s="33" t="s">
        <v>146</v>
      </c>
      <c r="O1187" s="33" t="s">
        <v>147</v>
      </c>
    </row>
    <row r="1188" customFormat="false" ht="15" hidden="false" customHeight="false" outlineLevel="0" collapsed="false">
      <c r="A1188" s="33" t="s">
        <v>473</v>
      </c>
      <c r="B1188" s="34" t="n">
        <v>45490</v>
      </c>
      <c r="C1188" s="34" t="n">
        <v>45492</v>
      </c>
      <c r="D1188" s="33" t="n">
        <v>72</v>
      </c>
      <c r="E1188" s="33" t="s">
        <v>216</v>
      </c>
      <c r="F1188" s="33" t="s">
        <v>140</v>
      </c>
      <c r="G1188" s="33" t="s">
        <v>316</v>
      </c>
      <c r="H1188" s="33" t="s">
        <v>290</v>
      </c>
      <c r="I1188" s="33" t="s">
        <v>143</v>
      </c>
      <c r="J1188" s="33" t="s">
        <v>144</v>
      </c>
      <c r="K1188" s="33" t="s">
        <v>160</v>
      </c>
      <c r="L1188" s="35" t="n">
        <v>7944.49</v>
      </c>
      <c r="M1188" s="36"/>
      <c r="N1188" s="33" t="s">
        <v>146</v>
      </c>
      <c r="O1188" s="33" t="s">
        <v>147</v>
      </c>
    </row>
    <row r="1189" customFormat="false" ht="15" hidden="false" customHeight="false" outlineLevel="0" collapsed="false">
      <c r="A1189" s="33" t="s">
        <v>1391</v>
      </c>
      <c r="B1189" s="34" t="n">
        <v>45483</v>
      </c>
      <c r="C1189" s="34" t="n">
        <v>45484</v>
      </c>
      <c r="D1189" s="33" t="n">
        <v>60</v>
      </c>
      <c r="E1189" s="33" t="s">
        <v>154</v>
      </c>
      <c r="F1189" s="33" t="s">
        <v>203</v>
      </c>
      <c r="G1189" s="33" t="s">
        <v>192</v>
      </c>
      <c r="H1189" s="33" t="s">
        <v>233</v>
      </c>
      <c r="I1189" s="33" t="s">
        <v>143</v>
      </c>
      <c r="J1189" s="33" t="s">
        <v>144</v>
      </c>
      <c r="K1189" s="33" t="s">
        <v>145</v>
      </c>
      <c r="L1189" s="35" t="n">
        <v>1678.85</v>
      </c>
      <c r="M1189" s="33" t="n">
        <v>4</v>
      </c>
      <c r="N1189" s="33" t="s">
        <v>146</v>
      </c>
      <c r="O1189" s="33" t="s">
        <v>147</v>
      </c>
    </row>
    <row r="1190" customFormat="false" ht="15" hidden="false" customHeight="false" outlineLevel="0" collapsed="false">
      <c r="A1190" s="33" t="s">
        <v>1392</v>
      </c>
      <c r="B1190" s="34" t="n">
        <v>45307</v>
      </c>
      <c r="C1190" s="34" t="n">
        <v>45308</v>
      </c>
      <c r="D1190" s="33" t="n">
        <v>24</v>
      </c>
      <c r="E1190" s="33" t="s">
        <v>139</v>
      </c>
      <c r="F1190" s="33" t="s">
        <v>149</v>
      </c>
      <c r="G1190" s="33" t="s">
        <v>150</v>
      </c>
      <c r="H1190" s="33" t="s">
        <v>151</v>
      </c>
      <c r="I1190" s="33" t="s">
        <v>143</v>
      </c>
      <c r="J1190" s="33" t="s">
        <v>144</v>
      </c>
      <c r="K1190" s="33" t="s">
        <v>184</v>
      </c>
      <c r="L1190" s="35" t="n">
        <v>2927.82</v>
      </c>
      <c r="M1190" s="33" t="n">
        <v>5</v>
      </c>
      <c r="N1190" s="33" t="s">
        <v>146</v>
      </c>
      <c r="O1190" s="33" t="s">
        <v>147</v>
      </c>
    </row>
    <row r="1191" customFormat="false" ht="15" hidden="false" customHeight="false" outlineLevel="0" collapsed="false">
      <c r="A1191" s="33" t="s">
        <v>1393</v>
      </c>
      <c r="B1191" s="34" t="n">
        <v>45587</v>
      </c>
      <c r="C1191" s="34" t="n">
        <v>45593</v>
      </c>
      <c r="D1191" s="33" t="n">
        <v>77</v>
      </c>
      <c r="E1191" s="33" t="s">
        <v>279</v>
      </c>
      <c r="F1191" s="33" t="s">
        <v>169</v>
      </c>
      <c r="G1191" s="33" t="s">
        <v>163</v>
      </c>
      <c r="H1191" s="33" t="s">
        <v>171</v>
      </c>
      <c r="I1191" s="33" t="s">
        <v>143</v>
      </c>
      <c r="J1191" s="33" t="s">
        <v>176</v>
      </c>
      <c r="K1191" s="33" t="s">
        <v>209</v>
      </c>
      <c r="L1191" s="35" t="n">
        <v>20260.13</v>
      </c>
      <c r="M1191" s="33" t="n">
        <v>5</v>
      </c>
      <c r="N1191" s="33" t="s">
        <v>146</v>
      </c>
      <c r="O1191" s="33" t="s">
        <v>147</v>
      </c>
    </row>
    <row r="1192" customFormat="false" ht="15" hidden="false" customHeight="false" outlineLevel="0" collapsed="false">
      <c r="A1192" s="33" t="s">
        <v>1394</v>
      </c>
      <c r="B1192" s="34" t="n">
        <v>45521</v>
      </c>
      <c r="C1192" s="34" t="n">
        <v>45524</v>
      </c>
      <c r="D1192" s="33" t="n">
        <v>31</v>
      </c>
      <c r="E1192" s="33" t="s">
        <v>139</v>
      </c>
      <c r="F1192" s="33" t="s">
        <v>149</v>
      </c>
      <c r="G1192" s="33" t="s">
        <v>150</v>
      </c>
      <c r="H1192" s="33" t="s">
        <v>151</v>
      </c>
      <c r="I1192" s="33" t="s">
        <v>143</v>
      </c>
      <c r="J1192" s="33" t="s">
        <v>144</v>
      </c>
      <c r="K1192" s="33" t="s">
        <v>145</v>
      </c>
      <c r="L1192" s="35" t="n">
        <v>8309.47</v>
      </c>
      <c r="M1192" s="33" t="n">
        <v>4</v>
      </c>
      <c r="N1192" s="33" t="s">
        <v>146</v>
      </c>
      <c r="O1192" s="33" t="s">
        <v>147</v>
      </c>
    </row>
    <row r="1193" customFormat="false" ht="15" hidden="false" customHeight="false" outlineLevel="0" collapsed="false">
      <c r="A1193" s="33" t="s">
        <v>1395</v>
      </c>
      <c r="B1193" s="34" t="n">
        <v>45501</v>
      </c>
      <c r="C1193" s="34" t="n">
        <v>45504</v>
      </c>
      <c r="D1193" s="33" t="n">
        <v>7</v>
      </c>
      <c r="E1193" s="33" t="s">
        <v>154</v>
      </c>
      <c r="F1193" s="33" t="s">
        <v>155</v>
      </c>
      <c r="G1193" s="33" t="s">
        <v>220</v>
      </c>
      <c r="H1193" s="33" t="s">
        <v>222</v>
      </c>
      <c r="I1193" s="33" t="s">
        <v>143</v>
      </c>
      <c r="J1193" s="33" t="s">
        <v>159</v>
      </c>
      <c r="K1193" s="33" t="s">
        <v>145</v>
      </c>
      <c r="L1193" s="35" t="n">
        <v>2246.17</v>
      </c>
      <c r="M1193" s="33" t="n">
        <v>5</v>
      </c>
      <c r="N1193" s="33" t="s">
        <v>146</v>
      </c>
      <c r="O1193" s="33" t="s">
        <v>147</v>
      </c>
    </row>
    <row r="1194" customFormat="false" ht="15" hidden="false" customHeight="false" outlineLevel="0" collapsed="false">
      <c r="A1194" s="33" t="s">
        <v>1396</v>
      </c>
      <c r="B1194" s="34" t="n">
        <v>45573</v>
      </c>
      <c r="C1194" s="34" t="n">
        <v>45575</v>
      </c>
      <c r="D1194" s="33" t="n">
        <v>2</v>
      </c>
      <c r="E1194" s="33" t="s">
        <v>154</v>
      </c>
      <c r="F1194" s="33" t="s">
        <v>155</v>
      </c>
      <c r="G1194" s="33" t="s">
        <v>156</v>
      </c>
      <c r="H1194" s="33" t="s">
        <v>157</v>
      </c>
      <c r="I1194" s="33" t="s">
        <v>143</v>
      </c>
      <c r="J1194" s="33" t="s">
        <v>159</v>
      </c>
      <c r="K1194" s="33" t="s">
        <v>209</v>
      </c>
      <c r="L1194" s="35" t="n">
        <v>1527.26</v>
      </c>
      <c r="M1194" s="33" t="n">
        <v>4</v>
      </c>
      <c r="N1194" s="33" t="s">
        <v>146</v>
      </c>
      <c r="O1194" s="33" t="s">
        <v>147</v>
      </c>
    </row>
    <row r="1195" customFormat="false" ht="15" hidden="false" customHeight="false" outlineLevel="0" collapsed="false">
      <c r="A1195" s="33" t="s">
        <v>1397</v>
      </c>
      <c r="B1195" s="34" t="n">
        <v>45547</v>
      </c>
      <c r="C1195" s="34" t="n">
        <v>45552</v>
      </c>
      <c r="D1195" s="33" t="n">
        <v>44</v>
      </c>
      <c r="E1195" s="33" t="s">
        <v>139</v>
      </c>
      <c r="F1195" s="33" t="s">
        <v>212</v>
      </c>
      <c r="G1195" s="33" t="s">
        <v>163</v>
      </c>
      <c r="H1195" s="33" t="s">
        <v>164</v>
      </c>
      <c r="I1195" s="33" t="s">
        <v>152</v>
      </c>
      <c r="J1195" s="33" t="s">
        <v>159</v>
      </c>
      <c r="K1195" s="33" t="s">
        <v>145</v>
      </c>
      <c r="L1195" s="35" t="n">
        <v>6374.03</v>
      </c>
      <c r="M1195" s="33" t="n">
        <v>3</v>
      </c>
      <c r="N1195" s="33" t="s">
        <v>146</v>
      </c>
      <c r="O1195" s="33" t="s">
        <v>147</v>
      </c>
    </row>
    <row r="1196" customFormat="false" ht="15" hidden="false" customHeight="false" outlineLevel="0" collapsed="false">
      <c r="A1196" s="33" t="s">
        <v>1398</v>
      </c>
      <c r="B1196" s="34" t="n">
        <v>45593</v>
      </c>
      <c r="C1196" s="34" t="n">
        <v>45594</v>
      </c>
      <c r="D1196" s="33" t="n">
        <v>43</v>
      </c>
      <c r="E1196" s="33" t="s">
        <v>154</v>
      </c>
      <c r="F1196" s="33" t="s">
        <v>203</v>
      </c>
      <c r="G1196" s="33" t="s">
        <v>192</v>
      </c>
      <c r="H1196" s="33" t="s">
        <v>193</v>
      </c>
      <c r="I1196" s="33" t="s">
        <v>143</v>
      </c>
      <c r="J1196" s="33" t="s">
        <v>159</v>
      </c>
      <c r="K1196" s="33" t="s">
        <v>184</v>
      </c>
      <c r="L1196" s="35" t="n">
        <v>846.63</v>
      </c>
      <c r="M1196" s="33" t="n">
        <v>2</v>
      </c>
      <c r="N1196" s="33" t="s">
        <v>146</v>
      </c>
      <c r="O1196" s="33" t="s">
        <v>147</v>
      </c>
    </row>
    <row r="1197" customFormat="false" ht="15" hidden="false" customHeight="false" outlineLevel="0" collapsed="false">
      <c r="A1197" s="33" t="s">
        <v>1399</v>
      </c>
      <c r="B1197" s="34" t="n">
        <v>45499</v>
      </c>
      <c r="C1197" s="34" t="n">
        <v>45502</v>
      </c>
      <c r="D1197" s="33" t="n">
        <v>28</v>
      </c>
      <c r="E1197" s="33" t="s">
        <v>154</v>
      </c>
      <c r="F1197" s="33" t="s">
        <v>169</v>
      </c>
      <c r="G1197" s="33" t="s">
        <v>230</v>
      </c>
      <c r="H1197" s="33" t="s">
        <v>171</v>
      </c>
      <c r="I1197" s="33" t="s">
        <v>152</v>
      </c>
      <c r="J1197" s="33" t="s">
        <v>176</v>
      </c>
      <c r="K1197" s="33" t="s">
        <v>209</v>
      </c>
      <c r="L1197" s="35" t="n">
        <v>10275.36</v>
      </c>
      <c r="M1197" s="33" t="n">
        <v>4</v>
      </c>
      <c r="N1197" s="33" t="s">
        <v>146</v>
      </c>
      <c r="O1197" s="33" t="s">
        <v>147</v>
      </c>
    </row>
    <row r="1198" customFormat="false" ht="15" hidden="false" customHeight="false" outlineLevel="0" collapsed="false">
      <c r="A1198" s="33" t="s">
        <v>1400</v>
      </c>
      <c r="B1198" s="34" t="n">
        <v>45558</v>
      </c>
      <c r="C1198" s="34" t="n">
        <v>45560</v>
      </c>
      <c r="D1198" s="33" t="n">
        <v>31</v>
      </c>
      <c r="E1198" s="33" t="s">
        <v>139</v>
      </c>
      <c r="F1198" s="33" t="s">
        <v>226</v>
      </c>
      <c r="G1198" s="33" t="s">
        <v>227</v>
      </c>
      <c r="H1198" s="33" t="s">
        <v>228</v>
      </c>
      <c r="I1198" s="33" t="s">
        <v>143</v>
      </c>
      <c r="J1198" s="33" t="s">
        <v>144</v>
      </c>
      <c r="K1198" s="36"/>
      <c r="L1198" s="35" t="n">
        <v>14705.1</v>
      </c>
      <c r="M1198" s="33" t="n">
        <v>4</v>
      </c>
      <c r="N1198" s="33" t="s">
        <v>146</v>
      </c>
      <c r="O1198" s="33" t="s">
        <v>147</v>
      </c>
    </row>
    <row r="1199" customFormat="false" ht="15" hidden="false" customHeight="false" outlineLevel="0" collapsed="false">
      <c r="A1199" s="33" t="s">
        <v>1401</v>
      </c>
      <c r="B1199" s="34" t="n">
        <v>45395</v>
      </c>
      <c r="C1199" s="34" t="n">
        <v>45396</v>
      </c>
      <c r="D1199" s="33" t="n">
        <v>0</v>
      </c>
      <c r="E1199" s="33" t="s">
        <v>139</v>
      </c>
      <c r="F1199" s="33" t="s">
        <v>155</v>
      </c>
      <c r="G1199" s="33" t="s">
        <v>156</v>
      </c>
      <c r="H1199" s="33" t="s">
        <v>157</v>
      </c>
      <c r="I1199" s="33" t="s">
        <v>143</v>
      </c>
      <c r="J1199" s="33" t="s">
        <v>159</v>
      </c>
      <c r="K1199" s="33" t="s">
        <v>160</v>
      </c>
      <c r="L1199" s="35" t="n">
        <v>760.62</v>
      </c>
      <c r="M1199" s="33" t="n">
        <v>3</v>
      </c>
      <c r="N1199" s="33" t="s">
        <v>146</v>
      </c>
      <c r="O1199" s="33" t="s">
        <v>147</v>
      </c>
    </row>
    <row r="1200" customFormat="false" ht="15" hidden="false" customHeight="false" outlineLevel="0" collapsed="false">
      <c r="A1200" s="33" t="s">
        <v>1402</v>
      </c>
      <c r="B1200" s="34" t="n">
        <v>45505</v>
      </c>
      <c r="C1200" s="34" t="n">
        <v>45506</v>
      </c>
      <c r="D1200" s="33" t="n">
        <v>50</v>
      </c>
      <c r="E1200" s="33" t="s">
        <v>139</v>
      </c>
      <c r="F1200" s="33" t="s">
        <v>203</v>
      </c>
      <c r="G1200" s="33" t="s">
        <v>217</v>
      </c>
      <c r="H1200" s="33" t="s">
        <v>205</v>
      </c>
      <c r="I1200" s="33" t="s">
        <v>143</v>
      </c>
      <c r="J1200" s="33" t="s">
        <v>144</v>
      </c>
      <c r="K1200" s="33" t="s">
        <v>184</v>
      </c>
      <c r="L1200" s="35" t="n">
        <v>1807.91</v>
      </c>
      <c r="M1200" s="33" t="n">
        <v>3</v>
      </c>
      <c r="N1200" s="33" t="s">
        <v>210</v>
      </c>
      <c r="O1200" s="33" t="s">
        <v>147</v>
      </c>
    </row>
    <row r="1201" customFormat="false" ht="15" hidden="false" customHeight="false" outlineLevel="0" collapsed="false">
      <c r="A1201" s="33" t="s">
        <v>1403</v>
      </c>
      <c r="B1201" s="34" t="n">
        <v>45456</v>
      </c>
      <c r="C1201" s="34" t="n">
        <v>45463</v>
      </c>
      <c r="D1201" s="33" t="n">
        <v>49</v>
      </c>
      <c r="E1201" s="33" t="s">
        <v>139</v>
      </c>
      <c r="F1201" s="33" t="s">
        <v>173</v>
      </c>
      <c r="G1201" s="33" t="s">
        <v>174</v>
      </c>
      <c r="H1201" s="33" t="s">
        <v>199</v>
      </c>
      <c r="I1201" s="33" t="s">
        <v>152</v>
      </c>
      <c r="J1201" s="33" t="s">
        <v>159</v>
      </c>
      <c r="K1201" s="33" t="s">
        <v>160</v>
      </c>
      <c r="L1201" s="35" t="n">
        <v>17322.04</v>
      </c>
      <c r="M1201" s="33" t="n">
        <v>5</v>
      </c>
      <c r="N1201" s="33" t="s">
        <v>146</v>
      </c>
      <c r="O1201" s="33" t="s">
        <v>147</v>
      </c>
    </row>
    <row r="1202" customFormat="false" ht="15" hidden="false" customHeight="false" outlineLevel="0" collapsed="false">
      <c r="A1202" s="33" t="s">
        <v>1404</v>
      </c>
      <c r="B1202" s="34" t="n">
        <v>45458</v>
      </c>
      <c r="C1202" s="34" t="n">
        <v>45462</v>
      </c>
      <c r="D1202" s="33" t="n">
        <v>51</v>
      </c>
      <c r="E1202" s="33" t="s">
        <v>139</v>
      </c>
      <c r="F1202" s="33" t="s">
        <v>173</v>
      </c>
      <c r="G1202" s="33" t="s">
        <v>198</v>
      </c>
      <c r="H1202" s="33" t="s">
        <v>175</v>
      </c>
      <c r="I1202" s="33" t="s">
        <v>143</v>
      </c>
      <c r="J1202" s="33" t="s">
        <v>159</v>
      </c>
      <c r="K1202" s="33" t="s">
        <v>145</v>
      </c>
      <c r="L1202" s="35" t="n">
        <v>13818.9</v>
      </c>
      <c r="M1202" s="36"/>
      <c r="N1202" s="33" t="s">
        <v>146</v>
      </c>
      <c r="O1202" s="33" t="s">
        <v>147</v>
      </c>
    </row>
    <row r="1203" customFormat="false" ht="15" hidden="false" customHeight="false" outlineLevel="0" collapsed="false">
      <c r="A1203" s="33" t="s">
        <v>1405</v>
      </c>
      <c r="B1203" s="34" t="n">
        <v>45573</v>
      </c>
      <c r="C1203" s="34" t="n">
        <v>45577</v>
      </c>
      <c r="D1203" s="33" t="n">
        <v>13</v>
      </c>
      <c r="E1203" s="33" t="s">
        <v>154</v>
      </c>
      <c r="F1203" s="33" t="s">
        <v>140</v>
      </c>
      <c r="G1203" s="33" t="s">
        <v>167</v>
      </c>
      <c r="H1203" s="33" t="s">
        <v>290</v>
      </c>
      <c r="I1203" s="33" t="s">
        <v>158</v>
      </c>
      <c r="J1203" s="33" t="s">
        <v>159</v>
      </c>
      <c r="K1203" s="33" t="s">
        <v>145</v>
      </c>
      <c r="L1203" s="35" t="n">
        <v>9337.77</v>
      </c>
      <c r="M1203" s="33" t="n">
        <v>5</v>
      </c>
      <c r="N1203" s="33" t="s">
        <v>146</v>
      </c>
      <c r="O1203" s="33" t="s">
        <v>147</v>
      </c>
    </row>
    <row r="1204" customFormat="false" ht="15" hidden="false" customHeight="false" outlineLevel="0" collapsed="false">
      <c r="A1204" s="33" t="s">
        <v>1406</v>
      </c>
      <c r="B1204" s="34" t="n">
        <v>45532</v>
      </c>
      <c r="C1204" s="34" t="n">
        <v>45533</v>
      </c>
      <c r="D1204" s="33" t="n">
        <v>49</v>
      </c>
      <c r="E1204" s="33" t="s">
        <v>154</v>
      </c>
      <c r="F1204" s="33" t="s">
        <v>203</v>
      </c>
      <c r="G1204" s="33" t="s">
        <v>232</v>
      </c>
      <c r="H1204" s="33" t="s">
        <v>193</v>
      </c>
      <c r="I1204" s="33" t="s">
        <v>143</v>
      </c>
      <c r="J1204" s="33" t="s">
        <v>159</v>
      </c>
      <c r="K1204" s="36"/>
      <c r="L1204" s="35" t="n">
        <v>1086.13</v>
      </c>
      <c r="M1204" s="33" t="n">
        <v>3</v>
      </c>
      <c r="N1204" s="33" t="s">
        <v>146</v>
      </c>
      <c r="O1204" s="33" t="s">
        <v>147</v>
      </c>
    </row>
    <row r="1205" customFormat="false" ht="15" hidden="false" customHeight="false" outlineLevel="0" collapsed="false">
      <c r="A1205" s="33" t="s">
        <v>1407</v>
      </c>
      <c r="B1205" s="34" t="n">
        <v>45492</v>
      </c>
      <c r="C1205" s="34" t="n">
        <v>45493</v>
      </c>
      <c r="D1205" s="33" t="n">
        <v>47</v>
      </c>
      <c r="E1205" s="33" t="s">
        <v>154</v>
      </c>
      <c r="F1205" s="33" t="s">
        <v>203</v>
      </c>
      <c r="G1205" s="33" t="s">
        <v>232</v>
      </c>
      <c r="H1205" s="33" t="s">
        <v>193</v>
      </c>
      <c r="I1205" s="33" t="s">
        <v>143</v>
      </c>
      <c r="J1205" s="33" t="s">
        <v>159</v>
      </c>
      <c r="K1205" s="33" t="s">
        <v>145</v>
      </c>
      <c r="L1205" s="35" t="n">
        <v>799.19</v>
      </c>
      <c r="M1205" s="33" t="n">
        <v>3</v>
      </c>
      <c r="N1205" s="33" t="s">
        <v>146</v>
      </c>
      <c r="O1205" s="33" t="s">
        <v>206</v>
      </c>
    </row>
    <row r="1206" customFormat="false" ht="15" hidden="false" customHeight="false" outlineLevel="0" collapsed="false">
      <c r="A1206" s="33" t="s">
        <v>1408</v>
      </c>
      <c r="B1206" s="34" t="n">
        <v>45633</v>
      </c>
      <c r="C1206" s="34" t="n">
        <v>45635</v>
      </c>
      <c r="D1206" s="33" t="n">
        <v>8</v>
      </c>
      <c r="E1206" s="33" t="s">
        <v>154</v>
      </c>
      <c r="F1206" s="33" t="s">
        <v>155</v>
      </c>
      <c r="G1206" s="33" t="s">
        <v>220</v>
      </c>
      <c r="H1206" s="33" t="s">
        <v>222</v>
      </c>
      <c r="I1206" s="33" t="s">
        <v>152</v>
      </c>
      <c r="J1206" s="33" t="s">
        <v>159</v>
      </c>
      <c r="K1206" s="33" t="s">
        <v>145</v>
      </c>
      <c r="L1206" s="35" t="n">
        <v>1533.84</v>
      </c>
      <c r="M1206" s="33" t="n">
        <v>5</v>
      </c>
      <c r="N1206" s="33" t="s">
        <v>146</v>
      </c>
      <c r="O1206" s="33" t="s">
        <v>147</v>
      </c>
    </row>
    <row r="1207" customFormat="false" ht="15" hidden="false" customHeight="false" outlineLevel="0" collapsed="false">
      <c r="A1207" s="33" t="s">
        <v>1409</v>
      </c>
      <c r="B1207" s="34" t="n">
        <v>45325</v>
      </c>
      <c r="C1207" s="34" t="n">
        <v>45328</v>
      </c>
      <c r="D1207" s="33" t="n">
        <v>43</v>
      </c>
      <c r="E1207" s="33" t="s">
        <v>139</v>
      </c>
      <c r="F1207" s="33" t="s">
        <v>181</v>
      </c>
      <c r="G1207" s="33" t="s">
        <v>188</v>
      </c>
      <c r="H1207" s="33" t="s">
        <v>183</v>
      </c>
      <c r="I1207" s="33" t="s">
        <v>143</v>
      </c>
      <c r="J1207" s="33" t="s">
        <v>159</v>
      </c>
      <c r="K1207" s="33" t="s">
        <v>160</v>
      </c>
      <c r="L1207" s="35" t="n">
        <v>8303.12</v>
      </c>
      <c r="M1207" s="33" t="n">
        <v>4</v>
      </c>
      <c r="N1207" s="33" t="s">
        <v>146</v>
      </c>
      <c r="O1207" s="33" t="s">
        <v>147</v>
      </c>
    </row>
    <row r="1208" customFormat="false" ht="15" hidden="false" customHeight="false" outlineLevel="0" collapsed="false">
      <c r="A1208" s="33" t="s">
        <v>1410</v>
      </c>
      <c r="B1208" s="34" t="n">
        <v>45591</v>
      </c>
      <c r="C1208" s="34" t="n">
        <v>45585</v>
      </c>
      <c r="D1208" s="33" t="n">
        <v>21</v>
      </c>
      <c r="E1208" s="33" t="s">
        <v>190</v>
      </c>
      <c r="F1208" s="33" t="s">
        <v>140</v>
      </c>
      <c r="G1208" s="33" t="s">
        <v>167</v>
      </c>
      <c r="H1208" s="33" t="s">
        <v>142</v>
      </c>
      <c r="I1208" s="33" t="s">
        <v>152</v>
      </c>
      <c r="J1208" s="33" t="s">
        <v>159</v>
      </c>
      <c r="K1208" s="33" t="s">
        <v>160</v>
      </c>
      <c r="L1208" s="35" t="n">
        <v>11534.32</v>
      </c>
      <c r="M1208" s="33" t="n">
        <v>5</v>
      </c>
      <c r="N1208" s="33" t="s">
        <v>146</v>
      </c>
      <c r="O1208" s="33" t="s">
        <v>147</v>
      </c>
    </row>
    <row r="1209" customFormat="false" ht="15" hidden="false" customHeight="false" outlineLevel="0" collapsed="false">
      <c r="A1209" s="33" t="s">
        <v>1411</v>
      </c>
      <c r="B1209" s="34" t="n">
        <v>45470</v>
      </c>
      <c r="C1209" s="34" t="n">
        <v>45474</v>
      </c>
      <c r="D1209" s="33" t="n">
        <v>73</v>
      </c>
      <c r="E1209" s="33" t="s">
        <v>154</v>
      </c>
      <c r="F1209" s="33" t="s">
        <v>181</v>
      </c>
      <c r="G1209" s="33" t="s">
        <v>182</v>
      </c>
      <c r="H1209" s="33" t="s">
        <v>183</v>
      </c>
      <c r="I1209" s="33" t="s">
        <v>152</v>
      </c>
      <c r="J1209" s="33" t="s">
        <v>159</v>
      </c>
      <c r="K1209" s="33" t="s">
        <v>145</v>
      </c>
      <c r="L1209" s="35" t="n">
        <v>9212.4</v>
      </c>
      <c r="M1209" s="33" t="n">
        <v>3</v>
      </c>
      <c r="N1209" s="33" t="s">
        <v>146</v>
      </c>
      <c r="O1209" s="33" t="s">
        <v>147</v>
      </c>
    </row>
    <row r="1210" customFormat="false" ht="15" hidden="false" customHeight="false" outlineLevel="0" collapsed="false">
      <c r="A1210" s="33" t="s">
        <v>1412</v>
      </c>
      <c r="B1210" s="34" t="n">
        <v>45388</v>
      </c>
      <c r="C1210" s="34" t="n">
        <v>45394</v>
      </c>
      <c r="D1210" s="33" t="n">
        <v>27</v>
      </c>
      <c r="E1210" s="33" t="s">
        <v>154</v>
      </c>
      <c r="F1210" s="33" t="s">
        <v>173</v>
      </c>
      <c r="G1210" s="33" t="s">
        <v>178</v>
      </c>
      <c r="H1210" s="33" t="s">
        <v>199</v>
      </c>
      <c r="I1210" s="33" t="s">
        <v>152</v>
      </c>
      <c r="J1210" s="33" t="s">
        <v>159</v>
      </c>
      <c r="K1210" s="33" t="s">
        <v>145</v>
      </c>
      <c r="L1210" s="35" t="n">
        <v>16267.96</v>
      </c>
      <c r="M1210" s="33" t="n">
        <v>3</v>
      </c>
      <c r="N1210" s="33" t="s">
        <v>146</v>
      </c>
      <c r="O1210" s="33" t="s">
        <v>147</v>
      </c>
    </row>
    <row r="1211" customFormat="false" ht="15" hidden="false" customHeight="false" outlineLevel="0" collapsed="false">
      <c r="A1211" s="33" t="s">
        <v>1413</v>
      </c>
      <c r="B1211" s="34" t="n">
        <v>45419</v>
      </c>
      <c r="C1211" s="34" t="n">
        <v>45421</v>
      </c>
      <c r="D1211" s="33" t="n">
        <v>35</v>
      </c>
      <c r="E1211" s="33" t="s">
        <v>154</v>
      </c>
      <c r="F1211" s="33" t="s">
        <v>140</v>
      </c>
      <c r="G1211" s="33" t="s">
        <v>316</v>
      </c>
      <c r="H1211" s="33" t="s">
        <v>142</v>
      </c>
      <c r="I1211" s="33" t="s">
        <v>152</v>
      </c>
      <c r="J1211" s="33" t="s">
        <v>159</v>
      </c>
      <c r="K1211" s="33" t="s">
        <v>145</v>
      </c>
      <c r="L1211" s="35" t="n">
        <v>4756.72</v>
      </c>
      <c r="M1211" s="33" t="n">
        <v>4</v>
      </c>
      <c r="N1211" s="33" t="s">
        <v>146</v>
      </c>
      <c r="O1211" s="33" t="s">
        <v>147</v>
      </c>
    </row>
    <row r="1212" customFormat="false" ht="15" hidden="false" customHeight="false" outlineLevel="0" collapsed="false">
      <c r="A1212" s="33" t="s">
        <v>1414</v>
      </c>
      <c r="B1212" s="34" t="n">
        <v>45440</v>
      </c>
      <c r="C1212" s="34" t="n">
        <v>45441</v>
      </c>
      <c r="D1212" s="33" t="n">
        <v>62</v>
      </c>
      <c r="E1212" s="33" t="s">
        <v>139</v>
      </c>
      <c r="F1212" s="33" t="s">
        <v>203</v>
      </c>
      <c r="G1212" s="33" t="s">
        <v>232</v>
      </c>
      <c r="H1212" s="33" t="s">
        <v>193</v>
      </c>
      <c r="I1212" s="33" t="s">
        <v>143</v>
      </c>
      <c r="J1212" s="33" t="s">
        <v>176</v>
      </c>
      <c r="K1212" s="33" t="s">
        <v>160</v>
      </c>
      <c r="L1212" s="35" t="n">
        <v>3108.4</v>
      </c>
      <c r="M1212" s="33" t="n">
        <v>3</v>
      </c>
      <c r="N1212" s="33" t="s">
        <v>210</v>
      </c>
      <c r="O1212" s="33" t="s">
        <v>147</v>
      </c>
    </row>
    <row r="1213" customFormat="false" ht="15" hidden="false" customHeight="false" outlineLevel="0" collapsed="false">
      <c r="A1213" s="33" t="s">
        <v>1415</v>
      </c>
      <c r="B1213" s="34" t="n">
        <v>45653</v>
      </c>
      <c r="C1213" s="34" t="n">
        <v>45658</v>
      </c>
      <c r="D1213" s="33" t="n">
        <v>51</v>
      </c>
      <c r="E1213" s="33" t="s">
        <v>139</v>
      </c>
      <c r="F1213" s="33" t="s">
        <v>226</v>
      </c>
      <c r="G1213" s="33" t="s">
        <v>386</v>
      </c>
      <c r="H1213" s="33" t="s">
        <v>263</v>
      </c>
      <c r="I1213" s="33" t="s">
        <v>143</v>
      </c>
      <c r="J1213" s="33" t="s">
        <v>144</v>
      </c>
      <c r="K1213" s="33" t="s">
        <v>160</v>
      </c>
      <c r="L1213" s="35" t="n">
        <v>31380.8</v>
      </c>
      <c r="M1213" s="33" t="n">
        <v>3</v>
      </c>
      <c r="N1213" s="33" t="s">
        <v>146</v>
      </c>
      <c r="O1213" s="33" t="s">
        <v>147</v>
      </c>
    </row>
    <row r="1214" customFormat="false" ht="15" hidden="false" customHeight="false" outlineLevel="0" collapsed="false">
      <c r="A1214" s="33" t="s">
        <v>1416</v>
      </c>
      <c r="B1214" s="34" t="n">
        <v>45561</v>
      </c>
      <c r="C1214" s="34" t="n">
        <v>45562</v>
      </c>
      <c r="D1214" s="33" t="n">
        <v>33</v>
      </c>
      <c r="E1214" s="33" t="s">
        <v>139</v>
      </c>
      <c r="F1214" s="33" t="s">
        <v>203</v>
      </c>
      <c r="G1214" s="33" t="s">
        <v>232</v>
      </c>
      <c r="H1214" s="33" t="s">
        <v>233</v>
      </c>
      <c r="I1214" s="33" t="s">
        <v>158</v>
      </c>
      <c r="J1214" s="33" t="s">
        <v>159</v>
      </c>
      <c r="K1214" s="33" t="s">
        <v>145</v>
      </c>
      <c r="L1214" s="35" t="n">
        <v>863.73</v>
      </c>
      <c r="M1214" s="33" t="n">
        <v>4</v>
      </c>
      <c r="N1214" s="33" t="s">
        <v>210</v>
      </c>
      <c r="O1214" s="33" t="s">
        <v>147</v>
      </c>
    </row>
    <row r="1215" customFormat="false" ht="15" hidden="false" customHeight="false" outlineLevel="0" collapsed="false">
      <c r="A1215" s="33" t="s">
        <v>1417</v>
      </c>
      <c r="B1215" s="34" t="n">
        <v>45348</v>
      </c>
      <c r="C1215" s="34" t="n">
        <v>45349</v>
      </c>
      <c r="D1215" s="33" t="n">
        <v>22</v>
      </c>
      <c r="E1215" s="33" t="s">
        <v>139</v>
      </c>
      <c r="F1215" s="33" t="s">
        <v>149</v>
      </c>
      <c r="G1215" s="33" t="s">
        <v>224</v>
      </c>
      <c r="H1215" s="33" t="s">
        <v>151</v>
      </c>
      <c r="I1215" s="33" t="s">
        <v>143</v>
      </c>
      <c r="J1215" s="33" t="s">
        <v>159</v>
      </c>
      <c r="K1215" s="33" t="s">
        <v>160</v>
      </c>
      <c r="L1215" s="35" t="n">
        <v>1293.81</v>
      </c>
      <c r="M1215" s="33" t="n">
        <v>5</v>
      </c>
      <c r="N1215" s="33" t="s">
        <v>146</v>
      </c>
      <c r="O1215" s="33" t="s">
        <v>147</v>
      </c>
    </row>
    <row r="1216" customFormat="false" ht="15" hidden="false" customHeight="false" outlineLevel="0" collapsed="false">
      <c r="A1216" s="33" t="s">
        <v>1418</v>
      </c>
      <c r="B1216" s="34" t="n">
        <v>45400</v>
      </c>
      <c r="C1216" s="34" t="n">
        <v>45401</v>
      </c>
      <c r="D1216" s="33" t="n">
        <v>9</v>
      </c>
      <c r="E1216" s="33" t="s">
        <v>154</v>
      </c>
      <c r="F1216" s="33" t="s">
        <v>155</v>
      </c>
      <c r="G1216" s="33" t="s">
        <v>302</v>
      </c>
      <c r="H1216" s="33" t="s">
        <v>222</v>
      </c>
      <c r="I1216" s="33" t="s">
        <v>143</v>
      </c>
      <c r="J1216" s="33" t="s">
        <v>144</v>
      </c>
      <c r="K1216" s="33" t="s">
        <v>184</v>
      </c>
      <c r="L1216" s="35" t="n">
        <v>1196.76</v>
      </c>
      <c r="M1216" s="33" t="n">
        <v>2</v>
      </c>
      <c r="N1216" s="33" t="s">
        <v>146</v>
      </c>
      <c r="O1216" s="33" t="s">
        <v>147</v>
      </c>
    </row>
    <row r="1217" customFormat="false" ht="15" hidden="false" customHeight="false" outlineLevel="0" collapsed="false">
      <c r="A1217" s="33" t="s">
        <v>1419</v>
      </c>
      <c r="B1217" s="34" t="n">
        <v>45322</v>
      </c>
      <c r="C1217" s="34" t="n">
        <v>45327</v>
      </c>
      <c r="D1217" s="33" t="n">
        <v>43</v>
      </c>
      <c r="E1217" s="33" t="s">
        <v>139</v>
      </c>
      <c r="F1217" s="33" t="s">
        <v>181</v>
      </c>
      <c r="G1217" s="33" t="s">
        <v>188</v>
      </c>
      <c r="H1217" s="36"/>
      <c r="I1217" s="33" t="s">
        <v>143</v>
      </c>
      <c r="J1217" s="33" t="s">
        <v>159</v>
      </c>
      <c r="K1217" s="33" t="s">
        <v>160</v>
      </c>
      <c r="L1217" s="35" t="n">
        <v>14749.2</v>
      </c>
      <c r="M1217" s="33" t="n">
        <v>5</v>
      </c>
      <c r="N1217" s="33" t="s">
        <v>146</v>
      </c>
      <c r="O1217" s="33" t="s">
        <v>147</v>
      </c>
    </row>
    <row r="1218" customFormat="false" ht="15" hidden="false" customHeight="false" outlineLevel="0" collapsed="false">
      <c r="A1218" s="33" t="s">
        <v>1420</v>
      </c>
      <c r="B1218" s="34" t="n">
        <v>45635</v>
      </c>
      <c r="C1218" s="34" t="n">
        <v>45636</v>
      </c>
      <c r="D1218" s="33" t="n">
        <v>28</v>
      </c>
      <c r="E1218" s="33" t="s">
        <v>139</v>
      </c>
      <c r="F1218" s="33" t="s">
        <v>149</v>
      </c>
      <c r="G1218" s="33" t="s">
        <v>224</v>
      </c>
      <c r="H1218" s="33" t="s">
        <v>186</v>
      </c>
      <c r="I1218" s="33" t="s">
        <v>143</v>
      </c>
      <c r="J1218" s="33" t="s">
        <v>159</v>
      </c>
      <c r="K1218" s="33" t="s">
        <v>145</v>
      </c>
      <c r="L1218" s="35" t="n">
        <v>1415.02</v>
      </c>
      <c r="M1218" s="33" t="n">
        <v>4</v>
      </c>
      <c r="N1218" s="33" t="s">
        <v>146</v>
      </c>
      <c r="O1218" s="33" t="s">
        <v>147</v>
      </c>
    </row>
    <row r="1219" customFormat="false" ht="15" hidden="false" customHeight="false" outlineLevel="0" collapsed="false">
      <c r="A1219" s="33" t="s">
        <v>1421</v>
      </c>
      <c r="B1219" s="34" t="n">
        <v>45635</v>
      </c>
      <c r="C1219" s="34" t="n">
        <v>45638</v>
      </c>
      <c r="D1219" s="33" t="n">
        <v>2</v>
      </c>
      <c r="E1219" s="33" t="s">
        <v>154</v>
      </c>
      <c r="F1219" s="33" t="s">
        <v>155</v>
      </c>
      <c r="G1219" s="33" t="s">
        <v>220</v>
      </c>
      <c r="H1219" s="33" t="s">
        <v>157</v>
      </c>
      <c r="I1219" s="33" t="s">
        <v>143</v>
      </c>
      <c r="J1219" s="33" t="s">
        <v>144</v>
      </c>
      <c r="K1219" s="33" t="s">
        <v>184</v>
      </c>
      <c r="L1219" s="35" t="n">
        <v>4421.07</v>
      </c>
      <c r="M1219" s="33" t="n">
        <v>4</v>
      </c>
      <c r="N1219" s="33" t="s">
        <v>146</v>
      </c>
      <c r="O1219" s="33" t="s">
        <v>147</v>
      </c>
    </row>
    <row r="1220" customFormat="false" ht="15" hidden="false" customHeight="false" outlineLevel="0" collapsed="false">
      <c r="A1220" s="33" t="s">
        <v>1422</v>
      </c>
      <c r="B1220" s="34" t="n">
        <v>45538</v>
      </c>
      <c r="C1220" s="34" t="n">
        <v>45539</v>
      </c>
      <c r="D1220" s="33" t="n">
        <v>14</v>
      </c>
      <c r="E1220" s="33" t="s">
        <v>154</v>
      </c>
      <c r="F1220" s="33" t="s">
        <v>155</v>
      </c>
      <c r="G1220" s="33" t="s">
        <v>220</v>
      </c>
      <c r="H1220" s="33" t="s">
        <v>222</v>
      </c>
      <c r="I1220" s="33" t="s">
        <v>143</v>
      </c>
      <c r="J1220" s="33" t="s">
        <v>144</v>
      </c>
      <c r="K1220" s="33" t="s">
        <v>184</v>
      </c>
      <c r="L1220" s="35" t="n">
        <v>1793.25</v>
      </c>
      <c r="M1220" s="33" t="n">
        <v>2</v>
      </c>
      <c r="N1220" s="33" t="s">
        <v>146</v>
      </c>
      <c r="O1220" s="33" t="s">
        <v>147</v>
      </c>
    </row>
    <row r="1221" customFormat="false" ht="15" hidden="false" customHeight="false" outlineLevel="0" collapsed="false">
      <c r="A1221" s="33" t="s">
        <v>1423</v>
      </c>
      <c r="B1221" s="34" t="n">
        <v>45582</v>
      </c>
      <c r="C1221" s="34" t="n">
        <v>45588</v>
      </c>
      <c r="D1221" s="33" t="n">
        <v>30</v>
      </c>
      <c r="E1221" s="33" t="s">
        <v>139</v>
      </c>
      <c r="F1221" s="33" t="s">
        <v>140</v>
      </c>
      <c r="G1221" s="33" t="s">
        <v>141</v>
      </c>
      <c r="H1221" s="33" t="s">
        <v>142</v>
      </c>
      <c r="I1221" s="33" t="s">
        <v>143</v>
      </c>
      <c r="J1221" s="33" t="s">
        <v>159</v>
      </c>
      <c r="K1221" s="33" t="s">
        <v>184</v>
      </c>
      <c r="L1221" s="35" t="n">
        <v>13393</v>
      </c>
      <c r="M1221" s="33" t="n">
        <v>4</v>
      </c>
      <c r="N1221" s="33" t="s">
        <v>146</v>
      </c>
      <c r="O1221" s="33" t="s">
        <v>147</v>
      </c>
    </row>
    <row r="1222" customFormat="false" ht="15" hidden="false" customHeight="false" outlineLevel="0" collapsed="false">
      <c r="A1222" s="33" t="s">
        <v>1424</v>
      </c>
      <c r="B1222" s="34" t="n">
        <v>45430</v>
      </c>
      <c r="C1222" s="34" t="n">
        <v>45434</v>
      </c>
      <c r="D1222" s="33" t="n">
        <v>20</v>
      </c>
      <c r="E1222" s="33" t="s">
        <v>216</v>
      </c>
      <c r="F1222" s="33" t="s">
        <v>149</v>
      </c>
      <c r="G1222" s="33" t="s">
        <v>150</v>
      </c>
      <c r="H1222" s="33" t="s">
        <v>151</v>
      </c>
      <c r="I1222" s="33" t="s">
        <v>152</v>
      </c>
      <c r="J1222" s="33" t="s">
        <v>159</v>
      </c>
      <c r="K1222" s="33" t="s">
        <v>145</v>
      </c>
      <c r="L1222" s="35" t="n">
        <v>7047.76</v>
      </c>
      <c r="M1222" s="33" t="n">
        <v>3</v>
      </c>
      <c r="N1222" s="33" t="s">
        <v>146</v>
      </c>
      <c r="O1222" s="33" t="s">
        <v>147</v>
      </c>
    </row>
    <row r="1223" customFormat="false" ht="15" hidden="false" customHeight="false" outlineLevel="0" collapsed="false">
      <c r="A1223" s="33" t="s">
        <v>1425</v>
      </c>
      <c r="B1223" s="34" t="n">
        <v>45438</v>
      </c>
      <c r="C1223" s="34" t="n">
        <v>45440</v>
      </c>
      <c r="D1223" s="33" t="n">
        <v>5</v>
      </c>
      <c r="E1223" s="33" t="s">
        <v>139</v>
      </c>
      <c r="F1223" s="33" t="s">
        <v>203</v>
      </c>
      <c r="G1223" s="33" t="s">
        <v>232</v>
      </c>
      <c r="H1223" s="33" t="s">
        <v>233</v>
      </c>
      <c r="I1223" s="33" t="s">
        <v>143</v>
      </c>
      <c r="J1223" s="33" t="s">
        <v>144</v>
      </c>
      <c r="K1223" s="33" t="s">
        <v>184</v>
      </c>
      <c r="L1223" s="35" t="n">
        <v>3616.33</v>
      </c>
      <c r="M1223" s="33" t="n">
        <v>3</v>
      </c>
      <c r="N1223" s="33" t="s">
        <v>146</v>
      </c>
      <c r="O1223" s="33" t="s">
        <v>147</v>
      </c>
    </row>
    <row r="1224" customFormat="false" ht="15" hidden="false" customHeight="false" outlineLevel="0" collapsed="false">
      <c r="A1224" s="33" t="s">
        <v>1426</v>
      </c>
      <c r="B1224" s="34" t="n">
        <v>45486</v>
      </c>
      <c r="C1224" s="34" t="n">
        <v>45491</v>
      </c>
      <c r="D1224" s="36"/>
      <c r="E1224" s="33" t="s">
        <v>139</v>
      </c>
      <c r="F1224" s="33" t="s">
        <v>140</v>
      </c>
      <c r="G1224" s="33" t="s">
        <v>316</v>
      </c>
      <c r="H1224" s="33" t="s">
        <v>142</v>
      </c>
      <c r="I1224" s="33" t="s">
        <v>143</v>
      </c>
      <c r="J1224" s="33" t="s">
        <v>159</v>
      </c>
      <c r="K1224" s="33" t="s">
        <v>160</v>
      </c>
      <c r="L1224" s="35" t="n">
        <v>12184.56</v>
      </c>
      <c r="M1224" s="33" t="n">
        <v>4</v>
      </c>
      <c r="N1224" s="33" t="s">
        <v>146</v>
      </c>
      <c r="O1224" s="33" t="s">
        <v>247</v>
      </c>
    </row>
    <row r="1225" customFormat="false" ht="15" hidden="false" customHeight="false" outlineLevel="0" collapsed="false">
      <c r="A1225" s="33" t="s">
        <v>1427</v>
      </c>
      <c r="B1225" s="34" t="n">
        <v>45479</v>
      </c>
      <c r="C1225" s="34" t="n">
        <v>45482</v>
      </c>
      <c r="D1225" s="33" t="n">
        <v>36</v>
      </c>
      <c r="E1225" s="33" t="s">
        <v>139</v>
      </c>
      <c r="F1225" s="33" t="s">
        <v>149</v>
      </c>
      <c r="G1225" s="33" t="s">
        <v>150</v>
      </c>
      <c r="H1225" s="33" t="s">
        <v>186</v>
      </c>
      <c r="I1225" s="33" t="s">
        <v>143</v>
      </c>
      <c r="J1225" s="33" t="s">
        <v>159</v>
      </c>
      <c r="K1225" s="33" t="s">
        <v>209</v>
      </c>
      <c r="L1225" s="35" t="n">
        <v>4893.51</v>
      </c>
      <c r="M1225" s="33" t="n">
        <v>4</v>
      </c>
      <c r="N1225" s="33" t="s">
        <v>146</v>
      </c>
      <c r="O1225" s="33" t="s">
        <v>147</v>
      </c>
    </row>
    <row r="1226" customFormat="false" ht="15" hidden="false" customHeight="false" outlineLevel="0" collapsed="false">
      <c r="A1226" s="33" t="s">
        <v>1428</v>
      </c>
      <c r="B1226" s="34" t="n">
        <v>45640</v>
      </c>
      <c r="C1226" s="34" t="n">
        <v>45641</v>
      </c>
      <c r="D1226" s="33" t="n">
        <v>35</v>
      </c>
      <c r="E1226" s="33" t="s">
        <v>139</v>
      </c>
      <c r="F1226" s="33" t="s">
        <v>191</v>
      </c>
      <c r="G1226" s="33" t="s">
        <v>192</v>
      </c>
      <c r="H1226" s="33" t="s">
        <v>205</v>
      </c>
      <c r="I1226" s="33" t="s">
        <v>143</v>
      </c>
      <c r="J1226" s="33" t="s">
        <v>144</v>
      </c>
      <c r="K1226" s="33" t="s">
        <v>209</v>
      </c>
      <c r="L1226" s="35" t="n">
        <v>1732.76</v>
      </c>
      <c r="M1226" s="33" t="n">
        <v>2</v>
      </c>
      <c r="N1226" s="33" t="s">
        <v>210</v>
      </c>
      <c r="O1226" s="33" t="s">
        <v>147</v>
      </c>
    </row>
    <row r="1227" customFormat="false" ht="15" hidden="false" customHeight="false" outlineLevel="0" collapsed="false">
      <c r="A1227" s="33" t="s">
        <v>1429</v>
      </c>
      <c r="B1227" s="34" t="n">
        <v>45575</v>
      </c>
      <c r="C1227" s="34" t="n">
        <v>45577</v>
      </c>
      <c r="D1227" s="33" t="n">
        <v>6</v>
      </c>
      <c r="E1227" s="33" t="s">
        <v>154</v>
      </c>
      <c r="F1227" s="33" t="s">
        <v>155</v>
      </c>
      <c r="G1227" s="33" t="s">
        <v>156</v>
      </c>
      <c r="H1227" s="33" t="s">
        <v>222</v>
      </c>
      <c r="I1227" s="33" t="s">
        <v>143</v>
      </c>
      <c r="J1227" s="33" t="s">
        <v>144</v>
      </c>
      <c r="K1227" s="33" t="s">
        <v>145</v>
      </c>
      <c r="L1227" s="35" t="n">
        <v>3186.07</v>
      </c>
      <c r="M1227" s="33" t="n">
        <v>5</v>
      </c>
      <c r="N1227" s="33" t="s">
        <v>146</v>
      </c>
      <c r="O1227" s="33" t="s">
        <v>247</v>
      </c>
    </row>
    <row r="1228" customFormat="false" ht="15" hidden="false" customHeight="false" outlineLevel="0" collapsed="false">
      <c r="A1228" s="33" t="s">
        <v>1430</v>
      </c>
      <c r="B1228" s="34" t="n">
        <v>45303</v>
      </c>
      <c r="C1228" s="34" t="n">
        <v>45304</v>
      </c>
      <c r="D1228" s="33" t="n">
        <v>34</v>
      </c>
      <c r="E1228" s="33" t="s">
        <v>154</v>
      </c>
      <c r="F1228" s="33" t="s">
        <v>240</v>
      </c>
      <c r="G1228" s="33" t="s">
        <v>192</v>
      </c>
      <c r="H1228" s="33" t="s">
        <v>205</v>
      </c>
      <c r="I1228" s="33" t="s">
        <v>143</v>
      </c>
      <c r="J1228" s="33" t="s">
        <v>159</v>
      </c>
      <c r="K1228" s="33" t="s">
        <v>145</v>
      </c>
      <c r="L1228" s="35" t="n">
        <v>954.12</v>
      </c>
      <c r="M1228" s="33" t="n">
        <v>4</v>
      </c>
      <c r="N1228" s="33" t="s">
        <v>146</v>
      </c>
      <c r="O1228" s="33" t="s">
        <v>147</v>
      </c>
    </row>
    <row r="1229" customFormat="false" ht="15" hidden="false" customHeight="false" outlineLevel="0" collapsed="false">
      <c r="A1229" s="33" t="s">
        <v>1431</v>
      </c>
      <c r="B1229" s="34" t="n">
        <v>45335</v>
      </c>
      <c r="C1229" s="34" t="n">
        <v>45336</v>
      </c>
      <c r="D1229" s="33" t="n">
        <v>20</v>
      </c>
      <c r="E1229" s="33" t="s">
        <v>154</v>
      </c>
      <c r="F1229" s="33" t="s">
        <v>203</v>
      </c>
      <c r="G1229" s="33" t="s">
        <v>204</v>
      </c>
      <c r="H1229" s="33" t="s">
        <v>193</v>
      </c>
      <c r="I1229" s="33" t="s">
        <v>143</v>
      </c>
      <c r="J1229" s="33" t="s">
        <v>159</v>
      </c>
      <c r="K1229" s="33" t="s">
        <v>145</v>
      </c>
      <c r="L1229" s="35" t="n">
        <v>652.31</v>
      </c>
      <c r="M1229" s="33" t="n">
        <v>4</v>
      </c>
      <c r="N1229" s="33" t="s">
        <v>146</v>
      </c>
      <c r="O1229" s="33" t="s">
        <v>147</v>
      </c>
    </row>
    <row r="1230" customFormat="false" ht="15" hidden="false" customHeight="false" outlineLevel="0" collapsed="false">
      <c r="A1230" s="33" t="s">
        <v>1432</v>
      </c>
      <c r="B1230" s="34" t="n">
        <v>45507</v>
      </c>
      <c r="C1230" s="34" t="n">
        <v>45508</v>
      </c>
      <c r="D1230" s="33" t="n">
        <v>54</v>
      </c>
      <c r="E1230" s="33" t="s">
        <v>139</v>
      </c>
      <c r="F1230" s="33" t="s">
        <v>191</v>
      </c>
      <c r="G1230" s="33" t="s">
        <v>217</v>
      </c>
      <c r="H1230" s="33" t="s">
        <v>193</v>
      </c>
      <c r="I1230" s="33" t="s">
        <v>143</v>
      </c>
      <c r="J1230" s="33" t="s">
        <v>159</v>
      </c>
      <c r="K1230" s="33" t="s">
        <v>145</v>
      </c>
      <c r="L1230" s="35" t="n">
        <v>1103.53</v>
      </c>
      <c r="M1230" s="33" t="n">
        <v>3</v>
      </c>
      <c r="N1230" s="33" t="s">
        <v>146</v>
      </c>
      <c r="O1230" s="33" t="s">
        <v>147</v>
      </c>
    </row>
    <row r="1231" customFormat="false" ht="15" hidden="false" customHeight="false" outlineLevel="0" collapsed="false">
      <c r="A1231" s="33" t="s">
        <v>1433</v>
      </c>
      <c r="B1231" s="34" t="n">
        <v>45568</v>
      </c>
      <c r="C1231" s="34" t="n">
        <v>45569</v>
      </c>
      <c r="D1231" s="33" t="n">
        <v>37</v>
      </c>
      <c r="E1231" s="33" t="s">
        <v>139</v>
      </c>
      <c r="F1231" s="33" t="s">
        <v>149</v>
      </c>
      <c r="G1231" s="33" t="s">
        <v>243</v>
      </c>
      <c r="H1231" s="33" t="s">
        <v>186</v>
      </c>
      <c r="I1231" s="33" t="s">
        <v>158</v>
      </c>
      <c r="J1231" s="33" t="s">
        <v>176</v>
      </c>
      <c r="K1231" s="33" t="s">
        <v>145</v>
      </c>
      <c r="L1231" s="35" t="n">
        <v>4967.83</v>
      </c>
      <c r="M1231" s="33" t="n">
        <v>4</v>
      </c>
      <c r="N1231" s="33" t="s">
        <v>146</v>
      </c>
      <c r="O1231" s="33" t="s">
        <v>147</v>
      </c>
    </row>
    <row r="1232" customFormat="false" ht="15" hidden="false" customHeight="false" outlineLevel="0" collapsed="false">
      <c r="A1232" s="33" t="s">
        <v>1434</v>
      </c>
      <c r="B1232" s="34" t="n">
        <v>45656</v>
      </c>
      <c r="C1232" s="34" t="n">
        <v>45661</v>
      </c>
      <c r="D1232" s="33" t="n">
        <v>63</v>
      </c>
      <c r="E1232" s="33" t="s">
        <v>139</v>
      </c>
      <c r="F1232" s="33" t="s">
        <v>226</v>
      </c>
      <c r="G1232" s="33" t="s">
        <v>258</v>
      </c>
      <c r="H1232" s="33" t="s">
        <v>228</v>
      </c>
      <c r="I1232" s="33" t="s">
        <v>158</v>
      </c>
      <c r="J1232" s="33" t="s">
        <v>159</v>
      </c>
      <c r="K1232" s="33" t="s">
        <v>184</v>
      </c>
      <c r="L1232" s="35" t="n">
        <v>16973.07</v>
      </c>
      <c r="M1232" s="33" t="n">
        <v>5</v>
      </c>
      <c r="N1232" s="33" t="s">
        <v>146</v>
      </c>
      <c r="O1232" s="33" t="s">
        <v>147</v>
      </c>
    </row>
    <row r="1233" customFormat="false" ht="15" hidden="false" customHeight="false" outlineLevel="0" collapsed="false">
      <c r="A1233" s="33" t="s">
        <v>1435</v>
      </c>
      <c r="B1233" s="34" t="n">
        <v>45424</v>
      </c>
      <c r="C1233" s="34" t="n">
        <v>45430</v>
      </c>
      <c r="D1233" s="33" t="n">
        <v>70</v>
      </c>
      <c r="E1233" s="33" t="s">
        <v>139</v>
      </c>
      <c r="F1233" s="33" t="s">
        <v>226</v>
      </c>
      <c r="G1233" s="33" t="s">
        <v>227</v>
      </c>
      <c r="H1233" s="33" t="s">
        <v>263</v>
      </c>
      <c r="I1233" s="33" t="s">
        <v>152</v>
      </c>
      <c r="J1233" s="33" t="s">
        <v>159</v>
      </c>
      <c r="K1233" s="33" t="s">
        <v>209</v>
      </c>
      <c r="L1233" s="35" t="n">
        <v>14040.82</v>
      </c>
      <c r="M1233" s="33" t="n">
        <v>3</v>
      </c>
      <c r="N1233" s="33" t="s">
        <v>146</v>
      </c>
      <c r="O1233" s="33" t="s">
        <v>147</v>
      </c>
    </row>
    <row r="1234" customFormat="false" ht="15" hidden="false" customHeight="false" outlineLevel="0" collapsed="false">
      <c r="A1234" s="33" t="s">
        <v>1436</v>
      </c>
      <c r="B1234" s="34" t="n">
        <v>45482</v>
      </c>
      <c r="C1234" s="34" t="n">
        <v>45485</v>
      </c>
      <c r="D1234" s="33" t="n">
        <v>7</v>
      </c>
      <c r="E1234" s="33" t="s">
        <v>154</v>
      </c>
      <c r="F1234" s="33" t="s">
        <v>173</v>
      </c>
      <c r="G1234" s="33" t="s">
        <v>198</v>
      </c>
      <c r="H1234" s="33" t="s">
        <v>199</v>
      </c>
      <c r="I1234" s="33" t="s">
        <v>143</v>
      </c>
      <c r="J1234" s="33" t="s">
        <v>159</v>
      </c>
      <c r="K1234" s="33" t="s">
        <v>184</v>
      </c>
      <c r="L1234" s="35" t="n">
        <v>8357.62</v>
      </c>
      <c r="M1234" s="33" t="n">
        <v>5</v>
      </c>
      <c r="N1234" s="33" t="s">
        <v>146</v>
      </c>
      <c r="O1234" s="33" t="s">
        <v>247</v>
      </c>
    </row>
    <row r="1235" customFormat="false" ht="15" hidden="false" customHeight="false" outlineLevel="0" collapsed="false">
      <c r="A1235" s="33" t="s">
        <v>979</v>
      </c>
      <c r="B1235" s="34" t="n">
        <v>45315</v>
      </c>
      <c r="C1235" s="34" t="n">
        <v>45316</v>
      </c>
      <c r="D1235" s="33" t="n">
        <v>66</v>
      </c>
      <c r="E1235" s="33" t="s">
        <v>154</v>
      </c>
      <c r="F1235" s="33" t="s">
        <v>140</v>
      </c>
      <c r="G1235" s="33" t="s">
        <v>167</v>
      </c>
      <c r="H1235" s="33" t="s">
        <v>142</v>
      </c>
      <c r="I1235" s="33" t="s">
        <v>143</v>
      </c>
      <c r="J1235" s="33" t="s">
        <v>159</v>
      </c>
      <c r="K1235" s="33" t="s">
        <v>145</v>
      </c>
      <c r="L1235" s="35" t="n">
        <v>1733.35</v>
      </c>
      <c r="M1235" s="33" t="n">
        <v>5</v>
      </c>
      <c r="N1235" s="33" t="s">
        <v>146</v>
      </c>
      <c r="O1235" s="33" t="s">
        <v>147</v>
      </c>
    </row>
    <row r="1236" customFormat="false" ht="15" hidden="false" customHeight="false" outlineLevel="0" collapsed="false">
      <c r="A1236" s="33" t="s">
        <v>1437</v>
      </c>
      <c r="B1236" s="34" t="n">
        <v>45305</v>
      </c>
      <c r="C1236" s="34" t="n">
        <v>45307</v>
      </c>
      <c r="D1236" s="33" t="n">
        <v>52</v>
      </c>
      <c r="E1236" s="33" t="s">
        <v>154</v>
      </c>
      <c r="F1236" s="33" t="s">
        <v>203</v>
      </c>
      <c r="G1236" s="33" t="s">
        <v>232</v>
      </c>
      <c r="H1236" s="33" t="s">
        <v>205</v>
      </c>
      <c r="I1236" s="33" t="s">
        <v>143</v>
      </c>
      <c r="J1236" s="33" t="s">
        <v>144</v>
      </c>
      <c r="K1236" s="33" t="s">
        <v>145</v>
      </c>
      <c r="L1236" s="35" t="n">
        <v>3006.72</v>
      </c>
      <c r="M1236" s="33" t="n">
        <v>4</v>
      </c>
      <c r="N1236" s="33" t="s">
        <v>146</v>
      </c>
      <c r="O1236" s="33" t="s">
        <v>147</v>
      </c>
    </row>
    <row r="1237" customFormat="false" ht="15" hidden="false" customHeight="false" outlineLevel="0" collapsed="false">
      <c r="A1237" s="33" t="s">
        <v>1438</v>
      </c>
      <c r="B1237" s="34" t="n">
        <v>45558</v>
      </c>
      <c r="C1237" s="34" t="n">
        <v>45559</v>
      </c>
      <c r="D1237" s="33" t="n">
        <v>23</v>
      </c>
      <c r="E1237" s="33" t="s">
        <v>154</v>
      </c>
      <c r="F1237" s="33" t="s">
        <v>334</v>
      </c>
      <c r="G1237" s="33" t="s">
        <v>232</v>
      </c>
      <c r="H1237" s="33" t="s">
        <v>233</v>
      </c>
      <c r="I1237" s="33" t="s">
        <v>143</v>
      </c>
      <c r="J1237" s="33" t="s">
        <v>159</v>
      </c>
      <c r="K1237" s="33" t="s">
        <v>145</v>
      </c>
      <c r="L1237" s="35" t="n">
        <v>826.89</v>
      </c>
      <c r="M1237" s="33" t="n">
        <v>3</v>
      </c>
      <c r="N1237" s="33" t="s">
        <v>146</v>
      </c>
      <c r="O1237" s="33" t="s">
        <v>247</v>
      </c>
    </row>
    <row r="1238" customFormat="false" ht="15" hidden="false" customHeight="false" outlineLevel="0" collapsed="false">
      <c r="A1238" s="33" t="s">
        <v>1439</v>
      </c>
      <c r="B1238" s="34" t="n">
        <v>45445</v>
      </c>
      <c r="C1238" s="34" t="n">
        <v>45447</v>
      </c>
      <c r="D1238" s="33" t="n">
        <v>61</v>
      </c>
      <c r="E1238" s="33" t="s">
        <v>154</v>
      </c>
      <c r="F1238" s="33" t="s">
        <v>203</v>
      </c>
      <c r="G1238" s="33" t="s">
        <v>232</v>
      </c>
      <c r="H1238" s="33" t="s">
        <v>205</v>
      </c>
      <c r="I1238" s="33" t="s">
        <v>143</v>
      </c>
      <c r="J1238" s="33" t="s">
        <v>159</v>
      </c>
      <c r="K1238" s="33" t="s">
        <v>184</v>
      </c>
      <c r="L1238" s="35" t="n">
        <v>1639.03</v>
      </c>
      <c r="M1238" s="33" t="n">
        <v>4</v>
      </c>
      <c r="N1238" s="33" t="s">
        <v>146</v>
      </c>
      <c r="O1238" s="33" t="s">
        <v>147</v>
      </c>
    </row>
    <row r="1239" customFormat="false" ht="15" hidden="false" customHeight="false" outlineLevel="0" collapsed="false">
      <c r="A1239" s="33" t="s">
        <v>1440</v>
      </c>
      <c r="B1239" s="34" t="n">
        <v>45627</v>
      </c>
      <c r="C1239" s="34" t="n">
        <v>45641</v>
      </c>
      <c r="D1239" s="33" t="n">
        <v>77</v>
      </c>
      <c r="E1239" s="33" t="s">
        <v>139</v>
      </c>
      <c r="F1239" s="33" t="s">
        <v>181</v>
      </c>
      <c r="G1239" s="33" t="s">
        <v>237</v>
      </c>
      <c r="H1239" s="33" t="s">
        <v>245</v>
      </c>
      <c r="I1239" s="33" t="s">
        <v>143</v>
      </c>
      <c r="J1239" s="33" t="s">
        <v>144</v>
      </c>
      <c r="K1239" s="33" t="s">
        <v>145</v>
      </c>
      <c r="L1239" s="35" t="n">
        <v>67897.12</v>
      </c>
      <c r="M1239" s="33" t="n">
        <v>5</v>
      </c>
      <c r="N1239" s="33" t="s">
        <v>146</v>
      </c>
      <c r="O1239" s="33" t="s">
        <v>147</v>
      </c>
    </row>
    <row r="1240" customFormat="false" ht="15" hidden="false" customHeight="false" outlineLevel="0" collapsed="false">
      <c r="A1240" s="33" t="s">
        <v>1441</v>
      </c>
      <c r="B1240" s="34" t="n">
        <v>45629</v>
      </c>
      <c r="C1240" s="34" t="n">
        <v>45633</v>
      </c>
      <c r="D1240" s="33" t="n">
        <v>69</v>
      </c>
      <c r="E1240" s="33" t="s">
        <v>154</v>
      </c>
      <c r="F1240" s="33" t="s">
        <v>173</v>
      </c>
      <c r="G1240" s="33" t="s">
        <v>198</v>
      </c>
      <c r="H1240" s="33" t="s">
        <v>175</v>
      </c>
      <c r="I1240" s="33" t="s">
        <v>143</v>
      </c>
      <c r="J1240" s="33" t="s">
        <v>144</v>
      </c>
      <c r="K1240" s="33" t="s">
        <v>209</v>
      </c>
      <c r="L1240" s="35" t="n">
        <v>17998.21</v>
      </c>
      <c r="M1240" s="33" t="n">
        <v>3</v>
      </c>
      <c r="N1240" s="33" t="s">
        <v>210</v>
      </c>
      <c r="O1240" s="33" t="s">
        <v>206</v>
      </c>
    </row>
    <row r="1241" customFormat="false" ht="15" hidden="false" customHeight="false" outlineLevel="0" collapsed="false">
      <c r="A1241" s="33" t="s">
        <v>1442</v>
      </c>
      <c r="B1241" s="34" t="n">
        <v>45406</v>
      </c>
      <c r="C1241" s="34" t="n">
        <v>45410</v>
      </c>
      <c r="D1241" s="33" t="n">
        <v>62</v>
      </c>
      <c r="E1241" s="33" t="s">
        <v>257</v>
      </c>
      <c r="F1241" s="33" t="s">
        <v>226</v>
      </c>
      <c r="G1241" s="33" t="s">
        <v>258</v>
      </c>
      <c r="H1241" s="33" t="s">
        <v>263</v>
      </c>
      <c r="I1241" s="33" t="s">
        <v>152</v>
      </c>
      <c r="J1241" s="33" t="s">
        <v>159</v>
      </c>
      <c r="K1241" s="33" t="s">
        <v>160</v>
      </c>
      <c r="L1241" s="35" t="n">
        <v>13290.13</v>
      </c>
      <c r="M1241" s="33" t="n">
        <v>4</v>
      </c>
      <c r="N1241" s="33" t="s">
        <v>146</v>
      </c>
      <c r="O1241" s="36"/>
    </row>
    <row r="1242" customFormat="false" ht="15" hidden="false" customHeight="false" outlineLevel="0" collapsed="false">
      <c r="A1242" s="33" t="s">
        <v>1443</v>
      </c>
      <c r="B1242" s="34" t="n">
        <v>45518</v>
      </c>
      <c r="C1242" s="34" t="n">
        <v>45519</v>
      </c>
      <c r="D1242" s="33" t="n">
        <v>84</v>
      </c>
      <c r="E1242" s="33" t="s">
        <v>139</v>
      </c>
      <c r="F1242" s="33" t="s">
        <v>140</v>
      </c>
      <c r="G1242" s="33" t="s">
        <v>316</v>
      </c>
      <c r="H1242" s="33" t="s">
        <v>290</v>
      </c>
      <c r="I1242" s="33" t="s">
        <v>143</v>
      </c>
      <c r="J1242" s="33" t="s">
        <v>144</v>
      </c>
      <c r="K1242" s="33" t="s">
        <v>145</v>
      </c>
      <c r="L1242" s="35" t="n">
        <v>4939.79</v>
      </c>
      <c r="M1242" s="33" t="n">
        <v>4</v>
      </c>
      <c r="N1242" s="33" t="s">
        <v>210</v>
      </c>
      <c r="O1242" s="33" t="s">
        <v>147</v>
      </c>
    </row>
    <row r="1243" customFormat="false" ht="15" hidden="false" customHeight="false" outlineLevel="0" collapsed="false">
      <c r="A1243" s="33" t="s">
        <v>1444</v>
      </c>
      <c r="B1243" s="34" t="n">
        <v>45592</v>
      </c>
      <c r="C1243" s="34" t="n">
        <v>45604</v>
      </c>
      <c r="D1243" s="33" t="n">
        <v>87</v>
      </c>
      <c r="E1243" s="33" t="s">
        <v>139</v>
      </c>
      <c r="F1243" s="33" t="s">
        <v>169</v>
      </c>
      <c r="G1243" s="33" t="s">
        <v>230</v>
      </c>
      <c r="H1243" s="33" t="s">
        <v>164</v>
      </c>
      <c r="I1243" s="33" t="s">
        <v>152</v>
      </c>
      <c r="J1243" s="33" t="s">
        <v>159</v>
      </c>
      <c r="K1243" s="33" t="s">
        <v>145</v>
      </c>
      <c r="L1243" s="35" t="n">
        <v>12056.36</v>
      </c>
      <c r="M1243" s="33" t="n">
        <v>3</v>
      </c>
      <c r="N1243" s="33" t="s">
        <v>146</v>
      </c>
      <c r="O1243" s="33" t="s">
        <v>147</v>
      </c>
    </row>
    <row r="1244" customFormat="false" ht="15" hidden="false" customHeight="false" outlineLevel="0" collapsed="false">
      <c r="A1244" s="33" t="s">
        <v>1445</v>
      </c>
      <c r="B1244" s="34" t="n">
        <v>45416</v>
      </c>
      <c r="C1244" s="34" t="n">
        <v>45420</v>
      </c>
      <c r="D1244" s="33" t="n">
        <v>57</v>
      </c>
      <c r="E1244" s="33" t="s">
        <v>257</v>
      </c>
      <c r="F1244" s="33" t="s">
        <v>173</v>
      </c>
      <c r="G1244" s="33" t="s">
        <v>198</v>
      </c>
      <c r="H1244" s="33" t="s">
        <v>199</v>
      </c>
      <c r="I1244" s="33" t="s">
        <v>152</v>
      </c>
      <c r="J1244" s="33" t="s">
        <v>159</v>
      </c>
      <c r="K1244" s="33" t="s">
        <v>145</v>
      </c>
      <c r="L1244" s="35" t="n">
        <v>9720.21</v>
      </c>
      <c r="M1244" s="33" t="n">
        <v>4</v>
      </c>
      <c r="N1244" s="33" t="s">
        <v>146</v>
      </c>
      <c r="O1244" s="33" t="s">
        <v>147</v>
      </c>
    </row>
    <row r="1245" customFormat="false" ht="15" hidden="false" customHeight="false" outlineLevel="0" collapsed="false">
      <c r="A1245" s="33" t="s">
        <v>1446</v>
      </c>
      <c r="B1245" s="34" t="n">
        <v>45483</v>
      </c>
      <c r="C1245" s="34" t="n">
        <v>45490</v>
      </c>
      <c r="D1245" s="33" t="n">
        <v>37</v>
      </c>
      <c r="E1245" s="33" t="s">
        <v>154</v>
      </c>
      <c r="F1245" s="33" t="s">
        <v>173</v>
      </c>
      <c r="G1245" s="33" t="s">
        <v>178</v>
      </c>
      <c r="H1245" s="33" t="s">
        <v>175</v>
      </c>
      <c r="I1245" s="33" t="s">
        <v>152</v>
      </c>
      <c r="J1245" s="33" t="s">
        <v>159</v>
      </c>
      <c r="K1245" s="33" t="s">
        <v>160</v>
      </c>
      <c r="L1245" s="35" t="n">
        <v>19321.64</v>
      </c>
      <c r="M1245" s="33" t="n">
        <v>5</v>
      </c>
      <c r="N1245" s="33" t="s">
        <v>146</v>
      </c>
      <c r="O1245" s="33" t="s">
        <v>147</v>
      </c>
    </row>
    <row r="1246" customFormat="false" ht="15" hidden="false" customHeight="false" outlineLevel="0" collapsed="false">
      <c r="A1246" s="33" t="s">
        <v>1447</v>
      </c>
      <c r="B1246" s="34" t="n">
        <v>45417</v>
      </c>
      <c r="C1246" s="34" t="n">
        <v>45418</v>
      </c>
      <c r="D1246" s="33" t="n">
        <v>52</v>
      </c>
      <c r="E1246" s="33" t="s">
        <v>154</v>
      </c>
      <c r="F1246" s="33" t="s">
        <v>203</v>
      </c>
      <c r="G1246" s="33" t="s">
        <v>204</v>
      </c>
      <c r="H1246" s="33" t="s">
        <v>233</v>
      </c>
      <c r="I1246" s="33" t="s">
        <v>143</v>
      </c>
      <c r="J1246" s="33" t="s">
        <v>159</v>
      </c>
      <c r="K1246" s="33" t="s">
        <v>209</v>
      </c>
      <c r="L1246" s="35" t="n">
        <v>881.99</v>
      </c>
      <c r="M1246" s="33" t="n">
        <v>3</v>
      </c>
      <c r="N1246" s="33" t="s">
        <v>146</v>
      </c>
      <c r="O1246" s="33" t="s">
        <v>147</v>
      </c>
    </row>
    <row r="1247" customFormat="false" ht="15" hidden="false" customHeight="false" outlineLevel="0" collapsed="false">
      <c r="A1247" s="33" t="s">
        <v>1448</v>
      </c>
      <c r="B1247" s="34" t="n">
        <v>45594</v>
      </c>
      <c r="C1247" s="34" t="n">
        <v>45596</v>
      </c>
      <c r="D1247" s="33" t="n">
        <v>30</v>
      </c>
      <c r="E1247" s="33" t="s">
        <v>139</v>
      </c>
      <c r="F1247" s="33" t="s">
        <v>169</v>
      </c>
      <c r="G1247" s="33" t="s">
        <v>230</v>
      </c>
      <c r="H1247" s="33" t="s">
        <v>171</v>
      </c>
      <c r="I1247" s="33" t="s">
        <v>152</v>
      </c>
      <c r="J1247" s="33" t="s">
        <v>159</v>
      </c>
      <c r="K1247" s="33" t="s">
        <v>160</v>
      </c>
      <c r="L1247" s="35" t="n">
        <v>1737.08</v>
      </c>
      <c r="M1247" s="33" t="n">
        <v>4</v>
      </c>
      <c r="N1247" s="33" t="s">
        <v>146</v>
      </c>
      <c r="O1247" s="33" t="s">
        <v>147</v>
      </c>
    </row>
    <row r="1248" customFormat="false" ht="15" hidden="false" customHeight="false" outlineLevel="0" collapsed="false">
      <c r="A1248" s="33" t="s">
        <v>1449</v>
      </c>
      <c r="B1248" s="34" t="n">
        <v>45481</v>
      </c>
      <c r="C1248" s="34" t="n">
        <v>45482</v>
      </c>
      <c r="D1248" s="33" t="n">
        <v>4</v>
      </c>
      <c r="E1248" s="33" t="s">
        <v>154</v>
      </c>
      <c r="F1248" s="33" t="s">
        <v>155</v>
      </c>
      <c r="G1248" s="33" t="s">
        <v>302</v>
      </c>
      <c r="H1248" s="33" t="s">
        <v>222</v>
      </c>
      <c r="I1248" s="33" t="s">
        <v>152</v>
      </c>
      <c r="J1248" s="33" t="s">
        <v>144</v>
      </c>
      <c r="K1248" s="36"/>
      <c r="L1248" s="35" t="n">
        <v>1686</v>
      </c>
      <c r="M1248" s="33" t="n">
        <v>5</v>
      </c>
      <c r="N1248" s="33" t="s">
        <v>146</v>
      </c>
      <c r="O1248" s="33" t="s">
        <v>147</v>
      </c>
    </row>
    <row r="1249" customFormat="false" ht="15" hidden="false" customHeight="false" outlineLevel="0" collapsed="false">
      <c r="A1249" s="33" t="s">
        <v>1450</v>
      </c>
      <c r="B1249" s="34" t="n">
        <v>45600</v>
      </c>
      <c r="C1249" s="34" t="n">
        <v>45604</v>
      </c>
      <c r="D1249" s="33" t="n">
        <v>61</v>
      </c>
      <c r="E1249" s="33" t="s">
        <v>154</v>
      </c>
      <c r="F1249" s="33" t="s">
        <v>173</v>
      </c>
      <c r="G1249" s="33" t="s">
        <v>174</v>
      </c>
      <c r="H1249" s="36"/>
      <c r="I1249" s="33" t="s">
        <v>152</v>
      </c>
      <c r="J1249" s="33" t="s">
        <v>159</v>
      </c>
      <c r="K1249" s="33" t="s">
        <v>184</v>
      </c>
      <c r="L1249" s="35" t="n">
        <v>10806.25</v>
      </c>
      <c r="M1249" s="33" t="n">
        <v>5</v>
      </c>
      <c r="N1249" s="33" t="s">
        <v>146</v>
      </c>
      <c r="O1249" s="33" t="s">
        <v>147</v>
      </c>
    </row>
    <row r="1250" customFormat="false" ht="15" hidden="false" customHeight="false" outlineLevel="0" collapsed="false">
      <c r="A1250" s="33" t="s">
        <v>1451</v>
      </c>
      <c r="B1250" s="34" t="n">
        <v>45349</v>
      </c>
      <c r="C1250" s="34" t="n">
        <v>45353</v>
      </c>
      <c r="D1250" s="33" t="n">
        <v>56</v>
      </c>
      <c r="E1250" s="33" t="s">
        <v>139</v>
      </c>
      <c r="F1250" s="33" t="s">
        <v>226</v>
      </c>
      <c r="G1250" s="33" t="s">
        <v>258</v>
      </c>
      <c r="H1250" s="33" t="s">
        <v>263</v>
      </c>
      <c r="I1250" s="33" t="s">
        <v>143</v>
      </c>
      <c r="J1250" s="33" t="s">
        <v>159</v>
      </c>
      <c r="K1250" s="33" t="s">
        <v>160</v>
      </c>
      <c r="L1250" s="35" t="n">
        <v>13586.11</v>
      </c>
      <c r="M1250" s="33" t="n">
        <v>3</v>
      </c>
      <c r="N1250" s="33" t="s">
        <v>146</v>
      </c>
      <c r="O1250" s="33" t="s">
        <v>147</v>
      </c>
    </row>
    <row r="1251" customFormat="false" ht="15" hidden="false" customHeight="false" outlineLevel="0" collapsed="false">
      <c r="A1251" s="33" t="s">
        <v>1452</v>
      </c>
      <c r="B1251" s="34" t="n">
        <v>45416</v>
      </c>
      <c r="C1251" s="34" t="n">
        <v>45422</v>
      </c>
      <c r="D1251" s="33" t="n">
        <v>28</v>
      </c>
      <c r="E1251" s="33" t="s">
        <v>139</v>
      </c>
      <c r="F1251" s="33" t="s">
        <v>140</v>
      </c>
      <c r="G1251" s="33" t="s">
        <v>141</v>
      </c>
      <c r="H1251" s="33" t="s">
        <v>142</v>
      </c>
      <c r="I1251" s="33" t="s">
        <v>143</v>
      </c>
      <c r="J1251" s="33" t="s">
        <v>144</v>
      </c>
      <c r="K1251" s="33" t="s">
        <v>145</v>
      </c>
      <c r="L1251" s="35" t="n">
        <v>23039.44</v>
      </c>
      <c r="M1251" s="33" t="n">
        <v>4</v>
      </c>
      <c r="N1251" s="33" t="s">
        <v>146</v>
      </c>
      <c r="O1251" s="33" t="s">
        <v>147</v>
      </c>
    </row>
    <row r="1252" customFormat="false" ht="15" hidden="false" customHeight="false" outlineLevel="0" collapsed="false">
      <c r="A1252" s="33" t="s">
        <v>1453</v>
      </c>
      <c r="B1252" s="34" t="n">
        <v>45412</v>
      </c>
      <c r="C1252" s="34" t="n">
        <v>45426</v>
      </c>
      <c r="D1252" s="33" t="n">
        <v>65</v>
      </c>
      <c r="E1252" s="33" t="s">
        <v>139</v>
      </c>
      <c r="F1252" s="33" t="s">
        <v>140</v>
      </c>
      <c r="G1252" s="33" t="s">
        <v>316</v>
      </c>
      <c r="H1252" s="33" t="s">
        <v>290</v>
      </c>
      <c r="I1252" s="33" t="s">
        <v>143</v>
      </c>
      <c r="J1252" s="33" t="s">
        <v>159</v>
      </c>
      <c r="K1252" s="33" t="s">
        <v>209</v>
      </c>
      <c r="L1252" s="35" t="n">
        <v>25438.9</v>
      </c>
      <c r="M1252" s="33" t="n">
        <v>5</v>
      </c>
      <c r="N1252" s="33" t="s">
        <v>146</v>
      </c>
      <c r="O1252" s="33" t="s">
        <v>147</v>
      </c>
    </row>
    <row r="1253" customFormat="false" ht="15" hidden="false" customHeight="false" outlineLevel="0" collapsed="false">
      <c r="A1253" s="33" t="s">
        <v>1454</v>
      </c>
      <c r="B1253" s="34" t="n">
        <v>45514</v>
      </c>
      <c r="C1253" s="34" t="n">
        <v>45518</v>
      </c>
      <c r="D1253" s="33" t="n">
        <v>19</v>
      </c>
      <c r="E1253" s="33" t="s">
        <v>139</v>
      </c>
      <c r="F1253" s="33" t="s">
        <v>149</v>
      </c>
      <c r="G1253" s="33" t="s">
        <v>150</v>
      </c>
      <c r="H1253" s="33" t="s">
        <v>186</v>
      </c>
      <c r="I1253" s="33" t="s">
        <v>143</v>
      </c>
      <c r="J1253" s="33" t="s">
        <v>159</v>
      </c>
      <c r="K1253" s="33" t="s">
        <v>160</v>
      </c>
      <c r="L1253" s="35" t="n">
        <v>6439.73</v>
      </c>
      <c r="M1253" s="33" t="n">
        <v>4</v>
      </c>
      <c r="N1253" s="33" t="s">
        <v>146</v>
      </c>
      <c r="O1253" s="33" t="s">
        <v>147</v>
      </c>
    </row>
    <row r="1254" customFormat="false" ht="15" hidden="false" customHeight="false" outlineLevel="0" collapsed="false">
      <c r="A1254" s="33" t="s">
        <v>1455</v>
      </c>
      <c r="B1254" s="34" t="n">
        <v>45474</v>
      </c>
      <c r="C1254" s="34" t="n">
        <v>45475</v>
      </c>
      <c r="D1254" s="33" t="n">
        <v>4</v>
      </c>
      <c r="E1254" s="33" t="s">
        <v>139</v>
      </c>
      <c r="F1254" s="33" t="s">
        <v>203</v>
      </c>
      <c r="G1254" s="33" t="s">
        <v>241</v>
      </c>
      <c r="H1254" s="33" t="s">
        <v>233</v>
      </c>
      <c r="I1254" s="33" t="s">
        <v>143</v>
      </c>
      <c r="J1254" s="33" t="s">
        <v>159</v>
      </c>
      <c r="K1254" s="33" t="s">
        <v>160</v>
      </c>
      <c r="L1254" s="35" t="n">
        <v>817.08</v>
      </c>
      <c r="M1254" s="33" t="n">
        <v>1</v>
      </c>
      <c r="N1254" s="33" t="s">
        <v>146</v>
      </c>
      <c r="O1254" s="33" t="s">
        <v>147</v>
      </c>
    </row>
    <row r="1255" customFormat="false" ht="15" hidden="false" customHeight="false" outlineLevel="0" collapsed="false">
      <c r="A1255" s="33" t="s">
        <v>1456</v>
      </c>
      <c r="B1255" s="34" t="n">
        <v>45500</v>
      </c>
      <c r="C1255" s="34" t="n">
        <v>45504</v>
      </c>
      <c r="D1255" s="33" t="n">
        <v>55</v>
      </c>
      <c r="E1255" s="33" t="s">
        <v>154</v>
      </c>
      <c r="F1255" s="33" t="s">
        <v>181</v>
      </c>
      <c r="G1255" s="33" t="s">
        <v>182</v>
      </c>
      <c r="H1255" s="33" t="s">
        <v>183</v>
      </c>
      <c r="I1255" s="33" t="s">
        <v>143</v>
      </c>
      <c r="J1255" s="33" t="s">
        <v>144</v>
      </c>
      <c r="K1255" s="33" t="s">
        <v>209</v>
      </c>
      <c r="L1255" s="35" t="n">
        <v>19199.51</v>
      </c>
      <c r="M1255" s="36"/>
      <c r="N1255" s="33" t="s">
        <v>146</v>
      </c>
      <c r="O1255" s="33" t="s">
        <v>147</v>
      </c>
    </row>
    <row r="1256" customFormat="false" ht="15" hidden="false" customHeight="false" outlineLevel="0" collapsed="false">
      <c r="A1256" s="33" t="s">
        <v>1457</v>
      </c>
      <c r="B1256" s="34" t="n">
        <v>45357</v>
      </c>
      <c r="C1256" s="34" t="n">
        <v>45362</v>
      </c>
      <c r="D1256" s="33" t="n">
        <v>39</v>
      </c>
      <c r="E1256" s="33" t="s">
        <v>139</v>
      </c>
      <c r="F1256" s="33" t="s">
        <v>149</v>
      </c>
      <c r="G1256" s="33" t="s">
        <v>243</v>
      </c>
      <c r="H1256" s="33" t="s">
        <v>151</v>
      </c>
      <c r="I1256" s="33" t="s">
        <v>143</v>
      </c>
      <c r="J1256" s="33" t="s">
        <v>159</v>
      </c>
      <c r="K1256" s="33" t="s">
        <v>145</v>
      </c>
      <c r="L1256" s="35" t="n">
        <v>6426.77</v>
      </c>
      <c r="M1256" s="33" t="n">
        <v>4</v>
      </c>
      <c r="N1256" s="33" t="s">
        <v>210</v>
      </c>
      <c r="O1256" s="33" t="s">
        <v>147</v>
      </c>
    </row>
    <row r="1257" customFormat="false" ht="15" hidden="false" customHeight="false" outlineLevel="0" collapsed="false">
      <c r="A1257" s="33" t="s">
        <v>1458</v>
      </c>
      <c r="B1257" s="34" t="n">
        <v>45583</v>
      </c>
      <c r="C1257" s="34" t="n">
        <v>45586</v>
      </c>
      <c r="D1257" s="33" t="n">
        <v>43</v>
      </c>
      <c r="E1257" s="33" t="s">
        <v>154</v>
      </c>
      <c r="F1257" s="33" t="s">
        <v>169</v>
      </c>
      <c r="G1257" s="33" t="s">
        <v>213</v>
      </c>
      <c r="H1257" s="33" t="s">
        <v>164</v>
      </c>
      <c r="I1257" s="33" t="s">
        <v>143</v>
      </c>
      <c r="J1257" s="33" t="s">
        <v>159</v>
      </c>
      <c r="K1257" s="33" t="s">
        <v>145</v>
      </c>
      <c r="L1257" s="35" t="n">
        <v>3475.98</v>
      </c>
      <c r="M1257" s="33" t="n">
        <v>5</v>
      </c>
      <c r="N1257" s="33" t="s">
        <v>146</v>
      </c>
      <c r="O1257" s="33" t="s">
        <v>147</v>
      </c>
    </row>
    <row r="1258" customFormat="false" ht="15" hidden="false" customHeight="false" outlineLevel="0" collapsed="false">
      <c r="A1258" s="33" t="s">
        <v>1459</v>
      </c>
      <c r="B1258" s="34" t="n">
        <v>45544</v>
      </c>
      <c r="C1258" s="34" t="n">
        <v>45547</v>
      </c>
      <c r="D1258" s="36" t="n">
        <v>-3</v>
      </c>
      <c r="E1258" s="33" t="s">
        <v>139</v>
      </c>
      <c r="F1258" s="33" t="s">
        <v>288</v>
      </c>
      <c r="G1258" s="33" t="s">
        <v>156</v>
      </c>
      <c r="H1258" s="33" t="s">
        <v>157</v>
      </c>
      <c r="I1258" s="33" t="s">
        <v>152</v>
      </c>
      <c r="J1258" s="33" t="s">
        <v>144</v>
      </c>
      <c r="K1258" s="33" t="s">
        <v>184</v>
      </c>
      <c r="L1258" s="35" t="n">
        <v>5228.5</v>
      </c>
      <c r="M1258" s="33" t="n">
        <v>4</v>
      </c>
      <c r="N1258" s="33" t="s">
        <v>146</v>
      </c>
      <c r="O1258" s="33" t="s">
        <v>147</v>
      </c>
    </row>
    <row r="1259" customFormat="false" ht="15" hidden="false" customHeight="false" outlineLevel="0" collapsed="false">
      <c r="A1259" s="33" t="s">
        <v>1460</v>
      </c>
      <c r="B1259" s="34" t="n">
        <v>45562</v>
      </c>
      <c r="C1259" s="34" t="n">
        <v>45565</v>
      </c>
      <c r="D1259" s="33" t="n">
        <v>69</v>
      </c>
      <c r="E1259" s="33" t="s">
        <v>139</v>
      </c>
      <c r="F1259" s="33" t="s">
        <v>169</v>
      </c>
      <c r="G1259" s="33" t="s">
        <v>170</v>
      </c>
      <c r="H1259" s="33" t="s">
        <v>164</v>
      </c>
      <c r="I1259" s="33" t="s">
        <v>143</v>
      </c>
      <c r="J1259" s="33" t="s">
        <v>159</v>
      </c>
      <c r="K1259" s="33" t="s">
        <v>145</v>
      </c>
      <c r="L1259" s="35" t="n">
        <v>3326.16</v>
      </c>
      <c r="M1259" s="33" t="n">
        <v>3</v>
      </c>
      <c r="N1259" s="33" t="s">
        <v>146</v>
      </c>
      <c r="O1259" s="33" t="s">
        <v>147</v>
      </c>
    </row>
    <row r="1260" customFormat="false" ht="15" hidden="false" customHeight="false" outlineLevel="0" collapsed="false">
      <c r="A1260" s="33" t="s">
        <v>1461</v>
      </c>
      <c r="B1260" s="34" t="n">
        <v>45458</v>
      </c>
      <c r="C1260" s="34" t="n">
        <v>45461</v>
      </c>
      <c r="D1260" s="33" t="n">
        <v>38</v>
      </c>
      <c r="E1260" s="33" t="s">
        <v>154</v>
      </c>
      <c r="F1260" s="33" t="s">
        <v>140</v>
      </c>
      <c r="G1260" s="33" t="s">
        <v>316</v>
      </c>
      <c r="H1260" s="33" t="s">
        <v>290</v>
      </c>
      <c r="I1260" s="33" t="s">
        <v>143</v>
      </c>
      <c r="J1260" s="33" t="s">
        <v>144</v>
      </c>
      <c r="K1260" s="33" t="s">
        <v>145</v>
      </c>
      <c r="L1260" s="35" t="n">
        <v>11534.13</v>
      </c>
      <c r="M1260" s="33" t="n">
        <v>3</v>
      </c>
      <c r="N1260" s="33" t="s">
        <v>146</v>
      </c>
      <c r="O1260" s="33" t="s">
        <v>147</v>
      </c>
    </row>
    <row r="1261" customFormat="false" ht="15" hidden="false" customHeight="false" outlineLevel="0" collapsed="false">
      <c r="A1261" s="33" t="s">
        <v>1462</v>
      </c>
      <c r="B1261" s="34" t="n">
        <v>45453</v>
      </c>
      <c r="C1261" s="34" t="n">
        <v>45458</v>
      </c>
      <c r="D1261" s="33" t="n">
        <v>92</v>
      </c>
      <c r="E1261" s="33" t="s">
        <v>139</v>
      </c>
      <c r="F1261" s="33" t="s">
        <v>169</v>
      </c>
      <c r="G1261" s="33" t="s">
        <v>230</v>
      </c>
      <c r="H1261" s="33" t="s">
        <v>195</v>
      </c>
      <c r="I1261" s="33" t="s">
        <v>143</v>
      </c>
      <c r="J1261" s="33" t="s">
        <v>159</v>
      </c>
      <c r="K1261" s="33" t="s">
        <v>145</v>
      </c>
      <c r="L1261" s="35" t="n">
        <v>4500.62</v>
      </c>
      <c r="M1261" s="33" t="n">
        <v>4</v>
      </c>
      <c r="N1261" s="33" t="s">
        <v>146</v>
      </c>
      <c r="O1261" s="33" t="s">
        <v>147</v>
      </c>
    </row>
    <row r="1262" customFormat="false" ht="15" hidden="false" customHeight="false" outlineLevel="0" collapsed="false">
      <c r="A1262" s="33" t="s">
        <v>1463</v>
      </c>
      <c r="B1262" s="34" t="n">
        <v>45303</v>
      </c>
      <c r="C1262" s="34" t="n">
        <v>45305</v>
      </c>
      <c r="D1262" s="33" t="n">
        <v>7</v>
      </c>
      <c r="E1262" s="33" t="s">
        <v>139</v>
      </c>
      <c r="F1262" s="33" t="s">
        <v>155</v>
      </c>
      <c r="G1262" s="33" t="s">
        <v>156</v>
      </c>
      <c r="H1262" s="33" t="s">
        <v>222</v>
      </c>
      <c r="I1262" s="33" t="s">
        <v>143</v>
      </c>
      <c r="J1262" s="33" t="s">
        <v>144</v>
      </c>
      <c r="K1262" s="33" t="s">
        <v>145</v>
      </c>
      <c r="L1262" s="35" t="n">
        <v>2617.76</v>
      </c>
      <c r="M1262" s="36"/>
      <c r="N1262" s="33" t="s">
        <v>146</v>
      </c>
      <c r="O1262" s="33" t="s">
        <v>147</v>
      </c>
    </row>
    <row r="1263" customFormat="false" ht="15" hidden="false" customHeight="false" outlineLevel="0" collapsed="false">
      <c r="A1263" s="33" t="s">
        <v>1464</v>
      </c>
      <c r="B1263" s="34" t="n">
        <v>45643</v>
      </c>
      <c r="C1263" s="34" t="n">
        <v>45644</v>
      </c>
      <c r="D1263" s="33" t="n">
        <v>57</v>
      </c>
      <c r="E1263" s="33" t="s">
        <v>139</v>
      </c>
      <c r="F1263" s="33" t="s">
        <v>191</v>
      </c>
      <c r="G1263" s="33" t="s">
        <v>192</v>
      </c>
      <c r="H1263" s="33" t="s">
        <v>233</v>
      </c>
      <c r="I1263" s="33" t="s">
        <v>143</v>
      </c>
      <c r="J1263" s="33" t="s">
        <v>159</v>
      </c>
      <c r="K1263" s="36"/>
      <c r="L1263" s="35" t="n">
        <v>947.85</v>
      </c>
      <c r="M1263" s="33" t="n">
        <v>4</v>
      </c>
      <c r="N1263" s="33" t="s">
        <v>146</v>
      </c>
      <c r="O1263" s="33" t="s">
        <v>147</v>
      </c>
    </row>
    <row r="1264" customFormat="false" ht="15" hidden="false" customHeight="false" outlineLevel="0" collapsed="false">
      <c r="A1264" s="33" t="s">
        <v>1465</v>
      </c>
      <c r="B1264" s="34" t="n">
        <v>45466</v>
      </c>
      <c r="C1264" s="34" t="n">
        <v>45468</v>
      </c>
      <c r="D1264" s="36"/>
      <c r="E1264" s="33" t="s">
        <v>216</v>
      </c>
      <c r="F1264" s="33" t="s">
        <v>203</v>
      </c>
      <c r="G1264" s="33" t="s">
        <v>241</v>
      </c>
      <c r="H1264" s="33" t="s">
        <v>233</v>
      </c>
      <c r="I1264" s="33" t="s">
        <v>143</v>
      </c>
      <c r="J1264" s="33" t="s">
        <v>159</v>
      </c>
      <c r="K1264" s="33" t="s">
        <v>160</v>
      </c>
      <c r="L1264" s="35" t="n">
        <v>1549.7</v>
      </c>
      <c r="M1264" s="33" t="n">
        <v>4</v>
      </c>
      <c r="N1264" s="33" t="s">
        <v>146</v>
      </c>
      <c r="O1264" s="33" t="s">
        <v>147</v>
      </c>
    </row>
    <row r="1265" customFormat="false" ht="15" hidden="false" customHeight="false" outlineLevel="0" collapsed="false">
      <c r="A1265" s="33" t="s">
        <v>1466</v>
      </c>
      <c r="B1265" s="34" t="n">
        <v>45572</v>
      </c>
      <c r="C1265" s="34" t="n">
        <v>45574</v>
      </c>
      <c r="D1265" s="33" t="n">
        <v>28</v>
      </c>
      <c r="E1265" s="33" t="s">
        <v>139</v>
      </c>
      <c r="F1265" s="33" t="s">
        <v>149</v>
      </c>
      <c r="G1265" s="33" t="s">
        <v>243</v>
      </c>
      <c r="H1265" s="33" t="s">
        <v>151</v>
      </c>
      <c r="I1265" s="33" t="s">
        <v>143</v>
      </c>
      <c r="J1265" s="33" t="s">
        <v>159</v>
      </c>
      <c r="K1265" s="33" t="s">
        <v>160</v>
      </c>
      <c r="L1265" s="35" t="n">
        <v>2629.92</v>
      </c>
      <c r="M1265" s="33" t="n">
        <v>5</v>
      </c>
      <c r="N1265" s="33" t="s">
        <v>146</v>
      </c>
      <c r="O1265" s="33" t="s">
        <v>147</v>
      </c>
    </row>
    <row r="1266" customFormat="false" ht="15" hidden="false" customHeight="false" outlineLevel="0" collapsed="false">
      <c r="A1266" s="33" t="s">
        <v>1467</v>
      </c>
      <c r="B1266" s="34" t="n">
        <v>45381</v>
      </c>
      <c r="C1266" s="34" t="n">
        <v>45384</v>
      </c>
      <c r="D1266" s="33" t="n">
        <v>22</v>
      </c>
      <c r="E1266" s="33" t="s">
        <v>139</v>
      </c>
      <c r="F1266" s="33" t="s">
        <v>169</v>
      </c>
      <c r="G1266" s="33" t="s">
        <v>213</v>
      </c>
      <c r="H1266" s="33" t="s">
        <v>195</v>
      </c>
      <c r="I1266" s="33" t="s">
        <v>152</v>
      </c>
      <c r="J1266" s="33" t="s">
        <v>159</v>
      </c>
      <c r="K1266" s="33" t="s">
        <v>145</v>
      </c>
      <c r="L1266" s="35" t="n">
        <v>3760.1</v>
      </c>
      <c r="M1266" s="33" t="n">
        <v>5</v>
      </c>
      <c r="N1266" s="33" t="s">
        <v>210</v>
      </c>
      <c r="O1266" s="33" t="s">
        <v>147</v>
      </c>
    </row>
    <row r="1267" customFormat="false" ht="15" hidden="false" customHeight="false" outlineLevel="0" collapsed="false">
      <c r="A1267" s="33" t="s">
        <v>1468</v>
      </c>
      <c r="B1267" s="34" t="n">
        <v>45318</v>
      </c>
      <c r="C1267" s="34" t="n">
        <v>45323</v>
      </c>
      <c r="D1267" s="33" t="n">
        <v>27</v>
      </c>
      <c r="E1267" s="33" t="s">
        <v>154</v>
      </c>
      <c r="F1267" s="33" t="s">
        <v>169</v>
      </c>
      <c r="G1267" s="33" t="s">
        <v>170</v>
      </c>
      <c r="H1267" s="33" t="s">
        <v>164</v>
      </c>
      <c r="I1267" s="33" t="s">
        <v>143</v>
      </c>
      <c r="J1267" s="33" t="s">
        <v>144</v>
      </c>
      <c r="K1267" s="33" t="s">
        <v>160</v>
      </c>
      <c r="L1267" s="35" t="n">
        <v>7536.55</v>
      </c>
      <c r="M1267" s="33" t="n">
        <v>4</v>
      </c>
      <c r="N1267" s="33" t="s">
        <v>146</v>
      </c>
      <c r="O1267" s="33" t="s">
        <v>147</v>
      </c>
    </row>
    <row r="1268" customFormat="false" ht="15" hidden="false" customHeight="false" outlineLevel="0" collapsed="false">
      <c r="A1268" s="33" t="s">
        <v>1469</v>
      </c>
      <c r="B1268" s="34" t="n">
        <v>45355</v>
      </c>
      <c r="C1268" s="34" t="n">
        <v>45357</v>
      </c>
      <c r="D1268" s="33" t="n">
        <v>8</v>
      </c>
      <c r="E1268" s="33" t="s">
        <v>154</v>
      </c>
      <c r="F1268" s="33" t="s">
        <v>155</v>
      </c>
      <c r="G1268" s="33" t="s">
        <v>302</v>
      </c>
      <c r="H1268" s="33" t="s">
        <v>157</v>
      </c>
      <c r="I1268" s="33" t="s">
        <v>143</v>
      </c>
      <c r="J1268" s="33" t="s">
        <v>159</v>
      </c>
      <c r="K1268" s="33" t="s">
        <v>145</v>
      </c>
      <c r="L1268" s="35" t="n">
        <v>1708.6</v>
      </c>
      <c r="M1268" s="33" t="n">
        <v>5</v>
      </c>
      <c r="N1268" s="33" t="s">
        <v>146</v>
      </c>
      <c r="O1268" s="36"/>
    </row>
    <row r="1269" customFormat="false" ht="15" hidden="false" customHeight="false" outlineLevel="0" collapsed="false">
      <c r="A1269" s="33" t="s">
        <v>1470</v>
      </c>
      <c r="B1269" s="34" t="n">
        <v>45650</v>
      </c>
      <c r="C1269" s="34" t="n">
        <v>45659</v>
      </c>
      <c r="D1269" s="33" t="n">
        <v>48</v>
      </c>
      <c r="E1269" s="33" t="s">
        <v>154</v>
      </c>
      <c r="F1269" s="33" t="s">
        <v>173</v>
      </c>
      <c r="G1269" s="33" t="s">
        <v>174</v>
      </c>
      <c r="H1269" s="33" t="s">
        <v>175</v>
      </c>
      <c r="I1269" s="33" t="s">
        <v>152</v>
      </c>
      <c r="J1269" s="33" t="s">
        <v>159</v>
      </c>
      <c r="K1269" s="33" t="s">
        <v>145</v>
      </c>
      <c r="L1269" s="35" t="n">
        <v>29675.13</v>
      </c>
      <c r="M1269" s="33" t="n">
        <v>3</v>
      </c>
      <c r="N1269" s="33" t="s">
        <v>210</v>
      </c>
      <c r="O1269" s="33" t="s">
        <v>147</v>
      </c>
    </row>
    <row r="1270" customFormat="false" ht="15" hidden="false" customHeight="false" outlineLevel="0" collapsed="false">
      <c r="A1270" s="33" t="s">
        <v>1471</v>
      </c>
      <c r="B1270" s="34" t="n">
        <v>45304</v>
      </c>
      <c r="C1270" s="34" t="n">
        <v>45305</v>
      </c>
      <c r="D1270" s="33" t="n">
        <v>8</v>
      </c>
      <c r="E1270" s="33" t="s">
        <v>154</v>
      </c>
      <c r="F1270" s="33" t="s">
        <v>191</v>
      </c>
      <c r="G1270" s="33" t="s">
        <v>217</v>
      </c>
      <c r="H1270" s="33" t="s">
        <v>233</v>
      </c>
      <c r="I1270" s="33" t="s">
        <v>143</v>
      </c>
      <c r="J1270" s="33" t="s">
        <v>159</v>
      </c>
      <c r="K1270" s="33" t="s">
        <v>145</v>
      </c>
      <c r="L1270" s="35" t="n">
        <v>827.42</v>
      </c>
      <c r="M1270" s="33" t="n">
        <v>2</v>
      </c>
      <c r="N1270" s="33" t="s">
        <v>210</v>
      </c>
      <c r="O1270" s="33" t="s">
        <v>147</v>
      </c>
    </row>
    <row r="1271" customFormat="false" ht="15" hidden="false" customHeight="false" outlineLevel="0" collapsed="false">
      <c r="A1271" s="33" t="s">
        <v>1472</v>
      </c>
      <c r="B1271" s="34" t="n">
        <v>45372</v>
      </c>
      <c r="C1271" s="34" t="n">
        <v>45373</v>
      </c>
      <c r="D1271" s="33" t="n">
        <v>33</v>
      </c>
      <c r="E1271" s="33" t="s">
        <v>279</v>
      </c>
      <c r="F1271" s="33" t="s">
        <v>203</v>
      </c>
      <c r="G1271" s="33" t="s">
        <v>241</v>
      </c>
      <c r="H1271" s="33" t="s">
        <v>193</v>
      </c>
      <c r="I1271" s="33" t="s">
        <v>143</v>
      </c>
      <c r="J1271" s="33" t="s">
        <v>144</v>
      </c>
      <c r="K1271" s="33" t="s">
        <v>145</v>
      </c>
      <c r="L1271" s="35" t="n">
        <v>1893.71</v>
      </c>
      <c r="M1271" s="33" t="n">
        <v>5</v>
      </c>
      <c r="N1271" s="33" t="s">
        <v>146</v>
      </c>
      <c r="O1271" s="33" t="s">
        <v>147</v>
      </c>
    </row>
    <row r="1272" customFormat="false" ht="15" hidden="false" customHeight="false" outlineLevel="0" collapsed="false">
      <c r="A1272" s="33" t="s">
        <v>1473</v>
      </c>
      <c r="B1272" s="34" t="n">
        <v>45295</v>
      </c>
      <c r="C1272" s="34" t="n">
        <v>45297</v>
      </c>
      <c r="D1272" s="33" t="n">
        <v>23</v>
      </c>
      <c r="E1272" s="33" t="s">
        <v>190</v>
      </c>
      <c r="F1272" s="33" t="s">
        <v>203</v>
      </c>
      <c r="G1272" s="33" t="s">
        <v>204</v>
      </c>
      <c r="H1272" s="33" t="s">
        <v>233</v>
      </c>
      <c r="I1272" s="33" t="s">
        <v>143</v>
      </c>
      <c r="J1272" s="33" t="s">
        <v>159</v>
      </c>
      <c r="K1272" s="33" t="s">
        <v>145</v>
      </c>
      <c r="L1272" s="35" t="n">
        <v>1634.94</v>
      </c>
      <c r="M1272" s="36"/>
      <c r="N1272" s="33" t="s">
        <v>146</v>
      </c>
      <c r="O1272" s="33" t="s">
        <v>147</v>
      </c>
    </row>
    <row r="1273" customFormat="false" ht="15" hidden="false" customHeight="false" outlineLevel="0" collapsed="false">
      <c r="A1273" s="33" t="s">
        <v>1474</v>
      </c>
      <c r="B1273" s="34" t="n">
        <v>45585</v>
      </c>
      <c r="C1273" s="34" t="n">
        <v>45586</v>
      </c>
      <c r="D1273" s="33" t="n">
        <v>69</v>
      </c>
      <c r="E1273" s="33" t="s">
        <v>139</v>
      </c>
      <c r="F1273" s="33" t="s">
        <v>203</v>
      </c>
      <c r="G1273" s="33" t="s">
        <v>192</v>
      </c>
      <c r="H1273" s="33" t="s">
        <v>205</v>
      </c>
      <c r="I1273" s="33" t="s">
        <v>143</v>
      </c>
      <c r="J1273" s="33" t="s">
        <v>159</v>
      </c>
      <c r="K1273" s="33" t="s">
        <v>184</v>
      </c>
      <c r="L1273" s="35" t="n">
        <v>696.6</v>
      </c>
      <c r="M1273" s="36" t="n">
        <v>0</v>
      </c>
      <c r="N1273" s="33" t="s">
        <v>210</v>
      </c>
      <c r="O1273" s="33" t="s">
        <v>147</v>
      </c>
    </row>
    <row r="1274" customFormat="false" ht="15" hidden="false" customHeight="false" outlineLevel="0" collapsed="false">
      <c r="A1274" s="33" t="s">
        <v>1475</v>
      </c>
      <c r="B1274" s="34" t="n">
        <v>45494</v>
      </c>
      <c r="C1274" s="34" t="n">
        <v>45498</v>
      </c>
      <c r="D1274" s="33" t="n">
        <v>6</v>
      </c>
      <c r="E1274" s="33" t="s">
        <v>139</v>
      </c>
      <c r="F1274" s="33" t="s">
        <v>169</v>
      </c>
      <c r="G1274" s="33" t="s">
        <v>213</v>
      </c>
      <c r="H1274" s="33" t="s">
        <v>195</v>
      </c>
      <c r="I1274" s="33" t="s">
        <v>143</v>
      </c>
      <c r="J1274" s="33" t="s">
        <v>159</v>
      </c>
      <c r="K1274" s="33" t="s">
        <v>145</v>
      </c>
      <c r="L1274" s="35" t="n">
        <v>4959.58</v>
      </c>
      <c r="M1274" s="33" t="n">
        <v>4</v>
      </c>
      <c r="N1274" s="33" t="s">
        <v>146</v>
      </c>
      <c r="O1274" s="33" t="s">
        <v>295</v>
      </c>
    </row>
    <row r="1275" customFormat="false" ht="15" hidden="false" customHeight="false" outlineLevel="0" collapsed="false">
      <c r="A1275" s="33" t="s">
        <v>1476</v>
      </c>
      <c r="B1275" s="34" t="n">
        <v>45578</v>
      </c>
      <c r="C1275" s="34" t="n">
        <v>45581</v>
      </c>
      <c r="D1275" s="33" t="n">
        <v>66</v>
      </c>
      <c r="E1275" s="33" t="s">
        <v>139</v>
      </c>
      <c r="F1275" s="33" t="s">
        <v>140</v>
      </c>
      <c r="G1275" s="33" t="s">
        <v>316</v>
      </c>
      <c r="H1275" s="33" t="s">
        <v>142</v>
      </c>
      <c r="I1275" s="33" t="s">
        <v>143</v>
      </c>
      <c r="J1275" s="33" t="s">
        <v>176</v>
      </c>
      <c r="K1275" s="33" t="s">
        <v>209</v>
      </c>
      <c r="L1275" s="35" t="n">
        <v>21250.61</v>
      </c>
      <c r="M1275" s="33" t="n">
        <v>3</v>
      </c>
      <c r="N1275" s="33" t="s">
        <v>210</v>
      </c>
      <c r="O1275" s="33" t="s">
        <v>147</v>
      </c>
    </row>
    <row r="1276" customFormat="false" ht="15" hidden="false" customHeight="false" outlineLevel="0" collapsed="false">
      <c r="A1276" s="33" t="s">
        <v>1477</v>
      </c>
      <c r="B1276" s="34" t="n">
        <v>45479</v>
      </c>
      <c r="C1276" s="34" t="n">
        <v>45482</v>
      </c>
      <c r="D1276" s="33" t="n">
        <v>37</v>
      </c>
      <c r="E1276" s="33" t="s">
        <v>139</v>
      </c>
      <c r="F1276" s="33" t="s">
        <v>149</v>
      </c>
      <c r="G1276" s="33" t="s">
        <v>150</v>
      </c>
      <c r="H1276" s="33" t="s">
        <v>151</v>
      </c>
      <c r="I1276" s="33" t="s">
        <v>143</v>
      </c>
      <c r="J1276" s="33" t="s">
        <v>144</v>
      </c>
      <c r="K1276" s="33" t="s">
        <v>184</v>
      </c>
      <c r="L1276" s="35" t="n">
        <v>9093.08</v>
      </c>
      <c r="M1276" s="33" t="n">
        <v>5</v>
      </c>
      <c r="N1276" s="33" t="s">
        <v>146</v>
      </c>
      <c r="O1276" s="33" t="s">
        <v>147</v>
      </c>
    </row>
    <row r="1277" customFormat="false" ht="15" hidden="false" customHeight="false" outlineLevel="0" collapsed="false">
      <c r="A1277" s="33" t="s">
        <v>1478</v>
      </c>
      <c r="B1277" s="34" t="n">
        <v>45590</v>
      </c>
      <c r="C1277" s="34" t="n">
        <v>45592</v>
      </c>
      <c r="D1277" s="33" t="n">
        <v>58</v>
      </c>
      <c r="E1277" s="33" t="s">
        <v>139</v>
      </c>
      <c r="F1277" s="33" t="s">
        <v>181</v>
      </c>
      <c r="G1277" s="33" t="s">
        <v>237</v>
      </c>
      <c r="H1277" s="33" t="s">
        <v>183</v>
      </c>
      <c r="I1277" s="33" t="s">
        <v>143</v>
      </c>
      <c r="J1277" s="33" t="s">
        <v>176</v>
      </c>
      <c r="K1277" s="36"/>
      <c r="L1277" s="35" t="n">
        <v>20223.55</v>
      </c>
      <c r="M1277" s="33" t="n">
        <v>4</v>
      </c>
      <c r="N1277" s="33" t="s">
        <v>146</v>
      </c>
      <c r="O1277" s="33" t="s">
        <v>247</v>
      </c>
    </row>
    <row r="1278" customFormat="false" ht="15" hidden="false" customHeight="false" outlineLevel="0" collapsed="false">
      <c r="A1278" s="33" t="s">
        <v>1479</v>
      </c>
      <c r="B1278" s="34" t="n">
        <v>45627</v>
      </c>
      <c r="C1278" s="34" t="n">
        <v>45634</v>
      </c>
      <c r="D1278" s="33" t="n">
        <v>15</v>
      </c>
      <c r="E1278" s="33" t="s">
        <v>139</v>
      </c>
      <c r="F1278" s="33" t="s">
        <v>149</v>
      </c>
      <c r="G1278" s="33" t="s">
        <v>150</v>
      </c>
      <c r="H1278" s="33" t="s">
        <v>186</v>
      </c>
      <c r="I1278" s="33" t="s">
        <v>143</v>
      </c>
      <c r="J1278" s="33" t="s">
        <v>159</v>
      </c>
      <c r="K1278" s="33" t="s">
        <v>145</v>
      </c>
      <c r="L1278" s="35" t="n">
        <v>10436.24</v>
      </c>
      <c r="M1278" s="33" t="n">
        <v>3</v>
      </c>
      <c r="N1278" s="33" t="s">
        <v>146</v>
      </c>
      <c r="O1278" s="33" t="s">
        <v>147</v>
      </c>
    </row>
    <row r="1279" customFormat="false" ht="15" hidden="false" customHeight="false" outlineLevel="0" collapsed="false">
      <c r="A1279" s="33" t="s">
        <v>1480</v>
      </c>
      <c r="B1279" s="34" t="n">
        <v>45473</v>
      </c>
      <c r="C1279" s="34" t="n">
        <v>45476</v>
      </c>
      <c r="D1279" s="33" t="n">
        <v>96</v>
      </c>
      <c r="E1279" s="33" t="s">
        <v>154</v>
      </c>
      <c r="F1279" s="33" t="s">
        <v>334</v>
      </c>
      <c r="G1279" s="33" t="s">
        <v>192</v>
      </c>
      <c r="H1279" s="33" t="s">
        <v>233</v>
      </c>
      <c r="I1279" s="33" t="s">
        <v>158</v>
      </c>
      <c r="J1279" s="33" t="s">
        <v>159</v>
      </c>
      <c r="K1279" s="33" t="s">
        <v>145</v>
      </c>
      <c r="L1279" s="35" t="n">
        <v>2166.12</v>
      </c>
      <c r="M1279" s="33" t="n">
        <v>4</v>
      </c>
      <c r="N1279" s="33" t="s">
        <v>146</v>
      </c>
      <c r="O1279" s="33" t="s">
        <v>147</v>
      </c>
    </row>
    <row r="1280" customFormat="false" ht="15" hidden="false" customHeight="false" outlineLevel="0" collapsed="false">
      <c r="A1280" s="33" t="s">
        <v>1481</v>
      </c>
      <c r="B1280" s="34" t="n">
        <v>45600</v>
      </c>
      <c r="C1280" s="34" t="n">
        <v>45603</v>
      </c>
      <c r="D1280" s="33" t="n">
        <v>7</v>
      </c>
      <c r="E1280" s="33" t="s">
        <v>139</v>
      </c>
      <c r="F1280" s="33" t="s">
        <v>240</v>
      </c>
      <c r="G1280" s="33" t="s">
        <v>241</v>
      </c>
      <c r="H1280" s="33" t="s">
        <v>193</v>
      </c>
      <c r="I1280" s="33" t="s">
        <v>143</v>
      </c>
      <c r="J1280" s="33" t="s">
        <v>159</v>
      </c>
      <c r="K1280" s="33" t="s">
        <v>160</v>
      </c>
      <c r="L1280" s="35" t="n">
        <v>2813.22</v>
      </c>
      <c r="M1280" s="33" t="n">
        <v>3</v>
      </c>
      <c r="N1280" s="33" t="s">
        <v>146</v>
      </c>
      <c r="O1280" s="33" t="s">
        <v>147</v>
      </c>
    </row>
    <row r="1281" customFormat="false" ht="15" hidden="false" customHeight="false" outlineLevel="0" collapsed="false">
      <c r="A1281" s="33" t="s">
        <v>1482</v>
      </c>
      <c r="B1281" s="34" t="n">
        <v>45304</v>
      </c>
      <c r="C1281" s="34" t="n">
        <v>45310</v>
      </c>
      <c r="D1281" s="33" t="n">
        <v>38</v>
      </c>
      <c r="E1281" s="33" t="s">
        <v>257</v>
      </c>
      <c r="F1281" s="33" t="s">
        <v>226</v>
      </c>
      <c r="G1281" s="33" t="s">
        <v>258</v>
      </c>
      <c r="H1281" s="33" t="s">
        <v>228</v>
      </c>
      <c r="I1281" s="33" t="s">
        <v>152</v>
      </c>
      <c r="J1281" s="33" t="s">
        <v>159</v>
      </c>
      <c r="K1281" s="33" t="s">
        <v>184</v>
      </c>
      <c r="L1281" s="35" t="n">
        <v>16932.85</v>
      </c>
      <c r="M1281" s="33" t="n">
        <v>5</v>
      </c>
      <c r="N1281" s="33" t="s">
        <v>146</v>
      </c>
      <c r="O1281" s="33" t="s">
        <v>147</v>
      </c>
    </row>
    <row r="1282" customFormat="false" ht="15" hidden="false" customHeight="false" outlineLevel="0" collapsed="false">
      <c r="A1282" s="33" t="s">
        <v>1483</v>
      </c>
      <c r="B1282" s="34" t="n">
        <v>45548</v>
      </c>
      <c r="C1282" s="34" t="n">
        <v>45553</v>
      </c>
      <c r="D1282" s="33" t="n">
        <v>5</v>
      </c>
      <c r="E1282" s="33" t="s">
        <v>139</v>
      </c>
      <c r="F1282" s="33" t="s">
        <v>155</v>
      </c>
      <c r="G1282" s="33" t="s">
        <v>302</v>
      </c>
      <c r="H1282" s="33" t="s">
        <v>157</v>
      </c>
      <c r="I1282" s="33" t="s">
        <v>143</v>
      </c>
      <c r="J1282" s="33" t="s">
        <v>159</v>
      </c>
      <c r="K1282" s="33" t="s">
        <v>160</v>
      </c>
      <c r="L1282" s="35" t="n">
        <v>4303.35</v>
      </c>
      <c r="M1282" s="33" t="n">
        <v>5</v>
      </c>
      <c r="N1282" s="33" t="s">
        <v>146</v>
      </c>
      <c r="O1282" s="33" t="s">
        <v>147</v>
      </c>
    </row>
    <row r="1283" customFormat="false" ht="15" hidden="false" customHeight="false" outlineLevel="0" collapsed="false">
      <c r="A1283" s="33" t="s">
        <v>1484</v>
      </c>
      <c r="B1283" s="34" t="n">
        <v>45495</v>
      </c>
      <c r="C1283" s="34" t="n">
        <v>45496</v>
      </c>
      <c r="D1283" s="33" t="n">
        <v>53</v>
      </c>
      <c r="E1283" s="33" t="s">
        <v>139</v>
      </c>
      <c r="F1283" s="33" t="s">
        <v>181</v>
      </c>
      <c r="G1283" s="33" t="s">
        <v>182</v>
      </c>
      <c r="H1283" s="33" t="s">
        <v>245</v>
      </c>
      <c r="I1283" s="33" t="s">
        <v>143</v>
      </c>
      <c r="J1283" s="33" t="s">
        <v>144</v>
      </c>
      <c r="K1283" s="33" t="s">
        <v>145</v>
      </c>
      <c r="L1283" s="35" t="n">
        <v>4239.85</v>
      </c>
      <c r="M1283" s="33" t="n">
        <v>4</v>
      </c>
      <c r="N1283" s="33" t="s">
        <v>146</v>
      </c>
      <c r="O1283" s="33" t="s">
        <v>147</v>
      </c>
    </row>
    <row r="1284" customFormat="false" ht="15" hidden="false" customHeight="false" outlineLevel="0" collapsed="false">
      <c r="A1284" s="33" t="s">
        <v>1485</v>
      </c>
      <c r="B1284" s="34" t="n">
        <v>45525</v>
      </c>
      <c r="C1284" s="34" t="n">
        <v>45527</v>
      </c>
      <c r="D1284" s="33" t="n">
        <v>67</v>
      </c>
      <c r="E1284" s="33" t="s">
        <v>154</v>
      </c>
      <c r="F1284" s="33" t="s">
        <v>191</v>
      </c>
      <c r="G1284" s="33" t="s">
        <v>217</v>
      </c>
      <c r="H1284" s="33" t="s">
        <v>193</v>
      </c>
      <c r="I1284" s="33" t="s">
        <v>143</v>
      </c>
      <c r="J1284" s="33" t="s">
        <v>144</v>
      </c>
      <c r="K1284" s="33" t="s">
        <v>145</v>
      </c>
      <c r="L1284" s="35" t="n">
        <v>3467.25</v>
      </c>
      <c r="M1284" s="33" t="n">
        <v>2</v>
      </c>
      <c r="N1284" s="33" t="s">
        <v>146</v>
      </c>
      <c r="O1284" s="33" t="s">
        <v>147</v>
      </c>
    </row>
    <row r="1285" customFormat="false" ht="15" hidden="false" customHeight="false" outlineLevel="0" collapsed="false">
      <c r="A1285" s="33" t="s">
        <v>1486</v>
      </c>
      <c r="B1285" s="34" t="n">
        <v>45473</v>
      </c>
      <c r="C1285" s="34" t="n">
        <v>45478</v>
      </c>
      <c r="D1285" s="33" t="n">
        <v>59</v>
      </c>
      <c r="E1285" s="33" t="s">
        <v>139</v>
      </c>
      <c r="F1285" s="33" t="s">
        <v>140</v>
      </c>
      <c r="G1285" s="33" t="s">
        <v>141</v>
      </c>
      <c r="H1285" s="33" t="s">
        <v>290</v>
      </c>
      <c r="I1285" s="33" t="s">
        <v>143</v>
      </c>
      <c r="J1285" s="33" t="s">
        <v>144</v>
      </c>
      <c r="K1285" s="33" t="s">
        <v>184</v>
      </c>
      <c r="L1285" s="35" t="n">
        <v>21118.42</v>
      </c>
      <c r="M1285" s="33" t="n">
        <v>5</v>
      </c>
      <c r="N1285" s="33" t="s">
        <v>146</v>
      </c>
      <c r="O1285" s="33" t="s">
        <v>147</v>
      </c>
    </row>
    <row r="1286" customFormat="false" ht="15" hidden="false" customHeight="false" outlineLevel="0" collapsed="false">
      <c r="A1286" s="33" t="s">
        <v>1487</v>
      </c>
      <c r="B1286" s="34" t="n">
        <v>45507</v>
      </c>
      <c r="C1286" s="34" t="n">
        <v>45509</v>
      </c>
      <c r="D1286" s="33" t="n">
        <v>5</v>
      </c>
      <c r="E1286" s="33" t="s">
        <v>279</v>
      </c>
      <c r="F1286" s="33" t="s">
        <v>155</v>
      </c>
      <c r="G1286" s="33" t="s">
        <v>302</v>
      </c>
      <c r="H1286" s="33" t="s">
        <v>222</v>
      </c>
      <c r="I1286" s="33" t="s">
        <v>143</v>
      </c>
      <c r="J1286" s="33" t="s">
        <v>159</v>
      </c>
      <c r="K1286" s="33" t="s">
        <v>145</v>
      </c>
      <c r="L1286" s="35" t="n">
        <v>1217.56</v>
      </c>
      <c r="M1286" s="33" t="n">
        <v>5</v>
      </c>
      <c r="N1286" s="33" t="s">
        <v>146</v>
      </c>
      <c r="O1286" s="36"/>
    </row>
    <row r="1287" customFormat="false" ht="15" hidden="false" customHeight="false" outlineLevel="0" collapsed="false">
      <c r="A1287" s="33" t="s">
        <v>166</v>
      </c>
      <c r="B1287" s="34" t="n">
        <v>45455</v>
      </c>
      <c r="C1287" s="34" t="n">
        <v>45458</v>
      </c>
      <c r="D1287" s="33" t="n">
        <v>60</v>
      </c>
      <c r="E1287" s="33" t="s">
        <v>216</v>
      </c>
      <c r="F1287" s="33" t="s">
        <v>140</v>
      </c>
      <c r="G1287" s="33" t="s">
        <v>167</v>
      </c>
      <c r="H1287" s="33" t="s">
        <v>142</v>
      </c>
      <c r="I1287" s="33" t="s">
        <v>143</v>
      </c>
      <c r="J1287" s="33" t="s">
        <v>144</v>
      </c>
      <c r="K1287" s="36"/>
      <c r="L1287" s="35" t="n">
        <v>13156.21</v>
      </c>
      <c r="M1287" s="33" t="n">
        <v>5</v>
      </c>
      <c r="N1287" s="33" t="s">
        <v>146</v>
      </c>
      <c r="O1287" s="33" t="s">
        <v>147</v>
      </c>
    </row>
    <row r="1288" customFormat="false" ht="15" hidden="false" customHeight="false" outlineLevel="0" collapsed="false">
      <c r="A1288" s="33" t="s">
        <v>1488</v>
      </c>
      <c r="B1288" s="34" t="n">
        <v>45503</v>
      </c>
      <c r="C1288" s="34" t="n">
        <v>45507</v>
      </c>
      <c r="D1288" s="33" t="n">
        <v>4</v>
      </c>
      <c r="E1288" s="33" t="s">
        <v>139</v>
      </c>
      <c r="F1288" s="33" t="s">
        <v>155</v>
      </c>
      <c r="G1288" s="33" t="s">
        <v>302</v>
      </c>
      <c r="H1288" s="33" t="s">
        <v>157</v>
      </c>
      <c r="I1288" s="33" t="s">
        <v>143</v>
      </c>
      <c r="J1288" s="33" t="s">
        <v>159</v>
      </c>
      <c r="K1288" s="33" t="s">
        <v>184</v>
      </c>
      <c r="L1288" s="35" t="n">
        <v>3539.45</v>
      </c>
      <c r="M1288" s="33" t="n">
        <v>3</v>
      </c>
      <c r="N1288" s="33" t="s">
        <v>146</v>
      </c>
      <c r="O1288" s="33" t="s">
        <v>147</v>
      </c>
    </row>
    <row r="1289" customFormat="false" ht="15" hidden="false" customHeight="false" outlineLevel="0" collapsed="false">
      <c r="A1289" s="33" t="s">
        <v>1489</v>
      </c>
      <c r="B1289" s="34" t="n">
        <v>45314</v>
      </c>
      <c r="C1289" s="34" t="n">
        <v>45315</v>
      </c>
      <c r="D1289" s="33" t="n">
        <v>13</v>
      </c>
      <c r="E1289" s="33" t="s">
        <v>139</v>
      </c>
      <c r="F1289" s="33" t="s">
        <v>203</v>
      </c>
      <c r="G1289" s="33" t="s">
        <v>204</v>
      </c>
      <c r="H1289" s="33" t="s">
        <v>205</v>
      </c>
      <c r="I1289" s="33" t="s">
        <v>143</v>
      </c>
      <c r="J1289" s="33" t="s">
        <v>144</v>
      </c>
      <c r="K1289" s="33" t="s">
        <v>209</v>
      </c>
      <c r="L1289" s="35" t="n">
        <v>1532.86</v>
      </c>
      <c r="M1289" s="33" t="n">
        <v>2</v>
      </c>
      <c r="N1289" s="33" t="s">
        <v>146</v>
      </c>
      <c r="O1289" s="33" t="s">
        <v>147</v>
      </c>
    </row>
    <row r="1290" customFormat="false" ht="15" hidden="false" customHeight="false" outlineLevel="0" collapsed="false">
      <c r="A1290" s="33" t="s">
        <v>1490</v>
      </c>
      <c r="B1290" s="34" t="n">
        <v>45518</v>
      </c>
      <c r="C1290" s="34" t="n">
        <v>45521</v>
      </c>
      <c r="D1290" s="33" t="n">
        <v>24</v>
      </c>
      <c r="E1290" s="33" t="s">
        <v>139</v>
      </c>
      <c r="F1290" s="33" t="s">
        <v>149</v>
      </c>
      <c r="G1290" s="33" t="s">
        <v>150</v>
      </c>
      <c r="H1290" s="33" t="s">
        <v>186</v>
      </c>
      <c r="I1290" s="33" t="s">
        <v>152</v>
      </c>
      <c r="J1290" s="33" t="s">
        <v>159</v>
      </c>
      <c r="K1290" s="36"/>
      <c r="L1290" s="35" t="n">
        <v>4472.27</v>
      </c>
      <c r="M1290" s="33" t="n">
        <v>5</v>
      </c>
      <c r="N1290" s="33" t="s">
        <v>146</v>
      </c>
      <c r="O1290" s="36"/>
    </row>
    <row r="1291" customFormat="false" ht="15" hidden="false" customHeight="false" outlineLevel="0" collapsed="false">
      <c r="A1291" s="33" t="s">
        <v>1491</v>
      </c>
      <c r="B1291" s="34" t="n">
        <v>45316</v>
      </c>
      <c r="C1291" s="34" t="n">
        <v>45317</v>
      </c>
      <c r="D1291" s="33" t="n">
        <v>22</v>
      </c>
      <c r="E1291" s="33" t="s">
        <v>139</v>
      </c>
      <c r="F1291" s="33" t="s">
        <v>149</v>
      </c>
      <c r="G1291" s="33" t="s">
        <v>150</v>
      </c>
      <c r="H1291" s="36"/>
      <c r="I1291" s="33" t="s">
        <v>143</v>
      </c>
      <c r="J1291" s="33" t="s">
        <v>159</v>
      </c>
      <c r="K1291" s="33" t="s">
        <v>145</v>
      </c>
      <c r="L1291" s="35" t="n">
        <v>1457.82</v>
      </c>
      <c r="M1291" s="33" t="n">
        <v>4</v>
      </c>
      <c r="N1291" s="33" t="s">
        <v>146</v>
      </c>
      <c r="O1291" s="33" t="s">
        <v>147</v>
      </c>
    </row>
    <row r="1292" customFormat="false" ht="15" hidden="false" customHeight="false" outlineLevel="0" collapsed="false">
      <c r="A1292" s="33" t="s">
        <v>1492</v>
      </c>
      <c r="B1292" s="34" t="n">
        <v>45598</v>
      </c>
      <c r="C1292" s="34" t="n">
        <v>45601</v>
      </c>
      <c r="D1292" s="33" t="n">
        <v>55</v>
      </c>
      <c r="E1292" s="33" t="s">
        <v>139</v>
      </c>
      <c r="F1292" s="33" t="s">
        <v>169</v>
      </c>
      <c r="G1292" s="33" t="s">
        <v>213</v>
      </c>
      <c r="H1292" s="33" t="s">
        <v>171</v>
      </c>
      <c r="I1292" s="33" t="s">
        <v>152</v>
      </c>
      <c r="J1292" s="33" t="s">
        <v>144</v>
      </c>
      <c r="K1292" s="33" t="s">
        <v>184</v>
      </c>
      <c r="L1292" s="35" t="n">
        <v>6178.77</v>
      </c>
      <c r="M1292" s="33" t="n">
        <v>5</v>
      </c>
      <c r="N1292" s="33" t="s">
        <v>146</v>
      </c>
      <c r="O1292" s="33" t="s">
        <v>147</v>
      </c>
    </row>
    <row r="1293" customFormat="false" ht="15" hidden="false" customHeight="false" outlineLevel="0" collapsed="false">
      <c r="A1293" s="33" t="s">
        <v>1493</v>
      </c>
      <c r="B1293" s="34" t="n">
        <v>45328</v>
      </c>
      <c r="C1293" s="34" t="n">
        <v>45331</v>
      </c>
      <c r="D1293" s="33" t="n">
        <v>36</v>
      </c>
      <c r="E1293" s="33" t="s">
        <v>154</v>
      </c>
      <c r="F1293" s="33" t="s">
        <v>173</v>
      </c>
      <c r="G1293" s="33" t="s">
        <v>178</v>
      </c>
      <c r="H1293" s="33" t="s">
        <v>175</v>
      </c>
      <c r="I1293" s="33" t="s">
        <v>143</v>
      </c>
      <c r="J1293" s="33" t="s">
        <v>159</v>
      </c>
      <c r="K1293" s="33" t="s">
        <v>145</v>
      </c>
      <c r="L1293" s="35" t="n">
        <v>10019.3</v>
      </c>
      <c r="M1293" s="33" t="n">
        <v>4</v>
      </c>
      <c r="N1293" s="33" t="s">
        <v>210</v>
      </c>
      <c r="O1293" s="33" t="s">
        <v>147</v>
      </c>
    </row>
    <row r="1294" customFormat="false" ht="15" hidden="false" customHeight="false" outlineLevel="0" collapsed="false">
      <c r="A1294" s="33" t="s">
        <v>1494</v>
      </c>
      <c r="B1294" s="34" t="n">
        <v>45506</v>
      </c>
      <c r="C1294" s="34" t="n">
        <v>45508</v>
      </c>
      <c r="D1294" s="33" t="n">
        <v>29</v>
      </c>
      <c r="E1294" s="33" t="s">
        <v>139</v>
      </c>
      <c r="F1294" s="33" t="s">
        <v>149</v>
      </c>
      <c r="G1294" s="33" t="s">
        <v>150</v>
      </c>
      <c r="H1294" s="33" t="s">
        <v>186</v>
      </c>
      <c r="I1294" s="33" t="s">
        <v>143</v>
      </c>
      <c r="J1294" s="33" t="s">
        <v>159</v>
      </c>
      <c r="K1294" s="33" t="s">
        <v>209</v>
      </c>
      <c r="L1294" s="35" t="n">
        <v>2689.75</v>
      </c>
      <c r="M1294" s="33" t="n">
        <v>4</v>
      </c>
      <c r="N1294" s="33" t="s">
        <v>146</v>
      </c>
      <c r="O1294" s="33" t="s">
        <v>147</v>
      </c>
    </row>
    <row r="1295" customFormat="false" ht="15" hidden="false" customHeight="false" outlineLevel="0" collapsed="false">
      <c r="A1295" s="33" t="s">
        <v>1495</v>
      </c>
      <c r="B1295" s="34" t="n">
        <v>45634</v>
      </c>
      <c r="C1295" s="34" t="n">
        <v>45642</v>
      </c>
      <c r="D1295" s="33" t="n">
        <v>52</v>
      </c>
      <c r="E1295" s="33" t="s">
        <v>154</v>
      </c>
      <c r="F1295" s="33" t="s">
        <v>169</v>
      </c>
      <c r="G1295" s="33" t="s">
        <v>170</v>
      </c>
      <c r="H1295" s="33" t="s">
        <v>164</v>
      </c>
      <c r="I1295" s="33" t="s">
        <v>152</v>
      </c>
      <c r="J1295" s="33" t="s">
        <v>159</v>
      </c>
      <c r="K1295" s="33" t="s">
        <v>145</v>
      </c>
      <c r="L1295" s="35" t="n">
        <v>9455.09</v>
      </c>
      <c r="M1295" s="33" t="n">
        <v>4</v>
      </c>
      <c r="N1295" s="33" t="s">
        <v>146</v>
      </c>
      <c r="O1295" s="33" t="s">
        <v>147</v>
      </c>
    </row>
    <row r="1296" customFormat="false" ht="15" hidden="false" customHeight="false" outlineLevel="0" collapsed="false">
      <c r="A1296" s="33" t="s">
        <v>1496</v>
      </c>
      <c r="B1296" s="34" t="n">
        <v>45435</v>
      </c>
      <c r="C1296" s="34" t="n">
        <v>45436</v>
      </c>
      <c r="D1296" s="33" t="n">
        <v>36</v>
      </c>
      <c r="E1296" s="33" t="s">
        <v>139</v>
      </c>
      <c r="F1296" s="33" t="s">
        <v>173</v>
      </c>
      <c r="G1296" s="33" t="s">
        <v>174</v>
      </c>
      <c r="H1296" s="33" t="s">
        <v>175</v>
      </c>
      <c r="I1296" s="33" t="s">
        <v>143</v>
      </c>
      <c r="J1296" s="33" t="s">
        <v>159</v>
      </c>
      <c r="K1296" s="33" t="s">
        <v>145</v>
      </c>
      <c r="L1296" s="35" t="n">
        <v>2176.23</v>
      </c>
      <c r="M1296" s="33" t="n">
        <v>4</v>
      </c>
      <c r="N1296" s="33" t="s">
        <v>146</v>
      </c>
      <c r="O1296" s="33" t="s">
        <v>147</v>
      </c>
    </row>
    <row r="1297" customFormat="false" ht="15" hidden="false" customHeight="false" outlineLevel="0" collapsed="false">
      <c r="A1297" s="33" t="s">
        <v>1497</v>
      </c>
      <c r="B1297" s="34" t="n">
        <v>45636</v>
      </c>
      <c r="C1297" s="34" t="n">
        <v>45638</v>
      </c>
      <c r="D1297" s="33" t="n">
        <v>87</v>
      </c>
      <c r="E1297" s="33" t="s">
        <v>154</v>
      </c>
      <c r="F1297" s="33" t="s">
        <v>169</v>
      </c>
      <c r="G1297" s="33" t="s">
        <v>163</v>
      </c>
      <c r="H1297" s="33" t="s">
        <v>195</v>
      </c>
      <c r="I1297" s="33" t="s">
        <v>143</v>
      </c>
      <c r="J1297" s="33" t="s">
        <v>159</v>
      </c>
      <c r="K1297" s="33" t="s">
        <v>145</v>
      </c>
      <c r="L1297" s="35" t="n">
        <v>2227</v>
      </c>
      <c r="M1297" s="33" t="n">
        <v>5</v>
      </c>
      <c r="N1297" s="33" t="s">
        <v>146</v>
      </c>
      <c r="O1297" s="33" t="s">
        <v>147</v>
      </c>
    </row>
    <row r="1298" customFormat="false" ht="15" hidden="false" customHeight="false" outlineLevel="0" collapsed="false">
      <c r="A1298" s="33" t="s">
        <v>1498</v>
      </c>
      <c r="B1298" s="34" t="n">
        <v>45468</v>
      </c>
      <c r="C1298" s="34" t="n">
        <v>45470</v>
      </c>
      <c r="D1298" s="33" t="n">
        <v>32</v>
      </c>
      <c r="E1298" s="33" t="s">
        <v>154</v>
      </c>
      <c r="F1298" s="33" t="s">
        <v>173</v>
      </c>
      <c r="G1298" s="33" t="s">
        <v>174</v>
      </c>
      <c r="H1298" s="33" t="s">
        <v>199</v>
      </c>
      <c r="I1298" s="33" t="s">
        <v>143</v>
      </c>
      <c r="J1298" s="33" t="s">
        <v>144</v>
      </c>
      <c r="K1298" s="33" t="s">
        <v>145</v>
      </c>
      <c r="L1298" s="35" t="n">
        <v>7273.28</v>
      </c>
      <c r="M1298" s="33" t="n">
        <v>4</v>
      </c>
      <c r="N1298" s="33" t="s">
        <v>146</v>
      </c>
      <c r="O1298" s="33" t="s">
        <v>147</v>
      </c>
    </row>
    <row r="1299" customFormat="false" ht="15" hidden="false" customHeight="false" outlineLevel="0" collapsed="false">
      <c r="A1299" s="33" t="s">
        <v>1499</v>
      </c>
      <c r="B1299" s="34" t="n">
        <v>45547</v>
      </c>
      <c r="C1299" s="34" t="n">
        <v>45555</v>
      </c>
      <c r="D1299" s="33" t="n">
        <v>4</v>
      </c>
      <c r="E1299" s="33" t="s">
        <v>154</v>
      </c>
      <c r="F1299" s="33" t="s">
        <v>155</v>
      </c>
      <c r="G1299" s="33" t="s">
        <v>156</v>
      </c>
      <c r="H1299" s="33" t="s">
        <v>157</v>
      </c>
      <c r="I1299" s="33" t="s">
        <v>152</v>
      </c>
      <c r="J1299" s="33" t="s">
        <v>144</v>
      </c>
      <c r="K1299" s="33" t="s">
        <v>145</v>
      </c>
      <c r="L1299" s="35" t="n">
        <v>10575.35</v>
      </c>
      <c r="M1299" s="33" t="n">
        <v>4</v>
      </c>
      <c r="N1299" s="33" t="s">
        <v>146</v>
      </c>
      <c r="O1299" s="33" t="s">
        <v>147</v>
      </c>
    </row>
    <row r="1300" customFormat="false" ht="15" hidden="false" customHeight="false" outlineLevel="0" collapsed="false">
      <c r="A1300" s="33" t="s">
        <v>1500</v>
      </c>
      <c r="B1300" s="34" t="n">
        <v>45296</v>
      </c>
      <c r="C1300" s="34" t="n">
        <v>45300</v>
      </c>
      <c r="D1300" s="33" t="n">
        <v>42</v>
      </c>
      <c r="E1300" s="33" t="s">
        <v>139</v>
      </c>
      <c r="F1300" s="33" t="s">
        <v>169</v>
      </c>
      <c r="G1300" s="33" t="s">
        <v>213</v>
      </c>
      <c r="H1300" s="33" t="s">
        <v>171</v>
      </c>
      <c r="I1300" s="33" t="s">
        <v>143</v>
      </c>
      <c r="J1300" s="33" t="s">
        <v>159</v>
      </c>
      <c r="K1300" s="33" t="s">
        <v>184</v>
      </c>
      <c r="L1300" s="35" t="n">
        <v>5473.85</v>
      </c>
      <c r="M1300" s="33" t="n">
        <v>5</v>
      </c>
      <c r="N1300" s="33" t="s">
        <v>146</v>
      </c>
      <c r="O1300" s="33" t="s">
        <v>147</v>
      </c>
    </row>
    <row r="1301" customFormat="false" ht="15" hidden="false" customHeight="false" outlineLevel="0" collapsed="false">
      <c r="A1301" s="33" t="s">
        <v>1501</v>
      </c>
      <c r="B1301" s="34" t="n">
        <v>45323</v>
      </c>
      <c r="C1301" s="34" t="n">
        <v>45326</v>
      </c>
      <c r="D1301" s="33" t="n">
        <v>51</v>
      </c>
      <c r="E1301" s="33" t="s">
        <v>139</v>
      </c>
      <c r="F1301" s="33" t="s">
        <v>140</v>
      </c>
      <c r="G1301" s="33" t="s">
        <v>167</v>
      </c>
      <c r="H1301" s="33" t="s">
        <v>142</v>
      </c>
      <c r="I1301" s="33" t="s">
        <v>152</v>
      </c>
      <c r="J1301" s="33" t="s">
        <v>159</v>
      </c>
      <c r="K1301" s="33" t="s">
        <v>160</v>
      </c>
      <c r="L1301" s="35" t="n">
        <v>5438.86</v>
      </c>
      <c r="M1301" s="33" t="n">
        <v>5</v>
      </c>
      <c r="N1301" s="33" t="s">
        <v>146</v>
      </c>
      <c r="O1301" s="33" t="s">
        <v>147</v>
      </c>
    </row>
    <row r="1302" customFormat="false" ht="15" hidden="false" customHeight="false" outlineLevel="0" collapsed="false">
      <c r="A1302" s="33" t="s">
        <v>1502</v>
      </c>
      <c r="B1302" s="34" t="n">
        <v>45306</v>
      </c>
      <c r="C1302" s="34" t="n">
        <v>45308</v>
      </c>
      <c r="D1302" s="33" t="n">
        <v>50</v>
      </c>
      <c r="E1302" s="33" t="s">
        <v>139</v>
      </c>
      <c r="F1302" s="33" t="s">
        <v>203</v>
      </c>
      <c r="G1302" s="33" t="s">
        <v>204</v>
      </c>
      <c r="H1302" s="33" t="s">
        <v>193</v>
      </c>
      <c r="I1302" s="33" t="s">
        <v>143</v>
      </c>
      <c r="J1302" s="33" t="s">
        <v>159</v>
      </c>
      <c r="K1302" s="33" t="s">
        <v>160</v>
      </c>
      <c r="L1302" s="35" t="n">
        <v>2109.43</v>
      </c>
      <c r="M1302" s="33" t="n">
        <v>5</v>
      </c>
      <c r="N1302" s="33" t="s">
        <v>146</v>
      </c>
      <c r="O1302" s="33" t="s">
        <v>147</v>
      </c>
    </row>
    <row r="1303" customFormat="false" ht="15" hidden="false" customHeight="false" outlineLevel="0" collapsed="false">
      <c r="A1303" s="33" t="s">
        <v>1503</v>
      </c>
      <c r="B1303" s="34" t="n">
        <v>45343</v>
      </c>
      <c r="C1303" s="34" t="n">
        <v>45353</v>
      </c>
      <c r="D1303" s="33" t="n">
        <v>68</v>
      </c>
      <c r="E1303" s="33" t="s">
        <v>139</v>
      </c>
      <c r="F1303" s="33" t="s">
        <v>173</v>
      </c>
      <c r="G1303" s="33" t="s">
        <v>174</v>
      </c>
      <c r="H1303" s="33" t="s">
        <v>175</v>
      </c>
      <c r="I1303" s="33" t="s">
        <v>158</v>
      </c>
      <c r="J1303" s="33" t="s">
        <v>159</v>
      </c>
      <c r="K1303" s="33" t="s">
        <v>184</v>
      </c>
      <c r="L1303" s="35" t="n">
        <v>17645.35</v>
      </c>
      <c r="M1303" s="33" t="n">
        <v>5</v>
      </c>
      <c r="N1303" s="33" t="s">
        <v>146</v>
      </c>
      <c r="O1303" s="33" t="s">
        <v>147</v>
      </c>
    </row>
    <row r="1304" customFormat="false" ht="15" hidden="false" customHeight="false" outlineLevel="0" collapsed="false">
      <c r="A1304" s="33" t="s">
        <v>1504</v>
      </c>
      <c r="B1304" s="34" t="n">
        <v>45320</v>
      </c>
      <c r="C1304" s="34" t="n">
        <v>45323</v>
      </c>
      <c r="D1304" s="33" t="n">
        <v>11</v>
      </c>
      <c r="E1304" s="33" t="s">
        <v>154</v>
      </c>
      <c r="F1304" s="33" t="s">
        <v>155</v>
      </c>
      <c r="G1304" s="33" t="s">
        <v>220</v>
      </c>
      <c r="H1304" s="33" t="s">
        <v>157</v>
      </c>
      <c r="I1304" s="33" t="s">
        <v>152</v>
      </c>
      <c r="J1304" s="33" t="s">
        <v>144</v>
      </c>
      <c r="K1304" s="33" t="s">
        <v>184</v>
      </c>
      <c r="L1304" s="35" t="n">
        <v>4882.47</v>
      </c>
      <c r="M1304" s="33" t="n">
        <v>4</v>
      </c>
      <c r="N1304" s="33" t="s">
        <v>146</v>
      </c>
      <c r="O1304" s="33" t="s">
        <v>147</v>
      </c>
    </row>
    <row r="1305" customFormat="false" ht="15" hidden="false" customHeight="false" outlineLevel="0" collapsed="false">
      <c r="A1305" s="33" t="s">
        <v>1505</v>
      </c>
      <c r="B1305" s="34" t="n">
        <v>45326</v>
      </c>
      <c r="C1305" s="34" t="n">
        <v>45328</v>
      </c>
      <c r="D1305" s="33" t="n">
        <v>66</v>
      </c>
      <c r="E1305" s="33" t="s">
        <v>139</v>
      </c>
      <c r="F1305" s="33" t="s">
        <v>162</v>
      </c>
      <c r="G1305" s="33" t="s">
        <v>170</v>
      </c>
      <c r="H1305" s="33" t="s">
        <v>195</v>
      </c>
      <c r="I1305" s="33" t="s">
        <v>152</v>
      </c>
      <c r="J1305" s="33" t="s">
        <v>159</v>
      </c>
      <c r="K1305" s="33" t="s">
        <v>160</v>
      </c>
      <c r="L1305" s="35" t="n">
        <v>1936</v>
      </c>
      <c r="M1305" s="33" t="n">
        <v>5</v>
      </c>
      <c r="N1305" s="33" t="s">
        <v>210</v>
      </c>
      <c r="O1305" s="33" t="s">
        <v>147</v>
      </c>
    </row>
    <row r="1306" customFormat="false" ht="15" hidden="false" customHeight="false" outlineLevel="0" collapsed="false">
      <c r="A1306" s="33" t="s">
        <v>1506</v>
      </c>
      <c r="B1306" s="34" t="n">
        <v>45516</v>
      </c>
      <c r="C1306" s="34" t="n">
        <v>45521</v>
      </c>
      <c r="D1306" s="33" t="n">
        <v>47</v>
      </c>
      <c r="E1306" s="33" t="s">
        <v>139</v>
      </c>
      <c r="F1306" s="33" t="s">
        <v>169</v>
      </c>
      <c r="G1306" s="33" t="s">
        <v>170</v>
      </c>
      <c r="H1306" s="33" t="s">
        <v>171</v>
      </c>
      <c r="I1306" s="33" t="s">
        <v>143</v>
      </c>
      <c r="J1306" s="33" t="s">
        <v>159</v>
      </c>
      <c r="K1306" s="33" t="s">
        <v>160</v>
      </c>
      <c r="L1306" s="35" t="n">
        <v>5192</v>
      </c>
      <c r="M1306" s="33" t="n">
        <v>3</v>
      </c>
      <c r="N1306" s="33" t="s">
        <v>146</v>
      </c>
      <c r="O1306" s="33" t="s">
        <v>147</v>
      </c>
    </row>
    <row r="1307" customFormat="false" ht="15" hidden="false" customHeight="false" outlineLevel="0" collapsed="false">
      <c r="A1307" s="33" t="s">
        <v>1507</v>
      </c>
      <c r="B1307" s="34" t="n">
        <v>45627</v>
      </c>
      <c r="C1307" s="34" t="n">
        <v>45629</v>
      </c>
      <c r="D1307" s="33" t="n">
        <v>82</v>
      </c>
      <c r="E1307" s="33" t="s">
        <v>139</v>
      </c>
      <c r="F1307" s="33" t="s">
        <v>181</v>
      </c>
      <c r="G1307" s="33" t="s">
        <v>237</v>
      </c>
      <c r="H1307" s="33" t="s">
        <v>245</v>
      </c>
      <c r="I1307" s="33" t="s">
        <v>143</v>
      </c>
      <c r="J1307" s="33" t="s">
        <v>144</v>
      </c>
      <c r="K1307" s="33" t="s">
        <v>209</v>
      </c>
      <c r="L1307" s="35" t="n">
        <v>8319.3</v>
      </c>
      <c r="M1307" s="33" t="n">
        <v>3</v>
      </c>
      <c r="N1307" s="33" t="s">
        <v>210</v>
      </c>
      <c r="O1307" s="33" t="s">
        <v>147</v>
      </c>
    </row>
    <row r="1308" customFormat="false" ht="15" hidden="false" customHeight="false" outlineLevel="0" collapsed="false">
      <c r="A1308" s="33" t="s">
        <v>1508</v>
      </c>
      <c r="B1308" s="34" t="n">
        <v>45556</v>
      </c>
      <c r="C1308" s="34" t="n">
        <v>45561</v>
      </c>
      <c r="D1308" s="33" t="n">
        <v>52</v>
      </c>
      <c r="E1308" s="33" t="s">
        <v>139</v>
      </c>
      <c r="F1308" s="33" t="s">
        <v>203</v>
      </c>
      <c r="G1308" s="33" t="s">
        <v>204</v>
      </c>
      <c r="H1308" s="33" t="s">
        <v>193</v>
      </c>
      <c r="I1308" s="33" t="s">
        <v>143</v>
      </c>
      <c r="J1308" s="33" t="s">
        <v>159</v>
      </c>
      <c r="K1308" s="33" t="s">
        <v>145</v>
      </c>
      <c r="L1308" s="35" t="n">
        <v>5165.9</v>
      </c>
      <c r="M1308" s="33" t="n">
        <v>3</v>
      </c>
      <c r="N1308" s="33" t="s">
        <v>146</v>
      </c>
      <c r="O1308" s="33" t="s">
        <v>147</v>
      </c>
    </row>
    <row r="1309" customFormat="false" ht="15" hidden="false" customHeight="false" outlineLevel="0" collapsed="false">
      <c r="A1309" s="33" t="s">
        <v>1509</v>
      </c>
      <c r="B1309" s="34" t="n">
        <v>45577</v>
      </c>
      <c r="C1309" s="34" t="n">
        <v>45579</v>
      </c>
      <c r="D1309" s="33" t="n">
        <v>11</v>
      </c>
      <c r="E1309" s="33" t="s">
        <v>279</v>
      </c>
      <c r="F1309" s="33" t="s">
        <v>288</v>
      </c>
      <c r="G1309" s="33" t="s">
        <v>302</v>
      </c>
      <c r="H1309" s="33" t="s">
        <v>222</v>
      </c>
      <c r="I1309" s="33" t="s">
        <v>143</v>
      </c>
      <c r="J1309" s="33" t="s">
        <v>159</v>
      </c>
      <c r="K1309" s="33" t="s">
        <v>209</v>
      </c>
      <c r="L1309" s="35" t="n">
        <v>1961.69</v>
      </c>
      <c r="M1309" s="33" t="n">
        <v>3</v>
      </c>
      <c r="N1309" s="33" t="s">
        <v>146</v>
      </c>
      <c r="O1309" s="33" t="s">
        <v>206</v>
      </c>
    </row>
    <row r="1310" customFormat="false" ht="15" hidden="false" customHeight="false" outlineLevel="0" collapsed="false">
      <c r="A1310" s="33" t="s">
        <v>1510</v>
      </c>
      <c r="B1310" s="34" t="n">
        <v>45644</v>
      </c>
      <c r="C1310" s="34" t="n">
        <v>45645</v>
      </c>
      <c r="D1310" s="33" t="n">
        <v>34</v>
      </c>
      <c r="E1310" s="33" t="s">
        <v>154</v>
      </c>
      <c r="F1310" s="33" t="s">
        <v>169</v>
      </c>
      <c r="G1310" s="33" t="s">
        <v>163</v>
      </c>
      <c r="H1310" s="33" t="s">
        <v>195</v>
      </c>
      <c r="I1310" s="33" t="s">
        <v>158</v>
      </c>
      <c r="J1310" s="33" t="s">
        <v>159</v>
      </c>
      <c r="K1310" s="33" t="s">
        <v>209</v>
      </c>
      <c r="L1310" s="35" t="n">
        <v>1061.21</v>
      </c>
      <c r="M1310" s="33" t="n">
        <v>4</v>
      </c>
      <c r="N1310" s="33" t="s">
        <v>210</v>
      </c>
      <c r="O1310" s="33" t="s">
        <v>147</v>
      </c>
    </row>
    <row r="1311" customFormat="false" ht="15" hidden="false" customHeight="false" outlineLevel="0" collapsed="false">
      <c r="A1311" s="33" t="s">
        <v>1511</v>
      </c>
      <c r="B1311" s="34" t="n">
        <v>45530</v>
      </c>
      <c r="C1311" s="34" t="n">
        <v>45532</v>
      </c>
      <c r="D1311" s="36" t="n">
        <v>-3</v>
      </c>
      <c r="E1311" s="33" t="s">
        <v>154</v>
      </c>
      <c r="F1311" s="33" t="s">
        <v>376</v>
      </c>
      <c r="G1311" s="33" t="s">
        <v>302</v>
      </c>
      <c r="H1311" s="33" t="s">
        <v>222</v>
      </c>
      <c r="I1311" s="33" t="s">
        <v>143</v>
      </c>
      <c r="J1311" s="33" t="s">
        <v>159</v>
      </c>
      <c r="K1311" s="33" t="s">
        <v>160</v>
      </c>
      <c r="L1311" s="35" t="n">
        <v>1724.18</v>
      </c>
      <c r="M1311" s="33" t="n">
        <v>4</v>
      </c>
      <c r="N1311" s="33" t="s">
        <v>146</v>
      </c>
      <c r="O1311" s="33" t="s">
        <v>147</v>
      </c>
    </row>
    <row r="1312" customFormat="false" ht="15" hidden="false" customHeight="false" outlineLevel="0" collapsed="false">
      <c r="A1312" s="33" t="s">
        <v>1512</v>
      </c>
      <c r="B1312" s="34" t="n">
        <v>45424</v>
      </c>
      <c r="C1312" s="34" t="n">
        <v>45425</v>
      </c>
      <c r="D1312" s="33" t="n">
        <v>25</v>
      </c>
      <c r="E1312" s="33" t="s">
        <v>154</v>
      </c>
      <c r="F1312" s="33" t="s">
        <v>203</v>
      </c>
      <c r="G1312" s="33" t="s">
        <v>204</v>
      </c>
      <c r="H1312" s="33" t="s">
        <v>233</v>
      </c>
      <c r="I1312" s="33" t="s">
        <v>158</v>
      </c>
      <c r="J1312" s="33" t="s">
        <v>159</v>
      </c>
      <c r="K1312" s="33" t="s">
        <v>160</v>
      </c>
      <c r="L1312" s="35" t="n">
        <v>865.41</v>
      </c>
      <c r="M1312" s="33" t="n">
        <v>4</v>
      </c>
      <c r="N1312" s="33" t="s">
        <v>146</v>
      </c>
      <c r="O1312" s="33" t="s">
        <v>206</v>
      </c>
    </row>
    <row r="1313" customFormat="false" ht="15" hidden="false" customHeight="false" outlineLevel="0" collapsed="false">
      <c r="A1313" s="33" t="s">
        <v>1513</v>
      </c>
      <c r="B1313" s="34" t="n">
        <v>45337</v>
      </c>
      <c r="C1313" s="34" t="n">
        <v>45340</v>
      </c>
      <c r="D1313" s="33" t="n">
        <v>6</v>
      </c>
      <c r="E1313" s="33" t="s">
        <v>154</v>
      </c>
      <c r="F1313" s="33" t="s">
        <v>169</v>
      </c>
      <c r="G1313" s="33" t="s">
        <v>230</v>
      </c>
      <c r="H1313" s="33" t="s">
        <v>195</v>
      </c>
      <c r="I1313" s="33" t="s">
        <v>152</v>
      </c>
      <c r="J1313" s="33" t="s">
        <v>144</v>
      </c>
      <c r="K1313" s="33" t="s">
        <v>209</v>
      </c>
      <c r="L1313" s="35" t="n">
        <v>6774.02</v>
      </c>
      <c r="M1313" s="33" t="n">
        <v>3</v>
      </c>
      <c r="N1313" s="33" t="s">
        <v>146</v>
      </c>
      <c r="O1313" s="33" t="s">
        <v>147</v>
      </c>
    </row>
    <row r="1314" customFormat="false" ht="15" hidden="false" customHeight="false" outlineLevel="0" collapsed="false">
      <c r="A1314" s="33" t="s">
        <v>1514</v>
      </c>
      <c r="B1314" s="34" t="n">
        <v>45550</v>
      </c>
      <c r="C1314" s="34" t="n">
        <v>45551</v>
      </c>
      <c r="D1314" s="33" t="n">
        <v>84</v>
      </c>
      <c r="E1314" s="33" t="s">
        <v>154</v>
      </c>
      <c r="F1314" s="33" t="s">
        <v>203</v>
      </c>
      <c r="G1314" s="33" t="s">
        <v>241</v>
      </c>
      <c r="H1314" s="33" t="s">
        <v>193</v>
      </c>
      <c r="I1314" s="33" t="s">
        <v>143</v>
      </c>
      <c r="J1314" s="33" t="s">
        <v>159</v>
      </c>
      <c r="K1314" s="33" t="s">
        <v>184</v>
      </c>
      <c r="L1314" s="35" t="n">
        <v>814.68</v>
      </c>
      <c r="M1314" s="33" t="n">
        <v>2</v>
      </c>
      <c r="N1314" s="33" t="s">
        <v>146</v>
      </c>
      <c r="O1314" s="33" t="s">
        <v>147</v>
      </c>
    </row>
    <row r="1315" customFormat="false" ht="15" hidden="false" customHeight="false" outlineLevel="0" collapsed="false">
      <c r="A1315" s="33" t="s">
        <v>1515</v>
      </c>
      <c r="B1315" s="34" t="n">
        <v>45346</v>
      </c>
      <c r="C1315" s="34" t="n">
        <v>45355</v>
      </c>
      <c r="D1315" s="33" t="n">
        <v>61</v>
      </c>
      <c r="E1315" s="33" t="s">
        <v>139</v>
      </c>
      <c r="F1315" s="33" t="s">
        <v>181</v>
      </c>
      <c r="G1315" s="33" t="s">
        <v>237</v>
      </c>
      <c r="H1315" s="33" t="s">
        <v>245</v>
      </c>
      <c r="I1315" s="33" t="s">
        <v>143</v>
      </c>
      <c r="J1315" s="33" t="s">
        <v>159</v>
      </c>
      <c r="K1315" s="33" t="s">
        <v>184</v>
      </c>
      <c r="L1315" s="35" t="n">
        <v>22263.67</v>
      </c>
      <c r="M1315" s="33" t="n">
        <v>5</v>
      </c>
      <c r="N1315" s="33" t="s">
        <v>146</v>
      </c>
      <c r="O1315" s="33" t="s">
        <v>147</v>
      </c>
    </row>
    <row r="1316" customFormat="false" ht="15" hidden="false" customHeight="false" outlineLevel="0" collapsed="false">
      <c r="A1316" s="33" t="s">
        <v>1516</v>
      </c>
      <c r="B1316" s="34" t="n">
        <v>45436</v>
      </c>
      <c r="C1316" s="34" t="n">
        <v>45437</v>
      </c>
      <c r="D1316" s="33" t="n">
        <v>54</v>
      </c>
      <c r="E1316" s="33" t="s">
        <v>139</v>
      </c>
      <c r="F1316" s="33" t="s">
        <v>181</v>
      </c>
      <c r="G1316" s="33" t="s">
        <v>182</v>
      </c>
      <c r="H1316" s="33" t="s">
        <v>183</v>
      </c>
      <c r="I1316" s="33" t="s">
        <v>158</v>
      </c>
      <c r="J1316" s="33" t="s">
        <v>176</v>
      </c>
      <c r="K1316" s="33" t="s">
        <v>145</v>
      </c>
      <c r="L1316" s="35" t="n">
        <v>9142.13</v>
      </c>
      <c r="M1316" s="33" t="n">
        <v>5</v>
      </c>
      <c r="N1316" s="33" t="s">
        <v>146</v>
      </c>
      <c r="O1316" s="33" t="s">
        <v>147</v>
      </c>
    </row>
    <row r="1317" customFormat="false" ht="15" hidden="false" customHeight="false" outlineLevel="0" collapsed="false">
      <c r="A1317" s="33" t="s">
        <v>1517</v>
      </c>
      <c r="B1317" s="34" t="n">
        <v>45299</v>
      </c>
      <c r="C1317" s="34" t="n">
        <v>45301</v>
      </c>
      <c r="D1317" s="33" t="n">
        <v>43</v>
      </c>
      <c r="E1317" s="33" t="s">
        <v>139</v>
      </c>
      <c r="F1317" s="33" t="s">
        <v>173</v>
      </c>
      <c r="G1317" s="33" t="s">
        <v>198</v>
      </c>
      <c r="H1317" s="33" t="s">
        <v>199</v>
      </c>
      <c r="I1317" s="33" t="s">
        <v>158</v>
      </c>
      <c r="J1317" s="33" t="s">
        <v>176</v>
      </c>
      <c r="K1317" s="33" t="s">
        <v>160</v>
      </c>
      <c r="L1317" s="35" t="n">
        <v>19053.89</v>
      </c>
      <c r="M1317" s="33" t="n">
        <v>2</v>
      </c>
      <c r="N1317" s="33" t="s">
        <v>146</v>
      </c>
      <c r="O1317" s="33" t="s">
        <v>147</v>
      </c>
    </row>
    <row r="1318" customFormat="false" ht="15" hidden="false" customHeight="false" outlineLevel="0" collapsed="false">
      <c r="A1318" s="33" t="s">
        <v>1518</v>
      </c>
      <c r="B1318" s="34" t="n">
        <v>45550</v>
      </c>
      <c r="C1318" s="34" t="n">
        <v>45553</v>
      </c>
      <c r="D1318" s="33" t="n">
        <v>65</v>
      </c>
      <c r="E1318" s="33" t="s">
        <v>154</v>
      </c>
      <c r="F1318" s="33" t="s">
        <v>226</v>
      </c>
      <c r="G1318" s="33" t="s">
        <v>386</v>
      </c>
      <c r="H1318" s="33" t="s">
        <v>263</v>
      </c>
      <c r="I1318" s="33" t="s">
        <v>152</v>
      </c>
      <c r="J1318" s="33" t="s">
        <v>159</v>
      </c>
      <c r="K1318" s="33" t="s">
        <v>145</v>
      </c>
      <c r="L1318" s="35" t="n">
        <v>10701.45</v>
      </c>
      <c r="M1318" s="33" t="n">
        <v>4</v>
      </c>
      <c r="N1318" s="33" t="s">
        <v>146</v>
      </c>
      <c r="O1318" s="33" t="s">
        <v>147</v>
      </c>
    </row>
    <row r="1319" customFormat="false" ht="15" hidden="false" customHeight="false" outlineLevel="0" collapsed="false">
      <c r="A1319" s="33" t="s">
        <v>1519</v>
      </c>
      <c r="B1319" s="34" t="n">
        <v>45407</v>
      </c>
      <c r="C1319" s="34" t="n">
        <v>45409</v>
      </c>
      <c r="D1319" s="33" t="n">
        <v>66</v>
      </c>
      <c r="E1319" s="33" t="s">
        <v>154</v>
      </c>
      <c r="F1319" s="33" t="s">
        <v>181</v>
      </c>
      <c r="G1319" s="33" t="s">
        <v>188</v>
      </c>
      <c r="H1319" s="33" t="s">
        <v>183</v>
      </c>
      <c r="I1319" s="33" t="s">
        <v>143</v>
      </c>
      <c r="J1319" s="33" t="s">
        <v>176</v>
      </c>
      <c r="K1319" s="33" t="s">
        <v>160</v>
      </c>
      <c r="L1319" s="35" t="n">
        <v>15667.23</v>
      </c>
      <c r="M1319" s="33" t="n">
        <v>4</v>
      </c>
      <c r="N1319" s="33" t="s">
        <v>210</v>
      </c>
      <c r="O1319" s="33" t="s">
        <v>147</v>
      </c>
    </row>
    <row r="1320" customFormat="false" ht="15" hidden="false" customHeight="false" outlineLevel="0" collapsed="false">
      <c r="A1320" s="33" t="s">
        <v>1520</v>
      </c>
      <c r="B1320" s="34" t="n">
        <v>45476</v>
      </c>
      <c r="C1320" s="34" t="n">
        <v>45478</v>
      </c>
      <c r="D1320" s="33" t="n">
        <v>46</v>
      </c>
      <c r="E1320" s="33" t="s">
        <v>139</v>
      </c>
      <c r="F1320" s="33" t="s">
        <v>203</v>
      </c>
      <c r="G1320" s="33" t="s">
        <v>217</v>
      </c>
      <c r="H1320" s="33" t="s">
        <v>205</v>
      </c>
      <c r="I1320" s="33" t="s">
        <v>158</v>
      </c>
      <c r="J1320" s="33" t="s">
        <v>144</v>
      </c>
      <c r="K1320" s="33" t="s">
        <v>145</v>
      </c>
      <c r="L1320" s="35" t="n">
        <v>3090.61</v>
      </c>
      <c r="M1320" s="33" t="n">
        <v>4</v>
      </c>
      <c r="N1320" s="33" t="s">
        <v>146</v>
      </c>
      <c r="O1320" s="33" t="s">
        <v>147</v>
      </c>
    </row>
    <row r="1321" customFormat="false" ht="15" hidden="false" customHeight="false" outlineLevel="0" collapsed="false">
      <c r="A1321" s="33" t="s">
        <v>1521</v>
      </c>
      <c r="B1321" s="34" t="n">
        <v>45571</v>
      </c>
      <c r="C1321" s="34" t="n">
        <v>45573</v>
      </c>
      <c r="D1321" s="33" t="n">
        <v>9</v>
      </c>
      <c r="E1321" s="33" t="s">
        <v>139</v>
      </c>
      <c r="F1321" s="33" t="s">
        <v>376</v>
      </c>
      <c r="G1321" s="33" t="s">
        <v>302</v>
      </c>
      <c r="H1321" s="33" t="s">
        <v>222</v>
      </c>
      <c r="I1321" s="33" t="s">
        <v>152</v>
      </c>
      <c r="J1321" s="33" t="s">
        <v>159</v>
      </c>
      <c r="K1321" s="33" t="s">
        <v>184</v>
      </c>
      <c r="L1321" s="35" t="n">
        <v>1855.05</v>
      </c>
      <c r="M1321" s="33" t="n">
        <v>3</v>
      </c>
      <c r="N1321" s="33" t="s">
        <v>146</v>
      </c>
      <c r="O1321" s="33" t="s">
        <v>247</v>
      </c>
    </row>
    <row r="1322" customFormat="false" ht="15" hidden="false" customHeight="false" outlineLevel="0" collapsed="false">
      <c r="A1322" s="33" t="s">
        <v>1522</v>
      </c>
      <c r="B1322" s="34" t="n">
        <v>45480</v>
      </c>
      <c r="C1322" s="34" t="n">
        <v>45481</v>
      </c>
      <c r="D1322" s="33" t="n">
        <v>71</v>
      </c>
      <c r="E1322" s="33" t="s">
        <v>154</v>
      </c>
      <c r="F1322" s="33" t="s">
        <v>173</v>
      </c>
      <c r="G1322" s="33" t="s">
        <v>174</v>
      </c>
      <c r="H1322" s="33" t="s">
        <v>199</v>
      </c>
      <c r="I1322" s="33" t="s">
        <v>143</v>
      </c>
      <c r="J1322" s="33" t="s">
        <v>176</v>
      </c>
      <c r="K1322" s="33" t="s">
        <v>160</v>
      </c>
      <c r="L1322" s="35" t="n">
        <v>8925.17</v>
      </c>
      <c r="M1322" s="33" t="n">
        <v>4</v>
      </c>
      <c r="N1322" s="33" t="s">
        <v>210</v>
      </c>
      <c r="O1322" s="33" t="s">
        <v>147</v>
      </c>
    </row>
    <row r="1323" customFormat="false" ht="15" hidden="false" customHeight="false" outlineLevel="0" collapsed="false">
      <c r="A1323" s="33" t="s">
        <v>1523</v>
      </c>
      <c r="B1323" s="34" t="n">
        <v>45352</v>
      </c>
      <c r="C1323" s="34" t="n">
        <v>45353</v>
      </c>
      <c r="D1323" s="33" t="n">
        <v>37</v>
      </c>
      <c r="E1323" s="33" t="s">
        <v>154</v>
      </c>
      <c r="F1323" s="33" t="s">
        <v>203</v>
      </c>
      <c r="G1323" s="33" t="s">
        <v>232</v>
      </c>
      <c r="H1323" s="33" t="s">
        <v>233</v>
      </c>
      <c r="I1323" s="33" t="s">
        <v>143</v>
      </c>
      <c r="J1323" s="33" t="s">
        <v>144</v>
      </c>
      <c r="K1323" s="33" t="s">
        <v>160</v>
      </c>
      <c r="L1323" s="35" t="n">
        <v>1577.14</v>
      </c>
      <c r="M1323" s="33" t="n">
        <v>5</v>
      </c>
      <c r="N1323" s="33" t="s">
        <v>146</v>
      </c>
      <c r="O1323" s="33" t="s">
        <v>147</v>
      </c>
    </row>
    <row r="1324" customFormat="false" ht="15" hidden="false" customHeight="false" outlineLevel="0" collapsed="false">
      <c r="A1324" s="33" t="s">
        <v>1524</v>
      </c>
      <c r="B1324" s="34" t="n">
        <v>45582</v>
      </c>
      <c r="C1324" s="34" t="n">
        <v>45592</v>
      </c>
      <c r="D1324" s="36"/>
      <c r="E1324" s="33" t="s">
        <v>139</v>
      </c>
      <c r="F1324" s="33" t="s">
        <v>162</v>
      </c>
      <c r="G1324" s="33" t="s">
        <v>213</v>
      </c>
      <c r="H1324" s="33" t="s">
        <v>195</v>
      </c>
      <c r="I1324" s="33" t="s">
        <v>143</v>
      </c>
      <c r="J1324" s="33" t="s">
        <v>159</v>
      </c>
      <c r="K1324" s="33" t="s">
        <v>160</v>
      </c>
      <c r="L1324" s="35" t="n">
        <v>13751.88</v>
      </c>
      <c r="M1324" s="33" t="n">
        <v>4</v>
      </c>
      <c r="N1324" s="33" t="s">
        <v>146</v>
      </c>
      <c r="O1324" s="33" t="s">
        <v>147</v>
      </c>
    </row>
    <row r="1325" customFormat="false" ht="15" hidden="false" customHeight="false" outlineLevel="0" collapsed="false">
      <c r="A1325" s="33" t="s">
        <v>1525</v>
      </c>
      <c r="B1325" s="34" t="n">
        <v>45359</v>
      </c>
      <c r="C1325" s="34" t="n">
        <v>45362</v>
      </c>
      <c r="D1325" s="33" t="n">
        <v>47</v>
      </c>
      <c r="E1325" s="33" t="s">
        <v>154</v>
      </c>
      <c r="F1325" s="33" t="s">
        <v>226</v>
      </c>
      <c r="G1325" s="33" t="s">
        <v>258</v>
      </c>
      <c r="H1325" s="33" t="s">
        <v>263</v>
      </c>
      <c r="I1325" s="33" t="s">
        <v>152</v>
      </c>
      <c r="J1325" s="33" t="s">
        <v>159</v>
      </c>
      <c r="K1325" s="33" t="s">
        <v>184</v>
      </c>
      <c r="L1325" s="35" t="n">
        <v>9575.34</v>
      </c>
      <c r="M1325" s="33" t="n">
        <v>5</v>
      </c>
      <c r="N1325" s="33" t="s">
        <v>146</v>
      </c>
      <c r="O1325" s="33" t="s">
        <v>147</v>
      </c>
    </row>
    <row r="1326" customFormat="false" ht="15" hidden="false" customHeight="false" outlineLevel="0" collapsed="false">
      <c r="A1326" s="33" t="s">
        <v>1526</v>
      </c>
      <c r="B1326" s="34" t="n">
        <v>45578</v>
      </c>
      <c r="C1326" s="34" t="n">
        <v>45581</v>
      </c>
      <c r="D1326" s="33" t="n">
        <v>8</v>
      </c>
      <c r="E1326" s="33" t="s">
        <v>257</v>
      </c>
      <c r="F1326" s="33" t="s">
        <v>376</v>
      </c>
      <c r="G1326" s="33" t="s">
        <v>302</v>
      </c>
      <c r="H1326" s="33" t="s">
        <v>157</v>
      </c>
      <c r="I1326" s="33" t="s">
        <v>143</v>
      </c>
      <c r="J1326" s="33" t="s">
        <v>159</v>
      </c>
      <c r="K1326" s="33" t="s">
        <v>145</v>
      </c>
      <c r="L1326" s="35" t="n">
        <v>2586.14</v>
      </c>
      <c r="M1326" s="33" t="n">
        <v>4</v>
      </c>
      <c r="N1326" s="33" t="s">
        <v>210</v>
      </c>
      <c r="O1326" s="33" t="s">
        <v>147</v>
      </c>
    </row>
    <row r="1327" customFormat="false" ht="15" hidden="false" customHeight="false" outlineLevel="0" collapsed="false">
      <c r="A1327" s="33" t="s">
        <v>1527</v>
      </c>
      <c r="B1327" s="34" t="n">
        <v>45295</v>
      </c>
      <c r="C1327" s="34" t="n">
        <v>45297</v>
      </c>
      <c r="D1327" s="33" t="n">
        <v>52</v>
      </c>
      <c r="E1327" s="33" t="s">
        <v>154</v>
      </c>
      <c r="F1327" s="33" t="s">
        <v>212</v>
      </c>
      <c r="G1327" s="33" t="s">
        <v>163</v>
      </c>
      <c r="H1327" s="33" t="s">
        <v>195</v>
      </c>
      <c r="I1327" s="33" t="s">
        <v>152</v>
      </c>
      <c r="J1327" s="33" t="s">
        <v>159</v>
      </c>
      <c r="K1327" s="33" t="s">
        <v>145</v>
      </c>
      <c r="L1327" s="35" t="n">
        <v>2601.72</v>
      </c>
      <c r="M1327" s="33" t="n">
        <v>3</v>
      </c>
      <c r="N1327" s="33" t="s">
        <v>210</v>
      </c>
      <c r="O1327" s="33" t="s">
        <v>147</v>
      </c>
    </row>
    <row r="1328" customFormat="false" ht="15" hidden="false" customHeight="false" outlineLevel="0" collapsed="false">
      <c r="A1328" s="33" t="s">
        <v>1528</v>
      </c>
      <c r="B1328" s="34" t="n">
        <v>45472</v>
      </c>
      <c r="C1328" s="34" t="n">
        <v>45473</v>
      </c>
      <c r="D1328" s="33" t="n">
        <v>58</v>
      </c>
      <c r="E1328" s="33" t="s">
        <v>139</v>
      </c>
      <c r="F1328" s="33" t="s">
        <v>140</v>
      </c>
      <c r="G1328" s="33" t="s">
        <v>167</v>
      </c>
      <c r="H1328" s="36"/>
      <c r="I1328" s="33" t="s">
        <v>143</v>
      </c>
      <c r="J1328" s="33" t="s">
        <v>159</v>
      </c>
      <c r="K1328" s="33" t="s">
        <v>145</v>
      </c>
      <c r="L1328" s="35" t="n">
        <v>2263.46</v>
      </c>
      <c r="M1328" s="33" t="n">
        <v>4</v>
      </c>
      <c r="N1328" s="33" t="s">
        <v>210</v>
      </c>
      <c r="O1328" s="33" t="s">
        <v>147</v>
      </c>
    </row>
    <row r="1329" customFormat="false" ht="15" hidden="false" customHeight="false" outlineLevel="0" collapsed="false">
      <c r="A1329" s="33" t="s">
        <v>1529</v>
      </c>
      <c r="B1329" s="34" t="n">
        <v>45562</v>
      </c>
      <c r="C1329" s="34" t="n">
        <v>45563</v>
      </c>
      <c r="D1329" s="33" t="n">
        <v>59</v>
      </c>
      <c r="E1329" s="33" t="s">
        <v>154</v>
      </c>
      <c r="F1329" s="33" t="s">
        <v>203</v>
      </c>
      <c r="G1329" s="33" t="s">
        <v>232</v>
      </c>
      <c r="H1329" s="36"/>
      <c r="I1329" s="33" t="s">
        <v>143</v>
      </c>
      <c r="J1329" s="33" t="s">
        <v>176</v>
      </c>
      <c r="K1329" s="33" t="s">
        <v>145</v>
      </c>
      <c r="L1329" s="35" t="n">
        <v>3554.49</v>
      </c>
      <c r="M1329" s="33" t="n">
        <v>4</v>
      </c>
      <c r="N1329" s="33" t="s">
        <v>146</v>
      </c>
      <c r="O1329" s="33" t="s">
        <v>147</v>
      </c>
    </row>
    <row r="1330" customFormat="false" ht="15" hidden="false" customHeight="false" outlineLevel="0" collapsed="false">
      <c r="A1330" s="33" t="s">
        <v>1530</v>
      </c>
      <c r="B1330" s="34" t="n">
        <v>45601</v>
      </c>
      <c r="C1330" s="34" t="n">
        <v>45604</v>
      </c>
      <c r="D1330" s="33" t="n">
        <v>9</v>
      </c>
      <c r="E1330" s="33" t="s">
        <v>216</v>
      </c>
      <c r="F1330" s="33" t="s">
        <v>155</v>
      </c>
      <c r="G1330" s="33" t="s">
        <v>220</v>
      </c>
      <c r="H1330" s="33" t="s">
        <v>157</v>
      </c>
      <c r="I1330" s="33" t="s">
        <v>143</v>
      </c>
      <c r="J1330" s="33" t="s">
        <v>176</v>
      </c>
      <c r="K1330" s="33" t="s">
        <v>145</v>
      </c>
      <c r="L1330" s="35" t="n">
        <v>9925.84</v>
      </c>
      <c r="M1330" s="33" t="n">
        <v>5</v>
      </c>
      <c r="N1330" s="33" t="s">
        <v>146</v>
      </c>
      <c r="O1330" s="33" t="s">
        <v>147</v>
      </c>
    </row>
    <row r="1331" customFormat="false" ht="15" hidden="false" customHeight="false" outlineLevel="0" collapsed="false">
      <c r="A1331" s="33" t="s">
        <v>1531</v>
      </c>
      <c r="B1331" s="34" t="n">
        <v>45544</v>
      </c>
      <c r="C1331" s="34" t="n">
        <v>45546</v>
      </c>
      <c r="D1331" s="33" t="n">
        <v>64</v>
      </c>
      <c r="E1331" s="33" t="s">
        <v>154</v>
      </c>
      <c r="F1331" s="33" t="s">
        <v>203</v>
      </c>
      <c r="G1331" s="33" t="s">
        <v>192</v>
      </c>
      <c r="H1331" s="33" t="s">
        <v>233</v>
      </c>
      <c r="I1331" s="33" t="s">
        <v>143</v>
      </c>
      <c r="J1331" s="33" t="s">
        <v>144</v>
      </c>
      <c r="K1331" s="33" t="s">
        <v>145</v>
      </c>
      <c r="L1331" s="35" t="n">
        <v>3517.34</v>
      </c>
      <c r="M1331" s="33" t="n">
        <v>4</v>
      </c>
      <c r="N1331" s="33" t="s">
        <v>146</v>
      </c>
      <c r="O1331" s="36"/>
    </row>
    <row r="1332" customFormat="false" ht="15" hidden="false" customHeight="false" outlineLevel="0" collapsed="false">
      <c r="A1332" s="33" t="s">
        <v>1532</v>
      </c>
      <c r="B1332" s="34" t="n">
        <v>45303</v>
      </c>
      <c r="C1332" s="34" t="n">
        <v>45305</v>
      </c>
      <c r="D1332" s="33" t="n">
        <v>61</v>
      </c>
      <c r="E1332" s="33" t="s">
        <v>279</v>
      </c>
      <c r="F1332" s="33" t="s">
        <v>169</v>
      </c>
      <c r="G1332" s="33" t="s">
        <v>163</v>
      </c>
      <c r="H1332" s="33" t="s">
        <v>164</v>
      </c>
      <c r="I1332" s="33" t="s">
        <v>143</v>
      </c>
      <c r="J1332" s="33" t="s">
        <v>144</v>
      </c>
      <c r="K1332" s="33" t="s">
        <v>145</v>
      </c>
      <c r="L1332" s="35" t="n">
        <v>4104.25</v>
      </c>
      <c r="M1332" s="33" t="n">
        <v>4</v>
      </c>
      <c r="N1332" s="33" t="s">
        <v>210</v>
      </c>
      <c r="O1332" s="33" t="s">
        <v>147</v>
      </c>
    </row>
    <row r="1333" customFormat="false" ht="15" hidden="false" customHeight="false" outlineLevel="0" collapsed="false">
      <c r="A1333" s="33" t="s">
        <v>1533</v>
      </c>
      <c r="B1333" s="34" t="n">
        <v>45567</v>
      </c>
      <c r="C1333" s="34" t="n">
        <v>45569</v>
      </c>
      <c r="D1333" s="33" t="n">
        <v>2</v>
      </c>
      <c r="E1333" s="33" t="s">
        <v>154</v>
      </c>
      <c r="F1333" s="33" t="s">
        <v>155</v>
      </c>
      <c r="G1333" s="33" t="s">
        <v>220</v>
      </c>
      <c r="H1333" s="33" t="s">
        <v>222</v>
      </c>
      <c r="I1333" s="33" t="s">
        <v>143</v>
      </c>
      <c r="J1333" s="33" t="s">
        <v>159</v>
      </c>
      <c r="K1333" s="33" t="s">
        <v>145</v>
      </c>
      <c r="L1333" s="35" t="n">
        <v>1916.84</v>
      </c>
      <c r="M1333" s="33" t="n">
        <v>5</v>
      </c>
      <c r="N1333" s="33" t="s">
        <v>146</v>
      </c>
      <c r="O1333" s="33" t="s">
        <v>147</v>
      </c>
    </row>
    <row r="1334" customFormat="false" ht="15" hidden="false" customHeight="false" outlineLevel="0" collapsed="false">
      <c r="A1334" s="33" t="s">
        <v>1534</v>
      </c>
      <c r="B1334" s="34" t="n">
        <v>45616</v>
      </c>
      <c r="C1334" s="34" t="n">
        <v>45619</v>
      </c>
      <c r="D1334" s="33" t="n">
        <v>11</v>
      </c>
      <c r="E1334" s="33" t="s">
        <v>154</v>
      </c>
      <c r="F1334" s="33" t="s">
        <v>155</v>
      </c>
      <c r="G1334" s="33" t="s">
        <v>220</v>
      </c>
      <c r="H1334" s="33" t="s">
        <v>157</v>
      </c>
      <c r="I1334" s="33" t="s">
        <v>143</v>
      </c>
      <c r="J1334" s="33" t="s">
        <v>159</v>
      </c>
      <c r="K1334" s="33" t="s">
        <v>184</v>
      </c>
      <c r="L1334" s="35" t="n">
        <v>2681.81</v>
      </c>
      <c r="M1334" s="33" t="n">
        <v>4</v>
      </c>
      <c r="N1334" s="33" t="s">
        <v>146</v>
      </c>
      <c r="O1334" s="33" t="s">
        <v>147</v>
      </c>
    </row>
    <row r="1335" customFormat="false" ht="15" hidden="false" customHeight="false" outlineLevel="0" collapsed="false">
      <c r="A1335" s="33" t="s">
        <v>1535</v>
      </c>
      <c r="B1335" s="34" t="n">
        <v>45505</v>
      </c>
      <c r="C1335" s="34" t="n">
        <v>45507</v>
      </c>
      <c r="D1335" s="33" t="n">
        <v>76</v>
      </c>
      <c r="E1335" s="33" t="s">
        <v>154</v>
      </c>
      <c r="F1335" s="33" t="s">
        <v>140</v>
      </c>
      <c r="G1335" s="33" t="s">
        <v>316</v>
      </c>
      <c r="H1335" s="33" t="s">
        <v>290</v>
      </c>
      <c r="I1335" s="33" t="s">
        <v>152</v>
      </c>
      <c r="J1335" s="33" t="s">
        <v>144</v>
      </c>
      <c r="K1335" s="33" t="s">
        <v>209</v>
      </c>
      <c r="L1335" s="35" t="n">
        <v>10316.48</v>
      </c>
      <c r="M1335" s="33" t="n">
        <v>4</v>
      </c>
      <c r="N1335" s="33" t="s">
        <v>146</v>
      </c>
      <c r="O1335" s="33" t="s">
        <v>147</v>
      </c>
    </row>
    <row r="1336" customFormat="false" ht="15" hidden="false" customHeight="false" outlineLevel="0" collapsed="false">
      <c r="A1336" s="33" t="s">
        <v>1536</v>
      </c>
      <c r="B1336" s="34" t="n">
        <v>45478</v>
      </c>
      <c r="C1336" s="34" t="n">
        <v>45483</v>
      </c>
      <c r="D1336" s="33" t="n">
        <v>69</v>
      </c>
      <c r="E1336" s="33" t="s">
        <v>154</v>
      </c>
      <c r="F1336" s="33" t="s">
        <v>226</v>
      </c>
      <c r="G1336" s="33" t="s">
        <v>258</v>
      </c>
      <c r="H1336" s="33" t="s">
        <v>228</v>
      </c>
      <c r="I1336" s="33" t="s">
        <v>152</v>
      </c>
      <c r="J1336" s="33" t="s">
        <v>159</v>
      </c>
      <c r="K1336" s="33" t="s">
        <v>184</v>
      </c>
      <c r="L1336" s="35" t="n">
        <v>17884.66</v>
      </c>
      <c r="M1336" s="33" t="n">
        <v>4</v>
      </c>
      <c r="N1336" s="33" t="s">
        <v>210</v>
      </c>
      <c r="O1336" s="33" t="s">
        <v>147</v>
      </c>
    </row>
    <row r="1337" customFormat="false" ht="15" hidden="false" customHeight="false" outlineLevel="0" collapsed="false">
      <c r="A1337" s="33" t="s">
        <v>1537</v>
      </c>
      <c r="B1337" s="34" t="n">
        <v>45622</v>
      </c>
      <c r="C1337" s="34" t="n">
        <v>45631</v>
      </c>
      <c r="D1337" s="33" t="n">
        <v>25</v>
      </c>
      <c r="E1337" s="33" t="s">
        <v>139</v>
      </c>
      <c r="F1337" s="33" t="s">
        <v>173</v>
      </c>
      <c r="G1337" s="33" t="s">
        <v>198</v>
      </c>
      <c r="H1337" s="33" t="s">
        <v>175</v>
      </c>
      <c r="I1337" s="33" t="s">
        <v>143</v>
      </c>
      <c r="J1337" s="33" t="s">
        <v>159</v>
      </c>
      <c r="K1337" s="33" t="s">
        <v>160</v>
      </c>
      <c r="L1337" s="35" t="n">
        <v>23549.92</v>
      </c>
      <c r="M1337" s="33" t="n">
        <v>4</v>
      </c>
      <c r="N1337" s="33" t="s">
        <v>146</v>
      </c>
      <c r="O1337" s="33" t="s">
        <v>147</v>
      </c>
    </row>
    <row r="1338" customFormat="false" ht="15" hidden="false" customHeight="false" outlineLevel="0" collapsed="false">
      <c r="A1338" s="33" t="s">
        <v>1538</v>
      </c>
      <c r="B1338" s="34" t="n">
        <v>45442</v>
      </c>
      <c r="C1338" s="34" t="n">
        <v>45443</v>
      </c>
      <c r="D1338" s="33" t="n">
        <v>54</v>
      </c>
      <c r="E1338" s="33" t="s">
        <v>154</v>
      </c>
      <c r="F1338" s="33" t="s">
        <v>203</v>
      </c>
      <c r="G1338" s="33" t="s">
        <v>217</v>
      </c>
      <c r="H1338" s="33" t="s">
        <v>205</v>
      </c>
      <c r="I1338" s="33" t="s">
        <v>143</v>
      </c>
      <c r="J1338" s="33" t="s">
        <v>159</v>
      </c>
      <c r="K1338" s="33" t="s">
        <v>145</v>
      </c>
      <c r="L1338" s="35" t="n">
        <v>878.76</v>
      </c>
      <c r="M1338" s="33" t="n">
        <v>4</v>
      </c>
      <c r="N1338" s="33" t="s">
        <v>146</v>
      </c>
      <c r="O1338" s="33" t="s">
        <v>147</v>
      </c>
    </row>
    <row r="1339" customFormat="false" ht="15" hidden="false" customHeight="false" outlineLevel="0" collapsed="false">
      <c r="A1339" s="33" t="s">
        <v>1539</v>
      </c>
      <c r="B1339" s="34" t="n">
        <v>45358</v>
      </c>
      <c r="C1339" s="34" t="n">
        <v>45359</v>
      </c>
      <c r="D1339" s="33" t="n">
        <v>69</v>
      </c>
      <c r="E1339" s="33" t="s">
        <v>139</v>
      </c>
      <c r="F1339" s="33" t="s">
        <v>203</v>
      </c>
      <c r="G1339" s="33" t="s">
        <v>217</v>
      </c>
      <c r="H1339" s="33" t="s">
        <v>193</v>
      </c>
      <c r="I1339" s="33" t="s">
        <v>143</v>
      </c>
      <c r="J1339" s="33" t="s">
        <v>144</v>
      </c>
      <c r="K1339" s="33" t="s">
        <v>145</v>
      </c>
      <c r="L1339" s="35" t="n">
        <v>1629.99</v>
      </c>
      <c r="M1339" s="33" t="n">
        <v>2</v>
      </c>
      <c r="N1339" s="33" t="s">
        <v>146</v>
      </c>
      <c r="O1339" s="33" t="s">
        <v>206</v>
      </c>
    </row>
    <row r="1340" customFormat="false" ht="15" hidden="false" customHeight="false" outlineLevel="0" collapsed="false">
      <c r="A1340" s="33" t="s">
        <v>1540</v>
      </c>
      <c r="B1340" s="34" t="n">
        <v>45649</v>
      </c>
      <c r="C1340" s="34" t="n">
        <v>45654</v>
      </c>
      <c r="D1340" s="33" t="n">
        <v>61</v>
      </c>
      <c r="E1340" s="33" t="s">
        <v>154</v>
      </c>
      <c r="F1340" s="33" t="s">
        <v>140</v>
      </c>
      <c r="G1340" s="33" t="s">
        <v>141</v>
      </c>
      <c r="H1340" s="33" t="s">
        <v>142</v>
      </c>
      <c r="I1340" s="33" t="s">
        <v>158</v>
      </c>
      <c r="J1340" s="33" t="s">
        <v>159</v>
      </c>
      <c r="K1340" s="33" t="s">
        <v>160</v>
      </c>
      <c r="L1340" s="35" t="n">
        <v>11806.25</v>
      </c>
      <c r="M1340" s="33" t="n">
        <v>4</v>
      </c>
      <c r="N1340" s="33" t="s">
        <v>146</v>
      </c>
      <c r="O1340" s="33" t="s">
        <v>147</v>
      </c>
    </row>
    <row r="1341" customFormat="false" ht="15" hidden="false" customHeight="false" outlineLevel="0" collapsed="false">
      <c r="A1341" s="33" t="s">
        <v>1541</v>
      </c>
      <c r="B1341" s="34" t="n">
        <v>45618</v>
      </c>
      <c r="C1341" s="34" t="n">
        <v>45623</v>
      </c>
      <c r="D1341" s="33" t="n">
        <v>60</v>
      </c>
      <c r="E1341" s="33" t="s">
        <v>154</v>
      </c>
      <c r="F1341" s="33" t="s">
        <v>226</v>
      </c>
      <c r="G1341" s="33" t="s">
        <v>386</v>
      </c>
      <c r="H1341" s="33" t="s">
        <v>263</v>
      </c>
      <c r="I1341" s="33" t="s">
        <v>143</v>
      </c>
      <c r="J1341" s="33" t="s">
        <v>159</v>
      </c>
      <c r="K1341" s="33" t="s">
        <v>145</v>
      </c>
      <c r="L1341" s="35" t="n">
        <v>15241.61</v>
      </c>
      <c r="M1341" s="33" t="n">
        <v>4</v>
      </c>
      <c r="N1341" s="33" t="s">
        <v>146</v>
      </c>
      <c r="O1341" s="33" t="s">
        <v>147</v>
      </c>
    </row>
    <row r="1342" customFormat="false" ht="15" hidden="false" customHeight="false" outlineLevel="0" collapsed="false">
      <c r="A1342" s="33" t="s">
        <v>1542</v>
      </c>
      <c r="B1342" s="34" t="n">
        <v>45358</v>
      </c>
      <c r="C1342" s="34" t="n">
        <v>45364</v>
      </c>
      <c r="D1342" s="33" t="n">
        <v>48</v>
      </c>
      <c r="E1342" s="33" t="s">
        <v>279</v>
      </c>
      <c r="F1342" s="33" t="s">
        <v>226</v>
      </c>
      <c r="G1342" s="33" t="s">
        <v>227</v>
      </c>
      <c r="H1342" s="33" t="s">
        <v>263</v>
      </c>
      <c r="I1342" s="33" t="s">
        <v>152</v>
      </c>
      <c r="J1342" s="33" t="s">
        <v>159</v>
      </c>
      <c r="K1342" s="33" t="s">
        <v>160</v>
      </c>
      <c r="L1342" s="35" t="n">
        <v>20615.28</v>
      </c>
      <c r="M1342" s="33" t="n">
        <v>4</v>
      </c>
      <c r="N1342" s="33" t="s">
        <v>146</v>
      </c>
      <c r="O1342" s="33" t="s">
        <v>147</v>
      </c>
    </row>
    <row r="1343" customFormat="false" ht="15" hidden="false" customHeight="false" outlineLevel="0" collapsed="false">
      <c r="A1343" s="33" t="s">
        <v>1543</v>
      </c>
      <c r="B1343" s="34" t="n">
        <v>45582</v>
      </c>
      <c r="C1343" s="34" t="n">
        <v>45584</v>
      </c>
      <c r="D1343" s="33" t="n">
        <v>62</v>
      </c>
      <c r="E1343" s="33" t="s">
        <v>154</v>
      </c>
      <c r="F1343" s="33" t="s">
        <v>140</v>
      </c>
      <c r="G1343" s="33" t="s">
        <v>316</v>
      </c>
      <c r="H1343" s="33" t="s">
        <v>142</v>
      </c>
      <c r="I1343" s="33" t="s">
        <v>143</v>
      </c>
      <c r="J1343" s="33" t="s">
        <v>144</v>
      </c>
      <c r="K1343" s="33" t="s">
        <v>145</v>
      </c>
      <c r="L1343" s="35" t="n">
        <v>8541.26</v>
      </c>
      <c r="M1343" s="33" t="n">
        <v>4</v>
      </c>
      <c r="N1343" s="33" t="s">
        <v>146</v>
      </c>
      <c r="O1343" s="33" t="s">
        <v>147</v>
      </c>
    </row>
    <row r="1344" customFormat="false" ht="15" hidden="false" customHeight="false" outlineLevel="0" collapsed="false">
      <c r="A1344" s="33" t="s">
        <v>1544</v>
      </c>
      <c r="B1344" s="34" t="n">
        <v>45604</v>
      </c>
      <c r="C1344" s="34" t="n">
        <v>45606</v>
      </c>
      <c r="D1344" s="33" t="n">
        <v>31</v>
      </c>
      <c r="E1344" s="33" t="s">
        <v>154</v>
      </c>
      <c r="F1344" s="33" t="s">
        <v>173</v>
      </c>
      <c r="G1344" s="33" t="s">
        <v>178</v>
      </c>
      <c r="H1344" s="33" t="s">
        <v>175</v>
      </c>
      <c r="I1344" s="33" t="s">
        <v>143</v>
      </c>
      <c r="J1344" s="33" t="s">
        <v>159</v>
      </c>
      <c r="K1344" s="33" t="s">
        <v>184</v>
      </c>
      <c r="L1344" s="35" t="n">
        <v>4718.75</v>
      </c>
      <c r="M1344" s="33" t="n">
        <v>4</v>
      </c>
      <c r="N1344" s="33" t="s">
        <v>146</v>
      </c>
      <c r="O1344" s="33" t="s">
        <v>147</v>
      </c>
    </row>
    <row r="1345" customFormat="false" ht="15" hidden="false" customHeight="false" outlineLevel="0" collapsed="false">
      <c r="A1345" s="33" t="s">
        <v>1545</v>
      </c>
      <c r="B1345" s="34" t="n">
        <v>45656</v>
      </c>
      <c r="C1345" s="34" t="n">
        <v>45659</v>
      </c>
      <c r="D1345" s="33" t="n">
        <v>39</v>
      </c>
      <c r="E1345" s="33" t="s">
        <v>154</v>
      </c>
      <c r="F1345" s="33" t="s">
        <v>173</v>
      </c>
      <c r="G1345" s="33" t="s">
        <v>178</v>
      </c>
      <c r="H1345" s="33" t="s">
        <v>199</v>
      </c>
      <c r="I1345" s="33" t="s">
        <v>143</v>
      </c>
      <c r="J1345" s="33" t="s">
        <v>176</v>
      </c>
      <c r="K1345" s="33" t="s">
        <v>160</v>
      </c>
      <c r="L1345" s="35" t="n">
        <v>25771.25</v>
      </c>
      <c r="M1345" s="33" t="n">
        <v>5</v>
      </c>
      <c r="N1345" s="33" t="s">
        <v>146</v>
      </c>
      <c r="O1345" s="33" t="s">
        <v>147</v>
      </c>
    </row>
    <row r="1346" customFormat="false" ht="15" hidden="false" customHeight="false" outlineLevel="0" collapsed="false">
      <c r="A1346" s="33" t="s">
        <v>1546</v>
      </c>
      <c r="B1346" s="34" t="n">
        <v>45554</v>
      </c>
      <c r="C1346" s="34" t="n">
        <v>45555</v>
      </c>
      <c r="D1346" s="33" t="n">
        <v>30</v>
      </c>
      <c r="E1346" s="33" t="s">
        <v>154</v>
      </c>
      <c r="F1346" s="33" t="s">
        <v>203</v>
      </c>
      <c r="G1346" s="33" t="s">
        <v>241</v>
      </c>
      <c r="H1346" s="33" t="s">
        <v>233</v>
      </c>
      <c r="I1346" s="33" t="s">
        <v>143</v>
      </c>
      <c r="J1346" s="33" t="s">
        <v>159</v>
      </c>
      <c r="K1346" s="33" t="s">
        <v>145</v>
      </c>
      <c r="L1346" s="35" t="n">
        <v>900.96</v>
      </c>
      <c r="M1346" s="33" t="n">
        <v>3</v>
      </c>
      <c r="N1346" s="33" t="s">
        <v>146</v>
      </c>
      <c r="O1346" s="33" t="s">
        <v>147</v>
      </c>
    </row>
    <row r="1347" customFormat="false" ht="15" hidden="false" customHeight="false" outlineLevel="0" collapsed="false">
      <c r="A1347" s="33" t="s">
        <v>1547</v>
      </c>
      <c r="B1347" s="34" t="n">
        <v>45323</v>
      </c>
      <c r="C1347" s="34" t="n">
        <v>45325</v>
      </c>
      <c r="D1347" s="33" t="n">
        <v>31</v>
      </c>
      <c r="E1347" s="33" t="s">
        <v>154</v>
      </c>
      <c r="F1347" s="33" t="s">
        <v>173</v>
      </c>
      <c r="G1347" s="33" t="s">
        <v>174</v>
      </c>
      <c r="H1347" s="33" t="s">
        <v>199</v>
      </c>
      <c r="I1347" s="33" t="s">
        <v>143</v>
      </c>
      <c r="J1347" s="33" t="s">
        <v>159</v>
      </c>
      <c r="K1347" s="33" t="s">
        <v>184</v>
      </c>
      <c r="L1347" s="35" t="n">
        <v>4654.88</v>
      </c>
      <c r="M1347" s="33" t="n">
        <v>4</v>
      </c>
      <c r="N1347" s="33" t="s">
        <v>146</v>
      </c>
      <c r="O1347" s="33" t="s">
        <v>147</v>
      </c>
    </row>
    <row r="1348" customFormat="false" ht="15" hidden="false" customHeight="false" outlineLevel="0" collapsed="false">
      <c r="A1348" s="33" t="s">
        <v>1548</v>
      </c>
      <c r="B1348" s="34" t="n">
        <v>45413</v>
      </c>
      <c r="C1348" s="34" t="n">
        <v>45415</v>
      </c>
      <c r="D1348" s="33" t="n">
        <v>30</v>
      </c>
      <c r="E1348" s="33" t="s">
        <v>139</v>
      </c>
      <c r="F1348" s="33" t="s">
        <v>169</v>
      </c>
      <c r="G1348" s="33" t="s">
        <v>213</v>
      </c>
      <c r="H1348" s="33" t="s">
        <v>164</v>
      </c>
      <c r="I1348" s="33" t="s">
        <v>143</v>
      </c>
      <c r="J1348" s="33" t="s">
        <v>159</v>
      </c>
      <c r="K1348" s="33" t="s">
        <v>145</v>
      </c>
      <c r="L1348" s="35" t="n">
        <v>2471.61</v>
      </c>
      <c r="M1348" s="33" t="n">
        <v>5</v>
      </c>
      <c r="N1348" s="33" t="s">
        <v>146</v>
      </c>
      <c r="O1348" s="33" t="s">
        <v>147</v>
      </c>
    </row>
    <row r="1349" customFormat="false" ht="15" hidden="false" customHeight="false" outlineLevel="0" collapsed="false">
      <c r="A1349" s="33" t="s">
        <v>1549</v>
      </c>
      <c r="B1349" s="34" t="n">
        <v>45301</v>
      </c>
      <c r="C1349" s="34" t="n">
        <v>45300</v>
      </c>
      <c r="D1349" s="33" t="n">
        <v>45</v>
      </c>
      <c r="E1349" s="33" t="s">
        <v>139</v>
      </c>
      <c r="F1349" s="33" t="s">
        <v>203</v>
      </c>
      <c r="G1349" s="33" t="s">
        <v>232</v>
      </c>
      <c r="H1349" s="33" t="s">
        <v>205</v>
      </c>
      <c r="I1349" s="33" t="s">
        <v>143</v>
      </c>
      <c r="J1349" s="33" t="s">
        <v>159</v>
      </c>
      <c r="K1349" s="33" t="s">
        <v>145</v>
      </c>
      <c r="L1349" s="35" t="n">
        <v>969.49</v>
      </c>
      <c r="M1349" s="33" t="n">
        <v>3</v>
      </c>
      <c r="N1349" s="33" t="s">
        <v>146</v>
      </c>
      <c r="O1349" s="33" t="s">
        <v>147</v>
      </c>
    </row>
    <row r="1350" customFormat="false" ht="15" hidden="false" customHeight="false" outlineLevel="0" collapsed="false">
      <c r="A1350" s="33" t="s">
        <v>1550</v>
      </c>
      <c r="B1350" s="34" t="n">
        <v>45570</v>
      </c>
      <c r="C1350" s="34" t="n">
        <v>45572</v>
      </c>
      <c r="D1350" s="33" t="n">
        <v>53</v>
      </c>
      <c r="E1350" s="33" t="s">
        <v>216</v>
      </c>
      <c r="F1350" s="33" t="s">
        <v>203</v>
      </c>
      <c r="G1350" s="33" t="s">
        <v>241</v>
      </c>
      <c r="H1350" s="33" t="s">
        <v>205</v>
      </c>
      <c r="I1350" s="33" t="s">
        <v>158</v>
      </c>
      <c r="J1350" s="33" t="s">
        <v>176</v>
      </c>
      <c r="K1350" s="36"/>
      <c r="L1350" s="35" t="n">
        <v>5312.06</v>
      </c>
      <c r="M1350" s="33" t="n">
        <v>5</v>
      </c>
      <c r="N1350" s="33" t="s">
        <v>146</v>
      </c>
      <c r="O1350" s="33" t="s">
        <v>147</v>
      </c>
    </row>
    <row r="1351" customFormat="false" ht="15" hidden="false" customHeight="false" outlineLevel="0" collapsed="false">
      <c r="A1351" s="33" t="s">
        <v>1551</v>
      </c>
      <c r="B1351" s="34" t="n">
        <v>45459</v>
      </c>
      <c r="C1351" s="34" t="n">
        <v>45465</v>
      </c>
      <c r="D1351" s="33" t="n">
        <v>10</v>
      </c>
      <c r="E1351" s="33" t="s">
        <v>154</v>
      </c>
      <c r="F1351" s="33" t="s">
        <v>140</v>
      </c>
      <c r="G1351" s="33" t="s">
        <v>141</v>
      </c>
      <c r="H1351" s="33" t="s">
        <v>142</v>
      </c>
      <c r="I1351" s="33" t="s">
        <v>152</v>
      </c>
      <c r="J1351" s="33" t="s">
        <v>159</v>
      </c>
      <c r="K1351" s="33" t="s">
        <v>184</v>
      </c>
      <c r="L1351" s="35" t="n">
        <v>12687.68</v>
      </c>
      <c r="M1351" s="33" t="n">
        <v>5</v>
      </c>
      <c r="N1351" s="33" t="s">
        <v>146</v>
      </c>
      <c r="O1351" s="33" t="s">
        <v>147</v>
      </c>
    </row>
    <row r="1352" customFormat="false" ht="15" hidden="false" customHeight="false" outlineLevel="0" collapsed="false">
      <c r="A1352" s="33" t="s">
        <v>1552</v>
      </c>
      <c r="B1352" s="34" t="n">
        <v>45622</v>
      </c>
      <c r="C1352" s="34" t="n">
        <v>45625</v>
      </c>
      <c r="D1352" s="33" t="n">
        <v>8</v>
      </c>
      <c r="E1352" s="33" t="s">
        <v>139</v>
      </c>
      <c r="F1352" s="33" t="s">
        <v>203</v>
      </c>
      <c r="G1352" s="33" t="s">
        <v>204</v>
      </c>
      <c r="H1352" s="33" t="s">
        <v>205</v>
      </c>
      <c r="I1352" s="33" t="s">
        <v>143</v>
      </c>
      <c r="J1352" s="33" t="s">
        <v>159</v>
      </c>
      <c r="K1352" s="33" t="s">
        <v>160</v>
      </c>
      <c r="L1352" s="35" t="n">
        <v>2753.53</v>
      </c>
      <c r="M1352" s="33" t="n">
        <v>3</v>
      </c>
      <c r="N1352" s="33" t="s">
        <v>146</v>
      </c>
      <c r="O1352" s="33" t="s">
        <v>147</v>
      </c>
    </row>
    <row r="1353" customFormat="false" ht="15" hidden="false" customHeight="false" outlineLevel="0" collapsed="false">
      <c r="A1353" s="33" t="s">
        <v>1553</v>
      </c>
      <c r="B1353" s="34" t="n">
        <v>45358</v>
      </c>
      <c r="C1353" s="34" t="n">
        <v>45369</v>
      </c>
      <c r="D1353" s="33" t="n">
        <v>39</v>
      </c>
      <c r="E1353" s="33" t="s">
        <v>139</v>
      </c>
      <c r="F1353" s="33" t="s">
        <v>181</v>
      </c>
      <c r="G1353" s="33" t="s">
        <v>237</v>
      </c>
      <c r="H1353" s="33" t="s">
        <v>245</v>
      </c>
      <c r="I1353" s="33" t="s">
        <v>143</v>
      </c>
      <c r="J1353" s="33" t="s">
        <v>159</v>
      </c>
      <c r="K1353" s="36"/>
      <c r="L1353" s="35" t="n">
        <v>23604.65</v>
      </c>
      <c r="M1353" s="33" t="n">
        <v>4</v>
      </c>
      <c r="N1353" s="33" t="s">
        <v>146</v>
      </c>
      <c r="O1353" s="33" t="s">
        <v>147</v>
      </c>
    </row>
    <row r="1354" customFormat="false" ht="15" hidden="false" customHeight="false" outlineLevel="0" collapsed="false">
      <c r="A1354" s="33" t="s">
        <v>1554</v>
      </c>
      <c r="B1354" s="34" t="n">
        <v>45354</v>
      </c>
      <c r="C1354" s="34" t="n">
        <v>45355</v>
      </c>
      <c r="D1354" s="33" t="n">
        <v>3</v>
      </c>
      <c r="E1354" s="33" t="s">
        <v>139</v>
      </c>
      <c r="F1354" s="33" t="s">
        <v>155</v>
      </c>
      <c r="G1354" s="33" t="s">
        <v>302</v>
      </c>
      <c r="H1354" s="33" t="s">
        <v>157</v>
      </c>
      <c r="I1354" s="33" t="s">
        <v>143</v>
      </c>
      <c r="J1354" s="33" t="s">
        <v>159</v>
      </c>
      <c r="K1354" s="33" t="s">
        <v>145</v>
      </c>
      <c r="L1354" s="35" t="n">
        <v>858.7</v>
      </c>
      <c r="M1354" s="33" t="n">
        <v>4</v>
      </c>
      <c r="N1354" s="33" t="s">
        <v>146</v>
      </c>
      <c r="O1354" s="33" t="s">
        <v>147</v>
      </c>
    </row>
    <row r="1355" customFormat="false" ht="15" hidden="false" customHeight="false" outlineLevel="0" collapsed="false">
      <c r="A1355" s="33" t="s">
        <v>1555</v>
      </c>
      <c r="B1355" s="34" t="n">
        <v>45383</v>
      </c>
      <c r="C1355" s="34" t="n">
        <v>45385</v>
      </c>
      <c r="D1355" s="33" t="n">
        <v>21</v>
      </c>
      <c r="E1355" s="33" t="s">
        <v>139</v>
      </c>
      <c r="F1355" s="33" t="s">
        <v>149</v>
      </c>
      <c r="G1355" s="33" t="s">
        <v>150</v>
      </c>
      <c r="H1355" s="36"/>
      <c r="I1355" s="33" t="s">
        <v>143</v>
      </c>
      <c r="J1355" s="33" t="s">
        <v>159</v>
      </c>
      <c r="K1355" s="33" t="s">
        <v>145</v>
      </c>
      <c r="L1355" s="35" t="n">
        <v>3007.67</v>
      </c>
      <c r="M1355" s="33" t="n">
        <v>5</v>
      </c>
      <c r="N1355" s="33" t="s">
        <v>146</v>
      </c>
      <c r="O1355" s="33" t="s">
        <v>147</v>
      </c>
    </row>
    <row r="1356" customFormat="false" ht="15" hidden="false" customHeight="false" outlineLevel="0" collapsed="false">
      <c r="A1356" s="33" t="s">
        <v>1556</v>
      </c>
      <c r="B1356" s="34" t="n">
        <v>45657</v>
      </c>
      <c r="C1356" s="34" t="n">
        <v>45659</v>
      </c>
      <c r="D1356" s="33" t="n">
        <v>77</v>
      </c>
      <c r="E1356" s="33" t="s">
        <v>154</v>
      </c>
      <c r="F1356" s="33" t="s">
        <v>140</v>
      </c>
      <c r="G1356" s="33" t="s">
        <v>167</v>
      </c>
      <c r="H1356" s="33" t="s">
        <v>142</v>
      </c>
      <c r="I1356" s="33" t="s">
        <v>143</v>
      </c>
      <c r="J1356" s="33" t="s">
        <v>159</v>
      </c>
      <c r="K1356" s="33" t="s">
        <v>184</v>
      </c>
      <c r="L1356" s="35" t="n">
        <v>4754.28</v>
      </c>
      <c r="M1356" s="33" t="n">
        <v>4</v>
      </c>
      <c r="N1356" s="33" t="s">
        <v>146</v>
      </c>
      <c r="O1356" s="33" t="s">
        <v>147</v>
      </c>
    </row>
    <row r="1357" customFormat="false" ht="15" hidden="false" customHeight="false" outlineLevel="0" collapsed="false">
      <c r="A1357" s="33" t="s">
        <v>1557</v>
      </c>
      <c r="B1357" s="34" t="n">
        <v>45468</v>
      </c>
      <c r="C1357" s="34" t="n">
        <v>45471</v>
      </c>
      <c r="D1357" s="33" t="n">
        <v>46</v>
      </c>
      <c r="E1357" s="33" t="s">
        <v>139</v>
      </c>
      <c r="F1357" s="33" t="s">
        <v>203</v>
      </c>
      <c r="G1357" s="33" t="s">
        <v>192</v>
      </c>
      <c r="H1357" s="33" t="s">
        <v>193</v>
      </c>
      <c r="I1357" s="33" t="s">
        <v>143</v>
      </c>
      <c r="J1357" s="33" t="s">
        <v>144</v>
      </c>
      <c r="K1357" s="33" t="s">
        <v>160</v>
      </c>
      <c r="L1357" s="35" t="n">
        <v>5957.76</v>
      </c>
      <c r="M1357" s="33" t="n">
        <v>2</v>
      </c>
      <c r="N1357" s="33" t="s">
        <v>146</v>
      </c>
      <c r="O1357" s="33" t="s">
        <v>147</v>
      </c>
    </row>
    <row r="1358" customFormat="false" ht="15" hidden="false" customHeight="false" outlineLevel="0" collapsed="false">
      <c r="A1358" s="33" t="s">
        <v>1558</v>
      </c>
      <c r="B1358" s="34" t="n">
        <v>45548</v>
      </c>
      <c r="C1358" s="34" t="n">
        <v>45549</v>
      </c>
      <c r="D1358" s="33" t="n">
        <v>34</v>
      </c>
      <c r="E1358" s="33" t="s">
        <v>154</v>
      </c>
      <c r="F1358" s="33" t="s">
        <v>334</v>
      </c>
      <c r="G1358" s="33" t="s">
        <v>217</v>
      </c>
      <c r="H1358" s="36"/>
      <c r="I1358" s="33" t="s">
        <v>143</v>
      </c>
      <c r="J1358" s="33" t="s">
        <v>144</v>
      </c>
      <c r="K1358" s="33" t="s">
        <v>145</v>
      </c>
      <c r="L1358" s="35" t="n">
        <v>1483.66</v>
      </c>
      <c r="M1358" s="33" t="n">
        <v>3</v>
      </c>
      <c r="N1358" s="33" t="s">
        <v>146</v>
      </c>
      <c r="O1358" s="33" t="s">
        <v>147</v>
      </c>
    </row>
    <row r="1359" customFormat="false" ht="15" hidden="false" customHeight="false" outlineLevel="0" collapsed="false">
      <c r="A1359" s="33" t="s">
        <v>1559</v>
      </c>
      <c r="B1359" s="34" t="n">
        <v>45623</v>
      </c>
      <c r="C1359" s="34" t="n">
        <v>45630</v>
      </c>
      <c r="D1359" s="33" t="n">
        <v>59</v>
      </c>
      <c r="E1359" s="33" t="s">
        <v>139</v>
      </c>
      <c r="F1359" s="33" t="s">
        <v>173</v>
      </c>
      <c r="G1359" s="33" t="s">
        <v>174</v>
      </c>
      <c r="H1359" s="33" t="s">
        <v>175</v>
      </c>
      <c r="I1359" s="33" t="s">
        <v>143</v>
      </c>
      <c r="J1359" s="33" t="s">
        <v>159</v>
      </c>
      <c r="K1359" s="33" t="s">
        <v>209</v>
      </c>
      <c r="L1359" s="35" t="n">
        <v>17743.47</v>
      </c>
      <c r="M1359" s="33" t="n">
        <v>3</v>
      </c>
      <c r="N1359" s="33" t="s">
        <v>146</v>
      </c>
      <c r="O1359" s="33" t="s">
        <v>147</v>
      </c>
    </row>
    <row r="1360" customFormat="false" ht="15" hidden="false" customHeight="false" outlineLevel="0" collapsed="false">
      <c r="A1360" s="33" t="s">
        <v>1560</v>
      </c>
      <c r="B1360" s="34" t="n">
        <v>45357</v>
      </c>
      <c r="C1360" s="34" t="n">
        <v>45359</v>
      </c>
      <c r="D1360" s="33" t="n">
        <v>2</v>
      </c>
      <c r="E1360" s="33" t="s">
        <v>154</v>
      </c>
      <c r="F1360" s="33" t="s">
        <v>173</v>
      </c>
      <c r="G1360" s="33" t="s">
        <v>174</v>
      </c>
      <c r="H1360" s="33" t="s">
        <v>199</v>
      </c>
      <c r="I1360" s="33" t="s">
        <v>152</v>
      </c>
      <c r="J1360" s="33" t="s">
        <v>159</v>
      </c>
      <c r="K1360" s="33" t="s">
        <v>184</v>
      </c>
      <c r="L1360" s="35" t="n">
        <v>5313.66</v>
      </c>
      <c r="M1360" s="33" t="n">
        <v>5</v>
      </c>
      <c r="N1360" s="33" t="s">
        <v>146</v>
      </c>
      <c r="O1360" s="33" t="s">
        <v>147</v>
      </c>
    </row>
    <row r="1361" customFormat="false" ht="15" hidden="false" customHeight="false" outlineLevel="0" collapsed="false">
      <c r="A1361" s="33" t="s">
        <v>1561</v>
      </c>
      <c r="B1361" s="34" t="n">
        <v>45575</v>
      </c>
      <c r="C1361" s="34" t="n">
        <v>45581</v>
      </c>
      <c r="D1361" s="33" t="n">
        <v>53</v>
      </c>
      <c r="E1361" s="33" t="s">
        <v>139</v>
      </c>
      <c r="F1361" s="33" t="s">
        <v>181</v>
      </c>
      <c r="G1361" s="33" t="s">
        <v>182</v>
      </c>
      <c r="H1361" s="33" t="s">
        <v>245</v>
      </c>
      <c r="I1361" s="33" t="s">
        <v>143</v>
      </c>
      <c r="J1361" s="33" t="s">
        <v>159</v>
      </c>
      <c r="K1361" s="33" t="s">
        <v>145</v>
      </c>
      <c r="L1361" s="35" t="n">
        <v>12053.91</v>
      </c>
      <c r="M1361" s="33" t="n">
        <v>4</v>
      </c>
      <c r="N1361" s="33" t="s">
        <v>146</v>
      </c>
      <c r="O1361" s="33" t="s">
        <v>147</v>
      </c>
    </row>
    <row r="1362" customFormat="false" ht="15" hidden="false" customHeight="false" outlineLevel="0" collapsed="false">
      <c r="A1362" s="33" t="s">
        <v>1562</v>
      </c>
      <c r="B1362" s="34" t="n">
        <v>45486</v>
      </c>
      <c r="C1362" s="34" t="n">
        <v>45489</v>
      </c>
      <c r="D1362" s="33" t="n">
        <v>0</v>
      </c>
      <c r="E1362" s="33" t="s">
        <v>279</v>
      </c>
      <c r="F1362" s="33" t="s">
        <v>376</v>
      </c>
      <c r="G1362" s="33" t="s">
        <v>156</v>
      </c>
      <c r="H1362" s="33" t="s">
        <v>157</v>
      </c>
      <c r="I1362" s="33" t="s">
        <v>152</v>
      </c>
      <c r="J1362" s="33" t="s">
        <v>159</v>
      </c>
      <c r="K1362" s="33" t="s">
        <v>145</v>
      </c>
      <c r="L1362" s="35" t="n">
        <v>2441.4</v>
      </c>
      <c r="M1362" s="36"/>
      <c r="N1362" s="33" t="s">
        <v>146</v>
      </c>
      <c r="O1362" s="33" t="s">
        <v>147</v>
      </c>
    </row>
    <row r="1363" customFormat="false" ht="15" hidden="false" customHeight="false" outlineLevel="0" collapsed="false">
      <c r="A1363" s="33" t="s">
        <v>1563</v>
      </c>
      <c r="B1363" s="34" t="n">
        <v>45402</v>
      </c>
      <c r="C1363" s="34" t="n">
        <v>45403</v>
      </c>
      <c r="D1363" s="33" t="n">
        <v>46</v>
      </c>
      <c r="E1363" s="33" t="s">
        <v>190</v>
      </c>
      <c r="F1363" s="33" t="s">
        <v>334</v>
      </c>
      <c r="G1363" s="33" t="s">
        <v>217</v>
      </c>
      <c r="H1363" s="33" t="s">
        <v>205</v>
      </c>
      <c r="I1363" s="33" t="s">
        <v>143</v>
      </c>
      <c r="J1363" s="33" t="s">
        <v>159</v>
      </c>
      <c r="K1363" s="33" t="s">
        <v>145</v>
      </c>
      <c r="L1363" s="35" t="n">
        <v>1022.04</v>
      </c>
      <c r="M1363" s="33" t="n">
        <v>4</v>
      </c>
      <c r="N1363" s="33" t="s">
        <v>146</v>
      </c>
      <c r="O1363" s="33" t="s">
        <v>147</v>
      </c>
    </row>
    <row r="1364" customFormat="false" ht="15" hidden="false" customHeight="false" outlineLevel="0" collapsed="false">
      <c r="A1364" s="33" t="s">
        <v>1564</v>
      </c>
      <c r="B1364" s="34" t="n">
        <v>45346</v>
      </c>
      <c r="C1364" s="34" t="n">
        <v>45347</v>
      </c>
      <c r="D1364" s="36"/>
      <c r="E1364" s="33" t="s">
        <v>139</v>
      </c>
      <c r="F1364" s="33" t="s">
        <v>140</v>
      </c>
      <c r="G1364" s="33" t="s">
        <v>167</v>
      </c>
      <c r="H1364" s="33" t="s">
        <v>142</v>
      </c>
      <c r="I1364" s="33" t="s">
        <v>158</v>
      </c>
      <c r="J1364" s="33" t="s">
        <v>159</v>
      </c>
      <c r="K1364" s="33" t="s">
        <v>145</v>
      </c>
      <c r="L1364" s="35" t="n">
        <v>2117.4</v>
      </c>
      <c r="M1364" s="33" t="n">
        <v>5</v>
      </c>
      <c r="N1364" s="33" t="s">
        <v>146</v>
      </c>
      <c r="O1364" s="33" t="s">
        <v>147</v>
      </c>
    </row>
    <row r="1365" customFormat="false" ht="15" hidden="false" customHeight="false" outlineLevel="0" collapsed="false">
      <c r="A1365" s="33" t="s">
        <v>1565</v>
      </c>
      <c r="B1365" s="34" t="n">
        <v>45576</v>
      </c>
      <c r="C1365" s="34" t="n">
        <v>45577</v>
      </c>
      <c r="D1365" s="33" t="n">
        <v>29</v>
      </c>
      <c r="E1365" s="33" t="s">
        <v>139</v>
      </c>
      <c r="F1365" s="33" t="s">
        <v>140</v>
      </c>
      <c r="G1365" s="33" t="s">
        <v>141</v>
      </c>
      <c r="H1365" s="33" t="s">
        <v>290</v>
      </c>
      <c r="I1365" s="33" t="s">
        <v>152</v>
      </c>
      <c r="J1365" s="33" t="s">
        <v>144</v>
      </c>
      <c r="K1365" s="33" t="s">
        <v>184</v>
      </c>
      <c r="L1365" s="35" t="n">
        <v>5268.24</v>
      </c>
      <c r="M1365" s="33" t="n">
        <v>4</v>
      </c>
      <c r="N1365" s="33" t="s">
        <v>146</v>
      </c>
      <c r="O1365" s="33" t="s">
        <v>147</v>
      </c>
    </row>
    <row r="1366" customFormat="false" ht="15" hidden="false" customHeight="false" outlineLevel="0" collapsed="false">
      <c r="A1366" s="33" t="s">
        <v>1566</v>
      </c>
      <c r="B1366" s="34" t="n">
        <v>45355</v>
      </c>
      <c r="C1366" s="34" t="n">
        <v>45356</v>
      </c>
      <c r="D1366" s="33" t="n">
        <v>33</v>
      </c>
      <c r="E1366" s="33" t="s">
        <v>139</v>
      </c>
      <c r="F1366" s="33" t="s">
        <v>149</v>
      </c>
      <c r="G1366" s="33" t="s">
        <v>224</v>
      </c>
      <c r="H1366" s="33" t="s">
        <v>186</v>
      </c>
      <c r="I1366" s="33" t="s">
        <v>143</v>
      </c>
      <c r="J1366" s="33" t="s">
        <v>144</v>
      </c>
      <c r="K1366" s="33" t="s">
        <v>145</v>
      </c>
      <c r="L1366" s="35" t="n">
        <v>2347.7</v>
      </c>
      <c r="M1366" s="33" t="n">
        <v>2</v>
      </c>
      <c r="N1366" s="33" t="s">
        <v>146</v>
      </c>
      <c r="O1366" s="33" t="s">
        <v>147</v>
      </c>
    </row>
    <row r="1367" customFormat="false" ht="15" hidden="false" customHeight="false" outlineLevel="0" collapsed="false">
      <c r="A1367" s="33" t="s">
        <v>1567</v>
      </c>
      <c r="B1367" s="34" t="n">
        <v>45375</v>
      </c>
      <c r="C1367" s="34" t="n">
        <v>45383</v>
      </c>
      <c r="D1367" s="33" t="n">
        <v>10</v>
      </c>
      <c r="E1367" s="33" t="s">
        <v>216</v>
      </c>
      <c r="F1367" s="33" t="s">
        <v>173</v>
      </c>
      <c r="G1367" s="33" t="s">
        <v>178</v>
      </c>
      <c r="H1367" s="33" t="s">
        <v>175</v>
      </c>
      <c r="I1367" s="33" t="s">
        <v>158</v>
      </c>
      <c r="J1367" s="33" t="s">
        <v>159</v>
      </c>
      <c r="K1367" s="33" t="s">
        <v>209</v>
      </c>
      <c r="L1367" s="35" t="n">
        <v>23284.74</v>
      </c>
      <c r="M1367" s="33" t="n">
        <v>4</v>
      </c>
      <c r="N1367" s="33" t="s">
        <v>146</v>
      </c>
      <c r="O1367" s="33" t="s">
        <v>147</v>
      </c>
    </row>
    <row r="1368" customFormat="false" ht="15" hidden="false" customHeight="false" outlineLevel="0" collapsed="false">
      <c r="A1368" s="33" t="s">
        <v>1568</v>
      </c>
      <c r="B1368" s="34" t="n">
        <v>45336</v>
      </c>
      <c r="C1368" s="34" t="n">
        <v>45350</v>
      </c>
      <c r="D1368" s="36" t="n">
        <v>-3</v>
      </c>
      <c r="E1368" s="33" t="s">
        <v>154</v>
      </c>
      <c r="F1368" s="33" t="s">
        <v>226</v>
      </c>
      <c r="G1368" s="33" t="s">
        <v>386</v>
      </c>
      <c r="H1368" s="33" t="s">
        <v>228</v>
      </c>
      <c r="I1368" s="33" t="s">
        <v>143</v>
      </c>
      <c r="J1368" s="33" t="s">
        <v>159</v>
      </c>
      <c r="K1368" s="33" t="s">
        <v>145</v>
      </c>
      <c r="L1368" s="35" t="n">
        <v>35210.7</v>
      </c>
      <c r="M1368" s="33" t="n">
        <v>2</v>
      </c>
      <c r="N1368" s="33" t="s">
        <v>146</v>
      </c>
      <c r="O1368" s="33" t="s">
        <v>147</v>
      </c>
    </row>
    <row r="1369" customFormat="false" ht="15" hidden="false" customHeight="false" outlineLevel="0" collapsed="false">
      <c r="A1369" s="33" t="s">
        <v>1569</v>
      </c>
      <c r="B1369" s="34" t="n">
        <v>45603</v>
      </c>
      <c r="C1369" s="34" t="n">
        <v>45606</v>
      </c>
      <c r="D1369" s="33" t="n">
        <v>45</v>
      </c>
      <c r="E1369" s="33" t="s">
        <v>154</v>
      </c>
      <c r="F1369" s="33" t="s">
        <v>173</v>
      </c>
      <c r="G1369" s="33" t="s">
        <v>198</v>
      </c>
      <c r="H1369" s="33" t="s">
        <v>175</v>
      </c>
      <c r="I1369" s="33" t="s">
        <v>152</v>
      </c>
      <c r="J1369" s="33" t="s">
        <v>159</v>
      </c>
      <c r="K1369" s="33" t="s">
        <v>145</v>
      </c>
      <c r="L1369" s="35" t="n">
        <v>7529.74</v>
      </c>
      <c r="M1369" s="33" t="n">
        <v>5</v>
      </c>
      <c r="N1369" s="33" t="s">
        <v>146</v>
      </c>
      <c r="O1369" s="33" t="s">
        <v>147</v>
      </c>
    </row>
    <row r="1370" customFormat="false" ht="15" hidden="false" customHeight="false" outlineLevel="0" collapsed="false">
      <c r="A1370" s="33" t="s">
        <v>1570</v>
      </c>
      <c r="B1370" s="34" t="n">
        <v>45450</v>
      </c>
      <c r="C1370" s="34" t="n">
        <v>45451</v>
      </c>
      <c r="D1370" s="36"/>
      <c r="E1370" s="33" t="s">
        <v>154</v>
      </c>
      <c r="F1370" s="33" t="s">
        <v>203</v>
      </c>
      <c r="G1370" s="33" t="s">
        <v>241</v>
      </c>
      <c r="H1370" s="33" t="s">
        <v>193</v>
      </c>
      <c r="I1370" s="33" t="s">
        <v>143</v>
      </c>
      <c r="J1370" s="33" t="s">
        <v>159</v>
      </c>
      <c r="K1370" s="33" t="s">
        <v>145</v>
      </c>
      <c r="L1370" s="35" t="n">
        <v>836.32</v>
      </c>
      <c r="M1370" s="33" t="n">
        <v>2</v>
      </c>
      <c r="N1370" s="33" t="s">
        <v>146</v>
      </c>
      <c r="O1370" s="33" t="s">
        <v>147</v>
      </c>
    </row>
    <row r="1371" customFormat="false" ht="15" hidden="false" customHeight="false" outlineLevel="0" collapsed="false">
      <c r="A1371" s="33" t="s">
        <v>648</v>
      </c>
      <c r="B1371" s="34" t="n">
        <v>45530</v>
      </c>
      <c r="C1371" s="34" t="n">
        <v>45533</v>
      </c>
      <c r="D1371" s="33" t="n">
        <v>1</v>
      </c>
      <c r="E1371" s="33" t="s">
        <v>139</v>
      </c>
      <c r="F1371" s="33" t="s">
        <v>376</v>
      </c>
      <c r="G1371" s="33" t="s">
        <v>156</v>
      </c>
      <c r="H1371" s="33" t="s">
        <v>222</v>
      </c>
      <c r="I1371" s="33" t="s">
        <v>152</v>
      </c>
      <c r="J1371" s="33" t="s">
        <v>159</v>
      </c>
      <c r="K1371" s="33" t="s">
        <v>209</v>
      </c>
      <c r="L1371" s="35" t="n">
        <v>2783.68</v>
      </c>
      <c r="M1371" s="33" t="n">
        <v>3</v>
      </c>
      <c r="N1371" s="33" t="s">
        <v>146</v>
      </c>
      <c r="O1371" s="33" t="s">
        <v>147</v>
      </c>
    </row>
    <row r="1372" customFormat="false" ht="15" hidden="false" customHeight="false" outlineLevel="0" collapsed="false">
      <c r="A1372" s="33" t="s">
        <v>1571</v>
      </c>
      <c r="B1372" s="34" t="n">
        <v>45333</v>
      </c>
      <c r="C1372" s="34" t="n">
        <v>45336</v>
      </c>
      <c r="D1372" s="33" t="n">
        <v>3</v>
      </c>
      <c r="E1372" s="33" t="s">
        <v>139</v>
      </c>
      <c r="F1372" s="33" t="s">
        <v>155</v>
      </c>
      <c r="G1372" s="33" t="s">
        <v>302</v>
      </c>
      <c r="H1372" s="33" t="s">
        <v>157</v>
      </c>
      <c r="I1372" s="33" t="s">
        <v>143</v>
      </c>
      <c r="J1372" s="33" t="s">
        <v>144</v>
      </c>
      <c r="K1372" s="33" t="s">
        <v>160</v>
      </c>
      <c r="L1372" s="35" t="n">
        <v>4083.82</v>
      </c>
      <c r="M1372" s="33" t="n">
        <v>4</v>
      </c>
      <c r="N1372" s="33" t="s">
        <v>146</v>
      </c>
      <c r="O1372" s="33" t="s">
        <v>147</v>
      </c>
    </row>
    <row r="1373" customFormat="false" ht="15" hidden="false" customHeight="false" outlineLevel="0" collapsed="false">
      <c r="A1373" s="33" t="s">
        <v>1572</v>
      </c>
      <c r="B1373" s="34" t="n">
        <v>45451</v>
      </c>
      <c r="C1373" s="34" t="n">
        <v>45442</v>
      </c>
      <c r="D1373" s="33" t="n">
        <v>46</v>
      </c>
      <c r="E1373" s="33" t="s">
        <v>139</v>
      </c>
      <c r="F1373" s="33" t="s">
        <v>173</v>
      </c>
      <c r="G1373" s="33" t="s">
        <v>178</v>
      </c>
      <c r="H1373" s="33" t="s">
        <v>199</v>
      </c>
      <c r="I1373" s="33" t="s">
        <v>143</v>
      </c>
      <c r="J1373" s="33" t="s">
        <v>159</v>
      </c>
      <c r="K1373" s="33" t="s">
        <v>145</v>
      </c>
      <c r="L1373" s="35" t="n">
        <v>23430.85</v>
      </c>
      <c r="M1373" s="33" t="n">
        <v>3</v>
      </c>
      <c r="N1373" s="33" t="s">
        <v>146</v>
      </c>
      <c r="O1373" s="33" t="s">
        <v>147</v>
      </c>
    </row>
    <row r="1374" customFormat="false" ht="15" hidden="false" customHeight="false" outlineLevel="0" collapsed="false">
      <c r="A1374" s="33" t="s">
        <v>1573</v>
      </c>
      <c r="B1374" s="34" t="n">
        <v>45309</v>
      </c>
      <c r="C1374" s="34" t="n">
        <v>45312</v>
      </c>
      <c r="D1374" s="33" t="n">
        <v>64</v>
      </c>
      <c r="E1374" s="33" t="s">
        <v>154</v>
      </c>
      <c r="F1374" s="33" t="s">
        <v>162</v>
      </c>
      <c r="G1374" s="33" t="s">
        <v>230</v>
      </c>
      <c r="H1374" s="33" t="s">
        <v>171</v>
      </c>
      <c r="I1374" s="33" t="s">
        <v>143</v>
      </c>
      <c r="J1374" s="33" t="s">
        <v>159</v>
      </c>
      <c r="K1374" s="33" t="s">
        <v>145</v>
      </c>
      <c r="L1374" s="35" t="n">
        <v>3396.45</v>
      </c>
      <c r="M1374" s="33" t="n">
        <v>3</v>
      </c>
      <c r="N1374" s="33" t="s">
        <v>146</v>
      </c>
      <c r="O1374" s="33" t="s">
        <v>147</v>
      </c>
    </row>
    <row r="1375" customFormat="false" ht="15" hidden="false" customHeight="false" outlineLevel="0" collapsed="false">
      <c r="A1375" s="33" t="s">
        <v>1574</v>
      </c>
      <c r="B1375" s="34" t="n">
        <v>45512</v>
      </c>
      <c r="C1375" s="34" t="n">
        <v>45515</v>
      </c>
      <c r="D1375" s="33" t="n">
        <v>37</v>
      </c>
      <c r="E1375" s="33" t="s">
        <v>139</v>
      </c>
      <c r="F1375" s="33" t="s">
        <v>149</v>
      </c>
      <c r="G1375" s="33" t="s">
        <v>243</v>
      </c>
      <c r="H1375" s="33" t="s">
        <v>151</v>
      </c>
      <c r="I1375" s="33" t="s">
        <v>143</v>
      </c>
      <c r="J1375" s="33" t="s">
        <v>144</v>
      </c>
      <c r="K1375" s="33" t="s">
        <v>145</v>
      </c>
      <c r="L1375" s="35" t="n">
        <v>9236.31</v>
      </c>
      <c r="M1375" s="33" t="n">
        <v>4</v>
      </c>
      <c r="N1375" s="33" t="s">
        <v>146</v>
      </c>
      <c r="O1375" s="33" t="s">
        <v>147</v>
      </c>
    </row>
    <row r="1376" customFormat="false" ht="15" hidden="false" customHeight="false" outlineLevel="0" collapsed="false">
      <c r="A1376" s="33" t="s">
        <v>1575</v>
      </c>
      <c r="B1376" s="34" t="n">
        <v>45375</v>
      </c>
      <c r="C1376" s="34" t="n">
        <v>45376</v>
      </c>
      <c r="D1376" s="33" t="n">
        <v>14</v>
      </c>
      <c r="E1376" s="33" t="s">
        <v>154</v>
      </c>
      <c r="F1376" s="33" t="s">
        <v>203</v>
      </c>
      <c r="G1376" s="33" t="s">
        <v>232</v>
      </c>
      <c r="H1376" s="33" t="s">
        <v>193</v>
      </c>
      <c r="I1376" s="33" t="s">
        <v>143</v>
      </c>
      <c r="J1376" s="33" t="s">
        <v>159</v>
      </c>
      <c r="K1376" s="36"/>
      <c r="L1376" s="35" t="n">
        <v>763.43</v>
      </c>
      <c r="M1376" s="33" t="n">
        <v>3</v>
      </c>
      <c r="N1376" s="33" t="s">
        <v>146</v>
      </c>
      <c r="O1376" s="33" t="s">
        <v>147</v>
      </c>
    </row>
    <row r="1377" customFormat="false" ht="15" hidden="false" customHeight="false" outlineLevel="0" collapsed="false">
      <c r="A1377" s="33" t="s">
        <v>1576</v>
      </c>
      <c r="B1377" s="34" t="n">
        <v>45609</v>
      </c>
      <c r="C1377" s="34" t="n">
        <v>45611</v>
      </c>
      <c r="D1377" s="33" t="n">
        <v>12</v>
      </c>
      <c r="E1377" s="33" t="s">
        <v>154</v>
      </c>
      <c r="F1377" s="33" t="s">
        <v>173</v>
      </c>
      <c r="G1377" s="33" t="s">
        <v>174</v>
      </c>
      <c r="H1377" s="36"/>
      <c r="I1377" s="33" t="s">
        <v>143</v>
      </c>
      <c r="J1377" s="33" t="s">
        <v>159</v>
      </c>
      <c r="K1377" s="33" t="s">
        <v>160</v>
      </c>
      <c r="L1377" s="35" t="n">
        <v>5041.96</v>
      </c>
      <c r="M1377" s="33" t="n">
        <v>5</v>
      </c>
      <c r="N1377" s="33" t="s">
        <v>210</v>
      </c>
      <c r="O1377" s="33" t="s">
        <v>147</v>
      </c>
    </row>
    <row r="1378" customFormat="false" ht="15" hidden="false" customHeight="false" outlineLevel="0" collapsed="false">
      <c r="A1378" s="33" t="s">
        <v>1577</v>
      </c>
      <c r="B1378" s="34" t="n">
        <v>45376</v>
      </c>
      <c r="C1378" s="34" t="n">
        <v>45380</v>
      </c>
      <c r="D1378" s="33" t="n">
        <v>2</v>
      </c>
      <c r="E1378" s="33" t="s">
        <v>154</v>
      </c>
      <c r="F1378" s="33" t="s">
        <v>155</v>
      </c>
      <c r="G1378" s="33" t="s">
        <v>302</v>
      </c>
      <c r="H1378" s="33" t="s">
        <v>222</v>
      </c>
      <c r="I1378" s="33" t="s">
        <v>143</v>
      </c>
      <c r="J1378" s="33" t="s">
        <v>159</v>
      </c>
      <c r="K1378" s="33" t="s">
        <v>145</v>
      </c>
      <c r="L1378" s="35" t="n">
        <v>3379.63</v>
      </c>
      <c r="M1378" s="33" t="n">
        <v>4</v>
      </c>
      <c r="N1378" s="33" t="s">
        <v>146</v>
      </c>
      <c r="O1378" s="36"/>
    </row>
    <row r="1379" customFormat="false" ht="15" hidden="false" customHeight="false" outlineLevel="0" collapsed="false">
      <c r="A1379" s="33" t="s">
        <v>1578</v>
      </c>
      <c r="B1379" s="34" t="n">
        <v>45569</v>
      </c>
      <c r="C1379" s="34" t="n">
        <v>45573</v>
      </c>
      <c r="D1379" s="36"/>
      <c r="E1379" s="33" t="s">
        <v>279</v>
      </c>
      <c r="F1379" s="33" t="s">
        <v>212</v>
      </c>
      <c r="G1379" s="33" t="s">
        <v>213</v>
      </c>
      <c r="H1379" s="36"/>
      <c r="I1379" s="33" t="s">
        <v>143</v>
      </c>
      <c r="J1379" s="33" t="s">
        <v>159</v>
      </c>
      <c r="K1379" s="33" t="s">
        <v>145</v>
      </c>
      <c r="L1379" s="35" t="n">
        <v>5016.84</v>
      </c>
      <c r="M1379" s="33" t="n">
        <v>5</v>
      </c>
      <c r="N1379" s="33" t="s">
        <v>146</v>
      </c>
      <c r="O1379" s="33" t="s">
        <v>147</v>
      </c>
    </row>
    <row r="1380" customFormat="false" ht="15" hidden="false" customHeight="false" outlineLevel="0" collapsed="false">
      <c r="A1380" s="33" t="s">
        <v>1579</v>
      </c>
      <c r="B1380" s="34" t="n">
        <v>45349</v>
      </c>
      <c r="C1380" s="34" t="n">
        <v>45350</v>
      </c>
      <c r="D1380" s="33" t="n">
        <v>23</v>
      </c>
      <c r="E1380" s="33" t="s">
        <v>139</v>
      </c>
      <c r="F1380" s="33" t="s">
        <v>149</v>
      </c>
      <c r="G1380" s="33" t="s">
        <v>150</v>
      </c>
      <c r="H1380" s="33" t="s">
        <v>186</v>
      </c>
      <c r="I1380" s="33" t="s">
        <v>143</v>
      </c>
      <c r="J1380" s="33" t="s">
        <v>159</v>
      </c>
      <c r="K1380" s="33" t="s">
        <v>160</v>
      </c>
      <c r="L1380" s="35" t="n">
        <v>1473.7</v>
      </c>
      <c r="M1380" s="33" t="n">
        <v>3</v>
      </c>
      <c r="N1380" s="33" t="s">
        <v>146</v>
      </c>
      <c r="O1380" s="33" t="s">
        <v>147</v>
      </c>
    </row>
    <row r="1381" customFormat="false" ht="15" hidden="false" customHeight="false" outlineLevel="0" collapsed="false">
      <c r="A1381" s="33" t="s">
        <v>1580</v>
      </c>
      <c r="B1381" s="34" t="n">
        <v>45411</v>
      </c>
      <c r="C1381" s="34" t="n">
        <v>45413</v>
      </c>
      <c r="D1381" s="33" t="n">
        <v>36</v>
      </c>
      <c r="E1381" s="33" t="s">
        <v>139</v>
      </c>
      <c r="F1381" s="33" t="s">
        <v>173</v>
      </c>
      <c r="G1381" s="33" t="s">
        <v>178</v>
      </c>
      <c r="H1381" s="33" t="s">
        <v>175</v>
      </c>
      <c r="I1381" s="33" t="s">
        <v>143</v>
      </c>
      <c r="J1381" s="33" t="s">
        <v>159</v>
      </c>
      <c r="K1381" s="33" t="s">
        <v>145</v>
      </c>
      <c r="L1381" s="35" t="n">
        <v>5619.4</v>
      </c>
      <c r="M1381" s="33" t="n">
        <v>4</v>
      </c>
      <c r="N1381" s="33" t="s">
        <v>210</v>
      </c>
      <c r="O1381" s="36"/>
    </row>
    <row r="1382" customFormat="false" ht="15" hidden="false" customHeight="false" outlineLevel="0" collapsed="false">
      <c r="A1382" s="33" t="s">
        <v>1581</v>
      </c>
      <c r="B1382" s="34" t="n">
        <v>45331</v>
      </c>
      <c r="C1382" s="34" t="n">
        <v>45332</v>
      </c>
      <c r="D1382" s="33" t="n">
        <v>66</v>
      </c>
      <c r="E1382" s="33" t="s">
        <v>139</v>
      </c>
      <c r="F1382" s="33" t="s">
        <v>169</v>
      </c>
      <c r="G1382" s="33" t="s">
        <v>170</v>
      </c>
      <c r="H1382" s="33" t="s">
        <v>171</v>
      </c>
      <c r="I1382" s="33" t="s">
        <v>158</v>
      </c>
      <c r="J1382" s="33" t="s">
        <v>176</v>
      </c>
      <c r="K1382" s="33" t="s">
        <v>145</v>
      </c>
      <c r="L1382" s="35" t="n">
        <v>3129.47</v>
      </c>
      <c r="M1382" s="33" t="n">
        <v>4</v>
      </c>
      <c r="N1382" s="33" t="s">
        <v>210</v>
      </c>
      <c r="O1382" s="33" t="s">
        <v>147</v>
      </c>
    </row>
    <row r="1383" customFormat="false" ht="15" hidden="false" customHeight="false" outlineLevel="0" collapsed="false">
      <c r="A1383" s="33" t="s">
        <v>1582</v>
      </c>
      <c r="B1383" s="34" t="n">
        <v>45529</v>
      </c>
      <c r="C1383" s="34" t="n">
        <v>45531</v>
      </c>
      <c r="D1383" s="33" t="n">
        <v>60</v>
      </c>
      <c r="E1383" s="33" t="s">
        <v>139</v>
      </c>
      <c r="F1383" s="33" t="s">
        <v>140</v>
      </c>
      <c r="G1383" s="33" t="s">
        <v>316</v>
      </c>
      <c r="H1383" s="33" t="s">
        <v>290</v>
      </c>
      <c r="I1383" s="33" t="s">
        <v>152</v>
      </c>
      <c r="J1383" s="33" t="s">
        <v>159</v>
      </c>
      <c r="K1383" s="33" t="s">
        <v>209</v>
      </c>
      <c r="L1383" s="35" t="n">
        <v>4225.85</v>
      </c>
      <c r="M1383" s="33" t="n">
        <v>3</v>
      </c>
      <c r="N1383" s="33" t="s">
        <v>146</v>
      </c>
      <c r="O1383" s="33" t="s">
        <v>147</v>
      </c>
    </row>
    <row r="1384" customFormat="false" ht="15" hidden="false" customHeight="false" outlineLevel="0" collapsed="false">
      <c r="A1384" s="33" t="s">
        <v>1583</v>
      </c>
      <c r="B1384" s="34" t="n">
        <v>45603</v>
      </c>
      <c r="C1384" s="34" t="n">
        <v>45610</v>
      </c>
      <c r="D1384" s="33" t="n">
        <v>70</v>
      </c>
      <c r="E1384" s="33" t="s">
        <v>139</v>
      </c>
      <c r="F1384" s="33" t="s">
        <v>169</v>
      </c>
      <c r="G1384" s="33" t="s">
        <v>163</v>
      </c>
      <c r="H1384" s="33" t="s">
        <v>164</v>
      </c>
      <c r="I1384" s="33" t="s">
        <v>152</v>
      </c>
      <c r="J1384" s="33" t="s">
        <v>159</v>
      </c>
      <c r="K1384" s="33" t="s">
        <v>145</v>
      </c>
      <c r="L1384" s="35" t="n">
        <v>7723.34</v>
      </c>
      <c r="M1384" s="33" t="n">
        <v>4</v>
      </c>
      <c r="N1384" s="33" t="s">
        <v>146</v>
      </c>
      <c r="O1384" s="33" t="s">
        <v>147</v>
      </c>
    </row>
    <row r="1385" customFormat="false" ht="15" hidden="false" customHeight="false" outlineLevel="0" collapsed="false">
      <c r="A1385" s="33" t="s">
        <v>1584</v>
      </c>
      <c r="B1385" s="34" t="n">
        <v>45622</v>
      </c>
      <c r="C1385" s="34" t="n">
        <v>45625</v>
      </c>
      <c r="D1385" s="33" t="n">
        <v>65</v>
      </c>
      <c r="E1385" s="33" t="s">
        <v>154</v>
      </c>
      <c r="F1385" s="33" t="s">
        <v>169</v>
      </c>
      <c r="G1385" s="33" t="s">
        <v>163</v>
      </c>
      <c r="H1385" s="33" t="s">
        <v>195</v>
      </c>
      <c r="I1385" s="33" t="s">
        <v>143</v>
      </c>
      <c r="J1385" s="33" t="s">
        <v>176</v>
      </c>
      <c r="K1385" s="33" t="s">
        <v>145</v>
      </c>
      <c r="L1385" s="35" t="n">
        <v>10614.6</v>
      </c>
      <c r="M1385" s="33" t="n">
        <v>3</v>
      </c>
      <c r="N1385" s="33" t="s">
        <v>146</v>
      </c>
      <c r="O1385" s="33" t="s">
        <v>147</v>
      </c>
    </row>
    <row r="1386" customFormat="false" ht="15" hidden="false" customHeight="false" outlineLevel="0" collapsed="false">
      <c r="A1386" s="33" t="s">
        <v>1585</v>
      </c>
      <c r="B1386" s="34" t="n">
        <v>45467</v>
      </c>
      <c r="C1386" s="34" t="n">
        <v>45474</v>
      </c>
      <c r="D1386" s="33" t="n">
        <v>25</v>
      </c>
      <c r="E1386" s="33" t="s">
        <v>139</v>
      </c>
      <c r="F1386" s="33" t="s">
        <v>149</v>
      </c>
      <c r="G1386" s="33" t="s">
        <v>224</v>
      </c>
      <c r="H1386" s="33" t="s">
        <v>186</v>
      </c>
      <c r="I1386" s="33" t="s">
        <v>143</v>
      </c>
      <c r="J1386" s="33" t="s">
        <v>144</v>
      </c>
      <c r="K1386" s="33" t="s">
        <v>209</v>
      </c>
      <c r="L1386" s="35" t="n">
        <v>16826.03</v>
      </c>
      <c r="M1386" s="33" t="n">
        <v>4</v>
      </c>
      <c r="N1386" s="33" t="s">
        <v>210</v>
      </c>
      <c r="O1386" s="33" t="s">
        <v>147</v>
      </c>
    </row>
    <row r="1387" customFormat="false" ht="15" hidden="false" customHeight="false" outlineLevel="0" collapsed="false">
      <c r="A1387" s="33" t="s">
        <v>1586</v>
      </c>
      <c r="B1387" s="34" t="n">
        <v>45309</v>
      </c>
      <c r="C1387" s="34" t="n">
        <v>45312</v>
      </c>
      <c r="D1387" s="33" t="n">
        <v>10</v>
      </c>
      <c r="E1387" s="33" t="s">
        <v>139</v>
      </c>
      <c r="F1387" s="33" t="s">
        <v>155</v>
      </c>
      <c r="G1387" s="33" t="s">
        <v>220</v>
      </c>
      <c r="H1387" s="33" t="s">
        <v>222</v>
      </c>
      <c r="I1387" s="33" t="s">
        <v>143</v>
      </c>
      <c r="J1387" s="33" t="s">
        <v>159</v>
      </c>
      <c r="K1387" s="33" t="s">
        <v>145</v>
      </c>
      <c r="L1387" s="35" t="n">
        <v>2994.9</v>
      </c>
      <c r="M1387" s="36"/>
      <c r="N1387" s="33" t="s">
        <v>146</v>
      </c>
      <c r="O1387" s="33" t="s">
        <v>147</v>
      </c>
    </row>
    <row r="1388" customFormat="false" ht="15" hidden="false" customHeight="false" outlineLevel="0" collapsed="false">
      <c r="A1388" s="33" t="s">
        <v>1587</v>
      </c>
      <c r="B1388" s="34" t="n">
        <v>45579</v>
      </c>
      <c r="C1388" s="34" t="n">
        <v>45580</v>
      </c>
      <c r="D1388" s="33" t="n">
        <v>9</v>
      </c>
      <c r="E1388" s="33" t="s">
        <v>139</v>
      </c>
      <c r="F1388" s="33" t="s">
        <v>155</v>
      </c>
      <c r="G1388" s="33" t="s">
        <v>302</v>
      </c>
      <c r="H1388" s="33" t="s">
        <v>222</v>
      </c>
      <c r="I1388" s="33" t="s">
        <v>143</v>
      </c>
      <c r="J1388" s="33" t="s">
        <v>144</v>
      </c>
      <c r="K1388" s="33" t="s">
        <v>145</v>
      </c>
      <c r="L1388" s="35" t="n">
        <v>1267.65</v>
      </c>
      <c r="M1388" s="33" t="n">
        <v>4</v>
      </c>
      <c r="N1388" s="33" t="s">
        <v>146</v>
      </c>
      <c r="O1388" s="33" t="s">
        <v>147</v>
      </c>
    </row>
    <row r="1389" customFormat="false" ht="15" hidden="false" customHeight="false" outlineLevel="0" collapsed="false">
      <c r="A1389" s="33" t="s">
        <v>1588</v>
      </c>
      <c r="B1389" s="34" t="n">
        <v>45385</v>
      </c>
      <c r="C1389" s="34" t="n">
        <v>45387</v>
      </c>
      <c r="D1389" s="33" t="n">
        <v>43</v>
      </c>
      <c r="E1389" s="33" t="s">
        <v>139</v>
      </c>
      <c r="F1389" s="33" t="s">
        <v>203</v>
      </c>
      <c r="G1389" s="33" t="s">
        <v>217</v>
      </c>
      <c r="H1389" s="33" t="s">
        <v>233</v>
      </c>
      <c r="I1389" s="33" t="s">
        <v>143</v>
      </c>
      <c r="J1389" s="33" t="s">
        <v>159</v>
      </c>
      <c r="K1389" s="33" t="s">
        <v>184</v>
      </c>
      <c r="L1389" s="35" t="n">
        <v>1514.47</v>
      </c>
      <c r="M1389" s="33" t="n">
        <v>4</v>
      </c>
      <c r="N1389" s="33" t="s">
        <v>146</v>
      </c>
      <c r="O1389" s="33" t="s">
        <v>147</v>
      </c>
    </row>
    <row r="1390" customFormat="false" ht="15" hidden="false" customHeight="false" outlineLevel="0" collapsed="false">
      <c r="A1390" s="33" t="s">
        <v>1589</v>
      </c>
      <c r="B1390" s="34" t="n">
        <v>45537</v>
      </c>
      <c r="C1390" s="34" t="n">
        <v>45548</v>
      </c>
      <c r="D1390" s="33" t="n">
        <v>75</v>
      </c>
      <c r="E1390" s="33" t="s">
        <v>154</v>
      </c>
      <c r="F1390" s="33" t="s">
        <v>181</v>
      </c>
      <c r="G1390" s="33" t="s">
        <v>237</v>
      </c>
      <c r="H1390" s="33" t="s">
        <v>245</v>
      </c>
      <c r="I1390" s="33" t="s">
        <v>152</v>
      </c>
      <c r="J1390" s="33" t="s">
        <v>176</v>
      </c>
      <c r="K1390" s="33" t="s">
        <v>145</v>
      </c>
      <c r="L1390" s="35" t="n">
        <v>96733.56</v>
      </c>
      <c r="M1390" s="33" t="n">
        <v>5</v>
      </c>
      <c r="N1390" s="33" t="s">
        <v>210</v>
      </c>
      <c r="O1390" s="33" t="s">
        <v>147</v>
      </c>
    </row>
    <row r="1391" customFormat="false" ht="15" hidden="false" customHeight="false" outlineLevel="0" collapsed="false">
      <c r="A1391" s="33" t="s">
        <v>1590</v>
      </c>
      <c r="B1391" s="34" t="n">
        <v>45415</v>
      </c>
      <c r="C1391" s="34" t="n">
        <v>45416</v>
      </c>
      <c r="D1391" s="33" t="n">
        <v>14</v>
      </c>
      <c r="E1391" s="33" t="s">
        <v>154</v>
      </c>
      <c r="F1391" s="33" t="s">
        <v>155</v>
      </c>
      <c r="G1391" s="33" t="s">
        <v>302</v>
      </c>
      <c r="H1391" s="33" t="s">
        <v>157</v>
      </c>
      <c r="I1391" s="33" t="s">
        <v>143</v>
      </c>
      <c r="J1391" s="33" t="s">
        <v>159</v>
      </c>
      <c r="K1391" s="33" t="s">
        <v>145</v>
      </c>
      <c r="L1391" s="35" t="n">
        <v>745.02</v>
      </c>
      <c r="M1391" s="33" t="n">
        <v>5</v>
      </c>
      <c r="N1391" s="33" t="s">
        <v>146</v>
      </c>
      <c r="O1391" s="33" t="s">
        <v>147</v>
      </c>
    </row>
    <row r="1392" customFormat="false" ht="15" hidden="false" customHeight="false" outlineLevel="0" collapsed="false">
      <c r="A1392" s="33" t="s">
        <v>1591</v>
      </c>
      <c r="B1392" s="34" t="n">
        <v>45644</v>
      </c>
      <c r="C1392" s="34" t="n">
        <v>45645</v>
      </c>
      <c r="D1392" s="33" t="n">
        <v>28</v>
      </c>
      <c r="E1392" s="33" t="s">
        <v>216</v>
      </c>
      <c r="F1392" s="33" t="s">
        <v>140</v>
      </c>
      <c r="G1392" s="33" t="s">
        <v>167</v>
      </c>
      <c r="H1392" s="33" t="s">
        <v>290</v>
      </c>
      <c r="I1392" s="33" t="s">
        <v>143</v>
      </c>
      <c r="J1392" s="33" t="s">
        <v>159</v>
      </c>
      <c r="K1392" s="33" t="s">
        <v>145</v>
      </c>
      <c r="L1392" s="35" t="n">
        <v>1837.46</v>
      </c>
      <c r="M1392" s="33" t="n">
        <v>5</v>
      </c>
      <c r="N1392" s="33" t="s">
        <v>146</v>
      </c>
      <c r="O1392" s="33" t="s">
        <v>147</v>
      </c>
    </row>
    <row r="1393" customFormat="false" ht="15" hidden="false" customHeight="false" outlineLevel="0" collapsed="false">
      <c r="A1393" s="33" t="s">
        <v>1592</v>
      </c>
      <c r="B1393" s="34" t="n">
        <v>45324</v>
      </c>
      <c r="C1393" s="34" t="n">
        <v>45325</v>
      </c>
      <c r="D1393" s="33" t="n">
        <v>4</v>
      </c>
      <c r="E1393" s="33" t="s">
        <v>216</v>
      </c>
      <c r="F1393" s="33" t="s">
        <v>169</v>
      </c>
      <c r="G1393" s="33" t="s">
        <v>213</v>
      </c>
      <c r="H1393" s="33" t="s">
        <v>195</v>
      </c>
      <c r="I1393" s="33" t="s">
        <v>143</v>
      </c>
      <c r="J1393" s="33" t="s">
        <v>159</v>
      </c>
      <c r="K1393" s="33" t="s">
        <v>145</v>
      </c>
      <c r="L1393" s="35" t="n">
        <v>1031.93</v>
      </c>
      <c r="M1393" s="33" t="n">
        <v>4</v>
      </c>
      <c r="N1393" s="33" t="s">
        <v>146</v>
      </c>
      <c r="O1393" s="33" t="s">
        <v>206</v>
      </c>
    </row>
    <row r="1394" customFormat="false" ht="15" hidden="false" customHeight="false" outlineLevel="0" collapsed="false">
      <c r="A1394" s="33" t="s">
        <v>1593</v>
      </c>
      <c r="B1394" s="34" t="n">
        <v>45425</v>
      </c>
      <c r="C1394" s="34" t="n">
        <v>45430</v>
      </c>
      <c r="D1394" s="33" t="n">
        <v>12</v>
      </c>
      <c r="E1394" s="33" t="s">
        <v>139</v>
      </c>
      <c r="F1394" s="33" t="s">
        <v>376</v>
      </c>
      <c r="G1394" s="33" t="s">
        <v>302</v>
      </c>
      <c r="H1394" s="33" t="s">
        <v>157</v>
      </c>
      <c r="I1394" s="33" t="s">
        <v>143</v>
      </c>
      <c r="J1394" s="33" t="s">
        <v>159</v>
      </c>
      <c r="K1394" s="33" t="s">
        <v>145</v>
      </c>
      <c r="L1394" s="35" t="n">
        <v>4044.45</v>
      </c>
      <c r="M1394" s="33" t="n">
        <v>4</v>
      </c>
      <c r="N1394" s="33" t="s">
        <v>146</v>
      </c>
      <c r="O1394" s="33" t="s">
        <v>147</v>
      </c>
    </row>
    <row r="1395" customFormat="false" ht="15" hidden="false" customHeight="false" outlineLevel="0" collapsed="false">
      <c r="A1395" s="33" t="s">
        <v>1594</v>
      </c>
      <c r="B1395" s="34" t="n">
        <v>45460</v>
      </c>
      <c r="C1395" s="34" t="n">
        <v>45463</v>
      </c>
      <c r="D1395" s="33" t="n">
        <v>25</v>
      </c>
      <c r="E1395" s="33" t="s">
        <v>139</v>
      </c>
      <c r="F1395" s="33" t="s">
        <v>149</v>
      </c>
      <c r="G1395" s="33" t="s">
        <v>243</v>
      </c>
      <c r="H1395" s="33" t="s">
        <v>151</v>
      </c>
      <c r="I1395" s="33" t="s">
        <v>143</v>
      </c>
      <c r="J1395" s="33" t="s">
        <v>159</v>
      </c>
      <c r="K1395" s="33" t="s">
        <v>184</v>
      </c>
      <c r="L1395" s="35" t="n">
        <v>5621.06</v>
      </c>
      <c r="M1395" s="33" t="n">
        <v>4</v>
      </c>
      <c r="N1395" s="33" t="s">
        <v>146</v>
      </c>
      <c r="O1395" s="33" t="s">
        <v>206</v>
      </c>
    </row>
    <row r="1396" customFormat="false" ht="15" hidden="false" customHeight="false" outlineLevel="0" collapsed="false">
      <c r="A1396" s="33" t="s">
        <v>1595</v>
      </c>
      <c r="B1396" s="34" t="n">
        <v>45316</v>
      </c>
      <c r="C1396" s="34" t="n">
        <v>45320</v>
      </c>
      <c r="D1396" s="33" t="n">
        <v>49</v>
      </c>
      <c r="E1396" s="33" t="s">
        <v>279</v>
      </c>
      <c r="F1396" s="33" t="s">
        <v>169</v>
      </c>
      <c r="G1396" s="33" t="s">
        <v>163</v>
      </c>
      <c r="H1396" s="33" t="s">
        <v>164</v>
      </c>
      <c r="I1396" s="33" t="s">
        <v>143</v>
      </c>
      <c r="J1396" s="33" t="s">
        <v>176</v>
      </c>
      <c r="K1396" s="33" t="s">
        <v>184</v>
      </c>
      <c r="L1396" s="35" t="n">
        <v>13657.77</v>
      </c>
      <c r="M1396" s="33" t="n">
        <v>4</v>
      </c>
      <c r="N1396" s="33" t="s">
        <v>210</v>
      </c>
      <c r="O1396" s="33" t="s">
        <v>147</v>
      </c>
    </row>
    <row r="1397" customFormat="false" ht="15" hidden="false" customHeight="false" outlineLevel="0" collapsed="false">
      <c r="A1397" s="33" t="s">
        <v>1596</v>
      </c>
      <c r="B1397" s="34" t="n">
        <v>45472</v>
      </c>
      <c r="C1397" s="34" t="n">
        <v>45477</v>
      </c>
      <c r="D1397" s="33" t="n">
        <v>33</v>
      </c>
      <c r="E1397" s="33" t="s">
        <v>139</v>
      </c>
      <c r="F1397" s="33" t="s">
        <v>149</v>
      </c>
      <c r="G1397" s="33" t="s">
        <v>224</v>
      </c>
      <c r="H1397" s="33" t="s">
        <v>151</v>
      </c>
      <c r="I1397" s="33" t="s">
        <v>143</v>
      </c>
      <c r="J1397" s="33" t="s">
        <v>159</v>
      </c>
      <c r="K1397" s="33" t="s">
        <v>145</v>
      </c>
      <c r="L1397" s="35" t="n">
        <v>7683.91</v>
      </c>
      <c r="M1397" s="33" t="n">
        <v>4</v>
      </c>
      <c r="N1397" s="33" t="s">
        <v>146</v>
      </c>
      <c r="O1397" s="33" t="s">
        <v>147</v>
      </c>
    </row>
    <row r="1398" customFormat="false" ht="15" hidden="false" customHeight="false" outlineLevel="0" collapsed="false">
      <c r="A1398" s="33" t="s">
        <v>1597</v>
      </c>
      <c r="B1398" s="34" t="n">
        <v>45437</v>
      </c>
      <c r="C1398" s="34" t="n">
        <v>45440</v>
      </c>
      <c r="D1398" s="33" t="n">
        <v>29</v>
      </c>
      <c r="E1398" s="33" t="s">
        <v>139</v>
      </c>
      <c r="F1398" s="33" t="s">
        <v>149</v>
      </c>
      <c r="G1398" s="33" t="s">
        <v>224</v>
      </c>
      <c r="H1398" s="33" t="s">
        <v>186</v>
      </c>
      <c r="I1398" s="33" t="s">
        <v>143</v>
      </c>
      <c r="J1398" s="33" t="s">
        <v>144</v>
      </c>
      <c r="K1398" s="33" t="s">
        <v>145</v>
      </c>
      <c r="L1398" s="35" t="n">
        <v>8304.07</v>
      </c>
      <c r="M1398" s="33" t="n">
        <v>4</v>
      </c>
      <c r="N1398" s="33" t="s">
        <v>146</v>
      </c>
      <c r="O1398" s="33" t="s">
        <v>147</v>
      </c>
    </row>
    <row r="1399" customFormat="false" ht="15" hidden="false" customHeight="false" outlineLevel="0" collapsed="false">
      <c r="A1399" s="33" t="s">
        <v>1598</v>
      </c>
      <c r="B1399" s="34" t="n">
        <v>45403</v>
      </c>
      <c r="C1399" s="34" t="n">
        <v>45405</v>
      </c>
      <c r="D1399" s="33" t="n">
        <v>62</v>
      </c>
      <c r="E1399" s="33" t="s">
        <v>216</v>
      </c>
      <c r="F1399" s="33" t="s">
        <v>226</v>
      </c>
      <c r="G1399" s="33" t="s">
        <v>227</v>
      </c>
      <c r="H1399" s="33" t="s">
        <v>228</v>
      </c>
      <c r="I1399" s="33" t="s">
        <v>143</v>
      </c>
      <c r="J1399" s="33" t="s">
        <v>159</v>
      </c>
      <c r="K1399" s="33" t="s">
        <v>209</v>
      </c>
      <c r="L1399" s="35" t="n">
        <v>5616.68</v>
      </c>
      <c r="M1399" s="33" t="n">
        <v>3</v>
      </c>
      <c r="N1399" s="33" t="s">
        <v>146</v>
      </c>
      <c r="O1399" s="33" t="s">
        <v>147</v>
      </c>
    </row>
    <row r="1400" customFormat="false" ht="15" hidden="false" customHeight="false" outlineLevel="0" collapsed="false">
      <c r="A1400" s="33" t="s">
        <v>1599</v>
      </c>
      <c r="B1400" s="34" t="n">
        <v>45453</v>
      </c>
      <c r="C1400" s="34" t="n">
        <v>45454</v>
      </c>
      <c r="D1400" s="33" t="n">
        <v>30</v>
      </c>
      <c r="E1400" s="33" t="s">
        <v>139</v>
      </c>
      <c r="F1400" s="33" t="s">
        <v>240</v>
      </c>
      <c r="G1400" s="33" t="s">
        <v>241</v>
      </c>
      <c r="H1400" s="33" t="s">
        <v>233</v>
      </c>
      <c r="I1400" s="33" t="s">
        <v>143</v>
      </c>
      <c r="J1400" s="33" t="s">
        <v>159</v>
      </c>
      <c r="K1400" s="33" t="s">
        <v>160</v>
      </c>
      <c r="L1400" s="35" t="n">
        <v>926.88</v>
      </c>
      <c r="M1400" s="33" t="n">
        <v>3</v>
      </c>
      <c r="N1400" s="33" t="s">
        <v>146</v>
      </c>
      <c r="O1400" s="33" t="s">
        <v>147</v>
      </c>
    </row>
    <row r="1401" customFormat="false" ht="15" hidden="false" customHeight="false" outlineLevel="0" collapsed="false">
      <c r="A1401" s="33" t="s">
        <v>1600</v>
      </c>
      <c r="B1401" s="34" t="n">
        <v>45492</v>
      </c>
      <c r="C1401" s="34" t="n">
        <v>45496</v>
      </c>
      <c r="D1401" s="33" t="n">
        <v>59</v>
      </c>
      <c r="E1401" s="33" t="s">
        <v>139</v>
      </c>
      <c r="F1401" s="33" t="s">
        <v>169</v>
      </c>
      <c r="G1401" s="33" t="s">
        <v>170</v>
      </c>
      <c r="H1401" s="33" t="s">
        <v>171</v>
      </c>
      <c r="I1401" s="33" t="s">
        <v>152</v>
      </c>
      <c r="J1401" s="33" t="s">
        <v>159</v>
      </c>
      <c r="K1401" s="33" t="s">
        <v>145</v>
      </c>
      <c r="L1401" s="35" t="n">
        <v>4087.48</v>
      </c>
      <c r="M1401" s="33" t="n">
        <v>4</v>
      </c>
      <c r="N1401" s="33" t="s">
        <v>146</v>
      </c>
      <c r="O1401" s="33" t="s">
        <v>147</v>
      </c>
    </row>
    <row r="1402" customFormat="false" ht="15" hidden="false" customHeight="false" outlineLevel="0" collapsed="false">
      <c r="A1402" s="33" t="s">
        <v>1601</v>
      </c>
      <c r="B1402" s="34" t="n">
        <v>45335</v>
      </c>
      <c r="C1402" s="34" t="n">
        <v>45337</v>
      </c>
      <c r="D1402" s="33" t="n">
        <v>30</v>
      </c>
      <c r="E1402" s="33" t="s">
        <v>139</v>
      </c>
      <c r="F1402" s="33" t="s">
        <v>140</v>
      </c>
      <c r="G1402" s="33" t="s">
        <v>316</v>
      </c>
      <c r="H1402" s="33" t="s">
        <v>290</v>
      </c>
      <c r="I1402" s="33" t="s">
        <v>143</v>
      </c>
      <c r="J1402" s="33" t="s">
        <v>159</v>
      </c>
      <c r="K1402" s="33" t="s">
        <v>209</v>
      </c>
      <c r="L1402" s="35" t="n">
        <v>5914.71</v>
      </c>
      <c r="M1402" s="36"/>
      <c r="N1402" s="33" t="s">
        <v>146</v>
      </c>
      <c r="O1402" s="33" t="s">
        <v>147</v>
      </c>
    </row>
    <row r="1403" customFormat="false" ht="15" hidden="false" customHeight="false" outlineLevel="0" collapsed="false">
      <c r="A1403" s="33" t="s">
        <v>1602</v>
      </c>
      <c r="B1403" s="34" t="n">
        <v>45294</v>
      </c>
      <c r="C1403" s="34" t="n">
        <v>45300</v>
      </c>
      <c r="D1403" s="33" t="n">
        <v>56</v>
      </c>
      <c r="E1403" s="33" t="s">
        <v>154</v>
      </c>
      <c r="F1403" s="33" t="s">
        <v>169</v>
      </c>
      <c r="G1403" s="33" t="s">
        <v>170</v>
      </c>
      <c r="H1403" s="33" t="s">
        <v>195</v>
      </c>
      <c r="I1403" s="33" t="s">
        <v>143</v>
      </c>
      <c r="J1403" s="33" t="s">
        <v>144</v>
      </c>
      <c r="K1403" s="33" t="s">
        <v>160</v>
      </c>
      <c r="L1403" s="35" t="n">
        <v>9571.35</v>
      </c>
      <c r="M1403" s="33" t="n">
        <v>4</v>
      </c>
      <c r="N1403" s="33" t="s">
        <v>146</v>
      </c>
      <c r="O1403" s="33" t="s">
        <v>147</v>
      </c>
    </row>
    <row r="1404" customFormat="false" ht="15" hidden="false" customHeight="false" outlineLevel="0" collapsed="false">
      <c r="A1404" s="33" t="s">
        <v>1603</v>
      </c>
      <c r="B1404" s="34" t="n">
        <v>45486</v>
      </c>
      <c r="C1404" s="34" t="n">
        <v>45488</v>
      </c>
      <c r="D1404" s="33" t="n">
        <v>5</v>
      </c>
      <c r="E1404" s="33" t="s">
        <v>139</v>
      </c>
      <c r="F1404" s="33" t="s">
        <v>155</v>
      </c>
      <c r="G1404" s="33" t="s">
        <v>302</v>
      </c>
      <c r="H1404" s="33" t="s">
        <v>222</v>
      </c>
      <c r="I1404" s="33" t="s">
        <v>143</v>
      </c>
      <c r="J1404" s="33" t="s">
        <v>159</v>
      </c>
      <c r="K1404" s="33" t="s">
        <v>160</v>
      </c>
      <c r="L1404" s="35" t="n">
        <v>1442.41</v>
      </c>
      <c r="M1404" s="33" t="n">
        <v>3</v>
      </c>
      <c r="N1404" s="33" t="s">
        <v>146</v>
      </c>
      <c r="O1404" s="33" t="s">
        <v>147</v>
      </c>
    </row>
    <row r="1405" customFormat="false" ht="15" hidden="false" customHeight="false" outlineLevel="0" collapsed="false">
      <c r="A1405" s="33" t="s">
        <v>1604</v>
      </c>
      <c r="B1405" s="34" t="n">
        <v>45642</v>
      </c>
      <c r="C1405" s="34" t="n">
        <v>45649</v>
      </c>
      <c r="D1405" s="33" t="n">
        <v>58</v>
      </c>
      <c r="E1405" s="33" t="s">
        <v>139</v>
      </c>
      <c r="F1405" s="33" t="s">
        <v>140</v>
      </c>
      <c r="G1405" s="33" t="s">
        <v>316</v>
      </c>
      <c r="H1405" s="33" t="s">
        <v>142</v>
      </c>
      <c r="I1405" s="33" t="s">
        <v>143</v>
      </c>
      <c r="J1405" s="33" t="s">
        <v>159</v>
      </c>
      <c r="K1405" s="33" t="s">
        <v>209</v>
      </c>
      <c r="L1405" s="35" t="n">
        <v>17164.15</v>
      </c>
      <c r="M1405" s="36"/>
      <c r="N1405" s="33" t="s">
        <v>146</v>
      </c>
      <c r="O1405" s="33" t="s">
        <v>147</v>
      </c>
    </row>
    <row r="1406" customFormat="false" ht="15" hidden="false" customHeight="false" outlineLevel="0" collapsed="false">
      <c r="A1406" s="33" t="s">
        <v>1605</v>
      </c>
      <c r="B1406" s="34" t="n">
        <v>45534</v>
      </c>
      <c r="C1406" s="34" t="n">
        <v>45535</v>
      </c>
      <c r="D1406" s="33" t="n">
        <v>60</v>
      </c>
      <c r="E1406" s="33" t="s">
        <v>257</v>
      </c>
      <c r="F1406" s="33" t="s">
        <v>203</v>
      </c>
      <c r="G1406" s="33" t="s">
        <v>192</v>
      </c>
      <c r="H1406" s="33" t="s">
        <v>205</v>
      </c>
      <c r="I1406" s="33" t="s">
        <v>152</v>
      </c>
      <c r="J1406" s="33" t="s">
        <v>144</v>
      </c>
      <c r="K1406" s="33" t="s">
        <v>160</v>
      </c>
      <c r="L1406" s="35" t="n">
        <v>1441.77</v>
      </c>
      <c r="M1406" s="33" t="n">
        <v>3</v>
      </c>
      <c r="N1406" s="33" t="s">
        <v>146</v>
      </c>
      <c r="O1406" s="33" t="s">
        <v>147</v>
      </c>
    </row>
    <row r="1407" customFormat="false" ht="15" hidden="false" customHeight="false" outlineLevel="0" collapsed="false">
      <c r="A1407" s="33" t="s">
        <v>1606</v>
      </c>
      <c r="B1407" s="34" t="n">
        <v>45421</v>
      </c>
      <c r="C1407" s="34" t="n">
        <v>45423</v>
      </c>
      <c r="D1407" s="33" t="n">
        <v>68</v>
      </c>
      <c r="E1407" s="33" t="s">
        <v>154</v>
      </c>
      <c r="F1407" s="33" t="s">
        <v>203</v>
      </c>
      <c r="G1407" s="33" t="s">
        <v>204</v>
      </c>
      <c r="H1407" s="33" t="s">
        <v>233</v>
      </c>
      <c r="I1407" s="33" t="s">
        <v>143</v>
      </c>
      <c r="J1407" s="33" t="s">
        <v>144</v>
      </c>
      <c r="K1407" s="33" t="s">
        <v>160</v>
      </c>
      <c r="L1407" s="35" t="n">
        <v>2406.73</v>
      </c>
      <c r="M1407" s="33" t="n">
        <v>3</v>
      </c>
      <c r="N1407" s="33" t="s">
        <v>146</v>
      </c>
      <c r="O1407" s="33" t="s">
        <v>147</v>
      </c>
    </row>
    <row r="1408" customFormat="false" ht="15" hidden="false" customHeight="false" outlineLevel="0" collapsed="false">
      <c r="A1408" s="33" t="s">
        <v>1607</v>
      </c>
      <c r="B1408" s="34" t="n">
        <v>45371</v>
      </c>
      <c r="C1408" s="34" t="n">
        <v>45383</v>
      </c>
      <c r="D1408" s="33" t="n">
        <v>32</v>
      </c>
      <c r="E1408" s="33" t="s">
        <v>154</v>
      </c>
      <c r="F1408" s="33" t="s">
        <v>173</v>
      </c>
      <c r="G1408" s="33" t="s">
        <v>174</v>
      </c>
      <c r="H1408" s="33" t="s">
        <v>199</v>
      </c>
      <c r="I1408" s="33" t="s">
        <v>143</v>
      </c>
      <c r="J1408" s="33" t="s">
        <v>159</v>
      </c>
      <c r="K1408" s="33" t="s">
        <v>160</v>
      </c>
      <c r="L1408" s="35" t="n">
        <v>32069.15</v>
      </c>
      <c r="M1408" s="33" t="n">
        <v>4</v>
      </c>
      <c r="N1408" s="33" t="s">
        <v>146</v>
      </c>
      <c r="O1408" s="33" t="s">
        <v>247</v>
      </c>
    </row>
    <row r="1409" customFormat="false" ht="15" hidden="false" customHeight="false" outlineLevel="0" collapsed="false">
      <c r="A1409" s="33" t="s">
        <v>1608</v>
      </c>
      <c r="B1409" s="34" t="n">
        <v>45564</v>
      </c>
      <c r="C1409" s="34" t="n">
        <v>45565</v>
      </c>
      <c r="D1409" s="33" t="n">
        <v>4</v>
      </c>
      <c r="E1409" s="33" t="s">
        <v>154</v>
      </c>
      <c r="F1409" s="33" t="s">
        <v>203</v>
      </c>
      <c r="G1409" s="33" t="s">
        <v>204</v>
      </c>
      <c r="H1409" s="33" t="s">
        <v>193</v>
      </c>
      <c r="I1409" s="33" t="s">
        <v>143</v>
      </c>
      <c r="J1409" s="33" t="s">
        <v>159</v>
      </c>
      <c r="K1409" s="33" t="s">
        <v>184</v>
      </c>
      <c r="L1409" s="35" t="n">
        <v>848.2</v>
      </c>
      <c r="M1409" s="33" t="n">
        <v>3</v>
      </c>
      <c r="N1409" s="33" t="s">
        <v>146</v>
      </c>
      <c r="O1409" s="33" t="s">
        <v>147</v>
      </c>
    </row>
    <row r="1410" customFormat="false" ht="15" hidden="false" customHeight="false" outlineLevel="0" collapsed="false">
      <c r="A1410" s="33" t="s">
        <v>1609</v>
      </c>
      <c r="B1410" s="34" t="n">
        <v>45486</v>
      </c>
      <c r="C1410" s="34" t="n">
        <v>45492</v>
      </c>
      <c r="D1410" s="33" t="n">
        <v>70</v>
      </c>
      <c r="E1410" s="33" t="s">
        <v>154</v>
      </c>
      <c r="F1410" s="33" t="s">
        <v>181</v>
      </c>
      <c r="G1410" s="33" t="s">
        <v>237</v>
      </c>
      <c r="H1410" s="33" t="s">
        <v>245</v>
      </c>
      <c r="I1410" s="33" t="s">
        <v>143</v>
      </c>
      <c r="J1410" s="33" t="s">
        <v>144</v>
      </c>
      <c r="K1410" s="33" t="s">
        <v>209</v>
      </c>
      <c r="L1410" s="35" t="n">
        <v>26190.54</v>
      </c>
      <c r="M1410" s="33" t="n">
        <v>4</v>
      </c>
      <c r="N1410" s="33" t="s">
        <v>146</v>
      </c>
      <c r="O1410" s="33" t="s">
        <v>147</v>
      </c>
    </row>
    <row r="1411" customFormat="false" ht="15" hidden="false" customHeight="false" outlineLevel="0" collapsed="false">
      <c r="A1411" s="33" t="s">
        <v>1610</v>
      </c>
      <c r="B1411" s="34" t="n">
        <v>45452</v>
      </c>
      <c r="C1411" s="34" t="n">
        <v>45454</v>
      </c>
      <c r="D1411" s="33" t="n">
        <v>4</v>
      </c>
      <c r="E1411" s="33" t="s">
        <v>154</v>
      </c>
      <c r="F1411" s="33" t="s">
        <v>155</v>
      </c>
      <c r="G1411" s="33" t="s">
        <v>156</v>
      </c>
      <c r="H1411" s="33" t="s">
        <v>157</v>
      </c>
      <c r="I1411" s="33" t="s">
        <v>143</v>
      </c>
      <c r="J1411" s="33" t="s">
        <v>144</v>
      </c>
      <c r="K1411" s="33" t="s">
        <v>160</v>
      </c>
      <c r="L1411" s="35" t="n">
        <v>2446.18</v>
      </c>
      <c r="M1411" s="33" t="n">
        <v>5</v>
      </c>
      <c r="N1411" s="33" t="s">
        <v>146</v>
      </c>
      <c r="O1411" s="33" t="s">
        <v>147</v>
      </c>
    </row>
    <row r="1412" customFormat="false" ht="15" hidden="false" customHeight="false" outlineLevel="0" collapsed="false">
      <c r="A1412" s="33" t="s">
        <v>1611</v>
      </c>
      <c r="B1412" s="34" t="n">
        <v>45376</v>
      </c>
      <c r="C1412" s="34" t="n">
        <v>45380</v>
      </c>
      <c r="D1412" s="33" t="n">
        <v>49</v>
      </c>
      <c r="E1412" s="33" t="s">
        <v>154</v>
      </c>
      <c r="F1412" s="33" t="s">
        <v>173</v>
      </c>
      <c r="G1412" s="33" t="s">
        <v>178</v>
      </c>
      <c r="H1412" s="33" t="s">
        <v>175</v>
      </c>
      <c r="I1412" s="33" t="s">
        <v>143</v>
      </c>
      <c r="J1412" s="33" t="s">
        <v>159</v>
      </c>
      <c r="K1412" s="33" t="s">
        <v>160</v>
      </c>
      <c r="L1412" s="35" t="n">
        <v>9697.25</v>
      </c>
      <c r="M1412" s="33" t="n">
        <v>4</v>
      </c>
      <c r="N1412" s="33" t="s">
        <v>146</v>
      </c>
      <c r="O1412" s="33" t="s">
        <v>147</v>
      </c>
    </row>
    <row r="1413" customFormat="false" ht="15" hidden="false" customHeight="false" outlineLevel="0" collapsed="false">
      <c r="A1413" s="33" t="s">
        <v>1612</v>
      </c>
      <c r="B1413" s="34" t="n">
        <v>45320</v>
      </c>
      <c r="C1413" s="34" t="n">
        <v>45321</v>
      </c>
      <c r="D1413" s="33" t="n">
        <v>69</v>
      </c>
      <c r="E1413" s="33" t="s">
        <v>154</v>
      </c>
      <c r="F1413" s="33" t="s">
        <v>203</v>
      </c>
      <c r="G1413" s="33" t="s">
        <v>241</v>
      </c>
      <c r="H1413" s="33" t="s">
        <v>205</v>
      </c>
      <c r="I1413" s="33" t="s">
        <v>143</v>
      </c>
      <c r="J1413" s="33" t="s">
        <v>159</v>
      </c>
      <c r="K1413" s="33" t="s">
        <v>184</v>
      </c>
      <c r="L1413" s="35" t="n">
        <v>880.67</v>
      </c>
      <c r="M1413" s="33" t="n">
        <v>4</v>
      </c>
      <c r="N1413" s="33" t="s">
        <v>146</v>
      </c>
      <c r="O1413" s="33" t="s">
        <v>147</v>
      </c>
    </row>
    <row r="1414" customFormat="false" ht="15" hidden="false" customHeight="false" outlineLevel="0" collapsed="false">
      <c r="A1414" s="33" t="s">
        <v>1613</v>
      </c>
      <c r="B1414" s="34" t="n">
        <v>45607</v>
      </c>
      <c r="C1414" s="34" t="n">
        <v>45608</v>
      </c>
      <c r="D1414" s="33" t="n">
        <v>11</v>
      </c>
      <c r="E1414" s="33" t="s">
        <v>190</v>
      </c>
      <c r="F1414" s="33" t="s">
        <v>191</v>
      </c>
      <c r="G1414" s="33" t="s">
        <v>204</v>
      </c>
      <c r="H1414" s="33" t="s">
        <v>205</v>
      </c>
      <c r="I1414" s="33" t="s">
        <v>143</v>
      </c>
      <c r="J1414" s="33" t="s">
        <v>159</v>
      </c>
      <c r="K1414" s="33" t="s">
        <v>145</v>
      </c>
      <c r="L1414" s="35" t="n">
        <v>887.36</v>
      </c>
      <c r="M1414" s="33" t="n">
        <v>5</v>
      </c>
      <c r="N1414" s="33" t="s">
        <v>146</v>
      </c>
      <c r="O1414" s="33" t="s">
        <v>147</v>
      </c>
    </row>
    <row r="1415" customFormat="false" ht="15" hidden="false" customHeight="false" outlineLevel="0" collapsed="false">
      <c r="A1415" s="33" t="s">
        <v>1614</v>
      </c>
      <c r="B1415" s="34" t="n">
        <v>45454</v>
      </c>
      <c r="C1415" s="34" t="n">
        <v>45456</v>
      </c>
      <c r="D1415" s="33" t="n">
        <v>32</v>
      </c>
      <c r="E1415" s="33" t="s">
        <v>180</v>
      </c>
      <c r="F1415" s="33" t="s">
        <v>169</v>
      </c>
      <c r="G1415" s="33" t="s">
        <v>230</v>
      </c>
      <c r="H1415" s="33" t="s">
        <v>195</v>
      </c>
      <c r="I1415" s="33" t="s">
        <v>143</v>
      </c>
      <c r="J1415" s="33" t="s">
        <v>159</v>
      </c>
      <c r="K1415" s="33" t="s">
        <v>145</v>
      </c>
      <c r="L1415" s="35" t="n">
        <v>2265.26</v>
      </c>
      <c r="M1415" s="33" t="n">
        <v>4</v>
      </c>
      <c r="N1415" s="33" t="s">
        <v>146</v>
      </c>
      <c r="O1415" s="33" t="s">
        <v>147</v>
      </c>
    </row>
    <row r="1416" customFormat="false" ht="15" hidden="false" customHeight="false" outlineLevel="0" collapsed="false">
      <c r="A1416" s="33" t="s">
        <v>1615</v>
      </c>
      <c r="B1416" s="34" t="n">
        <v>45313</v>
      </c>
      <c r="C1416" s="34" t="n">
        <v>45315</v>
      </c>
      <c r="D1416" s="33" t="n">
        <v>51</v>
      </c>
      <c r="E1416" s="33" t="s">
        <v>154</v>
      </c>
      <c r="F1416" s="33" t="s">
        <v>173</v>
      </c>
      <c r="G1416" s="33" t="s">
        <v>198</v>
      </c>
      <c r="H1416" s="33" t="s">
        <v>175</v>
      </c>
      <c r="I1416" s="33" t="s">
        <v>152</v>
      </c>
      <c r="J1416" s="33" t="s">
        <v>159</v>
      </c>
      <c r="K1416" s="33" t="s">
        <v>160</v>
      </c>
      <c r="L1416" s="35" t="n">
        <v>5859.18</v>
      </c>
      <c r="M1416" s="33" t="n">
        <v>2</v>
      </c>
      <c r="N1416" s="33" t="s">
        <v>146</v>
      </c>
      <c r="O1416" s="33" t="s">
        <v>147</v>
      </c>
    </row>
    <row r="1417" customFormat="false" ht="15" hidden="false" customHeight="false" outlineLevel="0" collapsed="false">
      <c r="A1417" s="33" t="s">
        <v>1616</v>
      </c>
      <c r="B1417" s="34" t="n">
        <v>45573</v>
      </c>
      <c r="C1417" s="34" t="n">
        <v>45579</v>
      </c>
      <c r="D1417" s="33" t="n">
        <v>69</v>
      </c>
      <c r="E1417" s="33" t="s">
        <v>154</v>
      </c>
      <c r="F1417" s="33" t="s">
        <v>226</v>
      </c>
      <c r="G1417" s="33" t="s">
        <v>386</v>
      </c>
      <c r="H1417" s="33" t="s">
        <v>228</v>
      </c>
      <c r="I1417" s="33" t="s">
        <v>143</v>
      </c>
      <c r="J1417" s="33" t="s">
        <v>159</v>
      </c>
      <c r="K1417" s="33" t="s">
        <v>209</v>
      </c>
      <c r="L1417" s="35" t="n">
        <v>14871.07</v>
      </c>
      <c r="M1417" s="33" t="n">
        <v>4</v>
      </c>
      <c r="N1417" s="33" t="s">
        <v>210</v>
      </c>
      <c r="O1417" s="33" t="s">
        <v>147</v>
      </c>
    </row>
    <row r="1418" customFormat="false" ht="15" hidden="false" customHeight="false" outlineLevel="0" collapsed="false">
      <c r="A1418" s="33" t="s">
        <v>1617</v>
      </c>
      <c r="B1418" s="34" t="n">
        <v>45441</v>
      </c>
      <c r="C1418" s="34" t="n">
        <v>45446</v>
      </c>
      <c r="D1418" s="33" t="n">
        <v>47</v>
      </c>
      <c r="E1418" s="33" t="s">
        <v>154</v>
      </c>
      <c r="F1418" s="33" t="s">
        <v>140</v>
      </c>
      <c r="G1418" s="33" t="s">
        <v>167</v>
      </c>
      <c r="H1418" s="33" t="s">
        <v>142</v>
      </c>
      <c r="I1418" s="33" t="s">
        <v>143</v>
      </c>
      <c r="J1418" s="33" t="s">
        <v>159</v>
      </c>
      <c r="K1418" s="33" t="s">
        <v>145</v>
      </c>
      <c r="L1418" s="35" t="n">
        <v>13640.06</v>
      </c>
      <c r="M1418" s="33" t="n">
        <v>4</v>
      </c>
      <c r="N1418" s="33" t="s">
        <v>146</v>
      </c>
      <c r="O1418" s="33" t="s">
        <v>247</v>
      </c>
    </row>
    <row r="1419" customFormat="false" ht="15" hidden="false" customHeight="false" outlineLevel="0" collapsed="false">
      <c r="A1419" s="33" t="s">
        <v>1618</v>
      </c>
      <c r="B1419" s="34" t="n">
        <v>45455</v>
      </c>
      <c r="C1419" s="34" t="n">
        <v>45457</v>
      </c>
      <c r="D1419" s="33" t="n">
        <v>64</v>
      </c>
      <c r="E1419" s="33" t="s">
        <v>139</v>
      </c>
      <c r="F1419" s="33" t="s">
        <v>181</v>
      </c>
      <c r="G1419" s="33" t="s">
        <v>237</v>
      </c>
      <c r="H1419" s="33" t="s">
        <v>183</v>
      </c>
      <c r="I1419" s="33" t="s">
        <v>152</v>
      </c>
      <c r="J1419" s="33" t="s">
        <v>159</v>
      </c>
      <c r="K1419" s="33" t="s">
        <v>145</v>
      </c>
      <c r="L1419" s="35" t="n">
        <v>5032.34</v>
      </c>
      <c r="M1419" s="33" t="n">
        <v>4</v>
      </c>
      <c r="N1419" s="33" t="s">
        <v>146</v>
      </c>
      <c r="O1419" s="33" t="s">
        <v>147</v>
      </c>
    </row>
    <row r="1420" customFormat="false" ht="15" hidden="false" customHeight="false" outlineLevel="0" collapsed="false">
      <c r="A1420" s="33" t="s">
        <v>1619</v>
      </c>
      <c r="B1420" s="34" t="n">
        <v>45521</v>
      </c>
      <c r="C1420" s="34" t="n">
        <v>45528</v>
      </c>
      <c r="D1420" s="33" t="n">
        <v>36</v>
      </c>
      <c r="E1420" s="33" t="s">
        <v>154</v>
      </c>
      <c r="F1420" s="33" t="s">
        <v>212</v>
      </c>
      <c r="G1420" s="33" t="s">
        <v>163</v>
      </c>
      <c r="H1420" s="33" t="s">
        <v>195</v>
      </c>
      <c r="I1420" s="33" t="s">
        <v>152</v>
      </c>
      <c r="J1420" s="33" t="s">
        <v>176</v>
      </c>
      <c r="K1420" s="33" t="s">
        <v>145</v>
      </c>
      <c r="L1420" s="35" t="n">
        <v>29403.88</v>
      </c>
      <c r="M1420" s="33" t="n">
        <v>3</v>
      </c>
      <c r="N1420" s="33" t="s">
        <v>146</v>
      </c>
      <c r="O1420" s="33" t="s">
        <v>147</v>
      </c>
    </row>
    <row r="1421" customFormat="false" ht="15" hidden="false" customHeight="false" outlineLevel="0" collapsed="false">
      <c r="A1421" s="33" t="s">
        <v>1620</v>
      </c>
      <c r="B1421" s="34" t="n">
        <v>45537</v>
      </c>
      <c r="C1421" s="34" t="n">
        <v>45538</v>
      </c>
      <c r="D1421" s="33" t="n">
        <v>82</v>
      </c>
      <c r="E1421" s="33" t="s">
        <v>139</v>
      </c>
      <c r="F1421" s="33" t="s">
        <v>203</v>
      </c>
      <c r="G1421" s="33" t="s">
        <v>192</v>
      </c>
      <c r="H1421" s="33" t="s">
        <v>233</v>
      </c>
      <c r="I1421" s="33" t="s">
        <v>143</v>
      </c>
      <c r="J1421" s="33" t="s">
        <v>144</v>
      </c>
      <c r="K1421" s="33" t="s">
        <v>160</v>
      </c>
      <c r="L1421" s="35" t="n">
        <v>1702.7</v>
      </c>
      <c r="M1421" s="33" t="n">
        <v>4</v>
      </c>
      <c r="N1421" s="33" t="s">
        <v>146</v>
      </c>
      <c r="O1421" s="33" t="s">
        <v>206</v>
      </c>
    </row>
    <row r="1422" customFormat="false" ht="15" hidden="false" customHeight="false" outlineLevel="0" collapsed="false">
      <c r="A1422" s="33" t="s">
        <v>1621</v>
      </c>
      <c r="B1422" s="34" t="n">
        <v>45477</v>
      </c>
      <c r="C1422" s="34" t="n">
        <v>45479</v>
      </c>
      <c r="D1422" s="33" t="n">
        <v>11</v>
      </c>
      <c r="E1422" s="33" t="s">
        <v>139</v>
      </c>
      <c r="F1422" s="33" t="s">
        <v>173</v>
      </c>
      <c r="G1422" s="33" t="s">
        <v>174</v>
      </c>
      <c r="H1422" s="33" t="s">
        <v>199</v>
      </c>
      <c r="I1422" s="33" t="s">
        <v>158</v>
      </c>
      <c r="J1422" s="33" t="s">
        <v>176</v>
      </c>
      <c r="K1422" s="33" t="s">
        <v>145</v>
      </c>
      <c r="L1422" s="35" t="n">
        <v>17746.57</v>
      </c>
      <c r="M1422" s="33" t="n">
        <v>5</v>
      </c>
      <c r="N1422" s="33" t="s">
        <v>146</v>
      </c>
      <c r="O1422" s="33" t="s">
        <v>147</v>
      </c>
    </row>
    <row r="1423" customFormat="false" ht="15" hidden="false" customHeight="false" outlineLevel="0" collapsed="false">
      <c r="A1423" s="33" t="s">
        <v>1622</v>
      </c>
      <c r="B1423" s="34" t="n">
        <v>45556</v>
      </c>
      <c r="C1423" s="34" t="n">
        <v>45558</v>
      </c>
      <c r="D1423" s="33" t="n">
        <v>38</v>
      </c>
      <c r="E1423" s="33" t="s">
        <v>139</v>
      </c>
      <c r="F1423" s="33" t="s">
        <v>149</v>
      </c>
      <c r="G1423" s="33" t="s">
        <v>150</v>
      </c>
      <c r="H1423" s="33" t="s">
        <v>186</v>
      </c>
      <c r="I1423" s="33" t="s">
        <v>152</v>
      </c>
      <c r="J1423" s="33" t="s">
        <v>144</v>
      </c>
      <c r="K1423" s="33" t="s">
        <v>145</v>
      </c>
      <c r="L1423" s="35" t="n">
        <v>5161.72</v>
      </c>
      <c r="M1423" s="33" t="n">
        <v>4</v>
      </c>
      <c r="N1423" s="33" t="s">
        <v>146</v>
      </c>
      <c r="O1423" s="33" t="s">
        <v>147</v>
      </c>
    </row>
    <row r="1424" customFormat="false" ht="15" hidden="false" customHeight="false" outlineLevel="0" collapsed="false">
      <c r="A1424" s="33" t="s">
        <v>1623</v>
      </c>
      <c r="B1424" s="34" t="n">
        <v>45522</v>
      </c>
      <c r="C1424" s="34" t="n">
        <v>45524</v>
      </c>
      <c r="D1424" s="33" t="n">
        <v>24</v>
      </c>
      <c r="E1424" s="33" t="s">
        <v>279</v>
      </c>
      <c r="F1424" s="33" t="s">
        <v>203</v>
      </c>
      <c r="G1424" s="33" t="s">
        <v>217</v>
      </c>
      <c r="H1424" s="33" t="s">
        <v>233</v>
      </c>
      <c r="I1424" s="33" t="s">
        <v>143</v>
      </c>
      <c r="J1424" s="33" t="s">
        <v>159</v>
      </c>
      <c r="K1424" s="33" t="s">
        <v>160</v>
      </c>
      <c r="L1424" s="35" t="n">
        <v>1515.95</v>
      </c>
      <c r="M1424" s="33" t="n">
        <v>4</v>
      </c>
      <c r="N1424" s="33" t="s">
        <v>146</v>
      </c>
      <c r="O1424" s="33" t="s">
        <v>147</v>
      </c>
    </row>
    <row r="1425" customFormat="false" ht="15" hidden="false" customHeight="false" outlineLevel="0" collapsed="false">
      <c r="A1425" s="33" t="s">
        <v>1624</v>
      </c>
      <c r="B1425" s="34" t="n">
        <v>45595</v>
      </c>
      <c r="C1425" s="34" t="n">
        <v>45600</v>
      </c>
      <c r="D1425" s="33" t="n">
        <v>64</v>
      </c>
      <c r="E1425" s="33" t="s">
        <v>154</v>
      </c>
      <c r="F1425" s="33" t="s">
        <v>140</v>
      </c>
      <c r="G1425" s="33" t="s">
        <v>141</v>
      </c>
      <c r="H1425" s="33" t="s">
        <v>142</v>
      </c>
      <c r="I1425" s="33" t="s">
        <v>152</v>
      </c>
      <c r="J1425" s="33" t="s">
        <v>159</v>
      </c>
      <c r="K1425" s="33" t="s">
        <v>145</v>
      </c>
      <c r="L1425" s="35" t="n">
        <v>11162.77</v>
      </c>
      <c r="M1425" s="33" t="n">
        <v>4</v>
      </c>
      <c r="N1425" s="33" t="s">
        <v>146</v>
      </c>
      <c r="O1425" s="33" t="s">
        <v>147</v>
      </c>
    </row>
    <row r="1426" customFormat="false" ht="15" hidden="false" customHeight="false" outlineLevel="0" collapsed="false">
      <c r="A1426" s="33" t="s">
        <v>1625</v>
      </c>
      <c r="B1426" s="34" t="n">
        <v>45643</v>
      </c>
      <c r="C1426" s="34" t="n">
        <v>45651</v>
      </c>
      <c r="D1426" s="33" t="n">
        <v>60</v>
      </c>
      <c r="E1426" s="33" t="s">
        <v>139</v>
      </c>
      <c r="F1426" s="33" t="s">
        <v>169</v>
      </c>
      <c r="G1426" s="33" t="s">
        <v>213</v>
      </c>
      <c r="H1426" s="33" t="s">
        <v>171</v>
      </c>
      <c r="I1426" s="33" t="s">
        <v>143</v>
      </c>
      <c r="J1426" s="33" t="s">
        <v>144</v>
      </c>
      <c r="K1426" s="33" t="s">
        <v>160</v>
      </c>
      <c r="L1426" s="35" t="n">
        <v>17466.4</v>
      </c>
      <c r="M1426" s="33" t="n">
        <v>3</v>
      </c>
      <c r="N1426" s="33" t="s">
        <v>146</v>
      </c>
      <c r="O1426" s="33" t="s">
        <v>247</v>
      </c>
    </row>
    <row r="1427" customFormat="false" ht="15" hidden="false" customHeight="false" outlineLevel="0" collapsed="false">
      <c r="A1427" s="33" t="s">
        <v>1626</v>
      </c>
      <c r="B1427" s="34" t="n">
        <v>45472</v>
      </c>
      <c r="C1427" s="34" t="n">
        <v>45483</v>
      </c>
      <c r="D1427" s="33" t="n">
        <v>46</v>
      </c>
      <c r="E1427" s="33" t="s">
        <v>139</v>
      </c>
      <c r="F1427" s="33" t="s">
        <v>226</v>
      </c>
      <c r="G1427" s="33" t="s">
        <v>258</v>
      </c>
      <c r="H1427" s="33" t="s">
        <v>263</v>
      </c>
      <c r="I1427" s="33" t="s">
        <v>152</v>
      </c>
      <c r="J1427" s="33" t="s">
        <v>144</v>
      </c>
      <c r="K1427" s="33" t="s">
        <v>160</v>
      </c>
      <c r="L1427" s="35" t="n">
        <v>56667.68</v>
      </c>
      <c r="M1427" s="33" t="n">
        <v>3</v>
      </c>
      <c r="N1427" s="33" t="s">
        <v>146</v>
      </c>
      <c r="O1427" s="33" t="s">
        <v>147</v>
      </c>
    </row>
    <row r="1428" customFormat="false" ht="15" hidden="false" customHeight="false" outlineLevel="0" collapsed="false">
      <c r="A1428" s="33" t="s">
        <v>1627</v>
      </c>
      <c r="B1428" s="34" t="n">
        <v>45599</v>
      </c>
      <c r="C1428" s="34" t="n">
        <v>45609</v>
      </c>
      <c r="D1428" s="33" t="n">
        <v>71</v>
      </c>
      <c r="E1428" s="33" t="s">
        <v>154</v>
      </c>
      <c r="F1428" s="33" t="s">
        <v>226</v>
      </c>
      <c r="G1428" s="33" t="s">
        <v>258</v>
      </c>
      <c r="H1428" s="33" t="s">
        <v>263</v>
      </c>
      <c r="I1428" s="33" t="s">
        <v>158</v>
      </c>
      <c r="J1428" s="33" t="s">
        <v>144</v>
      </c>
      <c r="K1428" s="33" t="s">
        <v>145</v>
      </c>
      <c r="L1428" s="35" t="n">
        <v>55081.6</v>
      </c>
      <c r="M1428" s="33" t="n">
        <v>5</v>
      </c>
      <c r="N1428" s="33" t="s">
        <v>210</v>
      </c>
      <c r="O1428" s="33" t="s">
        <v>147</v>
      </c>
    </row>
    <row r="1429" customFormat="false" ht="15" hidden="false" customHeight="false" outlineLevel="0" collapsed="false">
      <c r="A1429" s="33" t="s">
        <v>1628</v>
      </c>
      <c r="B1429" s="34" t="n">
        <v>45589</v>
      </c>
      <c r="C1429" s="34" t="n">
        <v>45600</v>
      </c>
      <c r="D1429" s="33" t="n">
        <v>70</v>
      </c>
      <c r="E1429" s="33" t="s">
        <v>154</v>
      </c>
      <c r="F1429" s="33" t="s">
        <v>181</v>
      </c>
      <c r="G1429" s="33" t="s">
        <v>182</v>
      </c>
      <c r="H1429" s="33" t="s">
        <v>245</v>
      </c>
      <c r="I1429" s="33" t="s">
        <v>152</v>
      </c>
      <c r="J1429" s="33" t="s">
        <v>144</v>
      </c>
      <c r="K1429" s="33" t="s">
        <v>160</v>
      </c>
      <c r="L1429" s="35" t="n">
        <v>36835.68</v>
      </c>
      <c r="M1429" s="33" t="n">
        <v>3</v>
      </c>
      <c r="N1429" s="33" t="s">
        <v>146</v>
      </c>
      <c r="O1429" s="33" t="s">
        <v>247</v>
      </c>
    </row>
    <row r="1430" customFormat="false" ht="15" hidden="false" customHeight="false" outlineLevel="0" collapsed="false">
      <c r="A1430" s="33" t="s">
        <v>1629</v>
      </c>
      <c r="B1430" s="34" t="n">
        <v>45635</v>
      </c>
      <c r="C1430" s="34" t="n">
        <v>45643</v>
      </c>
      <c r="D1430" s="33" t="n">
        <v>61</v>
      </c>
      <c r="E1430" s="33" t="s">
        <v>139</v>
      </c>
      <c r="F1430" s="33" t="s">
        <v>173</v>
      </c>
      <c r="G1430" s="33" t="s">
        <v>178</v>
      </c>
      <c r="H1430" s="33" t="s">
        <v>199</v>
      </c>
      <c r="I1430" s="33" t="s">
        <v>143</v>
      </c>
      <c r="J1430" s="33" t="s">
        <v>159</v>
      </c>
      <c r="K1430" s="33" t="s">
        <v>145</v>
      </c>
      <c r="L1430" s="35" t="n">
        <v>22856.69</v>
      </c>
      <c r="M1430" s="33" t="n">
        <v>4</v>
      </c>
      <c r="N1430" s="33" t="s">
        <v>146</v>
      </c>
      <c r="O1430" s="33" t="s">
        <v>147</v>
      </c>
    </row>
    <row r="1431" customFormat="false" ht="15" hidden="false" customHeight="false" outlineLevel="0" collapsed="false">
      <c r="A1431" s="33" t="s">
        <v>1630</v>
      </c>
      <c r="B1431" s="34" t="n">
        <v>45585</v>
      </c>
      <c r="C1431" s="34" t="n">
        <v>45586</v>
      </c>
      <c r="D1431" s="33" t="n">
        <v>63</v>
      </c>
      <c r="E1431" s="33" t="s">
        <v>216</v>
      </c>
      <c r="F1431" s="33" t="s">
        <v>162</v>
      </c>
      <c r="G1431" s="33" t="s">
        <v>170</v>
      </c>
      <c r="H1431" s="33" t="s">
        <v>195</v>
      </c>
      <c r="I1431" s="33" t="s">
        <v>143</v>
      </c>
      <c r="J1431" s="33" t="s">
        <v>159</v>
      </c>
      <c r="K1431" s="33" t="s">
        <v>145</v>
      </c>
      <c r="L1431" s="35" t="n">
        <v>1131.19</v>
      </c>
      <c r="M1431" s="33" t="n">
        <v>4</v>
      </c>
      <c r="N1431" s="33" t="s">
        <v>146</v>
      </c>
      <c r="O1431" s="33" t="s">
        <v>147</v>
      </c>
    </row>
    <row r="1432" customFormat="false" ht="15" hidden="false" customHeight="false" outlineLevel="0" collapsed="false">
      <c r="A1432" s="33" t="s">
        <v>1631</v>
      </c>
      <c r="B1432" s="34" t="n">
        <v>45530</v>
      </c>
      <c r="C1432" s="34" t="n">
        <v>45531</v>
      </c>
      <c r="D1432" s="33" t="n">
        <v>47</v>
      </c>
      <c r="E1432" s="33" t="s">
        <v>139</v>
      </c>
      <c r="F1432" s="33" t="s">
        <v>169</v>
      </c>
      <c r="G1432" s="33" t="s">
        <v>170</v>
      </c>
      <c r="H1432" s="33" t="s">
        <v>171</v>
      </c>
      <c r="I1432" s="33" t="s">
        <v>152</v>
      </c>
      <c r="J1432" s="33" t="s">
        <v>159</v>
      </c>
      <c r="K1432" s="33" t="s">
        <v>160</v>
      </c>
      <c r="L1432" s="35" t="n">
        <v>1125.83</v>
      </c>
      <c r="M1432" s="33" t="n">
        <v>4</v>
      </c>
      <c r="N1432" s="33" t="s">
        <v>146</v>
      </c>
      <c r="O1432" s="33" t="s">
        <v>247</v>
      </c>
    </row>
    <row r="1433" customFormat="false" ht="15" hidden="false" customHeight="false" outlineLevel="0" collapsed="false">
      <c r="A1433" s="33" t="s">
        <v>1632</v>
      </c>
      <c r="B1433" s="34" t="n">
        <v>45584</v>
      </c>
      <c r="C1433" s="34" t="n">
        <v>45585</v>
      </c>
      <c r="D1433" s="33" t="n">
        <v>4</v>
      </c>
      <c r="E1433" s="33" t="s">
        <v>139</v>
      </c>
      <c r="F1433" s="33" t="s">
        <v>203</v>
      </c>
      <c r="G1433" s="33" t="s">
        <v>232</v>
      </c>
      <c r="H1433" s="33" t="s">
        <v>205</v>
      </c>
      <c r="I1433" s="33" t="s">
        <v>143</v>
      </c>
      <c r="J1433" s="33" t="s">
        <v>159</v>
      </c>
      <c r="K1433" s="33" t="s">
        <v>145</v>
      </c>
      <c r="L1433" s="35" t="n">
        <v>980.45</v>
      </c>
      <c r="M1433" s="33" t="n">
        <v>4</v>
      </c>
      <c r="N1433" s="33" t="s">
        <v>146</v>
      </c>
      <c r="O1433" s="33" t="s">
        <v>147</v>
      </c>
    </row>
    <row r="1434" customFormat="false" ht="15" hidden="false" customHeight="false" outlineLevel="0" collapsed="false">
      <c r="A1434" s="33" t="s">
        <v>1633</v>
      </c>
      <c r="B1434" s="34" t="n">
        <v>45351</v>
      </c>
      <c r="C1434" s="34" t="n">
        <v>45357</v>
      </c>
      <c r="D1434" s="33" t="n">
        <v>22</v>
      </c>
      <c r="E1434" s="33" t="s">
        <v>154</v>
      </c>
      <c r="F1434" s="33" t="s">
        <v>169</v>
      </c>
      <c r="G1434" s="33" t="s">
        <v>213</v>
      </c>
      <c r="H1434" s="33" t="s">
        <v>195</v>
      </c>
      <c r="I1434" s="33" t="s">
        <v>143</v>
      </c>
      <c r="J1434" s="33" t="s">
        <v>159</v>
      </c>
      <c r="K1434" s="33" t="s">
        <v>184</v>
      </c>
      <c r="L1434" s="35" t="n">
        <v>7044.93</v>
      </c>
      <c r="M1434" s="33" t="n">
        <v>4</v>
      </c>
      <c r="N1434" s="33" t="s">
        <v>146</v>
      </c>
      <c r="O1434" s="33" t="s">
        <v>147</v>
      </c>
    </row>
    <row r="1435" customFormat="false" ht="15" hidden="false" customHeight="false" outlineLevel="0" collapsed="false">
      <c r="A1435" s="33" t="s">
        <v>1634</v>
      </c>
      <c r="B1435" s="34" t="n">
        <v>45331</v>
      </c>
      <c r="C1435" s="34" t="n">
        <v>45340</v>
      </c>
      <c r="D1435" s="33" t="n">
        <v>43</v>
      </c>
      <c r="E1435" s="33" t="s">
        <v>154</v>
      </c>
      <c r="F1435" s="33" t="s">
        <v>169</v>
      </c>
      <c r="G1435" s="33" t="s">
        <v>170</v>
      </c>
      <c r="H1435" s="33" t="s">
        <v>164</v>
      </c>
      <c r="I1435" s="33" t="s">
        <v>152</v>
      </c>
      <c r="J1435" s="33" t="s">
        <v>159</v>
      </c>
      <c r="K1435" s="33" t="s">
        <v>209</v>
      </c>
      <c r="L1435" s="35" t="n">
        <v>10742.05</v>
      </c>
      <c r="M1435" s="33" t="n">
        <v>5</v>
      </c>
      <c r="N1435" s="33" t="s">
        <v>210</v>
      </c>
      <c r="O1435" s="33" t="s">
        <v>147</v>
      </c>
    </row>
    <row r="1436" customFormat="false" ht="15" hidden="false" customHeight="false" outlineLevel="0" collapsed="false">
      <c r="A1436" s="33" t="s">
        <v>1635</v>
      </c>
      <c r="B1436" s="34" t="n">
        <v>45594</v>
      </c>
      <c r="C1436" s="34" t="n">
        <v>45604</v>
      </c>
      <c r="D1436" s="33" t="n">
        <v>30</v>
      </c>
      <c r="E1436" s="33" t="s">
        <v>154</v>
      </c>
      <c r="F1436" s="33" t="s">
        <v>169</v>
      </c>
      <c r="G1436" s="33" t="s">
        <v>230</v>
      </c>
      <c r="H1436" s="33" t="s">
        <v>171</v>
      </c>
      <c r="I1436" s="33" t="s">
        <v>143</v>
      </c>
      <c r="J1436" s="33" t="s">
        <v>159</v>
      </c>
      <c r="K1436" s="33" t="s">
        <v>184</v>
      </c>
      <c r="L1436" s="35" t="n">
        <v>9901.5</v>
      </c>
      <c r="M1436" s="33" t="n">
        <v>5</v>
      </c>
      <c r="N1436" s="33" t="s">
        <v>146</v>
      </c>
      <c r="O1436" s="33" t="s">
        <v>147</v>
      </c>
    </row>
    <row r="1437" customFormat="false" ht="15" hidden="false" customHeight="false" outlineLevel="0" collapsed="false">
      <c r="A1437" s="33" t="s">
        <v>1636</v>
      </c>
      <c r="B1437" s="34" t="n">
        <v>45567</v>
      </c>
      <c r="C1437" s="34" t="n">
        <v>45570</v>
      </c>
      <c r="D1437" s="33" t="n">
        <v>31</v>
      </c>
      <c r="E1437" s="33" t="s">
        <v>139</v>
      </c>
      <c r="F1437" s="33" t="s">
        <v>169</v>
      </c>
      <c r="G1437" s="33" t="s">
        <v>213</v>
      </c>
      <c r="H1437" s="33" t="s">
        <v>164</v>
      </c>
      <c r="I1437" s="33" t="s">
        <v>152</v>
      </c>
      <c r="J1437" s="33" t="s">
        <v>176</v>
      </c>
      <c r="K1437" s="33" t="s">
        <v>184</v>
      </c>
      <c r="L1437" s="35" t="n">
        <v>13186.06</v>
      </c>
      <c r="M1437" s="33" t="n">
        <v>5</v>
      </c>
      <c r="N1437" s="33" t="s">
        <v>146</v>
      </c>
      <c r="O1437" s="33" t="s">
        <v>247</v>
      </c>
    </row>
    <row r="1438" customFormat="false" ht="15" hidden="false" customHeight="false" outlineLevel="0" collapsed="false">
      <c r="A1438" s="33" t="s">
        <v>1637</v>
      </c>
      <c r="B1438" s="34" t="n">
        <v>45625</v>
      </c>
      <c r="C1438" s="34" t="n">
        <v>45626</v>
      </c>
      <c r="D1438" s="33" t="n">
        <v>20</v>
      </c>
      <c r="E1438" s="33" t="s">
        <v>139</v>
      </c>
      <c r="F1438" s="33" t="s">
        <v>149</v>
      </c>
      <c r="G1438" s="33" t="s">
        <v>150</v>
      </c>
      <c r="H1438" s="33" t="s">
        <v>186</v>
      </c>
      <c r="I1438" s="33" t="s">
        <v>158</v>
      </c>
      <c r="J1438" s="33" t="s">
        <v>159</v>
      </c>
      <c r="K1438" s="33" t="s">
        <v>145</v>
      </c>
      <c r="L1438" s="35" t="n">
        <v>1485.32</v>
      </c>
      <c r="M1438" s="33" t="n">
        <v>5</v>
      </c>
      <c r="N1438" s="33" t="s">
        <v>146</v>
      </c>
      <c r="O1438" s="36"/>
    </row>
    <row r="1439" customFormat="false" ht="15" hidden="false" customHeight="false" outlineLevel="0" collapsed="false">
      <c r="A1439" s="33" t="s">
        <v>1638</v>
      </c>
      <c r="B1439" s="34" t="n">
        <v>45426</v>
      </c>
      <c r="C1439" s="34" t="n">
        <v>45430</v>
      </c>
      <c r="D1439" s="33" t="n">
        <v>31</v>
      </c>
      <c r="E1439" s="33" t="s">
        <v>190</v>
      </c>
      <c r="F1439" s="33" t="s">
        <v>140</v>
      </c>
      <c r="G1439" s="33" t="s">
        <v>141</v>
      </c>
      <c r="H1439" s="33" t="s">
        <v>142</v>
      </c>
      <c r="I1439" s="33" t="s">
        <v>152</v>
      </c>
      <c r="J1439" s="33" t="s">
        <v>159</v>
      </c>
      <c r="K1439" s="33" t="s">
        <v>145</v>
      </c>
      <c r="L1439" s="35" t="n">
        <v>9263.42</v>
      </c>
      <c r="M1439" s="33" t="n">
        <v>3</v>
      </c>
      <c r="N1439" s="33" t="s">
        <v>146</v>
      </c>
      <c r="O1439" s="33" t="s">
        <v>247</v>
      </c>
    </row>
    <row r="1440" customFormat="false" ht="15" hidden="false" customHeight="false" outlineLevel="0" collapsed="false">
      <c r="A1440" s="33" t="s">
        <v>1639</v>
      </c>
      <c r="B1440" s="34" t="n">
        <v>45627</v>
      </c>
      <c r="C1440" s="34" t="n">
        <v>45629</v>
      </c>
      <c r="D1440" s="33" t="n">
        <v>40</v>
      </c>
      <c r="E1440" s="33" t="s">
        <v>139</v>
      </c>
      <c r="F1440" s="33" t="s">
        <v>203</v>
      </c>
      <c r="G1440" s="33" t="s">
        <v>241</v>
      </c>
      <c r="H1440" s="33" t="s">
        <v>205</v>
      </c>
      <c r="I1440" s="33" t="s">
        <v>143</v>
      </c>
      <c r="J1440" s="33" t="s">
        <v>176</v>
      </c>
      <c r="K1440" s="33" t="s">
        <v>209</v>
      </c>
      <c r="L1440" s="35" t="n">
        <v>7284.22</v>
      </c>
      <c r="M1440" s="33" t="n">
        <v>3</v>
      </c>
      <c r="N1440" s="33" t="s">
        <v>146</v>
      </c>
      <c r="O1440" s="33" t="s">
        <v>147</v>
      </c>
    </row>
    <row r="1441" customFormat="false" ht="15" hidden="false" customHeight="false" outlineLevel="0" collapsed="false">
      <c r="A1441" s="33" t="s">
        <v>1640</v>
      </c>
      <c r="B1441" s="34" t="n">
        <v>45458</v>
      </c>
      <c r="C1441" s="34" t="n">
        <v>45461</v>
      </c>
      <c r="D1441" s="33" t="n">
        <v>59</v>
      </c>
      <c r="E1441" s="33" t="s">
        <v>139</v>
      </c>
      <c r="F1441" s="33" t="s">
        <v>181</v>
      </c>
      <c r="G1441" s="33" t="s">
        <v>188</v>
      </c>
      <c r="H1441" s="33" t="s">
        <v>183</v>
      </c>
      <c r="I1441" s="33" t="s">
        <v>143</v>
      </c>
      <c r="J1441" s="33" t="s">
        <v>159</v>
      </c>
      <c r="K1441" s="33" t="s">
        <v>145</v>
      </c>
      <c r="L1441" s="35" t="n">
        <v>8576.82</v>
      </c>
      <c r="M1441" s="33" t="n">
        <v>4</v>
      </c>
      <c r="N1441" s="33" t="s">
        <v>146</v>
      </c>
      <c r="O1441" s="33" t="s">
        <v>147</v>
      </c>
    </row>
    <row r="1442" customFormat="false" ht="15" hidden="false" customHeight="false" outlineLevel="0" collapsed="false">
      <c r="A1442" s="33" t="s">
        <v>1641</v>
      </c>
      <c r="B1442" s="34" t="n">
        <v>45505</v>
      </c>
      <c r="C1442" s="34" t="n">
        <v>45508</v>
      </c>
      <c r="D1442" s="33" t="n">
        <v>1</v>
      </c>
      <c r="E1442" s="33" t="s">
        <v>154</v>
      </c>
      <c r="F1442" s="33" t="s">
        <v>155</v>
      </c>
      <c r="G1442" s="33" t="s">
        <v>156</v>
      </c>
      <c r="H1442" s="33" t="s">
        <v>222</v>
      </c>
      <c r="I1442" s="33" t="s">
        <v>152</v>
      </c>
      <c r="J1442" s="33" t="s">
        <v>159</v>
      </c>
      <c r="K1442" s="33" t="s">
        <v>160</v>
      </c>
      <c r="L1442" s="35" t="n">
        <v>2570.46</v>
      </c>
      <c r="M1442" s="33" t="n">
        <v>4</v>
      </c>
      <c r="N1442" s="33" t="s">
        <v>146</v>
      </c>
      <c r="O1442" s="33" t="s">
        <v>147</v>
      </c>
    </row>
    <row r="1443" customFormat="false" ht="15" hidden="false" customHeight="false" outlineLevel="0" collapsed="false">
      <c r="A1443" s="33" t="s">
        <v>1642</v>
      </c>
      <c r="B1443" s="34" t="n">
        <v>45391</v>
      </c>
      <c r="C1443" s="34" t="n">
        <v>45397</v>
      </c>
      <c r="D1443" s="33" t="n">
        <v>10</v>
      </c>
      <c r="E1443" s="33" t="s">
        <v>139</v>
      </c>
      <c r="F1443" s="33" t="s">
        <v>288</v>
      </c>
      <c r="G1443" s="33" t="s">
        <v>220</v>
      </c>
      <c r="H1443" s="33" t="s">
        <v>157</v>
      </c>
      <c r="I1443" s="33" t="s">
        <v>143</v>
      </c>
      <c r="J1443" s="33" t="s">
        <v>159</v>
      </c>
      <c r="K1443" s="33" t="s">
        <v>184</v>
      </c>
      <c r="L1443" s="35" t="n">
        <v>5160.58</v>
      </c>
      <c r="M1443" s="33" t="n">
        <v>2</v>
      </c>
      <c r="N1443" s="33" t="s">
        <v>146</v>
      </c>
      <c r="O1443" s="33" t="s">
        <v>147</v>
      </c>
    </row>
    <row r="1444" customFormat="false" ht="15" hidden="false" customHeight="false" outlineLevel="0" collapsed="false">
      <c r="A1444" s="33" t="s">
        <v>1643</v>
      </c>
      <c r="B1444" s="34" t="n">
        <v>45552</v>
      </c>
      <c r="C1444" s="34" t="n">
        <v>45556</v>
      </c>
      <c r="D1444" s="33" t="n">
        <v>26</v>
      </c>
      <c r="E1444" s="33" t="s">
        <v>139</v>
      </c>
      <c r="F1444" s="33" t="s">
        <v>149</v>
      </c>
      <c r="G1444" s="33" t="s">
        <v>224</v>
      </c>
      <c r="H1444" s="33" t="s">
        <v>186</v>
      </c>
      <c r="I1444" s="33" t="s">
        <v>143</v>
      </c>
      <c r="J1444" s="33" t="s">
        <v>144</v>
      </c>
      <c r="K1444" s="33" t="s">
        <v>160</v>
      </c>
      <c r="L1444" s="35" t="n">
        <v>8884.28</v>
      </c>
      <c r="M1444" s="33" t="n">
        <v>5</v>
      </c>
      <c r="N1444" s="33" t="s">
        <v>146</v>
      </c>
      <c r="O1444" s="33" t="s">
        <v>147</v>
      </c>
    </row>
    <row r="1445" customFormat="false" ht="15" hidden="false" customHeight="false" outlineLevel="0" collapsed="false">
      <c r="A1445" s="33" t="s">
        <v>1644</v>
      </c>
      <c r="B1445" s="34" t="n">
        <v>45478</v>
      </c>
      <c r="C1445" s="34" t="n">
        <v>45483</v>
      </c>
      <c r="D1445" s="33" t="n">
        <v>65</v>
      </c>
      <c r="E1445" s="33" t="s">
        <v>139</v>
      </c>
      <c r="F1445" s="33" t="s">
        <v>181</v>
      </c>
      <c r="G1445" s="33" t="s">
        <v>188</v>
      </c>
      <c r="H1445" s="33" t="s">
        <v>245</v>
      </c>
      <c r="I1445" s="33" t="s">
        <v>158</v>
      </c>
      <c r="J1445" s="33" t="s">
        <v>159</v>
      </c>
      <c r="K1445" s="33" t="s">
        <v>145</v>
      </c>
      <c r="L1445" s="35" t="n">
        <v>13561.47</v>
      </c>
      <c r="M1445" s="33" t="n">
        <v>4</v>
      </c>
      <c r="N1445" s="33" t="s">
        <v>146</v>
      </c>
      <c r="O1445" s="33" t="s">
        <v>147</v>
      </c>
    </row>
    <row r="1446" customFormat="false" ht="15" hidden="false" customHeight="false" outlineLevel="0" collapsed="false">
      <c r="A1446" s="33" t="s">
        <v>502</v>
      </c>
      <c r="B1446" s="34" t="n">
        <v>45631</v>
      </c>
      <c r="C1446" s="34" t="n">
        <v>45633</v>
      </c>
      <c r="D1446" s="33" t="n">
        <v>30</v>
      </c>
      <c r="E1446" s="33" t="s">
        <v>139</v>
      </c>
      <c r="F1446" s="33" t="s">
        <v>149</v>
      </c>
      <c r="G1446" s="33" t="s">
        <v>150</v>
      </c>
      <c r="H1446" s="33" t="s">
        <v>151</v>
      </c>
      <c r="I1446" s="33" t="s">
        <v>152</v>
      </c>
      <c r="J1446" s="33" t="s">
        <v>159</v>
      </c>
      <c r="K1446" s="33" t="s">
        <v>160</v>
      </c>
      <c r="L1446" s="35" t="n">
        <v>3283.08</v>
      </c>
      <c r="M1446" s="33" t="n">
        <v>4</v>
      </c>
      <c r="N1446" s="33" t="s">
        <v>146</v>
      </c>
      <c r="O1446" s="33" t="s">
        <v>147</v>
      </c>
    </row>
    <row r="1447" customFormat="false" ht="15" hidden="false" customHeight="false" outlineLevel="0" collapsed="false">
      <c r="A1447" s="33" t="s">
        <v>1645</v>
      </c>
      <c r="B1447" s="34" t="n">
        <v>45333</v>
      </c>
      <c r="C1447" s="34" t="n">
        <v>45336</v>
      </c>
      <c r="D1447" s="33" t="n">
        <v>6</v>
      </c>
      <c r="E1447" s="33" t="s">
        <v>139</v>
      </c>
      <c r="F1447" s="33" t="s">
        <v>173</v>
      </c>
      <c r="G1447" s="33" t="s">
        <v>198</v>
      </c>
      <c r="H1447" s="33" t="s">
        <v>199</v>
      </c>
      <c r="I1447" s="33" t="s">
        <v>143</v>
      </c>
      <c r="J1447" s="33" t="s">
        <v>159</v>
      </c>
      <c r="K1447" s="33" t="s">
        <v>145</v>
      </c>
      <c r="L1447" s="35" t="n">
        <v>8164.14</v>
      </c>
      <c r="M1447" s="36"/>
      <c r="N1447" s="33" t="s">
        <v>146</v>
      </c>
      <c r="O1447" s="33" t="s">
        <v>147</v>
      </c>
    </row>
    <row r="1448" customFormat="false" ht="15" hidden="false" customHeight="false" outlineLevel="0" collapsed="false">
      <c r="A1448" s="33" t="s">
        <v>1646</v>
      </c>
      <c r="B1448" s="34" t="n">
        <v>45292</v>
      </c>
      <c r="C1448" s="34" t="n">
        <v>45295</v>
      </c>
      <c r="D1448" s="33" t="n">
        <v>23</v>
      </c>
      <c r="E1448" s="33" t="s">
        <v>139</v>
      </c>
      <c r="F1448" s="33" t="s">
        <v>149</v>
      </c>
      <c r="G1448" s="33" t="s">
        <v>224</v>
      </c>
      <c r="H1448" s="33" t="s">
        <v>186</v>
      </c>
      <c r="I1448" s="33" t="s">
        <v>158</v>
      </c>
      <c r="J1448" s="33" t="s">
        <v>159</v>
      </c>
      <c r="K1448" s="33" t="s">
        <v>145</v>
      </c>
      <c r="L1448" s="35" t="n">
        <v>4939.21</v>
      </c>
      <c r="M1448" s="33" t="n">
        <v>5</v>
      </c>
      <c r="N1448" s="33" t="s">
        <v>146</v>
      </c>
      <c r="O1448" s="33" t="s">
        <v>147</v>
      </c>
    </row>
    <row r="1449" customFormat="false" ht="15" hidden="false" customHeight="false" outlineLevel="0" collapsed="false">
      <c r="A1449" s="33" t="s">
        <v>1647</v>
      </c>
      <c r="B1449" s="34" t="n">
        <v>45522</v>
      </c>
      <c r="C1449" s="34" t="n">
        <v>45523</v>
      </c>
      <c r="D1449" s="33" t="n">
        <v>51</v>
      </c>
      <c r="E1449" s="33" t="s">
        <v>139</v>
      </c>
      <c r="F1449" s="33" t="s">
        <v>140</v>
      </c>
      <c r="G1449" s="33" t="s">
        <v>316</v>
      </c>
      <c r="H1449" s="33" t="s">
        <v>142</v>
      </c>
      <c r="I1449" s="33" t="s">
        <v>143</v>
      </c>
      <c r="J1449" s="33" t="s">
        <v>159</v>
      </c>
      <c r="K1449" s="33" t="s">
        <v>160</v>
      </c>
      <c r="L1449" s="35" t="n">
        <v>1743.31</v>
      </c>
      <c r="M1449" s="33" t="n">
        <v>4</v>
      </c>
      <c r="N1449" s="33" t="s">
        <v>146</v>
      </c>
      <c r="O1449" s="33" t="s">
        <v>147</v>
      </c>
    </row>
    <row r="1450" customFormat="false" ht="15" hidden="false" customHeight="false" outlineLevel="0" collapsed="false">
      <c r="A1450" s="33" t="s">
        <v>1648</v>
      </c>
      <c r="B1450" s="34" t="n">
        <v>45438</v>
      </c>
      <c r="C1450" s="34" t="n">
        <v>45444</v>
      </c>
      <c r="D1450" s="33" t="n">
        <v>45</v>
      </c>
      <c r="E1450" s="33" t="s">
        <v>139</v>
      </c>
      <c r="F1450" s="33" t="s">
        <v>140</v>
      </c>
      <c r="G1450" s="33" t="s">
        <v>167</v>
      </c>
      <c r="H1450" s="33" t="s">
        <v>290</v>
      </c>
      <c r="I1450" s="33" t="s">
        <v>143</v>
      </c>
      <c r="J1450" s="33" t="s">
        <v>159</v>
      </c>
      <c r="K1450" s="33" t="s">
        <v>184</v>
      </c>
      <c r="L1450" s="35" t="n">
        <v>14394.97</v>
      </c>
      <c r="M1450" s="33" t="n">
        <v>2</v>
      </c>
      <c r="N1450" s="33" t="s">
        <v>146</v>
      </c>
      <c r="O1450" s="33" t="s">
        <v>147</v>
      </c>
    </row>
    <row r="1451" customFormat="false" ht="15" hidden="false" customHeight="false" outlineLevel="0" collapsed="false">
      <c r="A1451" s="33" t="s">
        <v>1649</v>
      </c>
      <c r="B1451" s="34" t="n">
        <v>45320</v>
      </c>
      <c r="C1451" s="34" t="n">
        <v>45323</v>
      </c>
      <c r="D1451" s="33" t="n">
        <v>4</v>
      </c>
      <c r="E1451" s="33" t="s">
        <v>216</v>
      </c>
      <c r="F1451" s="33" t="s">
        <v>155</v>
      </c>
      <c r="G1451" s="33" t="s">
        <v>220</v>
      </c>
      <c r="H1451" s="33" t="s">
        <v>157</v>
      </c>
      <c r="I1451" s="33" t="s">
        <v>143</v>
      </c>
      <c r="J1451" s="33" t="s">
        <v>159</v>
      </c>
      <c r="K1451" s="33" t="s">
        <v>184</v>
      </c>
      <c r="L1451" s="35" t="n">
        <v>2565.5</v>
      </c>
      <c r="M1451" s="33" t="n">
        <v>4</v>
      </c>
      <c r="N1451" s="33" t="s">
        <v>146</v>
      </c>
      <c r="O1451" s="33" t="s">
        <v>147</v>
      </c>
    </row>
    <row r="1452" customFormat="false" ht="15" hidden="false" customHeight="false" outlineLevel="0" collapsed="false">
      <c r="A1452" s="33" t="s">
        <v>1650</v>
      </c>
      <c r="B1452" s="34" t="n">
        <v>45582</v>
      </c>
      <c r="C1452" s="34" t="n">
        <v>45585</v>
      </c>
      <c r="D1452" s="33" t="n">
        <v>38</v>
      </c>
      <c r="E1452" s="33" t="s">
        <v>154</v>
      </c>
      <c r="F1452" s="33" t="s">
        <v>140</v>
      </c>
      <c r="G1452" s="33" t="s">
        <v>316</v>
      </c>
      <c r="H1452" s="33" t="s">
        <v>290</v>
      </c>
      <c r="I1452" s="33" t="s">
        <v>143</v>
      </c>
      <c r="J1452" s="33" t="s">
        <v>159</v>
      </c>
      <c r="K1452" s="33" t="s">
        <v>145</v>
      </c>
      <c r="L1452" s="35" t="n">
        <v>7213.19</v>
      </c>
      <c r="M1452" s="33" t="n">
        <v>3</v>
      </c>
      <c r="N1452" s="33" t="s">
        <v>146</v>
      </c>
      <c r="O1452" s="33" t="s">
        <v>147</v>
      </c>
    </row>
    <row r="1453" customFormat="false" ht="15" hidden="false" customHeight="false" outlineLevel="0" collapsed="false">
      <c r="A1453" s="33" t="s">
        <v>1651</v>
      </c>
      <c r="B1453" s="34" t="n">
        <v>45607</v>
      </c>
      <c r="C1453" s="34" t="n">
        <v>45608</v>
      </c>
      <c r="D1453" s="33" t="n">
        <v>47</v>
      </c>
      <c r="E1453" s="33" t="s">
        <v>139</v>
      </c>
      <c r="F1453" s="33" t="s">
        <v>240</v>
      </c>
      <c r="G1453" s="33" t="s">
        <v>241</v>
      </c>
      <c r="H1453" s="33" t="s">
        <v>193</v>
      </c>
      <c r="I1453" s="33" t="s">
        <v>143</v>
      </c>
      <c r="J1453" s="33" t="s">
        <v>159</v>
      </c>
      <c r="K1453" s="33" t="s">
        <v>145</v>
      </c>
      <c r="L1453" s="35" t="n">
        <v>1007.52</v>
      </c>
      <c r="M1453" s="33" t="n">
        <v>4</v>
      </c>
      <c r="N1453" s="33" t="s">
        <v>146</v>
      </c>
      <c r="O1453" s="33" t="s">
        <v>147</v>
      </c>
    </row>
    <row r="1454" customFormat="false" ht="15" hidden="false" customHeight="false" outlineLevel="0" collapsed="false">
      <c r="A1454" s="33" t="s">
        <v>1652</v>
      </c>
      <c r="B1454" s="34" t="n">
        <v>45650</v>
      </c>
      <c r="C1454" s="34" t="n">
        <v>45652</v>
      </c>
      <c r="D1454" s="33" t="n">
        <v>61</v>
      </c>
      <c r="E1454" s="33" t="s">
        <v>154</v>
      </c>
      <c r="F1454" s="33" t="s">
        <v>191</v>
      </c>
      <c r="G1454" s="33" t="s">
        <v>241</v>
      </c>
      <c r="H1454" s="33" t="s">
        <v>205</v>
      </c>
      <c r="I1454" s="33" t="s">
        <v>143</v>
      </c>
      <c r="J1454" s="33" t="s">
        <v>159</v>
      </c>
      <c r="K1454" s="33" t="s">
        <v>184</v>
      </c>
      <c r="L1454" s="35" t="n">
        <v>1490.7</v>
      </c>
      <c r="M1454" s="33" t="n">
        <v>5</v>
      </c>
      <c r="N1454" s="33" t="s">
        <v>146</v>
      </c>
      <c r="O1454" s="33" t="s">
        <v>147</v>
      </c>
    </row>
    <row r="1455" customFormat="false" ht="15" hidden="false" customHeight="false" outlineLevel="0" collapsed="false">
      <c r="A1455" s="33" t="s">
        <v>1653</v>
      </c>
      <c r="B1455" s="34" t="n">
        <v>45412</v>
      </c>
      <c r="C1455" s="34" t="n">
        <v>45414</v>
      </c>
      <c r="D1455" s="33" t="n">
        <v>6</v>
      </c>
      <c r="E1455" s="33" t="s">
        <v>154</v>
      </c>
      <c r="F1455" s="33" t="s">
        <v>155</v>
      </c>
      <c r="G1455" s="33" t="s">
        <v>220</v>
      </c>
      <c r="H1455" s="33" t="s">
        <v>157</v>
      </c>
      <c r="I1455" s="33" t="s">
        <v>152</v>
      </c>
      <c r="J1455" s="33" t="s">
        <v>144</v>
      </c>
      <c r="K1455" s="33" t="s">
        <v>209</v>
      </c>
      <c r="L1455" s="35" t="n">
        <v>3026.39</v>
      </c>
      <c r="M1455" s="33" t="n">
        <v>5</v>
      </c>
      <c r="N1455" s="33" t="s">
        <v>210</v>
      </c>
      <c r="O1455" s="33" t="s">
        <v>147</v>
      </c>
    </row>
    <row r="1456" customFormat="false" ht="15" hidden="false" customHeight="false" outlineLevel="0" collapsed="false">
      <c r="A1456" s="33" t="s">
        <v>1654</v>
      </c>
      <c r="B1456" s="34" t="n">
        <v>45642</v>
      </c>
      <c r="C1456" s="34" t="n">
        <v>45646</v>
      </c>
      <c r="D1456" s="33" t="n">
        <v>42</v>
      </c>
      <c r="E1456" s="33" t="s">
        <v>154</v>
      </c>
      <c r="F1456" s="33" t="s">
        <v>169</v>
      </c>
      <c r="G1456" s="33" t="s">
        <v>170</v>
      </c>
      <c r="H1456" s="33" t="s">
        <v>164</v>
      </c>
      <c r="I1456" s="33" t="s">
        <v>143</v>
      </c>
      <c r="J1456" s="33" t="s">
        <v>159</v>
      </c>
      <c r="K1456" s="33" t="s">
        <v>145</v>
      </c>
      <c r="L1456" s="35" t="n">
        <v>3544.9</v>
      </c>
      <c r="M1456" s="33" t="n">
        <v>3</v>
      </c>
      <c r="N1456" s="33" t="s">
        <v>146</v>
      </c>
      <c r="O1456" s="33" t="s">
        <v>147</v>
      </c>
    </row>
    <row r="1457" customFormat="false" ht="15" hidden="false" customHeight="false" outlineLevel="0" collapsed="false">
      <c r="A1457" s="33" t="s">
        <v>1655</v>
      </c>
      <c r="B1457" s="34" t="n">
        <v>45293</v>
      </c>
      <c r="C1457" s="34" t="n">
        <v>45295</v>
      </c>
      <c r="D1457" s="33" t="n">
        <v>46</v>
      </c>
      <c r="E1457" s="33" t="s">
        <v>139</v>
      </c>
      <c r="F1457" s="33" t="s">
        <v>203</v>
      </c>
      <c r="G1457" s="33" t="s">
        <v>192</v>
      </c>
      <c r="H1457" s="33" t="s">
        <v>193</v>
      </c>
      <c r="I1457" s="33" t="s">
        <v>143</v>
      </c>
      <c r="J1457" s="33" t="s">
        <v>176</v>
      </c>
      <c r="K1457" s="33" t="s">
        <v>145</v>
      </c>
      <c r="L1457" s="35" t="n">
        <v>5762.89</v>
      </c>
      <c r="M1457" s="33" t="n">
        <v>3</v>
      </c>
      <c r="N1457" s="33" t="s">
        <v>146</v>
      </c>
      <c r="O1457" s="33" t="s">
        <v>147</v>
      </c>
    </row>
    <row r="1458" customFormat="false" ht="15" hidden="false" customHeight="false" outlineLevel="0" collapsed="false">
      <c r="A1458" s="33" t="s">
        <v>1656</v>
      </c>
      <c r="B1458" s="34" t="n">
        <v>45534</v>
      </c>
      <c r="C1458" s="34" t="n">
        <v>45535</v>
      </c>
      <c r="D1458" s="33" t="n">
        <v>70</v>
      </c>
      <c r="E1458" s="33" t="s">
        <v>139</v>
      </c>
      <c r="F1458" s="33" t="s">
        <v>203</v>
      </c>
      <c r="G1458" s="33" t="s">
        <v>241</v>
      </c>
      <c r="H1458" s="33" t="s">
        <v>205</v>
      </c>
      <c r="I1458" s="33" t="s">
        <v>143</v>
      </c>
      <c r="J1458" s="33" t="s">
        <v>144</v>
      </c>
      <c r="K1458" s="33" t="s">
        <v>184</v>
      </c>
      <c r="L1458" s="35" t="n">
        <v>957.35</v>
      </c>
      <c r="M1458" s="33" t="n">
        <v>4</v>
      </c>
      <c r="N1458" s="33" t="s">
        <v>210</v>
      </c>
      <c r="O1458" s="33" t="s">
        <v>147</v>
      </c>
    </row>
    <row r="1459" customFormat="false" ht="15" hidden="false" customHeight="false" outlineLevel="0" collapsed="false">
      <c r="A1459" s="33" t="s">
        <v>1657</v>
      </c>
      <c r="B1459" s="34" t="n">
        <v>45530</v>
      </c>
      <c r="C1459" s="34" t="n">
        <v>45531</v>
      </c>
      <c r="D1459" s="33" t="n">
        <v>53</v>
      </c>
      <c r="E1459" s="33" t="s">
        <v>154</v>
      </c>
      <c r="F1459" s="33" t="s">
        <v>203</v>
      </c>
      <c r="G1459" s="33" t="s">
        <v>217</v>
      </c>
      <c r="H1459" s="33" t="s">
        <v>205</v>
      </c>
      <c r="I1459" s="33" t="s">
        <v>143</v>
      </c>
      <c r="J1459" s="33" t="s">
        <v>159</v>
      </c>
      <c r="K1459" s="33" t="s">
        <v>160</v>
      </c>
      <c r="L1459" s="35" t="n">
        <v>921.19</v>
      </c>
      <c r="M1459" s="33" t="n">
        <v>4</v>
      </c>
      <c r="N1459" s="33" t="s">
        <v>146</v>
      </c>
      <c r="O1459" s="33" t="s">
        <v>147</v>
      </c>
    </row>
    <row r="1460" customFormat="false" ht="15" hidden="false" customHeight="false" outlineLevel="0" collapsed="false">
      <c r="A1460" s="33" t="s">
        <v>1658</v>
      </c>
      <c r="B1460" s="34" t="n">
        <v>45371</v>
      </c>
      <c r="C1460" s="34" t="n">
        <v>45372</v>
      </c>
      <c r="D1460" s="33" t="n">
        <v>44</v>
      </c>
      <c r="E1460" s="33" t="s">
        <v>154</v>
      </c>
      <c r="F1460" s="33" t="s">
        <v>334</v>
      </c>
      <c r="G1460" s="33" t="s">
        <v>217</v>
      </c>
      <c r="H1460" s="33" t="s">
        <v>193</v>
      </c>
      <c r="I1460" s="33" t="s">
        <v>143</v>
      </c>
      <c r="J1460" s="33" t="s">
        <v>159</v>
      </c>
      <c r="K1460" s="33" t="s">
        <v>184</v>
      </c>
      <c r="L1460" s="35" t="n">
        <v>755.15</v>
      </c>
      <c r="M1460" s="33" t="n">
        <v>3</v>
      </c>
      <c r="N1460" s="33" t="s">
        <v>146</v>
      </c>
      <c r="O1460" s="36"/>
    </row>
    <row r="1461" customFormat="false" ht="15" hidden="false" customHeight="false" outlineLevel="0" collapsed="false">
      <c r="A1461" s="33" t="s">
        <v>1659</v>
      </c>
      <c r="B1461" s="34" t="n">
        <v>45393</v>
      </c>
      <c r="C1461" s="34" t="n">
        <v>45399</v>
      </c>
      <c r="D1461" s="33" t="n">
        <v>16</v>
      </c>
      <c r="E1461" s="33" t="s">
        <v>139</v>
      </c>
      <c r="F1461" s="33" t="s">
        <v>140</v>
      </c>
      <c r="G1461" s="33" t="s">
        <v>316</v>
      </c>
      <c r="H1461" s="33" t="s">
        <v>142</v>
      </c>
      <c r="I1461" s="33" t="s">
        <v>143</v>
      </c>
      <c r="J1461" s="33" t="s">
        <v>144</v>
      </c>
      <c r="K1461" s="33" t="s">
        <v>145</v>
      </c>
      <c r="L1461" s="35" t="n">
        <v>24871.32</v>
      </c>
      <c r="M1461" s="33" t="n">
        <v>3</v>
      </c>
      <c r="N1461" s="33" t="s">
        <v>146</v>
      </c>
      <c r="O1461" s="33" t="s">
        <v>147</v>
      </c>
    </row>
    <row r="1462" customFormat="false" ht="15" hidden="false" customHeight="false" outlineLevel="0" collapsed="false">
      <c r="A1462" s="33" t="s">
        <v>1660</v>
      </c>
      <c r="B1462" s="34" t="n">
        <v>45439</v>
      </c>
      <c r="C1462" s="34" t="n">
        <v>45441</v>
      </c>
      <c r="D1462" s="33" t="n">
        <v>35</v>
      </c>
      <c r="E1462" s="33" t="s">
        <v>139</v>
      </c>
      <c r="F1462" s="33" t="s">
        <v>173</v>
      </c>
      <c r="G1462" s="33" t="s">
        <v>178</v>
      </c>
      <c r="H1462" s="33" t="s">
        <v>199</v>
      </c>
      <c r="I1462" s="33" t="s">
        <v>143</v>
      </c>
      <c r="J1462" s="33" t="s">
        <v>159</v>
      </c>
      <c r="K1462" s="33" t="s">
        <v>160</v>
      </c>
      <c r="L1462" s="35" t="n">
        <v>4688.21</v>
      </c>
      <c r="M1462" s="33" t="n">
        <v>3</v>
      </c>
      <c r="N1462" s="33" t="s">
        <v>146</v>
      </c>
      <c r="O1462" s="33" t="s">
        <v>147</v>
      </c>
    </row>
    <row r="1463" customFormat="false" ht="15" hidden="false" customHeight="false" outlineLevel="0" collapsed="false">
      <c r="A1463" s="33" t="s">
        <v>1661</v>
      </c>
      <c r="B1463" s="34" t="n">
        <v>45483</v>
      </c>
      <c r="C1463" s="34" t="n">
        <v>45485</v>
      </c>
      <c r="D1463" s="33" t="n">
        <v>47</v>
      </c>
      <c r="E1463" s="33" t="s">
        <v>154</v>
      </c>
      <c r="F1463" s="33" t="s">
        <v>203</v>
      </c>
      <c r="G1463" s="33" t="s">
        <v>241</v>
      </c>
      <c r="H1463" s="33" t="s">
        <v>205</v>
      </c>
      <c r="I1463" s="33" t="s">
        <v>143</v>
      </c>
      <c r="J1463" s="33" t="s">
        <v>159</v>
      </c>
      <c r="K1463" s="33" t="s">
        <v>184</v>
      </c>
      <c r="L1463" s="35" t="n">
        <v>1805.98</v>
      </c>
      <c r="M1463" s="33" t="n">
        <v>2</v>
      </c>
      <c r="N1463" s="33" t="s">
        <v>146</v>
      </c>
      <c r="O1463" s="33" t="s">
        <v>147</v>
      </c>
    </row>
    <row r="1464" customFormat="false" ht="15" hidden="false" customHeight="false" outlineLevel="0" collapsed="false">
      <c r="A1464" s="33" t="s">
        <v>1662</v>
      </c>
      <c r="B1464" s="34" t="n">
        <v>45657</v>
      </c>
      <c r="C1464" s="34" t="n">
        <v>45659</v>
      </c>
      <c r="D1464" s="33" t="n">
        <v>31</v>
      </c>
      <c r="E1464" s="33" t="s">
        <v>139</v>
      </c>
      <c r="F1464" s="33" t="s">
        <v>149</v>
      </c>
      <c r="G1464" s="33" t="s">
        <v>243</v>
      </c>
      <c r="H1464" s="33" t="s">
        <v>186</v>
      </c>
      <c r="I1464" s="33" t="s">
        <v>143</v>
      </c>
      <c r="J1464" s="33" t="s">
        <v>159</v>
      </c>
      <c r="K1464" s="33" t="s">
        <v>160</v>
      </c>
      <c r="L1464" s="35" t="n">
        <v>2610.58</v>
      </c>
      <c r="M1464" s="33" t="n">
        <v>3</v>
      </c>
      <c r="N1464" s="33" t="s">
        <v>146</v>
      </c>
      <c r="O1464" s="33" t="s">
        <v>247</v>
      </c>
    </row>
    <row r="1465" customFormat="false" ht="15" hidden="false" customHeight="false" outlineLevel="0" collapsed="false">
      <c r="A1465" s="33" t="s">
        <v>1663</v>
      </c>
      <c r="B1465" s="34" t="n">
        <v>45378</v>
      </c>
      <c r="C1465" s="34" t="n">
        <v>45383</v>
      </c>
      <c r="D1465" s="33" t="n">
        <v>0</v>
      </c>
      <c r="E1465" s="33" t="s">
        <v>154</v>
      </c>
      <c r="F1465" s="33" t="s">
        <v>155</v>
      </c>
      <c r="G1465" s="33" t="s">
        <v>220</v>
      </c>
      <c r="H1465" s="33" t="s">
        <v>157</v>
      </c>
      <c r="I1465" s="33" t="s">
        <v>143</v>
      </c>
      <c r="J1465" s="33" t="s">
        <v>176</v>
      </c>
      <c r="K1465" s="33" t="s">
        <v>209</v>
      </c>
      <c r="L1465" s="35" t="n">
        <v>15888.47</v>
      </c>
      <c r="M1465" s="33" t="n">
        <v>3</v>
      </c>
      <c r="N1465" s="33" t="s">
        <v>146</v>
      </c>
      <c r="O1465" s="33" t="s">
        <v>147</v>
      </c>
    </row>
    <row r="1466" customFormat="false" ht="15" hidden="false" customHeight="false" outlineLevel="0" collapsed="false">
      <c r="A1466" s="33" t="s">
        <v>1664</v>
      </c>
      <c r="B1466" s="34" t="n">
        <v>45620</v>
      </c>
      <c r="C1466" s="34" t="n">
        <v>45623</v>
      </c>
      <c r="D1466" s="33" t="n">
        <v>23</v>
      </c>
      <c r="E1466" s="33" t="s">
        <v>139</v>
      </c>
      <c r="F1466" s="33" t="s">
        <v>149</v>
      </c>
      <c r="G1466" s="33" t="s">
        <v>243</v>
      </c>
      <c r="H1466" s="33" t="s">
        <v>151</v>
      </c>
      <c r="I1466" s="33" t="s">
        <v>143</v>
      </c>
      <c r="J1466" s="33" t="s">
        <v>176</v>
      </c>
      <c r="K1466" s="33" t="s">
        <v>145</v>
      </c>
      <c r="L1466" s="35" t="n">
        <v>13002.03</v>
      </c>
      <c r="M1466" s="33" t="n">
        <v>4</v>
      </c>
      <c r="N1466" s="33" t="s">
        <v>146</v>
      </c>
      <c r="O1466" s="33" t="s">
        <v>147</v>
      </c>
    </row>
    <row r="1467" customFormat="false" ht="15" hidden="false" customHeight="false" outlineLevel="0" collapsed="false">
      <c r="A1467" s="33" t="s">
        <v>1665</v>
      </c>
      <c r="B1467" s="34" t="n">
        <v>45487</v>
      </c>
      <c r="C1467" s="34" t="n">
        <v>45488</v>
      </c>
      <c r="D1467" s="33" t="n">
        <v>30</v>
      </c>
      <c r="E1467" s="33" t="s">
        <v>139</v>
      </c>
      <c r="F1467" s="33" t="s">
        <v>173</v>
      </c>
      <c r="G1467" s="33" t="s">
        <v>174</v>
      </c>
      <c r="H1467" s="33" t="s">
        <v>175</v>
      </c>
      <c r="I1467" s="33" t="s">
        <v>143</v>
      </c>
      <c r="J1467" s="33" t="s">
        <v>144</v>
      </c>
      <c r="K1467" s="33" t="s">
        <v>145</v>
      </c>
      <c r="L1467" s="35" t="n">
        <v>5077.22</v>
      </c>
      <c r="M1467" s="33" t="n">
        <v>4</v>
      </c>
      <c r="N1467" s="33" t="s">
        <v>146</v>
      </c>
      <c r="O1467" s="33" t="s">
        <v>147</v>
      </c>
    </row>
    <row r="1468" customFormat="false" ht="15" hidden="false" customHeight="false" outlineLevel="0" collapsed="false">
      <c r="A1468" s="33" t="s">
        <v>1666</v>
      </c>
      <c r="B1468" s="34" t="n">
        <v>45542</v>
      </c>
      <c r="C1468" s="34" t="n">
        <v>45543</v>
      </c>
      <c r="D1468" s="33" t="n">
        <v>37</v>
      </c>
      <c r="E1468" s="33" t="s">
        <v>154</v>
      </c>
      <c r="F1468" s="33" t="s">
        <v>240</v>
      </c>
      <c r="G1468" s="33" t="s">
        <v>192</v>
      </c>
      <c r="H1468" s="33" t="s">
        <v>233</v>
      </c>
      <c r="I1468" s="33" t="s">
        <v>143</v>
      </c>
      <c r="J1468" s="33" t="s">
        <v>176</v>
      </c>
      <c r="K1468" s="33" t="s">
        <v>145</v>
      </c>
      <c r="L1468" s="35" t="n">
        <v>3439.25</v>
      </c>
      <c r="M1468" s="33" t="n">
        <v>5</v>
      </c>
      <c r="N1468" s="33" t="s">
        <v>146</v>
      </c>
      <c r="O1468" s="33" t="s">
        <v>147</v>
      </c>
    </row>
    <row r="1469" customFormat="false" ht="15" hidden="false" customHeight="false" outlineLevel="0" collapsed="false">
      <c r="A1469" s="33" t="s">
        <v>1667</v>
      </c>
      <c r="B1469" s="34" t="n">
        <v>45311</v>
      </c>
      <c r="C1469" s="34" t="n">
        <v>45314</v>
      </c>
      <c r="D1469" s="33" t="n">
        <v>26</v>
      </c>
      <c r="E1469" s="33" t="s">
        <v>139</v>
      </c>
      <c r="F1469" s="33" t="s">
        <v>203</v>
      </c>
      <c r="G1469" s="33" t="s">
        <v>241</v>
      </c>
      <c r="H1469" s="33" t="s">
        <v>193</v>
      </c>
      <c r="I1469" s="33" t="s">
        <v>143</v>
      </c>
      <c r="J1469" s="33" t="s">
        <v>176</v>
      </c>
      <c r="K1469" s="33" t="s">
        <v>184</v>
      </c>
      <c r="L1469" s="35" t="n">
        <v>9943.71</v>
      </c>
      <c r="M1469" s="33" t="n">
        <v>4</v>
      </c>
      <c r="N1469" s="33" t="s">
        <v>146</v>
      </c>
      <c r="O1469" s="33" t="s">
        <v>206</v>
      </c>
    </row>
    <row r="1470" customFormat="false" ht="15" hidden="false" customHeight="false" outlineLevel="0" collapsed="false">
      <c r="A1470" s="33" t="s">
        <v>1668</v>
      </c>
      <c r="B1470" s="34" t="n">
        <v>45628</v>
      </c>
      <c r="C1470" s="34" t="n">
        <v>45634</v>
      </c>
      <c r="D1470" s="33" t="n">
        <v>22</v>
      </c>
      <c r="E1470" s="33" t="s">
        <v>154</v>
      </c>
      <c r="F1470" s="33" t="s">
        <v>173</v>
      </c>
      <c r="G1470" s="33" t="s">
        <v>198</v>
      </c>
      <c r="H1470" s="33" t="s">
        <v>199</v>
      </c>
      <c r="I1470" s="33" t="s">
        <v>143</v>
      </c>
      <c r="J1470" s="33" t="s">
        <v>144</v>
      </c>
      <c r="K1470" s="33" t="s">
        <v>145</v>
      </c>
      <c r="L1470" s="35" t="n">
        <v>20742.06</v>
      </c>
      <c r="M1470" s="33" t="n">
        <v>5</v>
      </c>
      <c r="N1470" s="33" t="s">
        <v>146</v>
      </c>
      <c r="O1470" s="33" t="s">
        <v>147</v>
      </c>
    </row>
    <row r="1471" customFormat="false" ht="15" hidden="false" customHeight="false" outlineLevel="0" collapsed="false">
      <c r="A1471" s="33" t="s">
        <v>1669</v>
      </c>
      <c r="B1471" s="34" t="n">
        <v>45616</v>
      </c>
      <c r="C1471" s="34" t="n">
        <v>45620</v>
      </c>
      <c r="D1471" s="33" t="n">
        <v>46</v>
      </c>
      <c r="E1471" s="33" t="s">
        <v>139</v>
      </c>
      <c r="F1471" s="33" t="s">
        <v>169</v>
      </c>
      <c r="G1471" s="33" t="s">
        <v>230</v>
      </c>
      <c r="H1471" s="33" t="s">
        <v>195</v>
      </c>
      <c r="I1471" s="33" t="s">
        <v>152</v>
      </c>
      <c r="J1471" s="33" t="s">
        <v>176</v>
      </c>
      <c r="K1471" s="33" t="s">
        <v>184</v>
      </c>
      <c r="L1471" s="35" t="n">
        <v>16818.31</v>
      </c>
      <c r="M1471" s="33" t="n">
        <v>5</v>
      </c>
      <c r="N1471" s="33" t="s">
        <v>146</v>
      </c>
      <c r="O1471" s="33" t="s">
        <v>295</v>
      </c>
    </row>
    <row r="1472" customFormat="false" ht="15" hidden="false" customHeight="false" outlineLevel="0" collapsed="false">
      <c r="A1472" s="33" t="s">
        <v>1670</v>
      </c>
      <c r="B1472" s="34" t="n">
        <v>45507</v>
      </c>
      <c r="C1472" s="34" t="n">
        <v>45509</v>
      </c>
      <c r="D1472" s="33" t="n">
        <v>25</v>
      </c>
      <c r="E1472" s="33" t="s">
        <v>139</v>
      </c>
      <c r="F1472" s="33" t="s">
        <v>149</v>
      </c>
      <c r="G1472" s="33" t="s">
        <v>224</v>
      </c>
      <c r="H1472" s="33" t="s">
        <v>151</v>
      </c>
      <c r="I1472" s="33" t="s">
        <v>143</v>
      </c>
      <c r="J1472" s="33" t="s">
        <v>159</v>
      </c>
      <c r="K1472" s="33" t="s">
        <v>160</v>
      </c>
      <c r="L1472" s="35" t="n">
        <v>3097.9</v>
      </c>
      <c r="M1472" s="33" t="n">
        <v>4</v>
      </c>
      <c r="N1472" s="33" t="s">
        <v>146</v>
      </c>
      <c r="O1472" s="33" t="s">
        <v>147</v>
      </c>
    </row>
    <row r="1473" customFormat="false" ht="15" hidden="false" customHeight="false" outlineLevel="0" collapsed="false">
      <c r="A1473" s="33" t="s">
        <v>1671</v>
      </c>
      <c r="B1473" s="34" t="n">
        <v>45617</v>
      </c>
      <c r="C1473" s="34" t="n">
        <v>45624</v>
      </c>
      <c r="D1473" s="33" t="n">
        <v>46</v>
      </c>
      <c r="E1473" s="33" t="s">
        <v>180</v>
      </c>
      <c r="F1473" s="33" t="s">
        <v>140</v>
      </c>
      <c r="G1473" s="33" t="s">
        <v>141</v>
      </c>
      <c r="H1473" s="33" t="s">
        <v>142</v>
      </c>
      <c r="I1473" s="33" t="s">
        <v>143</v>
      </c>
      <c r="J1473" s="33" t="s">
        <v>144</v>
      </c>
      <c r="K1473" s="33" t="s">
        <v>160</v>
      </c>
      <c r="L1473" s="35" t="n">
        <v>31819.12</v>
      </c>
      <c r="M1473" s="33" t="n">
        <v>5</v>
      </c>
      <c r="N1473" s="33" t="s">
        <v>146</v>
      </c>
      <c r="O1473" s="33" t="s">
        <v>147</v>
      </c>
    </row>
    <row r="1474" customFormat="false" ht="15" hidden="false" customHeight="false" outlineLevel="0" collapsed="false">
      <c r="A1474" s="33" t="s">
        <v>1672</v>
      </c>
      <c r="B1474" s="34" t="n">
        <v>45590</v>
      </c>
      <c r="C1474" s="34" t="n">
        <v>45591</v>
      </c>
      <c r="D1474" s="33" t="n">
        <v>43</v>
      </c>
      <c r="E1474" s="33" t="s">
        <v>139</v>
      </c>
      <c r="F1474" s="33" t="s">
        <v>203</v>
      </c>
      <c r="G1474" s="33" t="s">
        <v>217</v>
      </c>
      <c r="H1474" s="33" t="s">
        <v>205</v>
      </c>
      <c r="I1474" s="33" t="s">
        <v>143</v>
      </c>
      <c r="J1474" s="33" t="s">
        <v>159</v>
      </c>
      <c r="K1474" s="33" t="s">
        <v>184</v>
      </c>
      <c r="L1474" s="35" t="n">
        <v>1065.24</v>
      </c>
      <c r="M1474" s="33" t="n">
        <v>5</v>
      </c>
      <c r="N1474" s="33" t="s">
        <v>146</v>
      </c>
      <c r="O1474" s="33" t="s">
        <v>147</v>
      </c>
    </row>
    <row r="1475" customFormat="false" ht="15" hidden="false" customHeight="false" outlineLevel="0" collapsed="false">
      <c r="A1475" s="33" t="s">
        <v>1673</v>
      </c>
      <c r="B1475" s="34" t="n">
        <v>45634</v>
      </c>
      <c r="C1475" s="34" t="n">
        <v>45638</v>
      </c>
      <c r="D1475" s="33" t="n">
        <v>63</v>
      </c>
      <c r="E1475" s="33" t="s">
        <v>257</v>
      </c>
      <c r="F1475" s="33" t="s">
        <v>181</v>
      </c>
      <c r="G1475" s="33" t="s">
        <v>182</v>
      </c>
      <c r="H1475" s="33" t="s">
        <v>183</v>
      </c>
      <c r="I1475" s="33" t="s">
        <v>143</v>
      </c>
      <c r="J1475" s="33" t="s">
        <v>144</v>
      </c>
      <c r="K1475" s="33" t="s">
        <v>160</v>
      </c>
      <c r="L1475" s="35" t="n">
        <v>20670.65</v>
      </c>
      <c r="M1475" s="33" t="n">
        <v>5</v>
      </c>
      <c r="N1475" s="33" t="s">
        <v>146</v>
      </c>
      <c r="O1475" s="33" t="s">
        <v>147</v>
      </c>
    </row>
    <row r="1476" customFormat="false" ht="15" hidden="false" customHeight="false" outlineLevel="0" collapsed="false">
      <c r="A1476" s="33" t="s">
        <v>1674</v>
      </c>
      <c r="B1476" s="34" t="n">
        <v>45594</v>
      </c>
      <c r="C1476" s="34" t="n">
        <v>45597</v>
      </c>
      <c r="D1476" s="33" t="n">
        <v>5</v>
      </c>
      <c r="E1476" s="33" t="s">
        <v>154</v>
      </c>
      <c r="F1476" s="33" t="s">
        <v>376</v>
      </c>
      <c r="G1476" s="33" t="s">
        <v>156</v>
      </c>
      <c r="H1476" s="33" t="s">
        <v>222</v>
      </c>
      <c r="I1476" s="33" t="s">
        <v>143</v>
      </c>
      <c r="J1476" s="33" t="s">
        <v>159</v>
      </c>
      <c r="K1476" s="33" t="s">
        <v>160</v>
      </c>
      <c r="L1476" s="35" t="n">
        <v>2283.67</v>
      </c>
      <c r="M1476" s="33" t="n">
        <v>3</v>
      </c>
      <c r="N1476" s="33" t="s">
        <v>146</v>
      </c>
      <c r="O1476" s="33" t="s">
        <v>147</v>
      </c>
    </row>
    <row r="1477" customFormat="false" ht="15" hidden="false" customHeight="false" outlineLevel="0" collapsed="false">
      <c r="A1477" s="33" t="s">
        <v>1675</v>
      </c>
      <c r="B1477" s="34" t="n">
        <v>45578</v>
      </c>
      <c r="C1477" s="34" t="n">
        <v>45583</v>
      </c>
      <c r="D1477" s="33" t="n">
        <v>7</v>
      </c>
      <c r="E1477" s="33" t="s">
        <v>279</v>
      </c>
      <c r="F1477" s="33" t="s">
        <v>169</v>
      </c>
      <c r="G1477" s="33" t="s">
        <v>213</v>
      </c>
      <c r="H1477" s="33" t="s">
        <v>195</v>
      </c>
      <c r="I1477" s="33" t="s">
        <v>143</v>
      </c>
      <c r="J1477" s="33" t="s">
        <v>159</v>
      </c>
      <c r="K1477" s="33" t="s">
        <v>160</v>
      </c>
      <c r="L1477" s="35" t="n">
        <v>5319.56</v>
      </c>
      <c r="M1477" s="33" t="n">
        <v>4</v>
      </c>
      <c r="N1477" s="33" t="s">
        <v>146</v>
      </c>
      <c r="O1477" s="33" t="s">
        <v>147</v>
      </c>
    </row>
    <row r="1478" customFormat="false" ht="15" hidden="false" customHeight="false" outlineLevel="0" collapsed="false">
      <c r="A1478" s="33" t="s">
        <v>1676</v>
      </c>
      <c r="B1478" s="34" t="n">
        <v>45542</v>
      </c>
      <c r="C1478" s="34" t="n">
        <v>45543</v>
      </c>
      <c r="D1478" s="33" t="n">
        <v>35</v>
      </c>
      <c r="E1478" s="33" t="s">
        <v>139</v>
      </c>
      <c r="F1478" s="33" t="s">
        <v>169</v>
      </c>
      <c r="G1478" s="33" t="s">
        <v>163</v>
      </c>
      <c r="H1478" s="33" t="s">
        <v>195</v>
      </c>
      <c r="I1478" s="33" t="s">
        <v>143</v>
      </c>
      <c r="J1478" s="33" t="s">
        <v>159</v>
      </c>
      <c r="K1478" s="33" t="s">
        <v>145</v>
      </c>
      <c r="L1478" s="35" t="n">
        <v>1129.78</v>
      </c>
      <c r="M1478" s="33" t="n">
        <v>4</v>
      </c>
      <c r="N1478" s="33" t="s">
        <v>146</v>
      </c>
      <c r="O1478" s="33" t="s">
        <v>147</v>
      </c>
    </row>
    <row r="1479" customFormat="false" ht="15" hidden="false" customHeight="false" outlineLevel="0" collapsed="false">
      <c r="A1479" s="33" t="s">
        <v>1677</v>
      </c>
      <c r="B1479" s="34" t="n">
        <v>45543</v>
      </c>
      <c r="C1479" s="34" t="n">
        <v>45548</v>
      </c>
      <c r="D1479" s="33" t="n">
        <v>0</v>
      </c>
      <c r="E1479" s="33" t="s">
        <v>139</v>
      </c>
      <c r="F1479" s="33" t="s">
        <v>155</v>
      </c>
      <c r="G1479" s="33" t="s">
        <v>156</v>
      </c>
      <c r="H1479" s="33" t="s">
        <v>157</v>
      </c>
      <c r="I1479" s="33" t="s">
        <v>143</v>
      </c>
      <c r="J1479" s="33" t="s">
        <v>159</v>
      </c>
      <c r="K1479" s="33" t="s">
        <v>184</v>
      </c>
      <c r="L1479" s="35" t="n">
        <v>3794.46</v>
      </c>
      <c r="M1479" s="33" t="n">
        <v>5</v>
      </c>
      <c r="N1479" s="33" t="s">
        <v>146</v>
      </c>
      <c r="O1479" s="33" t="s">
        <v>147</v>
      </c>
    </row>
    <row r="1480" customFormat="false" ht="15" hidden="false" customHeight="false" outlineLevel="0" collapsed="false">
      <c r="A1480" s="33" t="s">
        <v>1678</v>
      </c>
      <c r="B1480" s="34" t="n">
        <v>45567</v>
      </c>
      <c r="C1480" s="34" t="n">
        <v>45568</v>
      </c>
      <c r="D1480" s="33" t="n">
        <v>6</v>
      </c>
      <c r="E1480" s="33" t="s">
        <v>139</v>
      </c>
      <c r="F1480" s="33" t="s">
        <v>155</v>
      </c>
      <c r="G1480" s="33" t="s">
        <v>156</v>
      </c>
      <c r="H1480" s="33" t="s">
        <v>222</v>
      </c>
      <c r="I1480" s="33" t="s">
        <v>143</v>
      </c>
      <c r="J1480" s="33" t="s">
        <v>144</v>
      </c>
      <c r="K1480" s="36"/>
      <c r="L1480" s="35" t="n">
        <v>1610.29</v>
      </c>
      <c r="M1480" s="33" t="n">
        <v>3</v>
      </c>
      <c r="N1480" s="33" t="s">
        <v>146</v>
      </c>
      <c r="O1480" s="33" t="s">
        <v>147</v>
      </c>
    </row>
    <row r="1481" customFormat="false" ht="15" hidden="false" customHeight="false" outlineLevel="0" collapsed="false">
      <c r="A1481" s="33" t="s">
        <v>1679</v>
      </c>
      <c r="B1481" s="34" t="n">
        <v>45534</v>
      </c>
      <c r="C1481" s="34" t="n">
        <v>45535</v>
      </c>
      <c r="D1481" s="33" t="n">
        <v>41</v>
      </c>
      <c r="E1481" s="33" t="s">
        <v>139</v>
      </c>
      <c r="F1481" s="33" t="s">
        <v>140</v>
      </c>
      <c r="G1481" s="33" t="s">
        <v>141</v>
      </c>
      <c r="H1481" s="33" t="s">
        <v>142</v>
      </c>
      <c r="I1481" s="33" t="s">
        <v>143</v>
      </c>
      <c r="J1481" s="33" t="s">
        <v>144</v>
      </c>
      <c r="K1481" s="33" t="s">
        <v>160</v>
      </c>
      <c r="L1481" s="35" t="n">
        <v>3881.46</v>
      </c>
      <c r="M1481" s="36"/>
      <c r="N1481" s="33" t="s">
        <v>146</v>
      </c>
      <c r="O1481" s="33" t="s">
        <v>147</v>
      </c>
    </row>
    <row r="1482" customFormat="false" ht="15" hidden="false" customHeight="false" outlineLevel="0" collapsed="false">
      <c r="A1482" s="33" t="s">
        <v>1680</v>
      </c>
      <c r="B1482" s="34" t="n">
        <v>45471</v>
      </c>
      <c r="C1482" s="34" t="n">
        <v>45473</v>
      </c>
      <c r="D1482" s="33" t="n">
        <v>76</v>
      </c>
      <c r="E1482" s="33" t="s">
        <v>154</v>
      </c>
      <c r="F1482" s="33" t="s">
        <v>173</v>
      </c>
      <c r="G1482" s="33" t="s">
        <v>174</v>
      </c>
      <c r="H1482" s="33" t="s">
        <v>175</v>
      </c>
      <c r="I1482" s="33" t="s">
        <v>152</v>
      </c>
      <c r="J1482" s="33" t="s">
        <v>159</v>
      </c>
      <c r="K1482" s="33" t="s">
        <v>145</v>
      </c>
      <c r="L1482" s="35" t="n">
        <v>5354.63</v>
      </c>
      <c r="M1482" s="33" t="n">
        <v>4</v>
      </c>
      <c r="N1482" s="33" t="s">
        <v>146</v>
      </c>
      <c r="O1482" s="33" t="s">
        <v>147</v>
      </c>
    </row>
    <row r="1483" customFormat="false" ht="15" hidden="false" customHeight="false" outlineLevel="0" collapsed="false">
      <c r="A1483" s="33" t="s">
        <v>1681</v>
      </c>
      <c r="B1483" s="34" t="n">
        <v>45333</v>
      </c>
      <c r="C1483" s="34" t="n">
        <v>45337</v>
      </c>
      <c r="D1483" s="33" t="n">
        <v>28</v>
      </c>
      <c r="E1483" s="33" t="s">
        <v>139</v>
      </c>
      <c r="F1483" s="33" t="s">
        <v>149</v>
      </c>
      <c r="G1483" s="33" t="s">
        <v>150</v>
      </c>
      <c r="H1483" s="33" t="s">
        <v>151</v>
      </c>
      <c r="I1483" s="33" t="s">
        <v>152</v>
      </c>
      <c r="J1483" s="33" t="s">
        <v>159</v>
      </c>
      <c r="K1483" s="33" t="s">
        <v>184</v>
      </c>
      <c r="L1483" s="35" t="n">
        <v>5479.56</v>
      </c>
      <c r="M1483" s="33" t="n">
        <v>5</v>
      </c>
      <c r="N1483" s="33" t="s">
        <v>210</v>
      </c>
      <c r="O1483" s="33" t="s">
        <v>147</v>
      </c>
    </row>
    <row r="1484" customFormat="false" ht="15" hidden="false" customHeight="false" outlineLevel="0" collapsed="false">
      <c r="A1484" s="33" t="s">
        <v>1682</v>
      </c>
      <c r="B1484" s="34" t="n">
        <v>45447</v>
      </c>
      <c r="C1484" s="34" t="n">
        <v>45449</v>
      </c>
      <c r="D1484" s="33" t="n">
        <v>25</v>
      </c>
      <c r="E1484" s="33" t="s">
        <v>154</v>
      </c>
      <c r="F1484" s="33" t="s">
        <v>169</v>
      </c>
      <c r="G1484" s="33" t="s">
        <v>163</v>
      </c>
      <c r="H1484" s="33" t="s">
        <v>164</v>
      </c>
      <c r="I1484" s="33" t="s">
        <v>152</v>
      </c>
      <c r="J1484" s="33" t="s">
        <v>159</v>
      </c>
      <c r="K1484" s="33" t="s">
        <v>145</v>
      </c>
      <c r="L1484" s="35" t="n">
        <v>1844.52</v>
      </c>
      <c r="M1484" s="33" t="n">
        <v>4</v>
      </c>
      <c r="N1484" s="33" t="s">
        <v>210</v>
      </c>
      <c r="O1484" s="33" t="s">
        <v>147</v>
      </c>
    </row>
    <row r="1485" customFormat="false" ht="15" hidden="false" customHeight="false" outlineLevel="0" collapsed="false">
      <c r="A1485" s="33" t="s">
        <v>1683</v>
      </c>
      <c r="B1485" s="34" t="n">
        <v>45377</v>
      </c>
      <c r="C1485" s="34" t="n">
        <v>45379</v>
      </c>
      <c r="D1485" s="33" t="n">
        <v>21</v>
      </c>
      <c r="E1485" s="33" t="s">
        <v>154</v>
      </c>
      <c r="F1485" s="33" t="s">
        <v>203</v>
      </c>
      <c r="G1485" s="33" t="s">
        <v>204</v>
      </c>
      <c r="H1485" s="33" t="s">
        <v>193</v>
      </c>
      <c r="I1485" s="33" t="s">
        <v>143</v>
      </c>
      <c r="J1485" s="33" t="s">
        <v>176</v>
      </c>
      <c r="K1485" s="33" t="s">
        <v>145</v>
      </c>
      <c r="L1485" s="35" t="n">
        <v>6647.2</v>
      </c>
      <c r="M1485" s="33" t="n">
        <v>3</v>
      </c>
      <c r="N1485" s="33" t="s">
        <v>210</v>
      </c>
      <c r="O1485" s="33" t="s">
        <v>247</v>
      </c>
    </row>
    <row r="1486" customFormat="false" ht="15" hidden="false" customHeight="false" outlineLevel="0" collapsed="false">
      <c r="A1486" s="33" t="s">
        <v>1684</v>
      </c>
      <c r="B1486" s="34" t="n">
        <v>45598</v>
      </c>
      <c r="C1486" s="34" t="n">
        <v>45603</v>
      </c>
      <c r="D1486" s="33" t="n">
        <v>52</v>
      </c>
      <c r="E1486" s="33" t="s">
        <v>154</v>
      </c>
      <c r="F1486" s="33" t="s">
        <v>181</v>
      </c>
      <c r="G1486" s="33" t="s">
        <v>182</v>
      </c>
      <c r="H1486" s="33" t="s">
        <v>183</v>
      </c>
      <c r="I1486" s="33" t="s">
        <v>143</v>
      </c>
      <c r="J1486" s="33" t="s">
        <v>159</v>
      </c>
      <c r="K1486" s="33" t="s">
        <v>145</v>
      </c>
      <c r="L1486" s="35" t="n">
        <v>12607.96</v>
      </c>
      <c r="M1486" s="33" t="n">
        <v>5</v>
      </c>
      <c r="N1486" s="33" t="s">
        <v>146</v>
      </c>
      <c r="O1486" s="33" t="s">
        <v>147</v>
      </c>
    </row>
    <row r="1487" customFormat="false" ht="15" hidden="false" customHeight="false" outlineLevel="0" collapsed="false">
      <c r="A1487" s="33" t="s">
        <v>1054</v>
      </c>
      <c r="B1487" s="34" t="n">
        <v>45540</v>
      </c>
      <c r="C1487" s="34" t="n">
        <v>45541</v>
      </c>
      <c r="D1487" s="33" t="n">
        <v>54</v>
      </c>
      <c r="E1487" s="33" t="s">
        <v>139</v>
      </c>
      <c r="F1487" s="33" t="s">
        <v>203</v>
      </c>
      <c r="G1487" s="33" t="s">
        <v>192</v>
      </c>
      <c r="H1487" s="33" t="s">
        <v>205</v>
      </c>
      <c r="I1487" s="33" t="s">
        <v>143</v>
      </c>
      <c r="J1487" s="33" t="s">
        <v>159</v>
      </c>
      <c r="K1487" s="33" t="s">
        <v>145</v>
      </c>
      <c r="L1487" s="35" t="n">
        <v>816.29</v>
      </c>
      <c r="M1487" s="33" t="n">
        <v>5</v>
      </c>
      <c r="N1487" s="33" t="s">
        <v>146</v>
      </c>
      <c r="O1487" s="33" t="s">
        <v>147</v>
      </c>
    </row>
    <row r="1488" customFormat="false" ht="15" hidden="false" customHeight="false" outlineLevel="0" collapsed="false">
      <c r="A1488" s="33" t="s">
        <v>1685</v>
      </c>
      <c r="B1488" s="34" t="n">
        <v>45449</v>
      </c>
      <c r="C1488" s="34" t="n">
        <v>45450</v>
      </c>
      <c r="D1488" s="33" t="n">
        <v>5</v>
      </c>
      <c r="E1488" s="33" t="s">
        <v>139</v>
      </c>
      <c r="F1488" s="33" t="s">
        <v>288</v>
      </c>
      <c r="G1488" s="33" t="s">
        <v>302</v>
      </c>
      <c r="H1488" s="33" t="s">
        <v>222</v>
      </c>
      <c r="I1488" s="33" t="s">
        <v>143</v>
      </c>
      <c r="J1488" s="33" t="s">
        <v>144</v>
      </c>
      <c r="K1488" s="33" t="s">
        <v>145</v>
      </c>
      <c r="L1488" s="35" t="n">
        <v>1485.22</v>
      </c>
      <c r="M1488" s="33" t="n">
        <v>4</v>
      </c>
      <c r="N1488" s="33" t="s">
        <v>146</v>
      </c>
      <c r="O1488" s="33" t="s">
        <v>147</v>
      </c>
    </row>
    <row r="1489" customFormat="false" ht="15" hidden="false" customHeight="false" outlineLevel="0" collapsed="false">
      <c r="A1489" s="33" t="s">
        <v>1686</v>
      </c>
      <c r="B1489" s="34" t="n">
        <v>45364</v>
      </c>
      <c r="C1489" s="34" t="n">
        <v>45366</v>
      </c>
      <c r="D1489" s="33" t="n">
        <v>45</v>
      </c>
      <c r="E1489" s="33" t="s">
        <v>154</v>
      </c>
      <c r="F1489" s="33" t="s">
        <v>169</v>
      </c>
      <c r="G1489" s="33" t="s">
        <v>213</v>
      </c>
      <c r="H1489" s="33" t="s">
        <v>164</v>
      </c>
      <c r="I1489" s="33" t="s">
        <v>143</v>
      </c>
      <c r="J1489" s="33" t="s">
        <v>159</v>
      </c>
      <c r="K1489" s="33" t="s">
        <v>184</v>
      </c>
      <c r="L1489" s="35" t="n">
        <v>2279.46</v>
      </c>
      <c r="M1489" s="33" t="n">
        <v>5</v>
      </c>
      <c r="N1489" s="33" t="s">
        <v>146</v>
      </c>
      <c r="O1489" s="33" t="s">
        <v>147</v>
      </c>
    </row>
    <row r="1490" customFormat="false" ht="15" hidden="false" customHeight="false" outlineLevel="0" collapsed="false">
      <c r="A1490" s="33" t="s">
        <v>1687</v>
      </c>
      <c r="B1490" s="34" t="n">
        <v>45630</v>
      </c>
      <c r="C1490" s="34" t="n">
        <v>45635</v>
      </c>
      <c r="D1490" s="33" t="n">
        <v>24</v>
      </c>
      <c r="E1490" s="33" t="s">
        <v>279</v>
      </c>
      <c r="F1490" s="33" t="s">
        <v>173</v>
      </c>
      <c r="G1490" s="33" t="s">
        <v>198</v>
      </c>
      <c r="H1490" s="33" t="s">
        <v>199</v>
      </c>
      <c r="I1490" s="33" t="s">
        <v>152</v>
      </c>
      <c r="J1490" s="33" t="s">
        <v>176</v>
      </c>
      <c r="K1490" s="33" t="s">
        <v>145</v>
      </c>
      <c r="L1490" s="35" t="n">
        <v>42583.21</v>
      </c>
      <c r="M1490" s="33" t="n">
        <v>5</v>
      </c>
      <c r="N1490" s="33" t="s">
        <v>146</v>
      </c>
      <c r="O1490" s="33" t="s">
        <v>147</v>
      </c>
    </row>
    <row r="1491" customFormat="false" ht="15" hidden="false" customHeight="false" outlineLevel="0" collapsed="false">
      <c r="A1491" s="33" t="s">
        <v>1688</v>
      </c>
      <c r="B1491" s="34" t="n">
        <v>45566</v>
      </c>
      <c r="C1491" s="34" t="n">
        <v>45567</v>
      </c>
      <c r="D1491" s="33" t="n">
        <v>50</v>
      </c>
      <c r="E1491" s="33" t="s">
        <v>139</v>
      </c>
      <c r="F1491" s="33" t="s">
        <v>191</v>
      </c>
      <c r="G1491" s="33" t="s">
        <v>241</v>
      </c>
      <c r="H1491" s="33" t="s">
        <v>205</v>
      </c>
      <c r="I1491" s="33" t="s">
        <v>143</v>
      </c>
      <c r="J1491" s="33" t="s">
        <v>159</v>
      </c>
      <c r="K1491" s="33" t="s">
        <v>160</v>
      </c>
      <c r="L1491" s="37" t="n">
        <v>-500</v>
      </c>
      <c r="M1491" s="33" t="n">
        <v>2</v>
      </c>
      <c r="N1491" s="33" t="s">
        <v>146</v>
      </c>
      <c r="O1491" s="33" t="s">
        <v>147</v>
      </c>
    </row>
    <row r="1492" customFormat="false" ht="15" hidden="false" customHeight="false" outlineLevel="0" collapsed="false">
      <c r="A1492" s="33" t="s">
        <v>1689</v>
      </c>
      <c r="B1492" s="34" t="n">
        <v>45417</v>
      </c>
      <c r="C1492" s="34" t="n">
        <v>45427</v>
      </c>
      <c r="D1492" s="33" t="n">
        <v>77</v>
      </c>
      <c r="E1492" s="33" t="s">
        <v>154</v>
      </c>
      <c r="F1492" s="33" t="s">
        <v>226</v>
      </c>
      <c r="G1492" s="33" t="s">
        <v>386</v>
      </c>
      <c r="H1492" s="33" t="s">
        <v>263</v>
      </c>
      <c r="I1492" s="33" t="s">
        <v>152</v>
      </c>
      <c r="J1492" s="33" t="s">
        <v>159</v>
      </c>
      <c r="K1492" s="33" t="s">
        <v>209</v>
      </c>
      <c r="L1492" s="35" t="n">
        <v>28007</v>
      </c>
      <c r="M1492" s="33" t="n">
        <v>3</v>
      </c>
      <c r="N1492" s="33" t="s">
        <v>146</v>
      </c>
      <c r="O1492" s="33" t="s">
        <v>147</v>
      </c>
    </row>
    <row r="1493" customFormat="false" ht="15" hidden="false" customHeight="false" outlineLevel="0" collapsed="false">
      <c r="A1493" s="33" t="s">
        <v>1690</v>
      </c>
      <c r="B1493" s="34" t="n">
        <v>45599</v>
      </c>
      <c r="C1493" s="34" t="n">
        <v>45602</v>
      </c>
      <c r="D1493" s="33" t="n">
        <v>52</v>
      </c>
      <c r="E1493" s="33" t="s">
        <v>139</v>
      </c>
      <c r="F1493" s="33" t="s">
        <v>226</v>
      </c>
      <c r="G1493" s="33" t="s">
        <v>227</v>
      </c>
      <c r="H1493" s="33" t="s">
        <v>263</v>
      </c>
      <c r="I1493" s="33" t="s">
        <v>143</v>
      </c>
      <c r="J1493" s="33" t="s">
        <v>144</v>
      </c>
      <c r="K1493" s="33" t="s">
        <v>145</v>
      </c>
      <c r="L1493" s="35" t="n">
        <v>15706.83</v>
      </c>
      <c r="M1493" s="33" t="n">
        <v>4</v>
      </c>
      <c r="N1493" s="33" t="s">
        <v>146</v>
      </c>
      <c r="O1493" s="33" t="s">
        <v>147</v>
      </c>
    </row>
    <row r="1494" customFormat="false" ht="15" hidden="false" customHeight="false" outlineLevel="0" collapsed="false">
      <c r="A1494" s="33" t="s">
        <v>1691</v>
      </c>
      <c r="B1494" s="34" t="n">
        <v>45454</v>
      </c>
      <c r="C1494" s="34" t="n">
        <v>45461</v>
      </c>
      <c r="D1494" s="33" t="n">
        <v>30</v>
      </c>
      <c r="E1494" s="33" t="s">
        <v>190</v>
      </c>
      <c r="F1494" s="33" t="s">
        <v>181</v>
      </c>
      <c r="G1494" s="33" t="s">
        <v>182</v>
      </c>
      <c r="H1494" s="33" t="s">
        <v>245</v>
      </c>
      <c r="I1494" s="33" t="s">
        <v>143</v>
      </c>
      <c r="J1494" s="33" t="s">
        <v>159</v>
      </c>
      <c r="K1494" s="33" t="s">
        <v>145</v>
      </c>
      <c r="L1494" s="35" t="n">
        <v>16741.19</v>
      </c>
      <c r="M1494" s="33" t="n">
        <v>2</v>
      </c>
      <c r="N1494" s="33" t="s">
        <v>210</v>
      </c>
      <c r="O1494" s="33" t="s">
        <v>147</v>
      </c>
    </row>
    <row r="1495" customFormat="false" ht="15" hidden="false" customHeight="false" outlineLevel="0" collapsed="false">
      <c r="A1495" s="33" t="s">
        <v>1692</v>
      </c>
      <c r="B1495" s="34" t="n">
        <v>45596</v>
      </c>
      <c r="C1495" s="34" t="n">
        <v>45599</v>
      </c>
      <c r="D1495" s="33" t="n">
        <v>62</v>
      </c>
      <c r="E1495" s="33" t="s">
        <v>139</v>
      </c>
      <c r="F1495" s="33" t="s">
        <v>173</v>
      </c>
      <c r="G1495" s="33" t="s">
        <v>198</v>
      </c>
      <c r="H1495" s="33" t="s">
        <v>199</v>
      </c>
      <c r="I1495" s="33" t="s">
        <v>152</v>
      </c>
      <c r="J1495" s="33" t="s">
        <v>176</v>
      </c>
      <c r="K1495" s="33" t="s">
        <v>145</v>
      </c>
      <c r="L1495" s="35" t="n">
        <v>26305.69</v>
      </c>
      <c r="M1495" s="33" t="n">
        <v>5</v>
      </c>
      <c r="N1495" s="33" t="s">
        <v>146</v>
      </c>
      <c r="O1495" s="33" t="s">
        <v>147</v>
      </c>
    </row>
    <row r="1496" customFormat="false" ht="15" hidden="false" customHeight="false" outlineLevel="0" collapsed="false">
      <c r="A1496" s="33" t="s">
        <v>1693</v>
      </c>
      <c r="B1496" s="34" t="n">
        <v>45338</v>
      </c>
      <c r="C1496" s="34" t="n">
        <v>45342</v>
      </c>
      <c r="D1496" s="33" t="n">
        <v>72</v>
      </c>
      <c r="E1496" s="33" t="s">
        <v>139</v>
      </c>
      <c r="F1496" s="33" t="s">
        <v>169</v>
      </c>
      <c r="G1496" s="33" t="s">
        <v>163</v>
      </c>
      <c r="H1496" s="33" t="s">
        <v>171</v>
      </c>
      <c r="I1496" s="33" t="s">
        <v>143</v>
      </c>
      <c r="J1496" s="33" t="s">
        <v>159</v>
      </c>
      <c r="K1496" s="33" t="s">
        <v>145</v>
      </c>
      <c r="L1496" s="35" t="n">
        <v>4918</v>
      </c>
      <c r="M1496" s="33" t="n">
        <v>5</v>
      </c>
      <c r="N1496" s="33" t="s">
        <v>146</v>
      </c>
      <c r="O1496" s="33" t="s">
        <v>147</v>
      </c>
    </row>
    <row r="1497" customFormat="false" ht="15" hidden="false" customHeight="false" outlineLevel="0" collapsed="false">
      <c r="A1497" s="33" t="s">
        <v>1694</v>
      </c>
      <c r="B1497" s="34" t="n">
        <v>45565</v>
      </c>
      <c r="C1497" s="34" t="n">
        <v>45566</v>
      </c>
      <c r="D1497" s="33" t="n">
        <v>49</v>
      </c>
      <c r="E1497" s="33" t="s">
        <v>154</v>
      </c>
      <c r="F1497" s="33" t="s">
        <v>203</v>
      </c>
      <c r="G1497" s="33" t="s">
        <v>232</v>
      </c>
      <c r="H1497" s="33" t="s">
        <v>233</v>
      </c>
      <c r="I1497" s="33" t="s">
        <v>143</v>
      </c>
      <c r="J1497" s="33" t="s">
        <v>159</v>
      </c>
      <c r="K1497" s="33" t="s">
        <v>145</v>
      </c>
      <c r="L1497" s="35" t="n">
        <v>894.24</v>
      </c>
      <c r="M1497" s="33" t="n">
        <v>4</v>
      </c>
      <c r="N1497" s="33" t="s">
        <v>146</v>
      </c>
      <c r="O1497" s="33" t="s">
        <v>147</v>
      </c>
    </row>
    <row r="1498" customFormat="false" ht="15" hidden="false" customHeight="false" outlineLevel="0" collapsed="false">
      <c r="A1498" s="33" t="s">
        <v>1695</v>
      </c>
      <c r="B1498" s="34" t="n">
        <v>45391</v>
      </c>
      <c r="C1498" s="34" t="n">
        <v>45393</v>
      </c>
      <c r="D1498" s="33" t="n">
        <v>49</v>
      </c>
      <c r="E1498" s="33" t="s">
        <v>216</v>
      </c>
      <c r="F1498" s="33" t="s">
        <v>191</v>
      </c>
      <c r="G1498" s="33" t="s">
        <v>204</v>
      </c>
      <c r="H1498" s="33" t="s">
        <v>205</v>
      </c>
      <c r="I1498" s="33" t="s">
        <v>143</v>
      </c>
      <c r="J1498" s="33" t="s">
        <v>176</v>
      </c>
      <c r="K1498" s="33" t="s">
        <v>160</v>
      </c>
      <c r="L1498" s="35" t="n">
        <v>6486.61</v>
      </c>
      <c r="M1498" s="33" t="n">
        <v>2</v>
      </c>
      <c r="N1498" s="33" t="s">
        <v>146</v>
      </c>
      <c r="O1498" s="33" t="s">
        <v>147</v>
      </c>
    </row>
    <row r="1499" customFormat="false" ht="15" hidden="false" customHeight="false" outlineLevel="0" collapsed="false">
      <c r="A1499" s="33" t="s">
        <v>1696</v>
      </c>
      <c r="B1499" s="34" t="n">
        <v>45401</v>
      </c>
      <c r="C1499" s="34" t="n">
        <v>45407</v>
      </c>
      <c r="D1499" s="33" t="n">
        <v>45</v>
      </c>
      <c r="E1499" s="33" t="s">
        <v>154</v>
      </c>
      <c r="F1499" s="33" t="s">
        <v>181</v>
      </c>
      <c r="G1499" s="33" t="s">
        <v>188</v>
      </c>
      <c r="H1499" s="33" t="s">
        <v>245</v>
      </c>
      <c r="I1499" s="33" t="s">
        <v>152</v>
      </c>
      <c r="J1499" s="33" t="s">
        <v>159</v>
      </c>
      <c r="K1499" s="33" t="s">
        <v>160</v>
      </c>
      <c r="L1499" s="35" t="n">
        <v>16654.01</v>
      </c>
      <c r="M1499" s="36"/>
      <c r="N1499" s="33" t="s">
        <v>146</v>
      </c>
      <c r="O1499" s="33" t="s">
        <v>147</v>
      </c>
    </row>
    <row r="1500" customFormat="false" ht="15" hidden="false" customHeight="false" outlineLevel="0" collapsed="false">
      <c r="A1500" s="33" t="s">
        <v>1697</v>
      </c>
      <c r="B1500" s="34" t="n">
        <v>45560</v>
      </c>
      <c r="C1500" s="34" t="n">
        <v>45566</v>
      </c>
      <c r="D1500" s="33" t="n">
        <v>31</v>
      </c>
      <c r="E1500" s="33" t="s">
        <v>139</v>
      </c>
      <c r="F1500" s="33" t="s">
        <v>149</v>
      </c>
      <c r="G1500" s="33" t="s">
        <v>150</v>
      </c>
      <c r="H1500" s="33" t="s">
        <v>186</v>
      </c>
      <c r="I1500" s="33" t="s">
        <v>143</v>
      </c>
      <c r="J1500" s="33" t="s">
        <v>159</v>
      </c>
      <c r="K1500" s="33" t="s">
        <v>160</v>
      </c>
      <c r="L1500" s="35" t="n">
        <v>8544.78</v>
      </c>
      <c r="M1500" s="33" t="n">
        <v>3</v>
      </c>
      <c r="N1500" s="33" t="s">
        <v>146</v>
      </c>
      <c r="O1500" s="33" t="s">
        <v>147</v>
      </c>
    </row>
    <row r="1501" customFormat="false" ht="15" hidden="false" customHeight="false" outlineLevel="0" collapsed="false">
      <c r="A1501" s="33" t="s">
        <v>1698</v>
      </c>
      <c r="B1501" s="34" t="n">
        <v>45555</v>
      </c>
      <c r="C1501" s="34" t="n">
        <v>45559</v>
      </c>
      <c r="D1501" s="33" t="n">
        <v>55</v>
      </c>
      <c r="E1501" s="33" t="s">
        <v>154</v>
      </c>
      <c r="F1501" s="33" t="s">
        <v>226</v>
      </c>
      <c r="G1501" s="33" t="s">
        <v>386</v>
      </c>
      <c r="H1501" s="33" t="s">
        <v>263</v>
      </c>
      <c r="I1501" s="33" t="s">
        <v>158</v>
      </c>
      <c r="J1501" s="33" t="s">
        <v>144</v>
      </c>
      <c r="K1501" s="33" t="s">
        <v>209</v>
      </c>
      <c r="L1501" s="35" t="n">
        <v>21036.7</v>
      </c>
      <c r="M1501" s="33" t="n">
        <v>5</v>
      </c>
      <c r="N1501" s="33" t="s">
        <v>146</v>
      </c>
      <c r="O1501" s="33" t="s">
        <v>147</v>
      </c>
    </row>
    <row r="1502" customFormat="false" ht="15" hidden="false" customHeight="false" outlineLevel="0" collapsed="false">
      <c r="A1502" s="33" t="s">
        <v>1699</v>
      </c>
      <c r="B1502" s="34" t="n">
        <v>45367</v>
      </c>
      <c r="C1502" s="34" t="n">
        <v>45370</v>
      </c>
      <c r="D1502" s="33" t="n">
        <v>30</v>
      </c>
      <c r="E1502" s="33" t="s">
        <v>139</v>
      </c>
      <c r="F1502" s="33" t="s">
        <v>149</v>
      </c>
      <c r="G1502" s="33" t="s">
        <v>224</v>
      </c>
      <c r="H1502" s="33" t="s">
        <v>151</v>
      </c>
      <c r="I1502" s="33" t="s">
        <v>158</v>
      </c>
      <c r="J1502" s="33" t="s">
        <v>144</v>
      </c>
      <c r="K1502" s="33" t="s">
        <v>160</v>
      </c>
      <c r="L1502" s="35" t="n">
        <v>8524.77</v>
      </c>
      <c r="M1502" s="33" t="n">
        <v>4</v>
      </c>
      <c r="N1502" s="33" t="s">
        <v>146</v>
      </c>
      <c r="O1502" s="33" t="s">
        <v>247</v>
      </c>
    </row>
    <row r="1503" customFormat="false" ht="15" hidden="false" customHeight="false" outlineLevel="0" collapsed="false">
      <c r="A1503" s="33" t="s">
        <v>1700</v>
      </c>
      <c r="B1503" s="34" t="n">
        <v>45397</v>
      </c>
      <c r="C1503" s="34" t="n">
        <v>45413</v>
      </c>
      <c r="D1503" s="33" t="n">
        <v>35</v>
      </c>
      <c r="E1503" s="33" t="s">
        <v>154</v>
      </c>
      <c r="F1503" s="33" t="s">
        <v>169</v>
      </c>
      <c r="G1503" s="33" t="s">
        <v>170</v>
      </c>
      <c r="H1503" s="33" t="s">
        <v>171</v>
      </c>
      <c r="I1503" s="33" t="s">
        <v>143</v>
      </c>
      <c r="J1503" s="33" t="s">
        <v>159</v>
      </c>
      <c r="K1503" s="33" t="s">
        <v>209</v>
      </c>
      <c r="L1503" s="35" t="n">
        <v>24556.62</v>
      </c>
      <c r="M1503" s="33" t="n">
        <v>2</v>
      </c>
      <c r="N1503" s="33" t="s">
        <v>146</v>
      </c>
      <c r="O1503" s="33" t="s">
        <v>147</v>
      </c>
    </row>
    <row r="1504" customFormat="false" ht="15" hidden="false" customHeight="false" outlineLevel="0" collapsed="false">
      <c r="A1504" s="33" t="s">
        <v>1701</v>
      </c>
      <c r="B1504" s="34" t="n">
        <v>45383</v>
      </c>
      <c r="C1504" s="34" t="n">
        <v>45384</v>
      </c>
      <c r="D1504" s="33" t="n">
        <v>26</v>
      </c>
      <c r="E1504" s="33" t="s">
        <v>216</v>
      </c>
      <c r="F1504" s="33" t="s">
        <v>149</v>
      </c>
      <c r="G1504" s="33" t="s">
        <v>243</v>
      </c>
      <c r="H1504" s="33" t="s">
        <v>186</v>
      </c>
      <c r="I1504" s="33" t="s">
        <v>152</v>
      </c>
      <c r="J1504" s="33" t="s">
        <v>159</v>
      </c>
      <c r="K1504" s="33" t="s">
        <v>145</v>
      </c>
      <c r="L1504" s="35" t="n">
        <v>1379.5</v>
      </c>
      <c r="M1504" s="33" t="n">
        <v>4</v>
      </c>
      <c r="N1504" s="33" t="s">
        <v>146</v>
      </c>
      <c r="O1504" s="33" t="s">
        <v>147</v>
      </c>
    </row>
    <row r="1505" customFormat="false" ht="15" hidden="false" customHeight="false" outlineLevel="0" collapsed="false">
      <c r="A1505" s="33" t="s">
        <v>1702</v>
      </c>
      <c r="B1505" s="34" t="n">
        <v>45614</v>
      </c>
      <c r="C1505" s="34" t="n">
        <v>45615</v>
      </c>
      <c r="D1505" s="33" t="n">
        <v>1</v>
      </c>
      <c r="E1505" s="33" t="s">
        <v>154</v>
      </c>
      <c r="F1505" s="33" t="s">
        <v>288</v>
      </c>
      <c r="G1505" s="33" t="s">
        <v>220</v>
      </c>
      <c r="H1505" s="33" t="s">
        <v>222</v>
      </c>
      <c r="I1505" s="33" t="s">
        <v>152</v>
      </c>
      <c r="J1505" s="33" t="s">
        <v>176</v>
      </c>
      <c r="K1505" s="33" t="s">
        <v>160</v>
      </c>
      <c r="L1505" s="35" t="n">
        <v>3172.72</v>
      </c>
      <c r="M1505" s="33" t="n">
        <v>4</v>
      </c>
      <c r="N1505" s="33" t="s">
        <v>146</v>
      </c>
      <c r="O1505" s="33" t="s">
        <v>147</v>
      </c>
    </row>
    <row r="1506" customFormat="false" ht="15" hidden="false" customHeight="false" outlineLevel="0" collapsed="false">
      <c r="A1506" s="33" t="s">
        <v>1703</v>
      </c>
      <c r="B1506" s="34" t="n">
        <v>45613</v>
      </c>
      <c r="C1506" s="34" t="n">
        <v>45632</v>
      </c>
      <c r="D1506" s="36" t="n">
        <v>150</v>
      </c>
      <c r="E1506" s="33" t="s">
        <v>154</v>
      </c>
      <c r="F1506" s="33" t="s">
        <v>226</v>
      </c>
      <c r="G1506" s="33" t="s">
        <v>227</v>
      </c>
      <c r="H1506" s="33" t="s">
        <v>228</v>
      </c>
      <c r="I1506" s="33" t="s">
        <v>152</v>
      </c>
      <c r="J1506" s="33" t="s">
        <v>159</v>
      </c>
      <c r="K1506" s="33" t="s">
        <v>160</v>
      </c>
      <c r="L1506" s="35" t="n">
        <v>55648.02</v>
      </c>
      <c r="M1506" s="33" t="n">
        <v>3</v>
      </c>
      <c r="N1506" s="33" t="s">
        <v>146</v>
      </c>
      <c r="O1506" s="33" t="s">
        <v>147</v>
      </c>
    </row>
    <row r="1507" customFormat="false" ht="15" hidden="false" customHeight="false" outlineLevel="0" collapsed="false">
      <c r="A1507" s="33" t="s">
        <v>1704</v>
      </c>
      <c r="B1507" s="34" t="n">
        <v>45596</v>
      </c>
      <c r="C1507" s="34" t="n">
        <v>45599</v>
      </c>
      <c r="D1507" s="33" t="n">
        <v>34</v>
      </c>
      <c r="E1507" s="33" t="s">
        <v>139</v>
      </c>
      <c r="F1507" s="33" t="s">
        <v>140</v>
      </c>
      <c r="G1507" s="33" t="s">
        <v>167</v>
      </c>
      <c r="H1507" s="33" t="s">
        <v>290</v>
      </c>
      <c r="I1507" s="33" t="s">
        <v>143</v>
      </c>
      <c r="J1507" s="33" t="s">
        <v>159</v>
      </c>
      <c r="K1507" s="33" t="s">
        <v>145</v>
      </c>
      <c r="L1507" s="35" t="n">
        <v>7254.51</v>
      </c>
      <c r="M1507" s="33" t="n">
        <v>5</v>
      </c>
      <c r="N1507" s="33" t="s">
        <v>146</v>
      </c>
      <c r="O1507" s="33" t="s">
        <v>147</v>
      </c>
    </row>
    <row r="1508" customFormat="false" ht="15" hidden="false" customHeight="false" outlineLevel="0" collapsed="false">
      <c r="A1508" s="33" t="s">
        <v>1705</v>
      </c>
      <c r="B1508" s="34" t="n">
        <v>45527</v>
      </c>
      <c r="C1508" s="34" t="n">
        <v>45531</v>
      </c>
      <c r="D1508" s="33" t="n">
        <v>17</v>
      </c>
      <c r="E1508" s="33" t="s">
        <v>154</v>
      </c>
      <c r="F1508" s="33" t="s">
        <v>140</v>
      </c>
      <c r="G1508" s="33" t="s">
        <v>167</v>
      </c>
      <c r="H1508" s="33" t="s">
        <v>142</v>
      </c>
      <c r="I1508" s="33" t="s">
        <v>143</v>
      </c>
      <c r="J1508" s="33" t="s">
        <v>159</v>
      </c>
      <c r="K1508" s="33" t="s">
        <v>145</v>
      </c>
      <c r="L1508" s="35" t="n">
        <v>9208.65</v>
      </c>
      <c r="M1508" s="33" t="n">
        <v>5</v>
      </c>
      <c r="N1508" s="33" t="s">
        <v>146</v>
      </c>
      <c r="O1508" s="33" t="s">
        <v>147</v>
      </c>
    </row>
    <row r="1509" customFormat="false" ht="15" hidden="false" customHeight="false" outlineLevel="0" collapsed="false">
      <c r="A1509" s="33" t="s">
        <v>1706</v>
      </c>
      <c r="B1509" s="34" t="n">
        <v>45443</v>
      </c>
      <c r="C1509" s="34" t="n">
        <v>45444</v>
      </c>
      <c r="D1509" s="33" t="n">
        <v>66</v>
      </c>
      <c r="E1509" s="33" t="s">
        <v>139</v>
      </c>
      <c r="F1509" s="33" t="s">
        <v>203</v>
      </c>
      <c r="G1509" s="33" t="s">
        <v>217</v>
      </c>
      <c r="H1509" s="33" t="s">
        <v>233</v>
      </c>
      <c r="I1509" s="33" t="s">
        <v>143</v>
      </c>
      <c r="J1509" s="33" t="s">
        <v>176</v>
      </c>
      <c r="K1509" s="33" t="s">
        <v>160</v>
      </c>
      <c r="L1509" s="35" t="n">
        <v>3171.62</v>
      </c>
      <c r="M1509" s="33" t="n">
        <v>4</v>
      </c>
      <c r="N1509" s="33" t="s">
        <v>146</v>
      </c>
      <c r="O1509" s="33" t="s">
        <v>147</v>
      </c>
    </row>
    <row r="1510" customFormat="false" ht="15" hidden="false" customHeight="false" outlineLevel="0" collapsed="false">
      <c r="A1510" s="33" t="s">
        <v>1707</v>
      </c>
      <c r="B1510" s="34" t="n">
        <v>45452</v>
      </c>
      <c r="C1510" s="34" t="n">
        <v>45456</v>
      </c>
      <c r="D1510" s="33" t="n">
        <v>36</v>
      </c>
      <c r="E1510" s="33" t="s">
        <v>139</v>
      </c>
      <c r="F1510" s="33" t="s">
        <v>149</v>
      </c>
      <c r="G1510" s="33" t="s">
        <v>243</v>
      </c>
      <c r="H1510" s="33" t="s">
        <v>151</v>
      </c>
      <c r="I1510" s="33" t="s">
        <v>143</v>
      </c>
      <c r="J1510" s="33" t="s">
        <v>159</v>
      </c>
      <c r="K1510" s="33" t="s">
        <v>145</v>
      </c>
      <c r="L1510" s="35" t="n">
        <v>6316.45</v>
      </c>
      <c r="M1510" s="33" t="n">
        <v>4</v>
      </c>
      <c r="N1510" s="33" t="s">
        <v>146</v>
      </c>
      <c r="O1510" s="33" t="s">
        <v>147</v>
      </c>
    </row>
    <row r="1511" customFormat="false" ht="15" hidden="false" customHeight="false" outlineLevel="0" collapsed="false">
      <c r="A1511" s="33" t="s">
        <v>1708</v>
      </c>
      <c r="B1511" s="34" t="n">
        <v>45618</v>
      </c>
      <c r="C1511" s="34" t="n">
        <v>45622</v>
      </c>
      <c r="D1511" s="33" t="n">
        <v>12</v>
      </c>
      <c r="E1511" s="33" t="s">
        <v>154</v>
      </c>
      <c r="F1511" s="33" t="s">
        <v>155</v>
      </c>
      <c r="G1511" s="33" t="s">
        <v>302</v>
      </c>
      <c r="H1511" s="33" t="s">
        <v>222</v>
      </c>
      <c r="I1511" s="33" t="s">
        <v>152</v>
      </c>
      <c r="J1511" s="33" t="s">
        <v>144</v>
      </c>
      <c r="K1511" s="33" t="s">
        <v>209</v>
      </c>
      <c r="L1511" s="35" t="n">
        <v>6026.64</v>
      </c>
      <c r="M1511" s="33" t="n">
        <v>3</v>
      </c>
      <c r="N1511" s="33" t="s">
        <v>146</v>
      </c>
      <c r="O1511" s="33" t="s">
        <v>147</v>
      </c>
    </row>
    <row r="1512" customFormat="false" ht="15" hidden="false" customHeight="false" outlineLevel="0" collapsed="false">
      <c r="A1512" s="33" t="s">
        <v>1709</v>
      </c>
      <c r="B1512" s="34" t="n">
        <v>45341</v>
      </c>
      <c r="C1512" s="34" t="n">
        <v>45342</v>
      </c>
      <c r="D1512" s="33" t="n">
        <v>55</v>
      </c>
      <c r="E1512" s="33" t="s">
        <v>154</v>
      </c>
      <c r="F1512" s="33" t="s">
        <v>203</v>
      </c>
      <c r="G1512" s="33" t="s">
        <v>217</v>
      </c>
      <c r="H1512" s="33" t="s">
        <v>205</v>
      </c>
      <c r="I1512" s="33" t="s">
        <v>143</v>
      </c>
      <c r="J1512" s="33" t="s">
        <v>144</v>
      </c>
      <c r="K1512" s="33" t="s">
        <v>184</v>
      </c>
      <c r="L1512" s="35" t="n">
        <v>1702.79</v>
      </c>
      <c r="M1512" s="33" t="n">
        <v>4</v>
      </c>
      <c r="N1512" s="33" t="s">
        <v>146</v>
      </c>
      <c r="O1512" s="33" t="s">
        <v>147</v>
      </c>
    </row>
    <row r="1513" customFormat="false" ht="15" hidden="false" customHeight="false" outlineLevel="0" collapsed="false">
      <c r="A1513" s="33" t="s">
        <v>441</v>
      </c>
      <c r="B1513" s="34" t="n">
        <v>45592</v>
      </c>
      <c r="C1513" s="34" t="n">
        <v>45594</v>
      </c>
      <c r="D1513" s="33" t="n">
        <v>67</v>
      </c>
      <c r="E1513" s="33" t="s">
        <v>139</v>
      </c>
      <c r="F1513" s="33" t="s">
        <v>240</v>
      </c>
      <c r="G1513" s="33" t="s">
        <v>192</v>
      </c>
      <c r="H1513" s="33" t="s">
        <v>205</v>
      </c>
      <c r="I1513" s="33" t="s">
        <v>143</v>
      </c>
      <c r="J1513" s="33" t="s">
        <v>159</v>
      </c>
      <c r="K1513" s="33" t="s">
        <v>145</v>
      </c>
      <c r="L1513" s="35" t="n">
        <v>1828.73</v>
      </c>
      <c r="M1513" s="33" t="n">
        <v>4</v>
      </c>
      <c r="N1513" s="33" t="s">
        <v>146</v>
      </c>
      <c r="O1513" s="33" t="s">
        <v>147</v>
      </c>
    </row>
    <row r="1514" customFormat="false" ht="15" hidden="false" customHeight="false" outlineLevel="0" collapsed="false">
      <c r="A1514" s="33" t="s">
        <v>1630</v>
      </c>
      <c r="B1514" s="34" t="n">
        <v>45585</v>
      </c>
      <c r="C1514" s="34" t="n">
        <v>45586</v>
      </c>
      <c r="D1514" s="33" t="n">
        <v>63</v>
      </c>
      <c r="E1514" s="33" t="s">
        <v>190</v>
      </c>
      <c r="F1514" s="33" t="s">
        <v>169</v>
      </c>
      <c r="G1514" s="33" t="s">
        <v>170</v>
      </c>
      <c r="H1514" s="33" t="s">
        <v>195</v>
      </c>
      <c r="I1514" s="33" t="s">
        <v>143</v>
      </c>
      <c r="J1514" s="33" t="s">
        <v>159</v>
      </c>
      <c r="K1514" s="33" t="s">
        <v>145</v>
      </c>
      <c r="L1514" s="35" t="n">
        <v>1131.19</v>
      </c>
      <c r="M1514" s="33" t="n">
        <v>4</v>
      </c>
      <c r="N1514" s="33" t="s">
        <v>146</v>
      </c>
      <c r="O1514" s="36"/>
    </row>
    <row r="1515" customFormat="false" ht="15" hidden="false" customHeight="false" outlineLevel="0" collapsed="false">
      <c r="A1515" s="33" t="s">
        <v>1710</v>
      </c>
      <c r="B1515" s="34" t="n">
        <v>45632</v>
      </c>
      <c r="C1515" s="34" t="n">
        <v>45633</v>
      </c>
      <c r="D1515" s="33" t="n">
        <v>49</v>
      </c>
      <c r="E1515" s="33" t="s">
        <v>139</v>
      </c>
      <c r="F1515" s="33" t="s">
        <v>140</v>
      </c>
      <c r="G1515" s="33" t="s">
        <v>141</v>
      </c>
      <c r="H1515" s="33" t="s">
        <v>142</v>
      </c>
      <c r="I1515" s="33" t="s">
        <v>152</v>
      </c>
      <c r="J1515" s="33" t="s">
        <v>159</v>
      </c>
      <c r="K1515" s="33" t="s">
        <v>160</v>
      </c>
      <c r="L1515" s="35" t="n">
        <v>2158.44</v>
      </c>
      <c r="M1515" s="33" t="n">
        <v>5</v>
      </c>
      <c r="N1515" s="33" t="s">
        <v>146</v>
      </c>
      <c r="O1515" s="33" t="s">
        <v>147</v>
      </c>
    </row>
    <row r="1516" customFormat="false" ht="15" hidden="false" customHeight="false" outlineLevel="0" collapsed="false">
      <c r="A1516" s="33" t="s">
        <v>1711</v>
      </c>
      <c r="B1516" s="34" t="n">
        <v>45436</v>
      </c>
      <c r="C1516" s="34" t="n">
        <v>45448</v>
      </c>
      <c r="D1516" s="33" t="n">
        <v>24</v>
      </c>
      <c r="E1516" s="33" t="s">
        <v>154</v>
      </c>
      <c r="F1516" s="33" t="s">
        <v>169</v>
      </c>
      <c r="G1516" s="33" t="s">
        <v>230</v>
      </c>
      <c r="H1516" s="33" t="s">
        <v>171</v>
      </c>
      <c r="I1516" s="33" t="s">
        <v>152</v>
      </c>
      <c r="J1516" s="33" t="s">
        <v>176</v>
      </c>
      <c r="K1516" s="33" t="s">
        <v>209</v>
      </c>
      <c r="L1516" s="35" t="n">
        <v>53236.71</v>
      </c>
      <c r="M1516" s="33" t="n">
        <v>5</v>
      </c>
      <c r="N1516" s="33" t="s">
        <v>210</v>
      </c>
      <c r="O1516" s="33" t="s">
        <v>147</v>
      </c>
    </row>
    <row r="1517" customFormat="false" ht="15" hidden="false" customHeight="false" outlineLevel="0" collapsed="false">
      <c r="A1517" s="33" t="s">
        <v>1712</v>
      </c>
      <c r="B1517" s="34" t="n">
        <v>45490</v>
      </c>
      <c r="C1517" s="34" t="n">
        <v>45493</v>
      </c>
      <c r="D1517" s="33" t="n">
        <v>4</v>
      </c>
      <c r="E1517" s="33" t="s">
        <v>139</v>
      </c>
      <c r="F1517" s="33" t="s">
        <v>155</v>
      </c>
      <c r="G1517" s="33" t="s">
        <v>302</v>
      </c>
      <c r="H1517" s="33" t="s">
        <v>157</v>
      </c>
      <c r="I1517" s="33" t="s">
        <v>143</v>
      </c>
      <c r="J1517" s="33" t="s">
        <v>159</v>
      </c>
      <c r="K1517" s="33" t="s">
        <v>184</v>
      </c>
      <c r="L1517" s="35" t="n">
        <v>2321.19</v>
      </c>
      <c r="M1517" s="33" t="n">
        <v>4</v>
      </c>
      <c r="N1517" s="33" t="s">
        <v>210</v>
      </c>
      <c r="O1517" s="33" t="s">
        <v>147</v>
      </c>
    </row>
    <row r="1518" customFormat="false" ht="15" hidden="false" customHeight="false" outlineLevel="0" collapsed="false">
      <c r="A1518" s="33" t="s">
        <v>1713</v>
      </c>
      <c r="B1518" s="34" t="n">
        <v>45330</v>
      </c>
      <c r="C1518" s="34" t="n">
        <v>45332</v>
      </c>
      <c r="D1518" s="33" t="n">
        <v>74</v>
      </c>
      <c r="E1518" s="33" t="s">
        <v>154</v>
      </c>
      <c r="F1518" s="33" t="s">
        <v>240</v>
      </c>
      <c r="G1518" s="33" t="s">
        <v>241</v>
      </c>
      <c r="H1518" s="33" t="s">
        <v>205</v>
      </c>
      <c r="I1518" s="33" t="s">
        <v>158</v>
      </c>
      <c r="J1518" s="33" t="s">
        <v>159</v>
      </c>
      <c r="K1518" s="33" t="s">
        <v>209</v>
      </c>
      <c r="L1518" s="35" t="n">
        <v>2041.19</v>
      </c>
      <c r="M1518" s="33" t="n">
        <v>3</v>
      </c>
      <c r="N1518" s="33" t="s">
        <v>146</v>
      </c>
      <c r="O1518" s="33" t="s">
        <v>147</v>
      </c>
    </row>
    <row r="1519" customFormat="false" ht="15" hidden="false" customHeight="false" outlineLevel="0" collapsed="false">
      <c r="A1519" s="33" t="s">
        <v>1714</v>
      </c>
      <c r="B1519" s="34" t="n">
        <v>45366</v>
      </c>
      <c r="C1519" s="34" t="n">
        <v>45372</v>
      </c>
      <c r="D1519" s="33" t="n">
        <v>62</v>
      </c>
      <c r="E1519" s="33" t="s">
        <v>139</v>
      </c>
      <c r="F1519" s="33" t="s">
        <v>226</v>
      </c>
      <c r="G1519" s="33" t="s">
        <v>227</v>
      </c>
      <c r="H1519" s="33" t="s">
        <v>228</v>
      </c>
      <c r="I1519" s="33" t="s">
        <v>143</v>
      </c>
      <c r="J1519" s="33" t="s">
        <v>159</v>
      </c>
      <c r="K1519" s="33" t="s">
        <v>145</v>
      </c>
      <c r="L1519" s="35" t="n">
        <v>16407.76</v>
      </c>
      <c r="M1519" s="33" t="n">
        <v>4</v>
      </c>
      <c r="N1519" s="33" t="s">
        <v>146</v>
      </c>
      <c r="O1519" s="33" t="s">
        <v>147</v>
      </c>
    </row>
    <row r="1520" customFormat="false" ht="15" hidden="false" customHeight="false" outlineLevel="0" collapsed="false">
      <c r="A1520" s="33" t="s">
        <v>1715</v>
      </c>
      <c r="B1520" s="34" t="n">
        <v>45501</v>
      </c>
      <c r="C1520" s="34" t="n">
        <v>45504</v>
      </c>
      <c r="D1520" s="33" t="n">
        <v>40</v>
      </c>
      <c r="E1520" s="33" t="s">
        <v>139</v>
      </c>
      <c r="F1520" s="33" t="s">
        <v>149</v>
      </c>
      <c r="G1520" s="33" t="s">
        <v>224</v>
      </c>
      <c r="H1520" s="33" t="s">
        <v>151</v>
      </c>
      <c r="I1520" s="33" t="s">
        <v>152</v>
      </c>
      <c r="J1520" s="33" t="s">
        <v>144</v>
      </c>
      <c r="K1520" s="33" t="s">
        <v>145</v>
      </c>
      <c r="L1520" s="35" t="n">
        <v>8298.19</v>
      </c>
      <c r="M1520" s="33" t="n">
        <v>4</v>
      </c>
      <c r="N1520" s="33" t="s">
        <v>146</v>
      </c>
      <c r="O1520" s="33" t="s">
        <v>147</v>
      </c>
    </row>
    <row r="1521" customFormat="false" ht="15" hidden="false" customHeight="false" outlineLevel="0" collapsed="false">
      <c r="A1521" s="33" t="s">
        <v>1716</v>
      </c>
      <c r="B1521" s="34" t="n">
        <v>45432</v>
      </c>
      <c r="C1521" s="34" t="n">
        <v>45434</v>
      </c>
      <c r="D1521" s="33" t="n">
        <v>22</v>
      </c>
      <c r="E1521" s="33" t="s">
        <v>154</v>
      </c>
      <c r="F1521" s="33" t="s">
        <v>203</v>
      </c>
      <c r="G1521" s="33" t="s">
        <v>217</v>
      </c>
      <c r="H1521" s="33" t="s">
        <v>205</v>
      </c>
      <c r="I1521" s="33" t="s">
        <v>143</v>
      </c>
      <c r="J1521" s="33" t="s">
        <v>176</v>
      </c>
      <c r="K1521" s="33" t="s">
        <v>209</v>
      </c>
      <c r="L1521" s="35" t="n">
        <v>6007.44</v>
      </c>
      <c r="M1521" s="36"/>
      <c r="N1521" s="33" t="s">
        <v>146</v>
      </c>
      <c r="O1521" s="33" t="s">
        <v>147</v>
      </c>
    </row>
    <row r="1522" customFormat="false" ht="15" hidden="false" customHeight="false" outlineLevel="0" collapsed="false">
      <c r="A1522" s="33" t="s">
        <v>1717</v>
      </c>
      <c r="B1522" s="34" t="n">
        <v>45305</v>
      </c>
      <c r="C1522" s="34" t="n">
        <v>45311</v>
      </c>
      <c r="D1522" s="33" t="n">
        <v>73</v>
      </c>
      <c r="E1522" s="33" t="s">
        <v>154</v>
      </c>
      <c r="F1522" s="33" t="s">
        <v>212</v>
      </c>
      <c r="G1522" s="33" t="s">
        <v>213</v>
      </c>
      <c r="H1522" s="33" t="s">
        <v>171</v>
      </c>
      <c r="I1522" s="33" t="s">
        <v>152</v>
      </c>
      <c r="J1522" s="33" t="s">
        <v>159</v>
      </c>
      <c r="K1522" s="33" t="s">
        <v>209</v>
      </c>
      <c r="L1522" s="35" t="n">
        <v>6859.53</v>
      </c>
      <c r="M1522" s="33" t="n">
        <v>5</v>
      </c>
      <c r="N1522" s="33" t="s">
        <v>146</v>
      </c>
      <c r="O1522" s="33" t="s">
        <v>147</v>
      </c>
    </row>
    <row r="1523" customFormat="false" ht="15" hidden="false" customHeight="false" outlineLevel="0" collapsed="false">
      <c r="A1523" s="33" t="s">
        <v>1718</v>
      </c>
      <c r="B1523" s="34" t="n">
        <v>45652</v>
      </c>
      <c r="C1523" s="34" t="n">
        <v>45661</v>
      </c>
      <c r="D1523" s="33" t="n">
        <v>52</v>
      </c>
      <c r="E1523" s="33" t="s">
        <v>139</v>
      </c>
      <c r="F1523" s="33" t="s">
        <v>226</v>
      </c>
      <c r="G1523" s="33" t="s">
        <v>386</v>
      </c>
      <c r="H1523" s="33" t="s">
        <v>228</v>
      </c>
      <c r="I1523" s="33" t="s">
        <v>143</v>
      </c>
      <c r="J1523" s="33" t="s">
        <v>159</v>
      </c>
      <c r="K1523" s="33" t="s">
        <v>145</v>
      </c>
      <c r="L1523" s="35" t="n">
        <v>28955.15</v>
      </c>
      <c r="M1523" s="33" t="n">
        <v>4</v>
      </c>
      <c r="N1523" s="33" t="s">
        <v>146</v>
      </c>
      <c r="O1523" s="33" t="s">
        <v>147</v>
      </c>
    </row>
    <row r="1524" customFormat="false" ht="15" hidden="false" customHeight="false" outlineLevel="0" collapsed="false">
      <c r="A1524" s="33" t="s">
        <v>1719</v>
      </c>
      <c r="B1524" s="34" t="n">
        <v>45477</v>
      </c>
      <c r="C1524" s="34" t="n">
        <v>45478</v>
      </c>
      <c r="D1524" s="33" t="n">
        <v>19</v>
      </c>
      <c r="E1524" s="33" t="s">
        <v>154</v>
      </c>
      <c r="F1524" s="33" t="s">
        <v>162</v>
      </c>
      <c r="G1524" s="33" t="s">
        <v>163</v>
      </c>
      <c r="H1524" s="33" t="s">
        <v>164</v>
      </c>
      <c r="I1524" s="33" t="s">
        <v>143</v>
      </c>
      <c r="J1524" s="33" t="s">
        <v>144</v>
      </c>
      <c r="K1524" s="33" t="s">
        <v>160</v>
      </c>
      <c r="L1524" s="35" t="n">
        <v>2089.19</v>
      </c>
      <c r="M1524" s="33" t="n">
        <v>3</v>
      </c>
      <c r="N1524" s="33" t="s">
        <v>146</v>
      </c>
      <c r="O1524" s="33" t="s">
        <v>147</v>
      </c>
    </row>
    <row r="1525" customFormat="false" ht="15" hidden="false" customHeight="false" outlineLevel="0" collapsed="false">
      <c r="A1525" s="33" t="s">
        <v>1720</v>
      </c>
      <c r="B1525" s="34" t="n">
        <v>45425</v>
      </c>
      <c r="C1525" s="34" t="n">
        <v>45427</v>
      </c>
      <c r="D1525" s="33" t="n">
        <v>22</v>
      </c>
      <c r="E1525" s="33" t="s">
        <v>154</v>
      </c>
      <c r="F1525" s="33" t="s">
        <v>169</v>
      </c>
      <c r="G1525" s="33" t="s">
        <v>213</v>
      </c>
      <c r="H1525" s="33" t="s">
        <v>195</v>
      </c>
      <c r="I1525" s="33" t="s">
        <v>143</v>
      </c>
      <c r="J1525" s="33" t="s">
        <v>144</v>
      </c>
      <c r="K1525" s="33" t="s">
        <v>145</v>
      </c>
      <c r="L1525" s="35" t="n">
        <v>4077.82</v>
      </c>
      <c r="M1525" s="36"/>
      <c r="N1525" s="33" t="s">
        <v>210</v>
      </c>
      <c r="O1525" s="33" t="s">
        <v>147</v>
      </c>
    </row>
    <row r="1526" customFormat="false" ht="15" hidden="false" customHeight="false" outlineLevel="0" collapsed="false">
      <c r="A1526" s="33" t="s">
        <v>1721</v>
      </c>
      <c r="B1526" s="34" t="n">
        <v>45417</v>
      </c>
      <c r="C1526" s="34" t="n">
        <v>45419</v>
      </c>
      <c r="D1526" s="33" t="n">
        <v>28</v>
      </c>
      <c r="E1526" s="33" t="s">
        <v>139</v>
      </c>
      <c r="F1526" s="33" t="s">
        <v>149</v>
      </c>
      <c r="G1526" s="33" t="s">
        <v>150</v>
      </c>
      <c r="H1526" s="33" t="s">
        <v>151</v>
      </c>
      <c r="I1526" s="33" t="s">
        <v>143</v>
      </c>
      <c r="J1526" s="33" t="s">
        <v>176</v>
      </c>
      <c r="K1526" s="33" t="s">
        <v>160</v>
      </c>
      <c r="L1526" s="35" t="n">
        <v>12956.99</v>
      </c>
      <c r="M1526" s="33" t="n">
        <v>5</v>
      </c>
      <c r="N1526" s="33" t="s">
        <v>210</v>
      </c>
      <c r="O1526" s="33" t="s">
        <v>247</v>
      </c>
    </row>
    <row r="1527" customFormat="false" ht="15" hidden="false" customHeight="false" outlineLevel="0" collapsed="false">
      <c r="A1527" s="33" t="s">
        <v>1722</v>
      </c>
      <c r="B1527" s="34" t="n">
        <v>45377</v>
      </c>
      <c r="C1527" s="34" t="n">
        <v>45381</v>
      </c>
      <c r="D1527" s="33" t="n">
        <v>5</v>
      </c>
      <c r="E1527" s="33" t="s">
        <v>139</v>
      </c>
      <c r="F1527" s="33" t="s">
        <v>376</v>
      </c>
      <c r="G1527" s="33" t="s">
        <v>302</v>
      </c>
      <c r="H1527" s="33" t="s">
        <v>222</v>
      </c>
      <c r="I1527" s="33" t="s">
        <v>143</v>
      </c>
      <c r="J1527" s="33" t="s">
        <v>159</v>
      </c>
      <c r="K1527" s="33" t="s">
        <v>145</v>
      </c>
      <c r="L1527" s="35" t="n">
        <v>3619.31</v>
      </c>
      <c r="M1527" s="33" t="n">
        <v>4</v>
      </c>
      <c r="N1527" s="33" t="s">
        <v>210</v>
      </c>
      <c r="O1527" s="33" t="s">
        <v>147</v>
      </c>
    </row>
    <row r="1528" customFormat="false" ht="15" hidden="false" customHeight="false" outlineLevel="0" collapsed="false">
      <c r="A1528" s="33" t="s">
        <v>1723</v>
      </c>
      <c r="B1528" s="34" t="n">
        <v>45531</v>
      </c>
      <c r="C1528" s="34" t="n">
        <v>45532</v>
      </c>
      <c r="D1528" s="33" t="n">
        <v>46</v>
      </c>
      <c r="E1528" s="33" t="s">
        <v>279</v>
      </c>
      <c r="F1528" s="33" t="s">
        <v>203</v>
      </c>
      <c r="G1528" s="33" t="s">
        <v>204</v>
      </c>
      <c r="H1528" s="33" t="s">
        <v>233</v>
      </c>
      <c r="I1528" s="33" t="s">
        <v>143</v>
      </c>
      <c r="J1528" s="33" t="s">
        <v>176</v>
      </c>
      <c r="K1528" s="33" t="s">
        <v>184</v>
      </c>
      <c r="L1528" s="35" t="n">
        <v>2872.32</v>
      </c>
      <c r="M1528" s="33" t="n">
        <v>4</v>
      </c>
      <c r="N1528" s="33" t="s">
        <v>146</v>
      </c>
      <c r="O1528" s="33" t="s">
        <v>147</v>
      </c>
    </row>
    <row r="1529" customFormat="false" ht="15" hidden="false" customHeight="false" outlineLevel="0" collapsed="false">
      <c r="A1529" s="33" t="s">
        <v>1724</v>
      </c>
      <c r="B1529" s="34" t="n">
        <v>45535</v>
      </c>
      <c r="C1529" s="34" t="n">
        <v>45536</v>
      </c>
      <c r="D1529" s="33" t="n">
        <v>10</v>
      </c>
      <c r="E1529" s="33" t="s">
        <v>190</v>
      </c>
      <c r="F1529" s="33" t="s">
        <v>169</v>
      </c>
      <c r="G1529" s="33" t="s">
        <v>230</v>
      </c>
      <c r="H1529" s="33" t="s">
        <v>171</v>
      </c>
      <c r="I1529" s="33" t="s">
        <v>143</v>
      </c>
      <c r="J1529" s="33" t="s">
        <v>159</v>
      </c>
      <c r="K1529" s="33" t="s">
        <v>160</v>
      </c>
      <c r="L1529" s="35" t="n">
        <v>954.87</v>
      </c>
      <c r="M1529" s="33" t="n">
        <v>4</v>
      </c>
      <c r="N1529" s="33" t="s">
        <v>146</v>
      </c>
      <c r="O1529" s="33" t="s">
        <v>147</v>
      </c>
    </row>
    <row r="1530" customFormat="false" ht="15" hidden="false" customHeight="false" outlineLevel="0" collapsed="false">
      <c r="A1530" s="33" t="s">
        <v>1725</v>
      </c>
      <c r="B1530" s="34" t="n">
        <v>45467</v>
      </c>
      <c r="C1530" s="34" t="n">
        <v>45469</v>
      </c>
      <c r="D1530" s="33" t="n">
        <v>2</v>
      </c>
      <c r="E1530" s="33" t="s">
        <v>216</v>
      </c>
      <c r="F1530" s="33" t="s">
        <v>155</v>
      </c>
      <c r="G1530" s="33" t="s">
        <v>220</v>
      </c>
      <c r="H1530" s="33" t="s">
        <v>157</v>
      </c>
      <c r="I1530" s="33" t="s">
        <v>152</v>
      </c>
      <c r="J1530" s="33" t="s">
        <v>159</v>
      </c>
      <c r="K1530" s="33" t="s">
        <v>184</v>
      </c>
      <c r="L1530" s="35" t="n">
        <v>1847.06</v>
      </c>
      <c r="M1530" s="33" t="n">
        <v>4</v>
      </c>
      <c r="N1530" s="33" t="s">
        <v>146</v>
      </c>
      <c r="O1530" s="33" t="s">
        <v>147</v>
      </c>
    </row>
    <row r="1531" customFormat="false" ht="15" hidden="false" customHeight="false" outlineLevel="0" collapsed="false">
      <c r="A1531" s="33" t="s">
        <v>1726</v>
      </c>
      <c r="B1531" s="34" t="n">
        <v>45534</v>
      </c>
      <c r="C1531" s="34" t="n">
        <v>45535</v>
      </c>
      <c r="D1531" s="33" t="n">
        <v>0</v>
      </c>
      <c r="E1531" s="33" t="s">
        <v>154</v>
      </c>
      <c r="F1531" s="33" t="s">
        <v>155</v>
      </c>
      <c r="G1531" s="33" t="s">
        <v>220</v>
      </c>
      <c r="H1531" s="33" t="s">
        <v>157</v>
      </c>
      <c r="I1531" s="33" t="s">
        <v>143</v>
      </c>
      <c r="J1531" s="33" t="s">
        <v>159</v>
      </c>
      <c r="K1531" s="33" t="s">
        <v>145</v>
      </c>
      <c r="L1531" s="35" t="n">
        <v>925.44</v>
      </c>
      <c r="M1531" s="33" t="n">
        <v>4</v>
      </c>
      <c r="N1531" s="33" t="s">
        <v>146</v>
      </c>
      <c r="O1531" s="33" t="s">
        <v>147</v>
      </c>
    </row>
    <row r="1532" customFormat="false" ht="15" hidden="false" customHeight="false" outlineLevel="0" collapsed="false">
      <c r="A1532" s="33" t="s">
        <v>1727</v>
      </c>
      <c r="B1532" s="34" t="n">
        <v>45402</v>
      </c>
      <c r="C1532" s="34" t="n">
        <v>45405</v>
      </c>
      <c r="D1532" s="33" t="n">
        <v>37</v>
      </c>
      <c r="E1532" s="33" t="s">
        <v>139</v>
      </c>
      <c r="F1532" s="33" t="s">
        <v>149</v>
      </c>
      <c r="G1532" s="33" t="s">
        <v>150</v>
      </c>
      <c r="H1532" s="33" t="s">
        <v>186</v>
      </c>
      <c r="I1532" s="33" t="s">
        <v>152</v>
      </c>
      <c r="J1532" s="33" t="s">
        <v>144</v>
      </c>
      <c r="K1532" s="33" t="s">
        <v>145</v>
      </c>
      <c r="L1532" s="35" t="n">
        <v>8075.07</v>
      </c>
      <c r="M1532" s="33" t="n">
        <v>5</v>
      </c>
      <c r="N1532" s="33" t="s">
        <v>146</v>
      </c>
      <c r="O1532" s="33" t="s">
        <v>147</v>
      </c>
    </row>
    <row r="1533" customFormat="false" ht="15" hidden="false" customHeight="false" outlineLevel="0" collapsed="false">
      <c r="A1533" s="33" t="s">
        <v>1728</v>
      </c>
      <c r="B1533" s="34" t="n">
        <v>45517</v>
      </c>
      <c r="C1533" s="34" t="n">
        <v>45518</v>
      </c>
      <c r="D1533" s="33" t="n">
        <v>16</v>
      </c>
      <c r="E1533" s="33" t="s">
        <v>257</v>
      </c>
      <c r="F1533" s="33" t="s">
        <v>203</v>
      </c>
      <c r="G1533" s="33" t="s">
        <v>192</v>
      </c>
      <c r="H1533" s="33" t="s">
        <v>193</v>
      </c>
      <c r="I1533" s="33" t="s">
        <v>152</v>
      </c>
      <c r="J1533" s="33" t="s">
        <v>159</v>
      </c>
      <c r="K1533" s="33" t="s">
        <v>145</v>
      </c>
      <c r="L1533" s="35" t="n">
        <v>969.92</v>
      </c>
      <c r="M1533" s="36"/>
      <c r="N1533" s="33" t="s">
        <v>146</v>
      </c>
      <c r="O1533" s="33" t="s">
        <v>147</v>
      </c>
    </row>
    <row r="1534" customFormat="false" ht="15" hidden="false" customHeight="false" outlineLevel="0" collapsed="false">
      <c r="A1534" s="33" t="s">
        <v>1729</v>
      </c>
      <c r="B1534" s="34" t="n">
        <v>45613</v>
      </c>
      <c r="C1534" s="34" t="n">
        <v>45615</v>
      </c>
      <c r="D1534" s="33" t="n">
        <v>74</v>
      </c>
      <c r="E1534" s="33" t="s">
        <v>154</v>
      </c>
      <c r="F1534" s="33" t="s">
        <v>169</v>
      </c>
      <c r="G1534" s="33" t="s">
        <v>213</v>
      </c>
      <c r="H1534" s="33" t="s">
        <v>164</v>
      </c>
      <c r="I1534" s="33" t="s">
        <v>158</v>
      </c>
      <c r="J1534" s="33" t="s">
        <v>144</v>
      </c>
      <c r="K1534" s="33" t="s">
        <v>145</v>
      </c>
      <c r="L1534" s="35" t="n">
        <v>3996.59</v>
      </c>
      <c r="M1534" s="33" t="n">
        <v>5</v>
      </c>
      <c r="N1534" s="33" t="s">
        <v>146</v>
      </c>
      <c r="O1534" s="33" t="s">
        <v>147</v>
      </c>
    </row>
    <row r="1535" customFormat="false" ht="15" hidden="false" customHeight="false" outlineLevel="0" collapsed="false">
      <c r="A1535" s="33" t="s">
        <v>1730</v>
      </c>
      <c r="B1535" s="34" t="n">
        <v>45580</v>
      </c>
      <c r="C1535" s="34" t="n">
        <v>45582</v>
      </c>
      <c r="D1535" s="33" t="n">
        <v>57</v>
      </c>
      <c r="E1535" s="33" t="s">
        <v>279</v>
      </c>
      <c r="F1535" s="33" t="s">
        <v>203</v>
      </c>
      <c r="G1535" s="33" t="s">
        <v>232</v>
      </c>
      <c r="H1535" s="33" t="s">
        <v>233</v>
      </c>
      <c r="I1535" s="33" t="s">
        <v>143</v>
      </c>
      <c r="J1535" s="33" t="s">
        <v>159</v>
      </c>
      <c r="K1535" s="33" t="s">
        <v>160</v>
      </c>
      <c r="L1535" s="35" t="n">
        <v>1445.89</v>
      </c>
      <c r="M1535" s="33" t="n">
        <v>4</v>
      </c>
      <c r="N1535" s="33" t="s">
        <v>146</v>
      </c>
      <c r="O1535" s="33" t="s">
        <v>147</v>
      </c>
    </row>
    <row r="1536" customFormat="false" ht="15" hidden="false" customHeight="false" outlineLevel="0" collapsed="false">
      <c r="A1536" s="33" t="s">
        <v>1731</v>
      </c>
      <c r="B1536" s="34" t="n">
        <v>45494</v>
      </c>
      <c r="C1536" s="34" t="n">
        <v>45496</v>
      </c>
      <c r="D1536" s="33" t="n">
        <v>39</v>
      </c>
      <c r="E1536" s="33" t="s">
        <v>139</v>
      </c>
      <c r="F1536" s="33" t="s">
        <v>149</v>
      </c>
      <c r="G1536" s="33" t="s">
        <v>224</v>
      </c>
      <c r="H1536" s="33" t="s">
        <v>151</v>
      </c>
      <c r="I1536" s="33" t="s">
        <v>152</v>
      </c>
      <c r="J1536" s="33" t="s">
        <v>144</v>
      </c>
      <c r="K1536" s="33" t="s">
        <v>184</v>
      </c>
      <c r="L1536" s="35" t="n">
        <v>4624.04</v>
      </c>
      <c r="M1536" s="33" t="n">
        <v>4</v>
      </c>
      <c r="N1536" s="33" t="s">
        <v>146</v>
      </c>
      <c r="O1536" s="33" t="s">
        <v>147</v>
      </c>
    </row>
    <row r="1537" customFormat="false" ht="15" hidden="false" customHeight="false" outlineLevel="0" collapsed="false">
      <c r="A1537" s="33" t="s">
        <v>1732</v>
      </c>
      <c r="B1537" s="34" t="n">
        <v>45332</v>
      </c>
      <c r="C1537" s="34" t="n">
        <v>45333</v>
      </c>
      <c r="D1537" s="33" t="n">
        <v>33</v>
      </c>
      <c r="E1537" s="33" t="s">
        <v>139</v>
      </c>
      <c r="F1537" s="33" t="s">
        <v>149</v>
      </c>
      <c r="G1537" s="33" t="s">
        <v>243</v>
      </c>
      <c r="H1537" s="33" t="s">
        <v>151</v>
      </c>
      <c r="I1537" s="33" t="s">
        <v>152</v>
      </c>
      <c r="J1537" s="33" t="s">
        <v>144</v>
      </c>
      <c r="K1537" s="33" t="s">
        <v>145</v>
      </c>
      <c r="L1537" s="35" t="n">
        <v>3250.81</v>
      </c>
      <c r="M1537" s="33" t="n">
        <v>4</v>
      </c>
      <c r="N1537" s="33" t="s">
        <v>146</v>
      </c>
      <c r="O1537" s="33" t="s">
        <v>147</v>
      </c>
    </row>
    <row r="1538" customFormat="false" ht="15" hidden="false" customHeight="false" outlineLevel="0" collapsed="false">
      <c r="A1538" s="33" t="s">
        <v>1733</v>
      </c>
      <c r="B1538" s="34" t="n">
        <v>45348</v>
      </c>
      <c r="C1538" s="34" t="n">
        <v>45354</v>
      </c>
      <c r="D1538" s="33" t="n">
        <v>32</v>
      </c>
      <c r="E1538" s="33" t="s">
        <v>139</v>
      </c>
      <c r="F1538" s="33" t="s">
        <v>140</v>
      </c>
      <c r="G1538" s="33" t="s">
        <v>141</v>
      </c>
      <c r="H1538" s="33" t="s">
        <v>290</v>
      </c>
      <c r="I1538" s="33" t="s">
        <v>152</v>
      </c>
      <c r="J1538" s="33" t="s">
        <v>159</v>
      </c>
      <c r="K1538" s="33" t="s">
        <v>145</v>
      </c>
      <c r="L1538" s="35" t="n">
        <v>13659.48</v>
      </c>
      <c r="M1538" s="33" t="n">
        <v>5</v>
      </c>
      <c r="N1538" s="33" t="s">
        <v>210</v>
      </c>
      <c r="O1538" s="33" t="s">
        <v>147</v>
      </c>
    </row>
    <row r="1539" customFormat="false" ht="15" hidden="false" customHeight="false" outlineLevel="0" collapsed="false">
      <c r="A1539" s="33" t="s">
        <v>1734</v>
      </c>
      <c r="B1539" s="34" t="n">
        <v>45440</v>
      </c>
      <c r="C1539" s="34" t="n">
        <v>45442</v>
      </c>
      <c r="D1539" s="33" t="n">
        <v>40</v>
      </c>
      <c r="E1539" s="33" t="s">
        <v>154</v>
      </c>
      <c r="F1539" s="33" t="s">
        <v>169</v>
      </c>
      <c r="G1539" s="33" t="s">
        <v>163</v>
      </c>
      <c r="H1539" s="33" t="s">
        <v>195</v>
      </c>
      <c r="I1539" s="33" t="s">
        <v>143</v>
      </c>
      <c r="J1539" s="33" t="s">
        <v>144</v>
      </c>
      <c r="K1539" s="33" t="s">
        <v>145</v>
      </c>
      <c r="L1539" s="35" t="n">
        <v>3233.16</v>
      </c>
      <c r="M1539" s="33" t="n">
        <v>3</v>
      </c>
      <c r="N1539" s="33" t="s">
        <v>146</v>
      </c>
      <c r="O1539" s="33" t="s">
        <v>206</v>
      </c>
    </row>
    <row r="1540" customFormat="false" ht="15" hidden="false" customHeight="false" outlineLevel="0" collapsed="false">
      <c r="A1540" s="33" t="s">
        <v>1735</v>
      </c>
      <c r="B1540" s="34" t="n">
        <v>45363</v>
      </c>
      <c r="C1540" s="34" t="n">
        <v>45365</v>
      </c>
      <c r="D1540" s="36"/>
      <c r="E1540" s="33" t="s">
        <v>257</v>
      </c>
      <c r="F1540" s="33" t="s">
        <v>173</v>
      </c>
      <c r="G1540" s="33" t="s">
        <v>174</v>
      </c>
      <c r="H1540" s="33" t="s">
        <v>175</v>
      </c>
      <c r="I1540" s="33" t="s">
        <v>143</v>
      </c>
      <c r="J1540" s="33" t="s">
        <v>159</v>
      </c>
      <c r="K1540" s="33" t="s">
        <v>160</v>
      </c>
      <c r="L1540" s="35" t="n">
        <v>4745.34</v>
      </c>
      <c r="M1540" s="33" t="n">
        <v>4</v>
      </c>
      <c r="N1540" s="33" t="s">
        <v>146</v>
      </c>
      <c r="O1540" s="33" t="s">
        <v>147</v>
      </c>
    </row>
    <row r="1541" customFormat="false" ht="15" hidden="false" customHeight="false" outlineLevel="0" collapsed="false">
      <c r="A1541" s="33" t="s">
        <v>1736</v>
      </c>
      <c r="B1541" s="34" t="n">
        <v>45594</v>
      </c>
      <c r="C1541" s="34" t="n">
        <v>45596</v>
      </c>
      <c r="D1541" s="33" t="n">
        <v>47</v>
      </c>
      <c r="E1541" s="33" t="s">
        <v>257</v>
      </c>
      <c r="F1541" s="33" t="s">
        <v>169</v>
      </c>
      <c r="G1541" s="33" t="s">
        <v>230</v>
      </c>
      <c r="H1541" s="33" t="s">
        <v>164</v>
      </c>
      <c r="I1541" s="33" t="s">
        <v>143</v>
      </c>
      <c r="J1541" s="33" t="s">
        <v>159</v>
      </c>
      <c r="K1541" s="33" t="s">
        <v>184</v>
      </c>
      <c r="L1541" s="35" t="n">
        <v>2304.79</v>
      </c>
      <c r="M1541" s="33" t="n">
        <v>4</v>
      </c>
      <c r="N1541" s="33" t="s">
        <v>146</v>
      </c>
      <c r="O1541" s="33" t="s">
        <v>147</v>
      </c>
    </row>
    <row r="1542" customFormat="false" ht="15" hidden="false" customHeight="false" outlineLevel="0" collapsed="false">
      <c r="A1542" s="33" t="s">
        <v>1737</v>
      </c>
      <c r="B1542" s="34" t="n">
        <v>45415</v>
      </c>
      <c r="C1542" s="34" t="n">
        <v>45426</v>
      </c>
      <c r="D1542" s="33" t="n">
        <v>82</v>
      </c>
      <c r="E1542" s="33" t="s">
        <v>154</v>
      </c>
      <c r="F1542" s="33" t="s">
        <v>181</v>
      </c>
      <c r="G1542" s="33" t="s">
        <v>237</v>
      </c>
      <c r="H1542" s="33" t="s">
        <v>183</v>
      </c>
      <c r="I1542" s="33" t="s">
        <v>152</v>
      </c>
      <c r="J1542" s="33" t="s">
        <v>159</v>
      </c>
      <c r="K1542" s="33" t="s">
        <v>160</v>
      </c>
      <c r="L1542" s="35" t="n">
        <v>25169.97</v>
      </c>
      <c r="M1542" s="33" t="n">
        <v>3</v>
      </c>
      <c r="N1542" s="33" t="s">
        <v>146</v>
      </c>
      <c r="O1542" s="33" t="s">
        <v>147</v>
      </c>
    </row>
    <row r="1543" customFormat="false" ht="15" hidden="false" customHeight="false" outlineLevel="0" collapsed="false">
      <c r="A1543" s="33" t="s">
        <v>1738</v>
      </c>
      <c r="B1543" s="34" t="n">
        <v>45352</v>
      </c>
      <c r="C1543" s="34" t="n">
        <v>45355</v>
      </c>
      <c r="D1543" s="33" t="n">
        <v>0</v>
      </c>
      <c r="E1543" s="33" t="s">
        <v>154</v>
      </c>
      <c r="F1543" s="33" t="s">
        <v>155</v>
      </c>
      <c r="G1543" s="33" t="s">
        <v>302</v>
      </c>
      <c r="H1543" s="33" t="s">
        <v>157</v>
      </c>
      <c r="I1543" s="33" t="s">
        <v>143</v>
      </c>
      <c r="J1543" s="33" t="s">
        <v>159</v>
      </c>
      <c r="K1543" s="33" t="s">
        <v>145</v>
      </c>
      <c r="L1543" s="35" t="n">
        <v>2535.53</v>
      </c>
      <c r="M1543" s="33" t="n">
        <v>5</v>
      </c>
      <c r="N1543" s="33" t="s">
        <v>146</v>
      </c>
      <c r="O1543" s="33" t="s">
        <v>147</v>
      </c>
    </row>
    <row r="1544" customFormat="false" ht="15" hidden="false" customHeight="false" outlineLevel="0" collapsed="false">
      <c r="A1544" s="33" t="s">
        <v>1739</v>
      </c>
      <c r="B1544" s="34" t="n">
        <v>45476</v>
      </c>
      <c r="C1544" s="34" t="n">
        <v>45483</v>
      </c>
      <c r="D1544" s="33" t="n">
        <v>46</v>
      </c>
      <c r="E1544" s="33" t="s">
        <v>139</v>
      </c>
      <c r="F1544" s="33" t="s">
        <v>140</v>
      </c>
      <c r="G1544" s="33" t="s">
        <v>141</v>
      </c>
      <c r="H1544" s="33" t="s">
        <v>142</v>
      </c>
      <c r="I1544" s="33" t="s">
        <v>152</v>
      </c>
      <c r="J1544" s="33" t="s">
        <v>159</v>
      </c>
      <c r="K1544" s="33" t="s">
        <v>145</v>
      </c>
      <c r="L1544" s="35" t="n">
        <v>12744.48</v>
      </c>
      <c r="M1544" s="33" t="n">
        <v>3</v>
      </c>
      <c r="N1544" s="33" t="s">
        <v>146</v>
      </c>
      <c r="O1544" s="33" t="s">
        <v>147</v>
      </c>
    </row>
    <row r="1545" customFormat="false" ht="15" hidden="false" customHeight="false" outlineLevel="0" collapsed="false">
      <c r="A1545" s="33" t="s">
        <v>1740</v>
      </c>
      <c r="B1545" s="34" t="n">
        <v>45605</v>
      </c>
      <c r="C1545" s="34" t="n">
        <v>45609</v>
      </c>
      <c r="D1545" s="33" t="n">
        <v>81</v>
      </c>
      <c r="E1545" s="33" t="s">
        <v>139</v>
      </c>
      <c r="F1545" s="33" t="s">
        <v>173</v>
      </c>
      <c r="G1545" s="33" t="s">
        <v>178</v>
      </c>
      <c r="H1545" s="33" t="s">
        <v>175</v>
      </c>
      <c r="I1545" s="33" t="s">
        <v>143</v>
      </c>
      <c r="J1545" s="33" t="s">
        <v>176</v>
      </c>
      <c r="K1545" s="33" t="s">
        <v>160</v>
      </c>
      <c r="L1545" s="35" t="n">
        <v>36323.9</v>
      </c>
      <c r="M1545" s="33" t="n">
        <v>4</v>
      </c>
      <c r="N1545" s="33" t="s">
        <v>146</v>
      </c>
      <c r="O1545" s="33" t="s">
        <v>247</v>
      </c>
    </row>
    <row r="1546" customFormat="false" ht="15" hidden="false" customHeight="false" outlineLevel="0" collapsed="false">
      <c r="A1546" s="33" t="s">
        <v>1741</v>
      </c>
      <c r="B1546" s="34" t="n">
        <v>45463</v>
      </c>
      <c r="C1546" s="34" t="n">
        <v>45466</v>
      </c>
      <c r="D1546" s="33" t="n">
        <v>65</v>
      </c>
      <c r="E1546" s="33" t="s">
        <v>154</v>
      </c>
      <c r="F1546" s="33" t="s">
        <v>226</v>
      </c>
      <c r="G1546" s="33" t="s">
        <v>258</v>
      </c>
      <c r="H1546" s="33" t="s">
        <v>228</v>
      </c>
      <c r="I1546" s="33" t="s">
        <v>143</v>
      </c>
      <c r="J1546" s="33" t="s">
        <v>144</v>
      </c>
      <c r="K1546" s="33" t="s">
        <v>160</v>
      </c>
      <c r="L1546" s="35" t="n">
        <v>15230.02</v>
      </c>
      <c r="M1546" s="33" t="n">
        <v>3</v>
      </c>
      <c r="N1546" s="33" t="s">
        <v>146</v>
      </c>
      <c r="O1546" s="36"/>
    </row>
    <row r="1547" customFormat="false" ht="15" hidden="false" customHeight="false" outlineLevel="0" collapsed="false">
      <c r="A1547" s="33" t="s">
        <v>1742</v>
      </c>
      <c r="B1547" s="34" t="n">
        <v>45389</v>
      </c>
      <c r="C1547" s="34" t="n">
        <v>45390</v>
      </c>
      <c r="D1547" s="33" t="n">
        <v>38</v>
      </c>
      <c r="E1547" s="33" t="s">
        <v>154</v>
      </c>
      <c r="F1547" s="33" t="s">
        <v>334</v>
      </c>
      <c r="G1547" s="33" t="s">
        <v>217</v>
      </c>
      <c r="H1547" s="33" t="s">
        <v>233</v>
      </c>
      <c r="I1547" s="33" t="s">
        <v>143</v>
      </c>
      <c r="J1547" s="33" t="s">
        <v>159</v>
      </c>
      <c r="K1547" s="33" t="s">
        <v>160</v>
      </c>
      <c r="L1547" s="35" t="n">
        <v>997.18</v>
      </c>
      <c r="M1547" s="33" t="n">
        <v>3</v>
      </c>
      <c r="N1547" s="33" t="s">
        <v>210</v>
      </c>
      <c r="O1547" s="33" t="s">
        <v>147</v>
      </c>
    </row>
    <row r="1548" customFormat="false" ht="15" hidden="false" customHeight="false" outlineLevel="0" collapsed="false">
      <c r="A1548" s="33" t="s">
        <v>1743</v>
      </c>
      <c r="B1548" s="34" t="n">
        <v>45634</v>
      </c>
      <c r="C1548" s="34" t="n">
        <v>45643</v>
      </c>
      <c r="D1548" s="33" t="n">
        <v>52</v>
      </c>
      <c r="E1548" s="33" t="s">
        <v>139</v>
      </c>
      <c r="F1548" s="33" t="s">
        <v>226</v>
      </c>
      <c r="G1548" s="33" t="s">
        <v>386</v>
      </c>
      <c r="H1548" s="33" t="s">
        <v>263</v>
      </c>
      <c r="I1548" s="33" t="s">
        <v>152</v>
      </c>
      <c r="J1548" s="33" t="s">
        <v>159</v>
      </c>
      <c r="K1548" s="33" t="s">
        <v>209</v>
      </c>
      <c r="L1548" s="35" t="n">
        <v>35625.22</v>
      </c>
      <c r="M1548" s="36"/>
      <c r="N1548" s="33" t="s">
        <v>146</v>
      </c>
      <c r="O1548" s="33" t="s">
        <v>147</v>
      </c>
    </row>
    <row r="1549" customFormat="false" ht="15" hidden="false" customHeight="false" outlineLevel="0" collapsed="false">
      <c r="A1549" s="33" t="s">
        <v>1744</v>
      </c>
      <c r="B1549" s="34" t="n">
        <v>45440</v>
      </c>
      <c r="C1549" s="34" t="n">
        <v>45441</v>
      </c>
      <c r="D1549" s="33" t="n">
        <v>19</v>
      </c>
      <c r="E1549" s="33" t="s">
        <v>154</v>
      </c>
      <c r="F1549" s="33" t="s">
        <v>140</v>
      </c>
      <c r="G1549" s="33" t="s">
        <v>167</v>
      </c>
      <c r="H1549" s="33" t="s">
        <v>290</v>
      </c>
      <c r="I1549" s="33" t="s">
        <v>143</v>
      </c>
      <c r="J1549" s="33" t="s">
        <v>159</v>
      </c>
      <c r="K1549" s="33" t="s">
        <v>145</v>
      </c>
      <c r="L1549" s="35" t="n">
        <v>2144.23</v>
      </c>
      <c r="M1549" s="33" t="n">
        <v>4</v>
      </c>
      <c r="N1549" s="33" t="s">
        <v>146</v>
      </c>
      <c r="O1549" s="33" t="s">
        <v>147</v>
      </c>
    </row>
    <row r="1550" customFormat="false" ht="15" hidden="false" customHeight="false" outlineLevel="0" collapsed="false">
      <c r="A1550" s="33" t="s">
        <v>1745</v>
      </c>
      <c r="B1550" s="34" t="n">
        <v>45457</v>
      </c>
      <c r="C1550" s="34" t="n">
        <v>45459</v>
      </c>
      <c r="D1550" s="33" t="n">
        <v>41</v>
      </c>
      <c r="E1550" s="33" t="s">
        <v>154</v>
      </c>
      <c r="F1550" s="33" t="s">
        <v>203</v>
      </c>
      <c r="G1550" s="33" t="s">
        <v>204</v>
      </c>
      <c r="H1550" s="33" t="s">
        <v>193</v>
      </c>
      <c r="I1550" s="33" t="s">
        <v>143</v>
      </c>
      <c r="J1550" s="33" t="s">
        <v>176</v>
      </c>
      <c r="K1550" s="33" t="s">
        <v>184</v>
      </c>
      <c r="L1550" s="35" t="n">
        <v>5493.65</v>
      </c>
      <c r="M1550" s="33" t="n">
        <v>3</v>
      </c>
      <c r="N1550" s="33" t="s">
        <v>146</v>
      </c>
      <c r="O1550" s="33" t="s">
        <v>147</v>
      </c>
    </row>
    <row r="1551" customFormat="false" ht="15" hidden="false" customHeight="false" outlineLevel="0" collapsed="false">
      <c r="A1551" s="33" t="s">
        <v>1746</v>
      </c>
      <c r="B1551" s="34" t="n">
        <v>45444</v>
      </c>
      <c r="C1551" s="34" t="n">
        <v>45450</v>
      </c>
      <c r="D1551" s="33" t="n">
        <v>38</v>
      </c>
      <c r="E1551" s="33" t="s">
        <v>154</v>
      </c>
      <c r="F1551" s="33" t="s">
        <v>169</v>
      </c>
      <c r="G1551" s="33" t="s">
        <v>163</v>
      </c>
      <c r="H1551" s="33" t="s">
        <v>195</v>
      </c>
      <c r="I1551" s="33" t="s">
        <v>143</v>
      </c>
      <c r="J1551" s="33" t="s">
        <v>159</v>
      </c>
      <c r="K1551" s="33" t="s">
        <v>184</v>
      </c>
      <c r="L1551" s="35" t="n">
        <v>7607.1</v>
      </c>
      <c r="M1551" s="33" t="n">
        <v>3</v>
      </c>
      <c r="N1551" s="33" t="s">
        <v>146</v>
      </c>
      <c r="O1551" s="33" t="s">
        <v>147</v>
      </c>
    </row>
    <row r="1552" customFormat="false" ht="15" hidden="false" customHeight="false" outlineLevel="0" collapsed="false">
      <c r="A1552" s="33" t="s">
        <v>1747</v>
      </c>
      <c r="B1552" s="34" t="n">
        <v>45311</v>
      </c>
      <c r="C1552" s="34" t="n">
        <v>45312</v>
      </c>
      <c r="D1552" s="33" t="n">
        <v>42</v>
      </c>
      <c r="E1552" s="33" t="s">
        <v>139</v>
      </c>
      <c r="F1552" s="33" t="s">
        <v>162</v>
      </c>
      <c r="G1552" s="33" t="s">
        <v>213</v>
      </c>
      <c r="H1552" s="33" t="s">
        <v>164</v>
      </c>
      <c r="I1552" s="33" t="s">
        <v>143</v>
      </c>
      <c r="J1552" s="33" t="s">
        <v>159</v>
      </c>
      <c r="K1552" s="33" t="s">
        <v>160</v>
      </c>
      <c r="L1552" s="35" t="n">
        <v>1038.47</v>
      </c>
      <c r="M1552" s="33" t="n">
        <v>4</v>
      </c>
      <c r="N1552" s="33" t="s">
        <v>146</v>
      </c>
      <c r="O1552" s="33" t="s">
        <v>147</v>
      </c>
    </row>
    <row r="1553" customFormat="false" ht="15" hidden="false" customHeight="false" outlineLevel="0" collapsed="false">
      <c r="A1553" s="33" t="s">
        <v>1748</v>
      </c>
      <c r="B1553" s="34" t="n">
        <v>45636</v>
      </c>
      <c r="C1553" s="34" t="n">
        <v>45638</v>
      </c>
      <c r="D1553" s="33" t="n">
        <v>61</v>
      </c>
      <c r="E1553" s="33" t="s">
        <v>139</v>
      </c>
      <c r="F1553" s="33" t="s">
        <v>169</v>
      </c>
      <c r="G1553" s="33" t="s">
        <v>170</v>
      </c>
      <c r="H1553" s="33" t="s">
        <v>195</v>
      </c>
      <c r="I1553" s="33" t="s">
        <v>152</v>
      </c>
      <c r="J1553" s="33" t="s">
        <v>159</v>
      </c>
      <c r="K1553" s="33" t="s">
        <v>209</v>
      </c>
      <c r="L1553" s="35" t="n">
        <v>2385.31</v>
      </c>
      <c r="M1553" s="33" t="n">
        <v>3</v>
      </c>
      <c r="N1553" s="33" t="s">
        <v>146</v>
      </c>
      <c r="O1553" s="33" t="s">
        <v>147</v>
      </c>
    </row>
    <row r="1554" customFormat="false" ht="15" hidden="false" customHeight="false" outlineLevel="0" collapsed="false">
      <c r="A1554" s="33" t="s">
        <v>1749</v>
      </c>
      <c r="B1554" s="34" t="n">
        <v>45397</v>
      </c>
      <c r="C1554" s="34" t="n">
        <v>45411</v>
      </c>
      <c r="D1554" s="33" t="n">
        <v>50</v>
      </c>
      <c r="E1554" s="33" t="s">
        <v>216</v>
      </c>
      <c r="F1554" s="33" t="s">
        <v>173</v>
      </c>
      <c r="G1554" s="33" t="s">
        <v>178</v>
      </c>
      <c r="H1554" s="33" t="s">
        <v>175</v>
      </c>
      <c r="I1554" s="33" t="s">
        <v>143</v>
      </c>
      <c r="J1554" s="33" t="s">
        <v>159</v>
      </c>
      <c r="K1554" s="33" t="s">
        <v>145</v>
      </c>
      <c r="L1554" s="35" t="n">
        <v>35180.3</v>
      </c>
      <c r="M1554" s="33" t="n">
        <v>3</v>
      </c>
      <c r="N1554" s="33" t="s">
        <v>146</v>
      </c>
      <c r="O1554" s="33" t="s">
        <v>147</v>
      </c>
    </row>
    <row r="1555" customFormat="false" ht="15" hidden="false" customHeight="false" outlineLevel="0" collapsed="false">
      <c r="A1555" s="33" t="s">
        <v>1750</v>
      </c>
      <c r="B1555" s="34" t="n">
        <v>45368</v>
      </c>
      <c r="C1555" s="34" t="n">
        <v>45370</v>
      </c>
      <c r="D1555" s="33" t="n">
        <v>63</v>
      </c>
      <c r="E1555" s="33" t="s">
        <v>154</v>
      </c>
      <c r="F1555" s="33" t="s">
        <v>173</v>
      </c>
      <c r="G1555" s="33" t="s">
        <v>198</v>
      </c>
      <c r="H1555" s="33" t="s">
        <v>199</v>
      </c>
      <c r="I1555" s="33" t="s">
        <v>152</v>
      </c>
      <c r="J1555" s="33" t="s">
        <v>144</v>
      </c>
      <c r="K1555" s="33" t="s">
        <v>145</v>
      </c>
      <c r="L1555" s="35" t="n">
        <v>10533.09</v>
      </c>
      <c r="M1555" s="33" t="n">
        <v>3</v>
      </c>
      <c r="N1555" s="33" t="s">
        <v>146</v>
      </c>
      <c r="O1555" s="33" t="s">
        <v>147</v>
      </c>
    </row>
    <row r="1556" customFormat="false" ht="15" hidden="false" customHeight="false" outlineLevel="0" collapsed="false">
      <c r="A1556" s="33" t="s">
        <v>1751</v>
      </c>
      <c r="B1556" s="34" t="n">
        <v>45652</v>
      </c>
      <c r="C1556" s="34" t="n">
        <v>45654</v>
      </c>
      <c r="D1556" s="33" t="n">
        <v>10</v>
      </c>
      <c r="E1556" s="33" t="s">
        <v>154</v>
      </c>
      <c r="F1556" s="33" t="s">
        <v>288</v>
      </c>
      <c r="G1556" s="33" t="s">
        <v>302</v>
      </c>
      <c r="H1556" s="33" t="s">
        <v>157</v>
      </c>
      <c r="I1556" s="33" t="s">
        <v>143</v>
      </c>
      <c r="J1556" s="33" t="s">
        <v>159</v>
      </c>
      <c r="K1556" s="33" t="s">
        <v>209</v>
      </c>
      <c r="L1556" s="35" t="n">
        <v>1793.24</v>
      </c>
      <c r="M1556" s="33" t="n">
        <v>5</v>
      </c>
      <c r="N1556" s="33" t="s">
        <v>146</v>
      </c>
      <c r="O1556" s="33" t="s">
        <v>147</v>
      </c>
    </row>
    <row r="1557" customFormat="false" ht="15" hidden="false" customHeight="false" outlineLevel="0" collapsed="false">
      <c r="A1557" s="33" t="s">
        <v>1752</v>
      </c>
      <c r="B1557" s="34" t="n">
        <v>45651</v>
      </c>
      <c r="C1557" s="34" t="n">
        <v>45654</v>
      </c>
      <c r="D1557" s="33" t="n">
        <v>3</v>
      </c>
      <c r="E1557" s="33" t="s">
        <v>139</v>
      </c>
      <c r="F1557" s="33" t="s">
        <v>155</v>
      </c>
      <c r="G1557" s="33" t="s">
        <v>220</v>
      </c>
      <c r="H1557" s="33" t="s">
        <v>222</v>
      </c>
      <c r="I1557" s="33" t="s">
        <v>143</v>
      </c>
      <c r="J1557" s="33" t="s">
        <v>144</v>
      </c>
      <c r="K1557" s="33" t="s">
        <v>160</v>
      </c>
      <c r="L1557" s="35" t="n">
        <v>4751.76</v>
      </c>
      <c r="M1557" s="36"/>
      <c r="N1557" s="33" t="s">
        <v>146</v>
      </c>
      <c r="O1557" s="33" t="s">
        <v>147</v>
      </c>
    </row>
    <row r="1558" customFormat="false" ht="15" hidden="false" customHeight="false" outlineLevel="0" collapsed="false">
      <c r="A1558" s="33" t="s">
        <v>1753</v>
      </c>
      <c r="B1558" s="34" t="n">
        <v>45384</v>
      </c>
      <c r="C1558" s="34" t="n">
        <v>45386</v>
      </c>
      <c r="D1558" s="33" t="n">
        <v>6</v>
      </c>
      <c r="E1558" s="33" t="s">
        <v>139</v>
      </c>
      <c r="F1558" s="33" t="s">
        <v>155</v>
      </c>
      <c r="G1558" s="33" t="s">
        <v>156</v>
      </c>
      <c r="H1558" s="33" t="s">
        <v>157</v>
      </c>
      <c r="I1558" s="33" t="s">
        <v>158</v>
      </c>
      <c r="J1558" s="33" t="s">
        <v>176</v>
      </c>
      <c r="K1558" s="33" t="s">
        <v>145</v>
      </c>
      <c r="L1558" s="35" t="n">
        <v>5466.28</v>
      </c>
      <c r="M1558" s="33" t="n">
        <v>5</v>
      </c>
      <c r="N1558" s="33" t="s">
        <v>210</v>
      </c>
      <c r="O1558" s="33" t="s">
        <v>147</v>
      </c>
    </row>
    <row r="1559" customFormat="false" ht="15" hidden="false" customHeight="false" outlineLevel="0" collapsed="false">
      <c r="A1559" s="33" t="s">
        <v>1754</v>
      </c>
      <c r="B1559" s="34" t="n">
        <v>45628</v>
      </c>
      <c r="C1559" s="34" t="n">
        <v>45635</v>
      </c>
      <c r="D1559" s="33" t="n">
        <v>72</v>
      </c>
      <c r="E1559" s="33" t="s">
        <v>139</v>
      </c>
      <c r="F1559" s="33" t="s">
        <v>226</v>
      </c>
      <c r="G1559" s="33" t="s">
        <v>227</v>
      </c>
      <c r="H1559" s="33" t="s">
        <v>263</v>
      </c>
      <c r="I1559" s="33" t="s">
        <v>143</v>
      </c>
      <c r="J1559" s="33" t="s">
        <v>144</v>
      </c>
      <c r="K1559" s="33" t="s">
        <v>184</v>
      </c>
      <c r="L1559" s="35" t="n">
        <v>41788.24</v>
      </c>
      <c r="M1559" s="33" t="n">
        <v>3</v>
      </c>
      <c r="N1559" s="33" t="s">
        <v>146</v>
      </c>
      <c r="O1559" s="33" t="s">
        <v>147</v>
      </c>
    </row>
    <row r="1560" customFormat="false" ht="15" hidden="false" customHeight="false" outlineLevel="0" collapsed="false">
      <c r="A1560" s="33" t="s">
        <v>1755</v>
      </c>
      <c r="B1560" s="34" t="n">
        <v>45551</v>
      </c>
      <c r="C1560" s="34" t="n">
        <v>45553</v>
      </c>
      <c r="D1560" s="33" t="n">
        <v>51</v>
      </c>
      <c r="E1560" s="33" t="s">
        <v>139</v>
      </c>
      <c r="F1560" s="33" t="s">
        <v>181</v>
      </c>
      <c r="G1560" s="33" t="s">
        <v>237</v>
      </c>
      <c r="H1560" s="33" t="s">
        <v>183</v>
      </c>
      <c r="I1560" s="33" t="s">
        <v>143</v>
      </c>
      <c r="J1560" s="33" t="s">
        <v>159</v>
      </c>
      <c r="K1560" s="33" t="s">
        <v>184</v>
      </c>
      <c r="L1560" s="35" t="n">
        <v>4282.05</v>
      </c>
      <c r="M1560" s="33" t="n">
        <v>4</v>
      </c>
      <c r="N1560" s="33" t="s">
        <v>210</v>
      </c>
      <c r="O1560" s="33" t="s">
        <v>147</v>
      </c>
    </row>
    <row r="1561" customFormat="false" ht="15" hidden="false" customHeight="false" outlineLevel="0" collapsed="false">
      <c r="A1561" s="33" t="s">
        <v>1756</v>
      </c>
      <c r="B1561" s="34" t="n">
        <v>45423</v>
      </c>
      <c r="C1561" s="34" t="n">
        <v>45425</v>
      </c>
      <c r="D1561" s="33" t="n">
        <v>70</v>
      </c>
      <c r="E1561" s="33" t="s">
        <v>139</v>
      </c>
      <c r="F1561" s="33" t="s">
        <v>226</v>
      </c>
      <c r="G1561" s="33" t="s">
        <v>386</v>
      </c>
      <c r="H1561" s="33" t="s">
        <v>228</v>
      </c>
      <c r="I1561" s="33" t="s">
        <v>143</v>
      </c>
      <c r="J1561" s="33" t="s">
        <v>144</v>
      </c>
      <c r="K1561" s="33" t="s">
        <v>160</v>
      </c>
      <c r="L1561" s="35" t="n">
        <v>9808.91</v>
      </c>
      <c r="M1561" s="33" t="n">
        <v>4</v>
      </c>
      <c r="N1561" s="33" t="s">
        <v>146</v>
      </c>
      <c r="O1561" s="33" t="s">
        <v>147</v>
      </c>
    </row>
    <row r="1562" customFormat="false" ht="15" hidden="false" customHeight="false" outlineLevel="0" collapsed="false">
      <c r="A1562" s="33" t="s">
        <v>1757</v>
      </c>
      <c r="B1562" s="34" t="n">
        <v>45348</v>
      </c>
      <c r="C1562" s="34" t="n">
        <v>45350</v>
      </c>
      <c r="D1562" s="33" t="n">
        <v>0</v>
      </c>
      <c r="E1562" s="33" t="s">
        <v>139</v>
      </c>
      <c r="F1562" s="33" t="s">
        <v>376</v>
      </c>
      <c r="G1562" s="33" t="s">
        <v>156</v>
      </c>
      <c r="H1562" s="33" t="s">
        <v>222</v>
      </c>
      <c r="I1562" s="33" t="s">
        <v>152</v>
      </c>
      <c r="J1562" s="33" t="s">
        <v>144</v>
      </c>
      <c r="K1562" s="33" t="s">
        <v>160</v>
      </c>
      <c r="L1562" s="35" t="n">
        <v>2990.03</v>
      </c>
      <c r="M1562" s="33" t="n">
        <v>5</v>
      </c>
      <c r="N1562" s="33" t="s">
        <v>146</v>
      </c>
      <c r="O1562" s="33" t="s">
        <v>147</v>
      </c>
    </row>
    <row r="1563" customFormat="false" ht="15" hidden="false" customHeight="false" outlineLevel="0" collapsed="false">
      <c r="A1563" s="33" t="s">
        <v>1758</v>
      </c>
      <c r="B1563" s="34" t="n">
        <v>45495</v>
      </c>
      <c r="C1563" s="34" t="n">
        <v>45496</v>
      </c>
      <c r="D1563" s="33" t="n">
        <v>55</v>
      </c>
      <c r="E1563" s="33" t="s">
        <v>139</v>
      </c>
      <c r="F1563" s="33" t="s">
        <v>191</v>
      </c>
      <c r="G1563" s="33" t="s">
        <v>241</v>
      </c>
      <c r="H1563" s="33" t="s">
        <v>193</v>
      </c>
      <c r="I1563" s="33" t="s">
        <v>143</v>
      </c>
      <c r="J1563" s="33" t="s">
        <v>159</v>
      </c>
      <c r="K1563" s="33" t="s">
        <v>160</v>
      </c>
      <c r="L1563" s="35" t="n">
        <v>761.26</v>
      </c>
      <c r="M1563" s="33" t="n">
        <v>4</v>
      </c>
      <c r="N1563" s="33" t="s">
        <v>210</v>
      </c>
      <c r="O1563" s="33" t="s">
        <v>147</v>
      </c>
    </row>
    <row r="1564" customFormat="false" ht="15" hidden="false" customHeight="false" outlineLevel="0" collapsed="false">
      <c r="A1564" s="33" t="s">
        <v>1759</v>
      </c>
      <c r="B1564" s="34" t="n">
        <v>45526</v>
      </c>
      <c r="C1564" s="34" t="n">
        <v>45527</v>
      </c>
      <c r="D1564" s="33" t="n">
        <v>75</v>
      </c>
      <c r="E1564" s="33" t="s">
        <v>216</v>
      </c>
      <c r="F1564" s="33" t="s">
        <v>203</v>
      </c>
      <c r="G1564" s="33" t="s">
        <v>192</v>
      </c>
      <c r="H1564" s="33" t="s">
        <v>205</v>
      </c>
      <c r="I1564" s="33" t="s">
        <v>143</v>
      </c>
      <c r="J1564" s="33" t="s">
        <v>159</v>
      </c>
      <c r="K1564" s="33" t="s">
        <v>145</v>
      </c>
      <c r="L1564" s="35" t="n">
        <v>1057.95</v>
      </c>
      <c r="M1564" s="33" t="n">
        <v>4</v>
      </c>
      <c r="N1564" s="33" t="s">
        <v>210</v>
      </c>
      <c r="O1564" s="33" t="s">
        <v>147</v>
      </c>
    </row>
    <row r="1565" customFormat="false" ht="15" hidden="false" customHeight="false" outlineLevel="0" collapsed="false">
      <c r="A1565" s="33" t="s">
        <v>1760</v>
      </c>
      <c r="B1565" s="34" t="n">
        <v>45450</v>
      </c>
      <c r="C1565" s="34" t="n">
        <v>45453</v>
      </c>
      <c r="D1565" s="33" t="n">
        <v>59</v>
      </c>
      <c r="E1565" s="33" t="s">
        <v>154</v>
      </c>
      <c r="F1565" s="33" t="s">
        <v>173</v>
      </c>
      <c r="G1565" s="33" t="s">
        <v>174</v>
      </c>
      <c r="H1565" s="33" t="s">
        <v>199</v>
      </c>
      <c r="I1565" s="33" t="s">
        <v>143</v>
      </c>
      <c r="J1565" s="33" t="s">
        <v>159</v>
      </c>
      <c r="K1565" s="33" t="s">
        <v>145</v>
      </c>
      <c r="L1565" s="35" t="n">
        <v>7082.59</v>
      </c>
      <c r="M1565" s="33" t="n">
        <v>5</v>
      </c>
      <c r="N1565" s="33" t="s">
        <v>146</v>
      </c>
      <c r="O1565" s="33" t="s">
        <v>147</v>
      </c>
    </row>
    <row r="1566" customFormat="false" ht="15" hidden="false" customHeight="false" outlineLevel="0" collapsed="false">
      <c r="A1566" s="33" t="s">
        <v>1761</v>
      </c>
      <c r="B1566" s="34" t="n">
        <v>45549</v>
      </c>
      <c r="C1566" s="34" t="n">
        <v>45550</v>
      </c>
      <c r="D1566" s="33" t="n">
        <v>33</v>
      </c>
      <c r="E1566" s="33" t="s">
        <v>154</v>
      </c>
      <c r="F1566" s="33" t="s">
        <v>140</v>
      </c>
      <c r="G1566" s="33" t="s">
        <v>316</v>
      </c>
      <c r="H1566" s="33" t="s">
        <v>290</v>
      </c>
      <c r="I1566" s="33" t="s">
        <v>152</v>
      </c>
      <c r="J1566" s="33" t="s">
        <v>159</v>
      </c>
      <c r="K1566" s="33" t="s">
        <v>209</v>
      </c>
      <c r="L1566" s="35" t="n">
        <v>2799.33</v>
      </c>
      <c r="M1566" s="33" t="n">
        <v>4</v>
      </c>
      <c r="N1566" s="33" t="s">
        <v>146</v>
      </c>
      <c r="O1566" s="33" t="s">
        <v>147</v>
      </c>
    </row>
    <row r="1567" customFormat="false" ht="15" hidden="false" customHeight="false" outlineLevel="0" collapsed="false">
      <c r="A1567" s="33" t="s">
        <v>1762</v>
      </c>
      <c r="B1567" s="34" t="n">
        <v>45488</v>
      </c>
      <c r="C1567" s="34" t="n">
        <v>45492</v>
      </c>
      <c r="D1567" s="33" t="n">
        <v>68</v>
      </c>
      <c r="E1567" s="33" t="s">
        <v>139</v>
      </c>
      <c r="F1567" s="33" t="s">
        <v>162</v>
      </c>
      <c r="G1567" s="33" t="s">
        <v>170</v>
      </c>
      <c r="H1567" s="33" t="s">
        <v>195</v>
      </c>
      <c r="I1567" s="33" t="s">
        <v>152</v>
      </c>
      <c r="J1567" s="33" t="s">
        <v>144</v>
      </c>
      <c r="K1567" s="33" t="s">
        <v>160</v>
      </c>
      <c r="L1567" s="35" t="n">
        <v>8088.54</v>
      </c>
      <c r="M1567" s="33" t="n">
        <v>4</v>
      </c>
      <c r="N1567" s="33" t="s">
        <v>146</v>
      </c>
      <c r="O1567" s="33" t="s">
        <v>147</v>
      </c>
    </row>
    <row r="1568" customFormat="false" ht="15" hidden="false" customHeight="false" outlineLevel="0" collapsed="false">
      <c r="A1568" s="33" t="s">
        <v>1763</v>
      </c>
      <c r="B1568" s="34" t="n">
        <v>45557</v>
      </c>
      <c r="C1568" s="34" t="n">
        <v>45562</v>
      </c>
      <c r="D1568" s="33" t="n">
        <v>20</v>
      </c>
      <c r="E1568" s="33" t="s">
        <v>139</v>
      </c>
      <c r="F1568" s="33" t="s">
        <v>173</v>
      </c>
      <c r="G1568" s="33" t="s">
        <v>178</v>
      </c>
      <c r="H1568" s="33" t="s">
        <v>175</v>
      </c>
      <c r="I1568" s="33" t="s">
        <v>152</v>
      </c>
      <c r="J1568" s="33" t="s">
        <v>159</v>
      </c>
      <c r="K1568" s="33" t="s">
        <v>145</v>
      </c>
      <c r="L1568" s="35" t="n">
        <v>10529.81</v>
      </c>
      <c r="M1568" s="33" t="n">
        <v>3</v>
      </c>
      <c r="N1568" s="33" t="s">
        <v>146</v>
      </c>
      <c r="O1568" s="33" t="s">
        <v>147</v>
      </c>
    </row>
    <row r="1569" customFormat="false" ht="15" hidden="false" customHeight="false" outlineLevel="0" collapsed="false">
      <c r="A1569" s="33" t="s">
        <v>897</v>
      </c>
      <c r="B1569" s="34" t="n">
        <v>45524</v>
      </c>
      <c r="C1569" s="34" t="n">
        <v>45528</v>
      </c>
      <c r="D1569" s="33" t="n">
        <v>66</v>
      </c>
      <c r="E1569" s="33" t="s">
        <v>154</v>
      </c>
      <c r="F1569" s="33" t="s">
        <v>226</v>
      </c>
      <c r="G1569" s="33" t="s">
        <v>227</v>
      </c>
      <c r="H1569" s="33" t="s">
        <v>228</v>
      </c>
      <c r="I1569" s="33" t="s">
        <v>152</v>
      </c>
      <c r="J1569" s="33" t="s">
        <v>144</v>
      </c>
      <c r="K1569" s="33" t="s">
        <v>160</v>
      </c>
      <c r="L1569" s="35" t="n">
        <v>17969.22</v>
      </c>
      <c r="M1569" s="33" t="n">
        <v>4</v>
      </c>
      <c r="N1569" s="33" t="s">
        <v>146</v>
      </c>
      <c r="O1569" s="33" t="s">
        <v>147</v>
      </c>
    </row>
    <row r="1570" customFormat="false" ht="15" hidden="false" customHeight="false" outlineLevel="0" collapsed="false">
      <c r="A1570" s="33" t="s">
        <v>1764</v>
      </c>
      <c r="B1570" s="34" t="n">
        <v>45462</v>
      </c>
      <c r="C1570" s="34" t="n">
        <v>45463</v>
      </c>
      <c r="D1570" s="33" t="n">
        <v>6</v>
      </c>
      <c r="E1570" s="33" t="s">
        <v>139</v>
      </c>
      <c r="F1570" s="33" t="s">
        <v>155</v>
      </c>
      <c r="G1570" s="33" t="s">
        <v>156</v>
      </c>
      <c r="H1570" s="33" t="s">
        <v>222</v>
      </c>
      <c r="I1570" s="33" t="s">
        <v>152</v>
      </c>
      <c r="J1570" s="33" t="s">
        <v>144</v>
      </c>
      <c r="K1570" s="33" t="s">
        <v>145</v>
      </c>
      <c r="L1570" s="35" t="n">
        <v>1421.01</v>
      </c>
      <c r="M1570" s="33" t="n">
        <v>4</v>
      </c>
      <c r="N1570" s="33" t="s">
        <v>146</v>
      </c>
      <c r="O1570" s="33" t="s">
        <v>147</v>
      </c>
    </row>
    <row r="1571" customFormat="false" ht="15" hidden="false" customHeight="false" outlineLevel="0" collapsed="false">
      <c r="A1571" s="33" t="s">
        <v>1765</v>
      </c>
      <c r="B1571" s="34" t="n">
        <v>45516</v>
      </c>
      <c r="C1571" s="34" t="n">
        <v>45517</v>
      </c>
      <c r="D1571" s="33" t="n">
        <v>7</v>
      </c>
      <c r="E1571" s="33" t="s">
        <v>154</v>
      </c>
      <c r="F1571" s="33" t="s">
        <v>155</v>
      </c>
      <c r="G1571" s="33" t="s">
        <v>220</v>
      </c>
      <c r="H1571" s="33" t="s">
        <v>222</v>
      </c>
      <c r="I1571" s="33" t="s">
        <v>143</v>
      </c>
      <c r="J1571" s="33" t="s">
        <v>144</v>
      </c>
      <c r="K1571" s="33" t="s">
        <v>160</v>
      </c>
      <c r="L1571" s="35" t="n">
        <v>1279</v>
      </c>
      <c r="M1571" s="33" t="n">
        <v>4</v>
      </c>
      <c r="N1571" s="33" t="s">
        <v>146</v>
      </c>
      <c r="O1571" s="33" t="s">
        <v>147</v>
      </c>
    </row>
    <row r="1572" customFormat="false" ht="15" hidden="false" customHeight="false" outlineLevel="0" collapsed="false">
      <c r="A1572" s="33" t="s">
        <v>1766</v>
      </c>
      <c r="B1572" s="34" t="n">
        <v>45423</v>
      </c>
      <c r="C1572" s="34" t="n">
        <v>45427</v>
      </c>
      <c r="D1572" s="33" t="n">
        <v>18</v>
      </c>
      <c r="E1572" s="33" t="s">
        <v>139</v>
      </c>
      <c r="F1572" s="33" t="s">
        <v>226</v>
      </c>
      <c r="G1572" s="33" t="s">
        <v>258</v>
      </c>
      <c r="H1572" s="33" t="s">
        <v>228</v>
      </c>
      <c r="I1572" s="33" t="s">
        <v>143</v>
      </c>
      <c r="J1572" s="33" t="s">
        <v>159</v>
      </c>
      <c r="K1572" s="33" t="s">
        <v>145</v>
      </c>
      <c r="L1572" s="35" t="n">
        <v>12914.67</v>
      </c>
      <c r="M1572" s="33" t="n">
        <v>4</v>
      </c>
      <c r="N1572" s="33" t="s">
        <v>210</v>
      </c>
      <c r="O1572" s="33" t="s">
        <v>147</v>
      </c>
    </row>
    <row r="1573" customFormat="false" ht="15" hidden="false" customHeight="false" outlineLevel="0" collapsed="false">
      <c r="A1573" s="33" t="s">
        <v>1767</v>
      </c>
      <c r="B1573" s="34" t="n">
        <v>45435</v>
      </c>
      <c r="C1573" s="34" t="n">
        <v>45436</v>
      </c>
      <c r="D1573" s="33" t="n">
        <v>57</v>
      </c>
      <c r="E1573" s="33" t="s">
        <v>154</v>
      </c>
      <c r="F1573" s="33" t="s">
        <v>203</v>
      </c>
      <c r="G1573" s="33" t="s">
        <v>217</v>
      </c>
      <c r="H1573" s="33" t="s">
        <v>233</v>
      </c>
      <c r="I1573" s="33" t="s">
        <v>143</v>
      </c>
      <c r="J1573" s="33" t="s">
        <v>159</v>
      </c>
      <c r="K1573" s="36"/>
      <c r="L1573" s="35" t="n">
        <v>983.66</v>
      </c>
      <c r="M1573" s="33" t="n">
        <v>4</v>
      </c>
      <c r="N1573" s="33" t="s">
        <v>146</v>
      </c>
      <c r="O1573" s="33" t="s">
        <v>147</v>
      </c>
    </row>
    <row r="1574" customFormat="false" ht="15" hidden="false" customHeight="false" outlineLevel="0" collapsed="false">
      <c r="A1574" s="33" t="s">
        <v>1768</v>
      </c>
      <c r="B1574" s="34" t="n">
        <v>45350</v>
      </c>
      <c r="C1574" s="34" t="n">
        <v>45353</v>
      </c>
      <c r="D1574" s="33" t="n">
        <v>44</v>
      </c>
      <c r="E1574" s="33" t="s">
        <v>154</v>
      </c>
      <c r="F1574" s="33" t="s">
        <v>173</v>
      </c>
      <c r="G1574" s="33" t="s">
        <v>198</v>
      </c>
      <c r="H1574" s="33" t="s">
        <v>199</v>
      </c>
      <c r="I1574" s="33" t="s">
        <v>143</v>
      </c>
      <c r="J1574" s="33" t="s">
        <v>159</v>
      </c>
      <c r="K1574" s="33" t="s">
        <v>145</v>
      </c>
      <c r="L1574" s="35" t="n">
        <v>7555.18</v>
      </c>
      <c r="M1574" s="33" t="n">
        <v>4</v>
      </c>
      <c r="N1574" s="33" t="s">
        <v>146</v>
      </c>
      <c r="O1574" s="33" t="s">
        <v>147</v>
      </c>
    </row>
    <row r="1575" customFormat="false" ht="15" hidden="false" customHeight="false" outlineLevel="0" collapsed="false">
      <c r="A1575" s="33" t="s">
        <v>1769</v>
      </c>
      <c r="B1575" s="34" t="n">
        <v>45599</v>
      </c>
      <c r="C1575" s="34" t="n">
        <v>45601</v>
      </c>
      <c r="D1575" s="33" t="n">
        <v>23</v>
      </c>
      <c r="E1575" s="33" t="s">
        <v>154</v>
      </c>
      <c r="F1575" s="33" t="s">
        <v>169</v>
      </c>
      <c r="G1575" s="33" t="s">
        <v>170</v>
      </c>
      <c r="H1575" s="33" t="s">
        <v>164</v>
      </c>
      <c r="I1575" s="33" t="s">
        <v>152</v>
      </c>
      <c r="J1575" s="33" t="s">
        <v>159</v>
      </c>
      <c r="K1575" s="33" t="s">
        <v>145</v>
      </c>
      <c r="L1575" s="35" t="n">
        <v>2278.9</v>
      </c>
      <c r="M1575" s="33" t="n">
        <v>5</v>
      </c>
      <c r="N1575" s="33" t="s">
        <v>146</v>
      </c>
      <c r="O1575" s="33" t="s">
        <v>147</v>
      </c>
    </row>
    <row r="1576" customFormat="false" ht="15" hidden="false" customHeight="false" outlineLevel="0" collapsed="false">
      <c r="A1576" s="33" t="s">
        <v>1770</v>
      </c>
      <c r="B1576" s="34" t="n">
        <v>45332</v>
      </c>
      <c r="C1576" s="34" t="n">
        <v>45340</v>
      </c>
      <c r="D1576" s="33" t="n">
        <v>46</v>
      </c>
      <c r="E1576" s="33" t="s">
        <v>279</v>
      </c>
      <c r="F1576" s="33" t="s">
        <v>226</v>
      </c>
      <c r="G1576" s="33" t="s">
        <v>386</v>
      </c>
      <c r="H1576" s="33" t="s">
        <v>228</v>
      </c>
      <c r="I1576" s="33" t="s">
        <v>152</v>
      </c>
      <c r="J1576" s="33" t="s">
        <v>159</v>
      </c>
      <c r="K1576" s="33" t="s">
        <v>145</v>
      </c>
      <c r="L1576" s="35" t="n">
        <v>28337.79</v>
      </c>
      <c r="M1576" s="33" t="n">
        <v>4</v>
      </c>
      <c r="N1576" s="33" t="s">
        <v>146</v>
      </c>
      <c r="O1576" s="33" t="s">
        <v>147</v>
      </c>
    </row>
    <row r="1577" customFormat="false" ht="15" hidden="false" customHeight="false" outlineLevel="0" collapsed="false">
      <c r="A1577" s="33" t="s">
        <v>1771</v>
      </c>
      <c r="B1577" s="34" t="n">
        <v>45554</v>
      </c>
      <c r="C1577" s="34" t="n">
        <v>45555</v>
      </c>
      <c r="D1577" s="33" t="n">
        <v>54</v>
      </c>
      <c r="E1577" s="33" t="s">
        <v>257</v>
      </c>
      <c r="F1577" s="33" t="s">
        <v>203</v>
      </c>
      <c r="G1577" s="33" t="s">
        <v>217</v>
      </c>
      <c r="H1577" s="33" t="s">
        <v>233</v>
      </c>
      <c r="I1577" s="33" t="s">
        <v>143</v>
      </c>
      <c r="J1577" s="33" t="s">
        <v>159</v>
      </c>
      <c r="K1577" s="33" t="s">
        <v>145</v>
      </c>
      <c r="L1577" s="35" t="n">
        <v>996.15</v>
      </c>
      <c r="M1577" s="33" t="n">
        <v>3</v>
      </c>
      <c r="N1577" s="33" t="s">
        <v>146</v>
      </c>
      <c r="O1577" s="33" t="s">
        <v>147</v>
      </c>
    </row>
    <row r="1578" customFormat="false" ht="15" hidden="false" customHeight="false" outlineLevel="0" collapsed="false">
      <c r="A1578" s="33" t="s">
        <v>1772</v>
      </c>
      <c r="B1578" s="34" t="n">
        <v>45505</v>
      </c>
      <c r="C1578" s="34" t="n">
        <v>45509</v>
      </c>
      <c r="D1578" s="33" t="n">
        <v>0</v>
      </c>
      <c r="E1578" s="33" t="s">
        <v>257</v>
      </c>
      <c r="F1578" s="33" t="s">
        <v>169</v>
      </c>
      <c r="G1578" s="33" t="s">
        <v>230</v>
      </c>
      <c r="H1578" s="33" t="s">
        <v>171</v>
      </c>
      <c r="I1578" s="33" t="s">
        <v>152</v>
      </c>
      <c r="J1578" s="33" t="s">
        <v>159</v>
      </c>
      <c r="K1578" s="33" t="s">
        <v>145</v>
      </c>
      <c r="L1578" s="35" t="n">
        <v>4632.06</v>
      </c>
      <c r="M1578" s="33" t="n">
        <v>4</v>
      </c>
      <c r="N1578" s="33" t="s">
        <v>146</v>
      </c>
      <c r="O1578" s="33" t="s">
        <v>147</v>
      </c>
    </row>
    <row r="1579" customFormat="false" ht="15" hidden="false" customHeight="false" outlineLevel="0" collapsed="false">
      <c r="A1579" s="33" t="s">
        <v>1773</v>
      </c>
      <c r="B1579" s="34" t="n">
        <v>45346</v>
      </c>
      <c r="C1579" s="34" t="n">
        <v>45348</v>
      </c>
      <c r="D1579" s="33" t="n">
        <v>60</v>
      </c>
      <c r="E1579" s="33" t="s">
        <v>154</v>
      </c>
      <c r="F1579" s="33" t="s">
        <v>140</v>
      </c>
      <c r="G1579" s="33" t="s">
        <v>141</v>
      </c>
      <c r="H1579" s="33" t="s">
        <v>142</v>
      </c>
      <c r="I1579" s="33" t="s">
        <v>143</v>
      </c>
      <c r="J1579" s="33" t="s">
        <v>159</v>
      </c>
      <c r="K1579" s="33" t="s">
        <v>160</v>
      </c>
      <c r="L1579" s="35" t="n">
        <v>4306.29</v>
      </c>
      <c r="M1579" s="33" t="n">
        <v>4</v>
      </c>
      <c r="N1579" s="33" t="s">
        <v>146</v>
      </c>
      <c r="O1579" s="33" t="s">
        <v>147</v>
      </c>
    </row>
    <row r="1580" customFormat="false" ht="15" hidden="false" customHeight="false" outlineLevel="0" collapsed="false">
      <c r="A1580" s="33" t="s">
        <v>1774</v>
      </c>
      <c r="B1580" s="34" t="n">
        <v>45503</v>
      </c>
      <c r="C1580" s="34" t="n">
        <v>45508</v>
      </c>
      <c r="D1580" s="33" t="n">
        <v>88</v>
      </c>
      <c r="E1580" s="33" t="s">
        <v>154</v>
      </c>
      <c r="F1580" s="33" t="s">
        <v>169</v>
      </c>
      <c r="G1580" s="33" t="s">
        <v>170</v>
      </c>
      <c r="H1580" s="33" t="s">
        <v>164</v>
      </c>
      <c r="I1580" s="33" t="s">
        <v>152</v>
      </c>
      <c r="J1580" s="33" t="s">
        <v>159</v>
      </c>
      <c r="K1580" s="33" t="s">
        <v>145</v>
      </c>
      <c r="L1580" s="35" t="n">
        <v>5503.08</v>
      </c>
      <c r="M1580" s="33" t="n">
        <v>5</v>
      </c>
      <c r="N1580" s="33" t="s">
        <v>146</v>
      </c>
      <c r="O1580" s="33" t="s">
        <v>147</v>
      </c>
    </row>
    <row r="1581" customFormat="false" ht="15" hidden="false" customHeight="false" outlineLevel="0" collapsed="false">
      <c r="A1581" s="33" t="s">
        <v>1775</v>
      </c>
      <c r="B1581" s="34" t="n">
        <v>45417</v>
      </c>
      <c r="C1581" s="34" t="n">
        <v>45421</v>
      </c>
      <c r="D1581" s="33" t="n">
        <v>24</v>
      </c>
      <c r="E1581" s="33" t="s">
        <v>154</v>
      </c>
      <c r="F1581" s="33" t="s">
        <v>140</v>
      </c>
      <c r="G1581" s="33" t="s">
        <v>167</v>
      </c>
      <c r="H1581" s="33" t="s">
        <v>290</v>
      </c>
      <c r="I1581" s="33" t="s">
        <v>143</v>
      </c>
      <c r="J1581" s="33" t="s">
        <v>159</v>
      </c>
      <c r="K1581" s="33" t="s">
        <v>184</v>
      </c>
      <c r="L1581" s="35" t="n">
        <v>7999.93</v>
      </c>
      <c r="M1581" s="33" t="n">
        <v>5</v>
      </c>
      <c r="N1581" s="33" t="s">
        <v>146</v>
      </c>
      <c r="O1581" s="33" t="s">
        <v>147</v>
      </c>
    </row>
    <row r="1582" customFormat="false" ht="15" hidden="false" customHeight="false" outlineLevel="0" collapsed="false">
      <c r="A1582" s="33" t="s">
        <v>1776</v>
      </c>
      <c r="B1582" s="34" t="n">
        <v>45341</v>
      </c>
      <c r="C1582" s="34" t="n">
        <v>45343</v>
      </c>
      <c r="D1582" s="33" t="n">
        <v>63</v>
      </c>
      <c r="E1582" s="33" t="s">
        <v>154</v>
      </c>
      <c r="F1582" s="33" t="s">
        <v>334</v>
      </c>
      <c r="G1582" s="33" t="s">
        <v>204</v>
      </c>
      <c r="H1582" s="33" t="s">
        <v>205</v>
      </c>
      <c r="I1582" s="33" t="s">
        <v>158</v>
      </c>
      <c r="J1582" s="33" t="s">
        <v>159</v>
      </c>
      <c r="K1582" s="33" t="s">
        <v>160</v>
      </c>
      <c r="L1582" s="35" t="n">
        <v>1920.9</v>
      </c>
      <c r="M1582" s="33" t="n">
        <v>3</v>
      </c>
      <c r="N1582" s="33" t="s">
        <v>146</v>
      </c>
      <c r="O1582" s="33" t="s">
        <v>147</v>
      </c>
    </row>
    <row r="1583" customFormat="false" ht="15" hidden="false" customHeight="false" outlineLevel="0" collapsed="false">
      <c r="A1583" s="33" t="s">
        <v>1777</v>
      </c>
      <c r="B1583" s="34" t="n">
        <v>45484</v>
      </c>
      <c r="C1583" s="34" t="n">
        <v>45485</v>
      </c>
      <c r="D1583" s="33" t="n">
        <v>45</v>
      </c>
      <c r="E1583" s="33" t="s">
        <v>139</v>
      </c>
      <c r="F1583" s="33" t="s">
        <v>334</v>
      </c>
      <c r="G1583" s="33" t="s">
        <v>217</v>
      </c>
      <c r="H1583" s="33" t="s">
        <v>233</v>
      </c>
      <c r="I1583" s="33" t="s">
        <v>143</v>
      </c>
      <c r="J1583" s="33" t="s">
        <v>144</v>
      </c>
      <c r="K1583" s="33" t="s">
        <v>209</v>
      </c>
      <c r="L1583" s="35" t="n">
        <v>1655.78</v>
      </c>
      <c r="M1583" s="33" t="n">
        <v>3</v>
      </c>
      <c r="N1583" s="33" t="s">
        <v>146</v>
      </c>
      <c r="O1583" s="33" t="s">
        <v>147</v>
      </c>
    </row>
    <row r="1584" customFormat="false" ht="15" hidden="false" customHeight="false" outlineLevel="0" collapsed="false">
      <c r="A1584" s="33" t="s">
        <v>1778</v>
      </c>
      <c r="B1584" s="34" t="n">
        <v>45442</v>
      </c>
      <c r="C1584" s="34" t="n">
        <v>45445</v>
      </c>
      <c r="D1584" s="33" t="n">
        <v>1</v>
      </c>
      <c r="E1584" s="33" t="s">
        <v>139</v>
      </c>
      <c r="F1584" s="33" t="s">
        <v>155</v>
      </c>
      <c r="G1584" s="33" t="s">
        <v>156</v>
      </c>
      <c r="H1584" s="33" t="s">
        <v>157</v>
      </c>
      <c r="I1584" s="33" t="s">
        <v>152</v>
      </c>
      <c r="J1584" s="33" t="s">
        <v>159</v>
      </c>
      <c r="K1584" s="33" t="s">
        <v>160</v>
      </c>
      <c r="L1584" s="35" t="n">
        <v>2143.66</v>
      </c>
      <c r="M1584" s="33" t="n">
        <v>4</v>
      </c>
      <c r="N1584" s="33" t="s">
        <v>146</v>
      </c>
      <c r="O1584" s="33" t="s">
        <v>147</v>
      </c>
    </row>
    <row r="1585" customFormat="false" ht="15" hidden="false" customHeight="false" outlineLevel="0" collapsed="false">
      <c r="A1585" s="33" t="s">
        <v>1779</v>
      </c>
      <c r="B1585" s="34" t="n">
        <v>45380</v>
      </c>
      <c r="C1585" s="34" t="n">
        <v>45381</v>
      </c>
      <c r="D1585" s="36"/>
      <c r="E1585" s="33" t="s">
        <v>154</v>
      </c>
      <c r="F1585" s="33" t="s">
        <v>140</v>
      </c>
      <c r="G1585" s="33" t="s">
        <v>141</v>
      </c>
      <c r="H1585" s="33" t="s">
        <v>142</v>
      </c>
      <c r="I1585" s="33" t="s">
        <v>143</v>
      </c>
      <c r="J1585" s="33" t="s">
        <v>144</v>
      </c>
      <c r="K1585" s="33" t="s">
        <v>160</v>
      </c>
      <c r="L1585" s="35" t="n">
        <v>3790.64</v>
      </c>
      <c r="M1585" s="33" t="n">
        <v>4</v>
      </c>
      <c r="N1585" s="33" t="s">
        <v>146</v>
      </c>
      <c r="O1585" s="33" t="s">
        <v>147</v>
      </c>
    </row>
    <row r="1586" customFormat="false" ht="15" hidden="false" customHeight="false" outlineLevel="0" collapsed="false">
      <c r="A1586" s="33" t="s">
        <v>1780</v>
      </c>
      <c r="B1586" s="34" t="n">
        <v>45325</v>
      </c>
      <c r="C1586" s="34" t="n">
        <v>45331</v>
      </c>
      <c r="D1586" s="33" t="n">
        <v>24</v>
      </c>
      <c r="E1586" s="33" t="s">
        <v>154</v>
      </c>
      <c r="F1586" s="33" t="s">
        <v>169</v>
      </c>
      <c r="G1586" s="33" t="s">
        <v>163</v>
      </c>
      <c r="H1586" s="33" t="s">
        <v>195</v>
      </c>
      <c r="I1586" s="33" t="s">
        <v>143</v>
      </c>
      <c r="J1586" s="33" t="s">
        <v>176</v>
      </c>
      <c r="K1586" s="33" t="s">
        <v>145</v>
      </c>
      <c r="L1586" s="35" t="n">
        <v>19938.42</v>
      </c>
      <c r="M1586" s="33" t="n">
        <v>3</v>
      </c>
      <c r="N1586" s="33" t="s">
        <v>146</v>
      </c>
      <c r="O1586" s="33" t="s">
        <v>147</v>
      </c>
    </row>
    <row r="1587" customFormat="false" ht="15" hidden="false" customHeight="false" outlineLevel="0" collapsed="false">
      <c r="A1587" s="33" t="s">
        <v>1781</v>
      </c>
      <c r="B1587" s="34" t="n">
        <v>45655</v>
      </c>
      <c r="C1587" s="34" t="n">
        <v>45658</v>
      </c>
      <c r="D1587" s="33" t="n">
        <v>18</v>
      </c>
      <c r="E1587" s="33" t="s">
        <v>154</v>
      </c>
      <c r="F1587" s="33" t="s">
        <v>140</v>
      </c>
      <c r="G1587" s="33" t="s">
        <v>141</v>
      </c>
      <c r="H1587" s="33" t="s">
        <v>142</v>
      </c>
      <c r="I1587" s="33" t="s">
        <v>152</v>
      </c>
      <c r="J1587" s="33" t="s">
        <v>144</v>
      </c>
      <c r="K1587" s="33" t="s">
        <v>184</v>
      </c>
      <c r="L1587" s="35" t="n">
        <v>10846.19</v>
      </c>
      <c r="M1587" s="36" t="n">
        <v>6</v>
      </c>
      <c r="N1587" s="33" t="s">
        <v>146</v>
      </c>
      <c r="O1587" s="33" t="s">
        <v>147</v>
      </c>
    </row>
    <row r="1588" customFormat="false" ht="15" hidden="false" customHeight="false" outlineLevel="0" collapsed="false">
      <c r="A1588" s="33" t="s">
        <v>1782</v>
      </c>
      <c r="B1588" s="34" t="n">
        <v>45340</v>
      </c>
      <c r="C1588" s="34" t="n">
        <v>45345</v>
      </c>
      <c r="D1588" s="33" t="n">
        <v>0</v>
      </c>
      <c r="E1588" s="33" t="s">
        <v>190</v>
      </c>
      <c r="F1588" s="33" t="s">
        <v>173</v>
      </c>
      <c r="G1588" s="33" t="s">
        <v>178</v>
      </c>
      <c r="H1588" s="33" t="s">
        <v>199</v>
      </c>
      <c r="I1588" s="33" t="s">
        <v>152</v>
      </c>
      <c r="J1588" s="33" t="s">
        <v>159</v>
      </c>
      <c r="K1588" s="33" t="s">
        <v>160</v>
      </c>
      <c r="L1588" s="35" t="n">
        <v>11002.13</v>
      </c>
      <c r="M1588" s="33" t="n">
        <v>3</v>
      </c>
      <c r="N1588" s="33" t="s">
        <v>146</v>
      </c>
      <c r="O1588" s="33" t="s">
        <v>147</v>
      </c>
    </row>
    <row r="1589" customFormat="false" ht="15" hidden="false" customHeight="false" outlineLevel="0" collapsed="false">
      <c r="A1589" s="33" t="s">
        <v>1783</v>
      </c>
      <c r="B1589" s="34" t="n">
        <v>45326</v>
      </c>
      <c r="C1589" s="34" t="n">
        <v>45330</v>
      </c>
      <c r="D1589" s="33" t="n">
        <v>49</v>
      </c>
      <c r="E1589" s="33" t="s">
        <v>139</v>
      </c>
      <c r="F1589" s="33" t="s">
        <v>181</v>
      </c>
      <c r="G1589" s="33" t="s">
        <v>188</v>
      </c>
      <c r="H1589" s="33" t="s">
        <v>183</v>
      </c>
      <c r="I1589" s="33" t="s">
        <v>158</v>
      </c>
      <c r="J1589" s="33" t="s">
        <v>159</v>
      </c>
      <c r="K1589" s="33" t="s">
        <v>145</v>
      </c>
      <c r="L1589" s="35" t="n">
        <v>10778.97</v>
      </c>
      <c r="M1589" s="33" t="n">
        <v>4</v>
      </c>
      <c r="N1589" s="33" t="s">
        <v>146</v>
      </c>
      <c r="O1589" s="33" t="s">
        <v>147</v>
      </c>
    </row>
    <row r="1590" customFormat="false" ht="15" hidden="false" customHeight="false" outlineLevel="0" collapsed="false">
      <c r="A1590" s="33" t="s">
        <v>1784</v>
      </c>
      <c r="B1590" s="34" t="n">
        <v>45419</v>
      </c>
      <c r="C1590" s="34" t="n">
        <v>45424</v>
      </c>
      <c r="D1590" s="33" t="n">
        <v>50</v>
      </c>
      <c r="E1590" s="33" t="s">
        <v>180</v>
      </c>
      <c r="F1590" s="33" t="s">
        <v>181</v>
      </c>
      <c r="G1590" s="33" t="s">
        <v>182</v>
      </c>
      <c r="H1590" s="33" t="s">
        <v>245</v>
      </c>
      <c r="I1590" s="33" t="s">
        <v>143</v>
      </c>
      <c r="J1590" s="33" t="s">
        <v>159</v>
      </c>
      <c r="K1590" s="33" t="s">
        <v>145</v>
      </c>
      <c r="L1590" s="35" t="n">
        <v>10491.51</v>
      </c>
      <c r="M1590" s="33" t="n">
        <v>3</v>
      </c>
      <c r="N1590" s="33" t="s">
        <v>146</v>
      </c>
      <c r="O1590" s="33" t="s">
        <v>147</v>
      </c>
    </row>
    <row r="1591" customFormat="false" ht="15" hidden="false" customHeight="false" outlineLevel="0" collapsed="false">
      <c r="A1591" s="33" t="s">
        <v>1785</v>
      </c>
      <c r="B1591" s="34" t="n">
        <v>45357</v>
      </c>
      <c r="C1591" s="34" t="n">
        <v>45359</v>
      </c>
      <c r="D1591" s="33" t="n">
        <v>31</v>
      </c>
      <c r="E1591" s="33" t="s">
        <v>139</v>
      </c>
      <c r="F1591" s="33" t="s">
        <v>149</v>
      </c>
      <c r="G1591" s="33" t="s">
        <v>224</v>
      </c>
      <c r="H1591" s="33" t="s">
        <v>151</v>
      </c>
      <c r="I1591" s="33" t="s">
        <v>152</v>
      </c>
      <c r="J1591" s="33" t="s">
        <v>159</v>
      </c>
      <c r="K1591" s="33" t="s">
        <v>160</v>
      </c>
      <c r="L1591" s="35" t="n">
        <v>2603.57</v>
      </c>
      <c r="M1591" s="33" t="n">
        <v>3</v>
      </c>
      <c r="N1591" s="33" t="s">
        <v>146</v>
      </c>
      <c r="O1591" s="33" t="s">
        <v>247</v>
      </c>
    </row>
    <row r="1592" customFormat="false" ht="15" hidden="false" customHeight="false" outlineLevel="0" collapsed="false">
      <c r="A1592" s="33" t="s">
        <v>1786</v>
      </c>
      <c r="B1592" s="34" t="n">
        <v>45614</v>
      </c>
      <c r="C1592" s="34" t="n">
        <v>45619</v>
      </c>
      <c r="D1592" s="36" t="n">
        <v>999</v>
      </c>
      <c r="E1592" s="33" t="s">
        <v>139</v>
      </c>
      <c r="F1592" s="33" t="s">
        <v>140</v>
      </c>
      <c r="G1592" s="33" t="s">
        <v>316</v>
      </c>
      <c r="H1592" s="33" t="s">
        <v>142</v>
      </c>
      <c r="I1592" s="33" t="s">
        <v>152</v>
      </c>
      <c r="J1592" s="33" t="s">
        <v>159</v>
      </c>
      <c r="K1592" s="33" t="s">
        <v>145</v>
      </c>
      <c r="L1592" s="35" t="n">
        <v>9221.17</v>
      </c>
      <c r="M1592" s="33" t="n">
        <v>4</v>
      </c>
      <c r="N1592" s="33" t="s">
        <v>146</v>
      </c>
      <c r="O1592" s="33" t="s">
        <v>147</v>
      </c>
    </row>
    <row r="1593" customFormat="false" ht="15" hidden="false" customHeight="false" outlineLevel="0" collapsed="false">
      <c r="A1593" s="33" t="s">
        <v>1787</v>
      </c>
      <c r="B1593" s="34" t="n">
        <v>45535</v>
      </c>
      <c r="C1593" s="34" t="n">
        <v>45537</v>
      </c>
      <c r="D1593" s="33" t="n">
        <v>19</v>
      </c>
      <c r="E1593" s="33" t="s">
        <v>154</v>
      </c>
      <c r="F1593" s="33" t="s">
        <v>140</v>
      </c>
      <c r="G1593" s="33" t="s">
        <v>141</v>
      </c>
      <c r="H1593" s="33" t="s">
        <v>142</v>
      </c>
      <c r="I1593" s="33" t="s">
        <v>143</v>
      </c>
      <c r="J1593" s="33" t="s">
        <v>159</v>
      </c>
      <c r="K1593" s="33" t="s">
        <v>160</v>
      </c>
      <c r="L1593" s="35" t="n">
        <v>4917.54</v>
      </c>
      <c r="M1593" s="33" t="n">
        <v>4</v>
      </c>
      <c r="N1593" s="33" t="s">
        <v>146</v>
      </c>
      <c r="O1593" s="33" t="s">
        <v>147</v>
      </c>
    </row>
    <row r="1594" customFormat="false" ht="15" hidden="false" customHeight="false" outlineLevel="0" collapsed="false">
      <c r="A1594" s="33" t="s">
        <v>1788</v>
      </c>
      <c r="B1594" s="34" t="n">
        <v>45543</v>
      </c>
      <c r="C1594" s="34" t="n">
        <v>45544</v>
      </c>
      <c r="D1594" s="33" t="n">
        <v>33</v>
      </c>
      <c r="E1594" s="33" t="s">
        <v>154</v>
      </c>
      <c r="F1594" s="33" t="s">
        <v>140</v>
      </c>
      <c r="G1594" s="33" t="s">
        <v>141</v>
      </c>
      <c r="H1594" s="33" t="s">
        <v>142</v>
      </c>
      <c r="I1594" s="33" t="s">
        <v>152</v>
      </c>
      <c r="J1594" s="33" t="s">
        <v>159</v>
      </c>
      <c r="K1594" s="33" t="s">
        <v>145</v>
      </c>
      <c r="L1594" s="35" t="n">
        <v>1888.02</v>
      </c>
      <c r="M1594" s="33" t="n">
        <v>4</v>
      </c>
      <c r="N1594" s="33" t="s">
        <v>146</v>
      </c>
      <c r="O1594" s="33" t="s">
        <v>147</v>
      </c>
    </row>
    <row r="1595" customFormat="false" ht="15" hidden="false" customHeight="false" outlineLevel="0" collapsed="false">
      <c r="A1595" s="33" t="s">
        <v>1789</v>
      </c>
      <c r="B1595" s="34" t="n">
        <v>45348</v>
      </c>
      <c r="C1595" s="34" t="n">
        <v>45350</v>
      </c>
      <c r="D1595" s="33" t="n">
        <v>62</v>
      </c>
      <c r="E1595" s="33" t="s">
        <v>139</v>
      </c>
      <c r="F1595" s="33" t="s">
        <v>191</v>
      </c>
      <c r="G1595" s="33" t="s">
        <v>232</v>
      </c>
      <c r="H1595" s="33" t="s">
        <v>233</v>
      </c>
      <c r="I1595" s="33" t="s">
        <v>143</v>
      </c>
      <c r="J1595" s="33" t="s">
        <v>144</v>
      </c>
      <c r="K1595" s="33" t="s">
        <v>160</v>
      </c>
      <c r="L1595" s="35" t="n">
        <v>3535.23</v>
      </c>
      <c r="M1595" s="33" t="n">
        <v>4</v>
      </c>
      <c r="N1595" s="33" t="s">
        <v>146</v>
      </c>
      <c r="O1595" s="33" t="s">
        <v>147</v>
      </c>
    </row>
    <row r="1596" customFormat="false" ht="15" hidden="false" customHeight="false" outlineLevel="0" collapsed="false">
      <c r="A1596" s="33" t="s">
        <v>1790</v>
      </c>
      <c r="B1596" s="34" t="n">
        <v>45401</v>
      </c>
      <c r="C1596" s="34" t="n">
        <v>45403</v>
      </c>
      <c r="D1596" s="33" t="n">
        <v>27</v>
      </c>
      <c r="E1596" s="33" t="s">
        <v>154</v>
      </c>
      <c r="F1596" s="33" t="s">
        <v>203</v>
      </c>
      <c r="G1596" s="33" t="s">
        <v>217</v>
      </c>
      <c r="H1596" s="33" t="s">
        <v>205</v>
      </c>
      <c r="I1596" s="33" t="s">
        <v>143</v>
      </c>
      <c r="J1596" s="33" t="s">
        <v>159</v>
      </c>
      <c r="K1596" s="33" t="s">
        <v>184</v>
      </c>
      <c r="L1596" s="35" t="n">
        <v>1541.02</v>
      </c>
      <c r="M1596" s="33" t="n">
        <v>4</v>
      </c>
      <c r="N1596" s="33" t="s">
        <v>146</v>
      </c>
      <c r="O1596" s="33" t="s">
        <v>147</v>
      </c>
    </row>
    <row r="1597" customFormat="false" ht="15" hidden="false" customHeight="false" outlineLevel="0" collapsed="false">
      <c r="A1597" s="33" t="s">
        <v>1791</v>
      </c>
      <c r="B1597" s="34" t="n">
        <v>45482</v>
      </c>
      <c r="C1597" s="34" t="n">
        <v>45486</v>
      </c>
      <c r="D1597" s="33" t="n">
        <v>29</v>
      </c>
      <c r="E1597" s="33" t="s">
        <v>154</v>
      </c>
      <c r="F1597" s="33" t="s">
        <v>173</v>
      </c>
      <c r="G1597" s="33" t="s">
        <v>178</v>
      </c>
      <c r="H1597" s="33" t="s">
        <v>199</v>
      </c>
      <c r="I1597" s="33" t="s">
        <v>152</v>
      </c>
      <c r="J1597" s="33" t="s">
        <v>176</v>
      </c>
      <c r="K1597" s="33" t="s">
        <v>145</v>
      </c>
      <c r="L1597" s="35" t="n">
        <v>33390.22</v>
      </c>
      <c r="M1597" s="33" t="n">
        <v>5</v>
      </c>
      <c r="N1597" s="33" t="s">
        <v>146</v>
      </c>
      <c r="O1597" s="33" t="s">
        <v>147</v>
      </c>
    </row>
    <row r="1598" customFormat="false" ht="15" hidden="false" customHeight="false" outlineLevel="0" collapsed="false">
      <c r="A1598" s="33" t="s">
        <v>1792</v>
      </c>
      <c r="B1598" s="34" t="n">
        <v>45596</v>
      </c>
      <c r="C1598" s="34" t="n">
        <v>45607</v>
      </c>
      <c r="D1598" s="33" t="n">
        <v>54</v>
      </c>
      <c r="E1598" s="33" t="s">
        <v>139</v>
      </c>
      <c r="F1598" s="33" t="s">
        <v>181</v>
      </c>
      <c r="G1598" s="33" t="s">
        <v>182</v>
      </c>
      <c r="H1598" s="33" t="s">
        <v>245</v>
      </c>
      <c r="I1598" s="33" t="s">
        <v>143</v>
      </c>
      <c r="J1598" s="33" t="s">
        <v>176</v>
      </c>
      <c r="K1598" s="33" t="s">
        <v>145</v>
      </c>
      <c r="L1598" s="35" t="n">
        <v>103193.96</v>
      </c>
      <c r="M1598" s="33" t="n">
        <v>2</v>
      </c>
      <c r="N1598" s="33" t="s">
        <v>146</v>
      </c>
      <c r="O1598" s="33" t="s">
        <v>147</v>
      </c>
    </row>
    <row r="1599" customFormat="false" ht="15" hidden="false" customHeight="false" outlineLevel="0" collapsed="false">
      <c r="A1599" s="33" t="s">
        <v>1793</v>
      </c>
      <c r="B1599" s="34" t="n">
        <v>45586</v>
      </c>
      <c r="C1599" s="34" t="n">
        <v>45588</v>
      </c>
      <c r="D1599" s="33" t="n">
        <v>11</v>
      </c>
      <c r="E1599" s="33" t="s">
        <v>154</v>
      </c>
      <c r="F1599" s="33" t="s">
        <v>155</v>
      </c>
      <c r="G1599" s="33" t="s">
        <v>220</v>
      </c>
      <c r="H1599" s="33" t="s">
        <v>222</v>
      </c>
      <c r="I1599" s="33" t="s">
        <v>143</v>
      </c>
      <c r="J1599" s="33" t="s">
        <v>159</v>
      </c>
      <c r="K1599" s="33" t="s">
        <v>160</v>
      </c>
      <c r="L1599" s="35" t="n">
        <v>1371.39</v>
      </c>
      <c r="M1599" s="33" t="n">
        <v>4</v>
      </c>
      <c r="N1599" s="33" t="s">
        <v>146</v>
      </c>
      <c r="O1599" s="33" t="s">
        <v>147</v>
      </c>
    </row>
    <row r="1600" customFormat="false" ht="15" hidden="false" customHeight="false" outlineLevel="0" collapsed="false">
      <c r="A1600" s="33" t="s">
        <v>1794</v>
      </c>
      <c r="B1600" s="34" t="n">
        <v>45577</v>
      </c>
      <c r="C1600" s="34" t="n">
        <v>45578</v>
      </c>
      <c r="D1600" s="33" t="n">
        <v>90</v>
      </c>
      <c r="E1600" s="33" t="s">
        <v>139</v>
      </c>
      <c r="F1600" s="33" t="s">
        <v>181</v>
      </c>
      <c r="G1600" s="33" t="s">
        <v>182</v>
      </c>
      <c r="H1600" s="33" t="s">
        <v>183</v>
      </c>
      <c r="I1600" s="33" t="s">
        <v>143</v>
      </c>
      <c r="J1600" s="33" t="s">
        <v>159</v>
      </c>
      <c r="K1600" s="33" t="s">
        <v>145</v>
      </c>
      <c r="L1600" s="35" t="n">
        <v>2570.53</v>
      </c>
      <c r="M1600" s="33" t="n">
        <v>4</v>
      </c>
      <c r="N1600" s="33" t="s">
        <v>146</v>
      </c>
      <c r="O1600" s="33" t="s">
        <v>147</v>
      </c>
    </row>
    <row r="1601" customFormat="false" ht="15" hidden="false" customHeight="false" outlineLevel="0" collapsed="false">
      <c r="A1601" s="33" t="s">
        <v>1795</v>
      </c>
      <c r="B1601" s="34" t="n">
        <v>45337</v>
      </c>
      <c r="C1601" s="34" t="n">
        <v>45340</v>
      </c>
      <c r="D1601" s="33" t="n">
        <v>70</v>
      </c>
      <c r="E1601" s="33" t="s">
        <v>154</v>
      </c>
      <c r="F1601" s="33" t="s">
        <v>169</v>
      </c>
      <c r="G1601" s="33" t="s">
        <v>230</v>
      </c>
      <c r="H1601" s="33" t="s">
        <v>195</v>
      </c>
      <c r="I1601" s="33" t="s">
        <v>152</v>
      </c>
      <c r="J1601" s="33" t="s">
        <v>159</v>
      </c>
      <c r="K1601" s="33" t="s">
        <v>145</v>
      </c>
      <c r="L1601" s="35" t="n">
        <v>2368.16</v>
      </c>
      <c r="M1601" s="33" t="n">
        <v>4</v>
      </c>
      <c r="N1601" s="33" t="s">
        <v>146</v>
      </c>
      <c r="O1601" s="33" t="s">
        <v>206</v>
      </c>
    </row>
    <row r="1602" customFormat="false" ht="15" hidden="false" customHeight="false" outlineLevel="0" collapsed="false">
      <c r="A1602" s="33" t="s">
        <v>1796</v>
      </c>
      <c r="B1602" s="34" t="n">
        <v>45318</v>
      </c>
      <c r="C1602" s="34" t="n">
        <v>45320</v>
      </c>
      <c r="D1602" s="33" t="n">
        <v>36</v>
      </c>
      <c r="E1602" s="33" t="s">
        <v>154</v>
      </c>
      <c r="F1602" s="33" t="s">
        <v>140</v>
      </c>
      <c r="G1602" s="33" t="s">
        <v>141</v>
      </c>
      <c r="H1602" s="33" t="s">
        <v>290</v>
      </c>
      <c r="I1602" s="33" t="s">
        <v>152</v>
      </c>
      <c r="J1602" s="33" t="s">
        <v>159</v>
      </c>
      <c r="K1602" s="33" t="s">
        <v>160</v>
      </c>
      <c r="L1602" s="35" t="n">
        <v>4315.97</v>
      </c>
      <c r="M1602" s="33" t="n">
        <v>5</v>
      </c>
      <c r="N1602" s="33" t="s">
        <v>146</v>
      </c>
      <c r="O1602" s="33" t="s">
        <v>147</v>
      </c>
    </row>
    <row r="1603" customFormat="false" ht="15" hidden="false" customHeight="false" outlineLevel="0" collapsed="false">
      <c r="A1603" s="33" t="s">
        <v>1797</v>
      </c>
      <c r="B1603" s="34" t="n">
        <v>45496</v>
      </c>
      <c r="C1603" s="34" t="n">
        <v>45510</v>
      </c>
      <c r="D1603" s="33" t="n">
        <v>49</v>
      </c>
      <c r="E1603" s="33" t="s">
        <v>139</v>
      </c>
      <c r="F1603" s="33" t="s">
        <v>181</v>
      </c>
      <c r="G1603" s="33" t="s">
        <v>188</v>
      </c>
      <c r="H1603" s="33" t="s">
        <v>183</v>
      </c>
      <c r="I1603" s="33" t="s">
        <v>143</v>
      </c>
      <c r="J1603" s="33" t="s">
        <v>144</v>
      </c>
      <c r="K1603" s="33" t="s">
        <v>184</v>
      </c>
      <c r="L1603" s="35" t="n">
        <v>51031.08</v>
      </c>
      <c r="M1603" s="33" t="n">
        <v>3</v>
      </c>
      <c r="N1603" s="33" t="s">
        <v>146</v>
      </c>
      <c r="O1603" s="33" t="s">
        <v>147</v>
      </c>
    </row>
    <row r="1604" customFormat="false" ht="15" hidden="false" customHeight="false" outlineLevel="0" collapsed="false">
      <c r="A1604" s="33" t="s">
        <v>1798</v>
      </c>
      <c r="B1604" s="34" t="n">
        <v>45614</v>
      </c>
      <c r="C1604" s="34" t="n">
        <v>45618</v>
      </c>
      <c r="D1604" s="33" t="n">
        <v>59</v>
      </c>
      <c r="E1604" s="33" t="s">
        <v>139</v>
      </c>
      <c r="F1604" s="33" t="s">
        <v>140</v>
      </c>
      <c r="G1604" s="33" t="s">
        <v>141</v>
      </c>
      <c r="H1604" s="33" t="s">
        <v>290</v>
      </c>
      <c r="I1604" s="33" t="s">
        <v>143</v>
      </c>
      <c r="J1604" s="33" t="s">
        <v>176</v>
      </c>
      <c r="K1604" s="33" t="s">
        <v>209</v>
      </c>
      <c r="L1604" s="35" t="n">
        <v>29419.73</v>
      </c>
      <c r="M1604" s="33" t="n">
        <v>3</v>
      </c>
      <c r="N1604" s="33" t="s">
        <v>146</v>
      </c>
      <c r="O1604" s="33" t="s">
        <v>147</v>
      </c>
    </row>
    <row r="1605" customFormat="false" ht="15" hidden="false" customHeight="false" outlineLevel="0" collapsed="false">
      <c r="A1605" s="33" t="s">
        <v>1799</v>
      </c>
      <c r="B1605" s="34" t="n">
        <v>45476</v>
      </c>
      <c r="C1605" s="34" t="n">
        <v>45478</v>
      </c>
      <c r="D1605" s="33" t="n">
        <v>47</v>
      </c>
      <c r="E1605" s="33" t="s">
        <v>139</v>
      </c>
      <c r="F1605" s="33" t="s">
        <v>140</v>
      </c>
      <c r="G1605" s="33" t="s">
        <v>316</v>
      </c>
      <c r="H1605" s="33" t="s">
        <v>290</v>
      </c>
      <c r="I1605" s="33" t="s">
        <v>152</v>
      </c>
      <c r="J1605" s="33" t="s">
        <v>159</v>
      </c>
      <c r="K1605" s="33" t="s">
        <v>145</v>
      </c>
      <c r="L1605" s="35" t="n">
        <v>4391.51</v>
      </c>
      <c r="M1605" s="33" t="n">
        <v>5</v>
      </c>
      <c r="N1605" s="33" t="s">
        <v>146</v>
      </c>
      <c r="O1605" s="33" t="s">
        <v>147</v>
      </c>
    </row>
    <row r="1606" customFormat="false" ht="15" hidden="false" customHeight="false" outlineLevel="0" collapsed="false">
      <c r="A1606" s="33" t="s">
        <v>1800</v>
      </c>
      <c r="B1606" s="34" t="n">
        <v>45355</v>
      </c>
      <c r="C1606" s="34" t="n">
        <v>45357</v>
      </c>
      <c r="D1606" s="33" t="n">
        <v>6</v>
      </c>
      <c r="E1606" s="33" t="s">
        <v>154</v>
      </c>
      <c r="F1606" s="33" t="s">
        <v>155</v>
      </c>
      <c r="G1606" s="33" t="s">
        <v>220</v>
      </c>
      <c r="H1606" s="33" t="s">
        <v>222</v>
      </c>
      <c r="I1606" s="33" t="s">
        <v>158</v>
      </c>
      <c r="J1606" s="33" t="s">
        <v>159</v>
      </c>
      <c r="K1606" s="33" t="s">
        <v>145</v>
      </c>
      <c r="L1606" s="35" t="n">
        <v>1470.43</v>
      </c>
      <c r="M1606" s="33" t="n">
        <v>4</v>
      </c>
      <c r="N1606" s="33" t="s">
        <v>146</v>
      </c>
      <c r="O1606" s="33" t="s">
        <v>147</v>
      </c>
    </row>
    <row r="1607" customFormat="false" ht="15" hidden="false" customHeight="false" outlineLevel="0" collapsed="false">
      <c r="A1607" s="33" t="s">
        <v>458</v>
      </c>
      <c r="B1607" s="34" t="n">
        <v>45481</v>
      </c>
      <c r="C1607" s="34" t="n">
        <v>45482</v>
      </c>
      <c r="D1607" s="33" t="n">
        <v>41</v>
      </c>
      <c r="E1607" s="33" t="s">
        <v>139</v>
      </c>
      <c r="F1607" s="33" t="s">
        <v>203</v>
      </c>
      <c r="G1607" s="33" t="s">
        <v>192</v>
      </c>
      <c r="H1607" s="33" t="s">
        <v>193</v>
      </c>
      <c r="I1607" s="33" t="s">
        <v>143</v>
      </c>
      <c r="J1607" s="33" t="s">
        <v>159</v>
      </c>
      <c r="K1607" s="33" t="s">
        <v>145</v>
      </c>
      <c r="L1607" s="35" t="n">
        <v>931</v>
      </c>
      <c r="M1607" s="33" t="n">
        <v>3</v>
      </c>
      <c r="N1607" s="33" t="s">
        <v>146</v>
      </c>
      <c r="O1607" s="33" t="s">
        <v>147</v>
      </c>
    </row>
    <row r="1608" customFormat="false" ht="15" hidden="false" customHeight="false" outlineLevel="0" collapsed="false">
      <c r="A1608" s="33" t="s">
        <v>1801</v>
      </c>
      <c r="B1608" s="34" t="n">
        <v>45409</v>
      </c>
      <c r="C1608" s="34" t="n">
        <v>45410</v>
      </c>
      <c r="D1608" s="33" t="n">
        <v>80</v>
      </c>
      <c r="E1608" s="33" t="s">
        <v>154</v>
      </c>
      <c r="F1608" s="33" t="s">
        <v>203</v>
      </c>
      <c r="G1608" s="33" t="s">
        <v>232</v>
      </c>
      <c r="H1608" s="33" t="s">
        <v>193</v>
      </c>
      <c r="I1608" s="33" t="s">
        <v>143</v>
      </c>
      <c r="J1608" s="33" t="s">
        <v>159</v>
      </c>
      <c r="K1608" s="33" t="s">
        <v>184</v>
      </c>
      <c r="L1608" s="35" t="n">
        <v>996.12</v>
      </c>
      <c r="M1608" s="33" t="n">
        <v>3</v>
      </c>
      <c r="N1608" s="33" t="s">
        <v>146</v>
      </c>
      <c r="O1608" s="33" t="s">
        <v>147</v>
      </c>
    </row>
    <row r="1609" customFormat="false" ht="15" hidden="false" customHeight="false" outlineLevel="0" collapsed="false">
      <c r="A1609" s="33" t="s">
        <v>1802</v>
      </c>
      <c r="B1609" s="34" t="n">
        <v>45431</v>
      </c>
      <c r="C1609" s="34" t="n">
        <v>45432</v>
      </c>
      <c r="D1609" s="33" t="n">
        <v>24</v>
      </c>
      <c r="E1609" s="33" t="s">
        <v>139</v>
      </c>
      <c r="F1609" s="33" t="s">
        <v>149</v>
      </c>
      <c r="G1609" s="33" t="s">
        <v>243</v>
      </c>
      <c r="H1609" s="33" t="s">
        <v>151</v>
      </c>
      <c r="I1609" s="33" t="s">
        <v>152</v>
      </c>
      <c r="J1609" s="33" t="s">
        <v>159</v>
      </c>
      <c r="K1609" s="33" t="s">
        <v>160</v>
      </c>
      <c r="L1609" s="35" t="n">
        <v>1347.67</v>
      </c>
      <c r="M1609" s="33" t="n">
        <v>4</v>
      </c>
      <c r="N1609" s="33" t="s">
        <v>146</v>
      </c>
      <c r="O1609" s="33" t="s">
        <v>147</v>
      </c>
    </row>
    <row r="1610" customFormat="false" ht="15" hidden="false" customHeight="false" outlineLevel="0" collapsed="false">
      <c r="A1610" s="33" t="s">
        <v>1803</v>
      </c>
      <c r="B1610" s="34" t="n">
        <v>45578</v>
      </c>
      <c r="C1610" s="34" t="n">
        <v>45586</v>
      </c>
      <c r="D1610" s="33" t="n">
        <v>57</v>
      </c>
      <c r="E1610" s="33" t="s">
        <v>279</v>
      </c>
      <c r="F1610" s="33" t="s">
        <v>181</v>
      </c>
      <c r="G1610" s="33" t="s">
        <v>188</v>
      </c>
      <c r="H1610" s="33" t="s">
        <v>183</v>
      </c>
      <c r="I1610" s="33" t="s">
        <v>143</v>
      </c>
      <c r="J1610" s="33" t="s">
        <v>159</v>
      </c>
      <c r="K1610" s="33" t="s">
        <v>160</v>
      </c>
      <c r="L1610" s="35" t="n">
        <v>21265.51</v>
      </c>
      <c r="M1610" s="33" t="n">
        <v>4</v>
      </c>
      <c r="N1610" s="33" t="s">
        <v>146</v>
      </c>
      <c r="O1610" s="33" t="s">
        <v>147</v>
      </c>
    </row>
    <row r="1611" customFormat="false" ht="15" hidden="false" customHeight="false" outlineLevel="0" collapsed="false">
      <c r="A1611" s="33" t="s">
        <v>1804</v>
      </c>
      <c r="B1611" s="34" t="n">
        <v>45351</v>
      </c>
      <c r="C1611" s="34" t="n">
        <v>45355</v>
      </c>
      <c r="D1611" s="33" t="n">
        <v>71</v>
      </c>
      <c r="E1611" s="33" t="s">
        <v>139</v>
      </c>
      <c r="F1611" s="33" t="s">
        <v>181</v>
      </c>
      <c r="G1611" s="33" t="s">
        <v>237</v>
      </c>
      <c r="H1611" s="33" t="s">
        <v>183</v>
      </c>
      <c r="I1611" s="33" t="s">
        <v>143</v>
      </c>
      <c r="J1611" s="33" t="s">
        <v>159</v>
      </c>
      <c r="K1611" s="33" t="s">
        <v>145</v>
      </c>
      <c r="L1611" s="35" t="n">
        <v>10142.97</v>
      </c>
      <c r="M1611" s="33" t="n">
        <v>4</v>
      </c>
      <c r="N1611" s="33" t="s">
        <v>146</v>
      </c>
      <c r="O1611" s="33" t="s">
        <v>147</v>
      </c>
    </row>
    <row r="1612" customFormat="false" ht="15" hidden="false" customHeight="false" outlineLevel="0" collapsed="false">
      <c r="A1612" s="33" t="s">
        <v>1805</v>
      </c>
      <c r="B1612" s="34" t="n">
        <v>45358</v>
      </c>
      <c r="C1612" s="34" t="n">
        <v>45359</v>
      </c>
      <c r="D1612" s="33" t="n">
        <v>14</v>
      </c>
      <c r="E1612" s="33" t="s">
        <v>154</v>
      </c>
      <c r="F1612" s="33" t="s">
        <v>191</v>
      </c>
      <c r="G1612" s="33" t="s">
        <v>241</v>
      </c>
      <c r="H1612" s="33" t="s">
        <v>233</v>
      </c>
      <c r="I1612" s="33" t="s">
        <v>143</v>
      </c>
      <c r="J1612" s="33" t="s">
        <v>159</v>
      </c>
      <c r="K1612" s="33" t="s">
        <v>145</v>
      </c>
      <c r="L1612" s="35" t="n">
        <v>867.26</v>
      </c>
      <c r="M1612" s="33" t="n">
        <v>3</v>
      </c>
      <c r="N1612" s="33" t="s">
        <v>146</v>
      </c>
      <c r="O1612" s="33" t="s">
        <v>147</v>
      </c>
    </row>
    <row r="1613" customFormat="false" ht="15" hidden="false" customHeight="false" outlineLevel="0" collapsed="false">
      <c r="A1613" s="33" t="s">
        <v>1806</v>
      </c>
      <c r="B1613" s="34" t="n">
        <v>45595</v>
      </c>
      <c r="C1613" s="34" t="n">
        <v>45597</v>
      </c>
      <c r="D1613" s="33" t="n">
        <v>31</v>
      </c>
      <c r="E1613" s="33" t="s">
        <v>139</v>
      </c>
      <c r="F1613" s="33" t="s">
        <v>203</v>
      </c>
      <c r="G1613" s="33" t="s">
        <v>241</v>
      </c>
      <c r="H1613" s="33" t="s">
        <v>193</v>
      </c>
      <c r="I1613" s="33" t="s">
        <v>143</v>
      </c>
      <c r="J1613" s="33" t="s">
        <v>159</v>
      </c>
      <c r="K1613" s="33" t="s">
        <v>160</v>
      </c>
      <c r="L1613" s="35" t="n">
        <v>1841.8</v>
      </c>
      <c r="M1613" s="33" t="n">
        <v>4</v>
      </c>
      <c r="N1613" s="33" t="s">
        <v>146</v>
      </c>
      <c r="O1613" s="33" t="s">
        <v>147</v>
      </c>
    </row>
    <row r="1614" customFormat="false" ht="15" hidden="false" customHeight="false" outlineLevel="0" collapsed="false">
      <c r="A1614" s="33" t="s">
        <v>1807</v>
      </c>
      <c r="B1614" s="34" t="n">
        <v>45539</v>
      </c>
      <c r="C1614" s="34" t="n">
        <v>45542</v>
      </c>
      <c r="D1614" s="33" t="n">
        <v>13</v>
      </c>
      <c r="E1614" s="33" t="s">
        <v>154</v>
      </c>
      <c r="F1614" s="33" t="s">
        <v>155</v>
      </c>
      <c r="G1614" s="33" t="s">
        <v>302</v>
      </c>
      <c r="H1614" s="33" t="s">
        <v>222</v>
      </c>
      <c r="I1614" s="33" t="s">
        <v>152</v>
      </c>
      <c r="J1614" s="33" t="s">
        <v>176</v>
      </c>
      <c r="K1614" s="33" t="s">
        <v>145</v>
      </c>
      <c r="L1614" s="35" t="n">
        <v>8907.55</v>
      </c>
      <c r="M1614" s="33" t="n">
        <v>4</v>
      </c>
      <c r="N1614" s="33" t="s">
        <v>146</v>
      </c>
      <c r="O1614" s="33" t="s">
        <v>147</v>
      </c>
    </row>
    <row r="1615" customFormat="false" ht="15" hidden="false" customHeight="false" outlineLevel="0" collapsed="false">
      <c r="A1615" s="33" t="s">
        <v>1808</v>
      </c>
      <c r="B1615" s="34" t="n">
        <v>45656</v>
      </c>
      <c r="C1615" s="34" t="n">
        <v>45658</v>
      </c>
      <c r="D1615" s="33" t="n">
        <v>25</v>
      </c>
      <c r="E1615" s="33" t="s">
        <v>154</v>
      </c>
      <c r="F1615" s="33" t="s">
        <v>240</v>
      </c>
      <c r="G1615" s="33" t="s">
        <v>204</v>
      </c>
      <c r="H1615" s="33" t="s">
        <v>205</v>
      </c>
      <c r="I1615" s="33" t="s">
        <v>143</v>
      </c>
      <c r="J1615" s="33" t="s">
        <v>159</v>
      </c>
      <c r="K1615" s="33" t="s">
        <v>160</v>
      </c>
      <c r="L1615" s="35" t="n">
        <v>2137.79</v>
      </c>
      <c r="M1615" s="33" t="n">
        <v>5</v>
      </c>
      <c r="N1615" s="33" t="s">
        <v>146</v>
      </c>
      <c r="O1615" s="36"/>
    </row>
    <row r="1616" customFormat="false" ht="15" hidden="false" customHeight="false" outlineLevel="0" collapsed="false">
      <c r="A1616" s="33" t="s">
        <v>1809</v>
      </c>
      <c r="B1616" s="34" t="n">
        <v>45417</v>
      </c>
      <c r="C1616" s="34" t="n">
        <v>45418</v>
      </c>
      <c r="D1616" s="33" t="n">
        <v>50</v>
      </c>
      <c r="E1616" s="33" t="s">
        <v>154</v>
      </c>
      <c r="F1616" s="33" t="s">
        <v>140</v>
      </c>
      <c r="G1616" s="33" t="s">
        <v>167</v>
      </c>
      <c r="H1616" s="33" t="s">
        <v>142</v>
      </c>
      <c r="I1616" s="33" t="s">
        <v>143</v>
      </c>
      <c r="J1616" s="33" t="s">
        <v>159</v>
      </c>
      <c r="K1616" s="33" t="s">
        <v>160</v>
      </c>
      <c r="L1616" s="35" t="n">
        <v>1813.35</v>
      </c>
      <c r="M1616" s="33" t="n">
        <v>5</v>
      </c>
      <c r="N1616" s="33" t="s">
        <v>146</v>
      </c>
      <c r="O1616" s="33" t="s">
        <v>147</v>
      </c>
    </row>
    <row r="1617" customFormat="false" ht="15" hidden="false" customHeight="false" outlineLevel="0" collapsed="false">
      <c r="A1617" s="33" t="s">
        <v>1810</v>
      </c>
      <c r="B1617" s="34" t="n">
        <v>45646</v>
      </c>
      <c r="C1617" s="34" t="n">
        <v>45647</v>
      </c>
      <c r="D1617" s="33" t="n">
        <v>3</v>
      </c>
      <c r="E1617" s="33" t="s">
        <v>154</v>
      </c>
      <c r="F1617" s="33" t="s">
        <v>155</v>
      </c>
      <c r="G1617" s="33" t="s">
        <v>156</v>
      </c>
      <c r="H1617" s="33" t="s">
        <v>157</v>
      </c>
      <c r="I1617" s="33" t="s">
        <v>158</v>
      </c>
      <c r="J1617" s="33" t="s">
        <v>144</v>
      </c>
      <c r="K1617" s="33" t="s">
        <v>145</v>
      </c>
      <c r="L1617" s="35" t="n">
        <v>1485.32</v>
      </c>
      <c r="M1617" s="33" t="n">
        <v>4</v>
      </c>
      <c r="N1617" s="33" t="s">
        <v>146</v>
      </c>
      <c r="O1617" s="33" t="s">
        <v>147</v>
      </c>
    </row>
    <row r="1618" customFormat="false" ht="15" hidden="false" customHeight="false" outlineLevel="0" collapsed="false">
      <c r="A1618" s="33" t="s">
        <v>1811</v>
      </c>
      <c r="B1618" s="34" t="n">
        <v>45612</v>
      </c>
      <c r="C1618" s="34" t="n">
        <v>45616</v>
      </c>
      <c r="D1618" s="33" t="n">
        <v>52</v>
      </c>
      <c r="E1618" s="33" t="s">
        <v>154</v>
      </c>
      <c r="F1618" s="33" t="s">
        <v>169</v>
      </c>
      <c r="G1618" s="33" t="s">
        <v>170</v>
      </c>
      <c r="H1618" s="33" t="s">
        <v>171</v>
      </c>
      <c r="I1618" s="33" t="s">
        <v>152</v>
      </c>
      <c r="J1618" s="33" t="s">
        <v>144</v>
      </c>
      <c r="K1618" s="33" t="s">
        <v>209</v>
      </c>
      <c r="L1618" s="35" t="n">
        <v>7409.09</v>
      </c>
      <c r="M1618" s="33" t="n">
        <v>3</v>
      </c>
      <c r="N1618" s="33" t="s">
        <v>146</v>
      </c>
      <c r="O1618" s="33" t="s">
        <v>147</v>
      </c>
    </row>
    <row r="1619" customFormat="false" ht="15" hidden="false" customHeight="false" outlineLevel="0" collapsed="false">
      <c r="A1619" s="33" t="s">
        <v>1812</v>
      </c>
      <c r="B1619" s="34" t="n">
        <v>45379</v>
      </c>
      <c r="C1619" s="34" t="n">
        <v>45380</v>
      </c>
      <c r="D1619" s="33" t="n">
        <v>48</v>
      </c>
      <c r="E1619" s="33" t="s">
        <v>139</v>
      </c>
      <c r="F1619" s="33" t="s">
        <v>140</v>
      </c>
      <c r="G1619" s="33" t="s">
        <v>141</v>
      </c>
      <c r="H1619" s="33" t="s">
        <v>290</v>
      </c>
      <c r="I1619" s="33" t="s">
        <v>143</v>
      </c>
      <c r="J1619" s="33" t="s">
        <v>144</v>
      </c>
      <c r="K1619" s="33" t="s">
        <v>160</v>
      </c>
      <c r="L1619" s="35" t="n">
        <v>5048.55</v>
      </c>
      <c r="M1619" s="33" t="n">
        <v>5</v>
      </c>
      <c r="N1619" s="33" t="s">
        <v>210</v>
      </c>
      <c r="O1619" s="33" t="s">
        <v>147</v>
      </c>
    </row>
    <row r="1620" customFormat="false" ht="15" hidden="false" customHeight="false" outlineLevel="0" collapsed="false">
      <c r="A1620" s="33" t="s">
        <v>1813</v>
      </c>
      <c r="B1620" s="34" t="n">
        <v>45377</v>
      </c>
      <c r="C1620" s="34" t="n">
        <v>45378</v>
      </c>
      <c r="D1620" s="33" t="n">
        <v>56</v>
      </c>
      <c r="E1620" s="33" t="s">
        <v>139</v>
      </c>
      <c r="F1620" s="33" t="s">
        <v>173</v>
      </c>
      <c r="G1620" s="33" t="s">
        <v>198</v>
      </c>
      <c r="H1620" s="33" t="s">
        <v>199</v>
      </c>
      <c r="I1620" s="33" t="s">
        <v>143</v>
      </c>
      <c r="J1620" s="33" t="s">
        <v>159</v>
      </c>
      <c r="K1620" s="33" t="s">
        <v>145</v>
      </c>
      <c r="L1620" s="35" t="n">
        <v>2450.15</v>
      </c>
      <c r="M1620" s="33" t="n">
        <v>4</v>
      </c>
      <c r="N1620" s="33" t="s">
        <v>146</v>
      </c>
      <c r="O1620" s="33" t="s">
        <v>147</v>
      </c>
    </row>
    <row r="1621" customFormat="false" ht="15" hidden="false" customHeight="false" outlineLevel="0" collapsed="false">
      <c r="A1621" s="33" t="s">
        <v>1814</v>
      </c>
      <c r="B1621" s="34" t="n">
        <v>45547</v>
      </c>
      <c r="C1621" s="34" t="n">
        <v>45548</v>
      </c>
      <c r="D1621" s="33" t="n">
        <v>26</v>
      </c>
      <c r="E1621" s="33" t="s">
        <v>139</v>
      </c>
      <c r="F1621" s="33" t="s">
        <v>203</v>
      </c>
      <c r="G1621" s="33" t="s">
        <v>241</v>
      </c>
      <c r="H1621" s="33" t="s">
        <v>233</v>
      </c>
      <c r="I1621" s="33" t="s">
        <v>143</v>
      </c>
      <c r="J1621" s="33" t="s">
        <v>144</v>
      </c>
      <c r="K1621" s="33" t="s">
        <v>184</v>
      </c>
      <c r="L1621" s="35" t="n">
        <v>1357.59</v>
      </c>
      <c r="M1621" s="33" t="n">
        <v>4</v>
      </c>
      <c r="N1621" s="33" t="s">
        <v>146</v>
      </c>
      <c r="O1621" s="33" t="s">
        <v>147</v>
      </c>
    </row>
    <row r="1622" customFormat="false" ht="15" hidden="false" customHeight="false" outlineLevel="0" collapsed="false">
      <c r="A1622" s="33" t="s">
        <v>1815</v>
      </c>
      <c r="B1622" s="34" t="n">
        <v>45516</v>
      </c>
      <c r="C1622" s="34" t="n">
        <v>45520</v>
      </c>
      <c r="D1622" s="33" t="n">
        <v>22</v>
      </c>
      <c r="E1622" s="33" t="s">
        <v>154</v>
      </c>
      <c r="F1622" s="33" t="s">
        <v>169</v>
      </c>
      <c r="G1622" s="33" t="s">
        <v>230</v>
      </c>
      <c r="H1622" s="33" t="s">
        <v>164</v>
      </c>
      <c r="I1622" s="33" t="s">
        <v>143</v>
      </c>
      <c r="J1622" s="33" t="s">
        <v>159</v>
      </c>
      <c r="K1622" s="33" t="s">
        <v>160</v>
      </c>
      <c r="L1622" s="35" t="n">
        <v>4102.62</v>
      </c>
      <c r="M1622" s="33" t="n">
        <v>3</v>
      </c>
      <c r="N1622" s="33" t="s">
        <v>146</v>
      </c>
      <c r="O1622" s="33" t="s">
        <v>147</v>
      </c>
    </row>
    <row r="1623" customFormat="false" ht="15" hidden="false" customHeight="false" outlineLevel="0" collapsed="false">
      <c r="A1623" s="33" t="s">
        <v>1816</v>
      </c>
      <c r="B1623" s="34" t="n">
        <v>45322</v>
      </c>
      <c r="C1623" s="34" t="n">
        <v>45331</v>
      </c>
      <c r="D1623" s="33" t="n">
        <v>32</v>
      </c>
      <c r="E1623" s="33" t="s">
        <v>139</v>
      </c>
      <c r="F1623" s="33" t="s">
        <v>169</v>
      </c>
      <c r="G1623" s="33" t="s">
        <v>230</v>
      </c>
      <c r="H1623" s="33" t="s">
        <v>195</v>
      </c>
      <c r="I1623" s="33" t="s">
        <v>143</v>
      </c>
      <c r="J1623" s="33" t="s">
        <v>159</v>
      </c>
      <c r="K1623" s="33" t="s">
        <v>209</v>
      </c>
      <c r="L1623" s="35" t="n">
        <v>8318.01</v>
      </c>
      <c r="M1623" s="33" t="n">
        <v>4</v>
      </c>
      <c r="N1623" s="33" t="s">
        <v>146</v>
      </c>
      <c r="O1623" s="33" t="s">
        <v>147</v>
      </c>
    </row>
    <row r="1624" customFormat="false" ht="15" hidden="false" customHeight="false" outlineLevel="0" collapsed="false">
      <c r="A1624" s="33" t="s">
        <v>1817</v>
      </c>
      <c r="B1624" s="34" t="n">
        <v>45628</v>
      </c>
      <c r="C1624" s="34" t="n">
        <v>45631</v>
      </c>
      <c r="D1624" s="33" t="n">
        <v>30</v>
      </c>
      <c r="E1624" s="33" t="s">
        <v>139</v>
      </c>
      <c r="F1624" s="33" t="s">
        <v>149</v>
      </c>
      <c r="G1624" s="33" t="s">
        <v>243</v>
      </c>
      <c r="H1624" s="33" t="s">
        <v>151</v>
      </c>
      <c r="I1624" s="33" t="s">
        <v>143</v>
      </c>
      <c r="J1624" s="33" t="s">
        <v>159</v>
      </c>
      <c r="K1624" s="33" t="s">
        <v>184</v>
      </c>
      <c r="L1624" s="35" t="n">
        <v>5016.95</v>
      </c>
      <c r="M1624" s="33" t="n">
        <v>4</v>
      </c>
      <c r="N1624" s="33" t="s">
        <v>146</v>
      </c>
      <c r="O1624" s="33" t="s">
        <v>247</v>
      </c>
    </row>
    <row r="1625" customFormat="false" ht="15" hidden="false" customHeight="false" outlineLevel="0" collapsed="false">
      <c r="A1625" s="33" t="s">
        <v>1818</v>
      </c>
      <c r="B1625" s="34" t="n">
        <v>45347</v>
      </c>
      <c r="C1625" s="34" t="n">
        <v>45350</v>
      </c>
      <c r="D1625" s="33" t="n">
        <v>3</v>
      </c>
      <c r="E1625" s="33" t="s">
        <v>190</v>
      </c>
      <c r="F1625" s="33" t="s">
        <v>140</v>
      </c>
      <c r="G1625" s="33" t="s">
        <v>141</v>
      </c>
      <c r="H1625" s="33" t="s">
        <v>290</v>
      </c>
      <c r="I1625" s="33" t="s">
        <v>143</v>
      </c>
      <c r="J1625" s="33" t="s">
        <v>159</v>
      </c>
      <c r="K1625" s="33" t="s">
        <v>160</v>
      </c>
      <c r="L1625" s="35" t="n">
        <v>5745.47</v>
      </c>
      <c r="M1625" s="33" t="n">
        <v>4</v>
      </c>
      <c r="N1625" s="33" t="s">
        <v>210</v>
      </c>
      <c r="O1625" s="33" t="s">
        <v>147</v>
      </c>
    </row>
    <row r="1626" customFormat="false" ht="15" hidden="false" customHeight="false" outlineLevel="0" collapsed="false">
      <c r="A1626" s="33" t="s">
        <v>1819</v>
      </c>
      <c r="B1626" s="34" t="n">
        <v>45400</v>
      </c>
      <c r="C1626" s="34" t="n">
        <v>45404</v>
      </c>
      <c r="D1626" s="33" t="n">
        <v>55</v>
      </c>
      <c r="E1626" s="33" t="s">
        <v>139</v>
      </c>
      <c r="F1626" s="33" t="s">
        <v>181</v>
      </c>
      <c r="G1626" s="33" t="s">
        <v>237</v>
      </c>
      <c r="H1626" s="33" t="s">
        <v>245</v>
      </c>
      <c r="I1626" s="33" t="s">
        <v>152</v>
      </c>
      <c r="J1626" s="33" t="s">
        <v>159</v>
      </c>
      <c r="K1626" s="33" t="s">
        <v>160</v>
      </c>
      <c r="L1626" s="35" t="n">
        <v>11198.7</v>
      </c>
      <c r="M1626" s="33" t="n">
        <v>5</v>
      </c>
      <c r="N1626" s="33" t="s">
        <v>146</v>
      </c>
      <c r="O1626" s="33" t="s">
        <v>147</v>
      </c>
    </row>
    <row r="1627" customFormat="false" ht="15" hidden="false" customHeight="false" outlineLevel="0" collapsed="false">
      <c r="A1627" s="33" t="s">
        <v>1820</v>
      </c>
      <c r="B1627" s="34" t="n">
        <v>45604</v>
      </c>
      <c r="C1627" s="34" t="n">
        <v>45608</v>
      </c>
      <c r="D1627" s="36"/>
      <c r="E1627" s="33" t="s">
        <v>139</v>
      </c>
      <c r="F1627" s="33" t="s">
        <v>155</v>
      </c>
      <c r="G1627" s="33" t="s">
        <v>156</v>
      </c>
      <c r="H1627" s="33" t="s">
        <v>222</v>
      </c>
      <c r="I1627" s="33" t="s">
        <v>143</v>
      </c>
      <c r="J1627" s="33" t="s">
        <v>144</v>
      </c>
      <c r="K1627" s="33" t="s">
        <v>184</v>
      </c>
      <c r="L1627" s="35" t="n">
        <v>6342.87</v>
      </c>
      <c r="M1627" s="33" t="n">
        <v>4</v>
      </c>
      <c r="N1627" s="33" t="s">
        <v>146</v>
      </c>
      <c r="O1627" s="33" t="s">
        <v>147</v>
      </c>
    </row>
    <row r="1628" customFormat="false" ht="15" hidden="false" customHeight="false" outlineLevel="0" collapsed="false">
      <c r="A1628" s="33" t="s">
        <v>1821</v>
      </c>
      <c r="B1628" s="34" t="n">
        <v>45451</v>
      </c>
      <c r="C1628" s="34" t="n">
        <v>45454</v>
      </c>
      <c r="D1628" s="33" t="n">
        <v>38</v>
      </c>
      <c r="E1628" s="33" t="s">
        <v>154</v>
      </c>
      <c r="F1628" s="33" t="s">
        <v>140</v>
      </c>
      <c r="G1628" s="33" t="s">
        <v>167</v>
      </c>
      <c r="H1628" s="33" t="s">
        <v>142</v>
      </c>
      <c r="I1628" s="33" t="s">
        <v>152</v>
      </c>
      <c r="J1628" s="33" t="s">
        <v>159</v>
      </c>
      <c r="K1628" s="33" t="s">
        <v>160</v>
      </c>
      <c r="L1628" s="35" t="n">
        <v>7077.58</v>
      </c>
      <c r="M1628" s="33" t="n">
        <v>5</v>
      </c>
      <c r="N1628" s="33" t="s">
        <v>146</v>
      </c>
      <c r="O1628" s="33" t="s">
        <v>147</v>
      </c>
    </row>
    <row r="1629" customFormat="false" ht="15" hidden="false" customHeight="false" outlineLevel="0" collapsed="false">
      <c r="A1629" s="33" t="s">
        <v>1822</v>
      </c>
      <c r="B1629" s="34" t="n">
        <v>45524</v>
      </c>
      <c r="C1629" s="34" t="n">
        <v>45532</v>
      </c>
      <c r="D1629" s="33" t="n">
        <v>37</v>
      </c>
      <c r="E1629" s="33" t="s">
        <v>154</v>
      </c>
      <c r="F1629" s="33" t="s">
        <v>173</v>
      </c>
      <c r="G1629" s="33" t="s">
        <v>174</v>
      </c>
      <c r="H1629" s="33" t="s">
        <v>199</v>
      </c>
      <c r="I1629" s="33" t="s">
        <v>152</v>
      </c>
      <c r="J1629" s="33" t="s">
        <v>159</v>
      </c>
      <c r="K1629" s="33" t="s">
        <v>160</v>
      </c>
      <c r="L1629" s="35" t="n">
        <v>20784</v>
      </c>
      <c r="M1629" s="33" t="n">
        <v>4</v>
      </c>
      <c r="N1629" s="33" t="s">
        <v>146</v>
      </c>
      <c r="O1629" s="33" t="s">
        <v>147</v>
      </c>
    </row>
    <row r="1630" customFormat="false" ht="15" hidden="false" customHeight="false" outlineLevel="0" collapsed="false">
      <c r="A1630" s="33" t="s">
        <v>1823</v>
      </c>
      <c r="B1630" s="34" t="n">
        <v>45643</v>
      </c>
      <c r="C1630" s="34" t="n">
        <v>45650</v>
      </c>
      <c r="D1630" s="33" t="n">
        <v>6</v>
      </c>
      <c r="E1630" s="33" t="s">
        <v>139</v>
      </c>
      <c r="F1630" s="33" t="s">
        <v>140</v>
      </c>
      <c r="G1630" s="33" t="s">
        <v>316</v>
      </c>
      <c r="H1630" s="33" t="s">
        <v>142</v>
      </c>
      <c r="I1630" s="33" t="s">
        <v>143</v>
      </c>
      <c r="J1630" s="33" t="s">
        <v>159</v>
      </c>
      <c r="K1630" s="33" t="s">
        <v>145</v>
      </c>
      <c r="L1630" s="35" t="n">
        <v>13851.59</v>
      </c>
      <c r="M1630" s="33" t="n">
        <v>3</v>
      </c>
      <c r="N1630" s="33" t="s">
        <v>210</v>
      </c>
      <c r="O1630" s="33" t="s">
        <v>147</v>
      </c>
    </row>
    <row r="1631" customFormat="false" ht="15" hidden="false" customHeight="false" outlineLevel="0" collapsed="false">
      <c r="A1631" s="33" t="s">
        <v>1824</v>
      </c>
      <c r="B1631" s="34" t="n">
        <v>45535</v>
      </c>
      <c r="C1631" s="34" t="n">
        <v>45537</v>
      </c>
      <c r="D1631" s="33" t="n">
        <v>0</v>
      </c>
      <c r="E1631" s="33" t="s">
        <v>257</v>
      </c>
      <c r="F1631" s="33" t="s">
        <v>169</v>
      </c>
      <c r="G1631" s="33" t="s">
        <v>163</v>
      </c>
      <c r="H1631" s="33" t="s">
        <v>171</v>
      </c>
      <c r="I1631" s="33" t="s">
        <v>152</v>
      </c>
      <c r="J1631" s="33" t="s">
        <v>144</v>
      </c>
      <c r="K1631" s="33" t="s">
        <v>160</v>
      </c>
      <c r="L1631" s="35" t="n">
        <v>4495.44</v>
      </c>
      <c r="M1631" s="33" t="n">
        <v>5</v>
      </c>
      <c r="N1631" s="33" t="s">
        <v>210</v>
      </c>
      <c r="O1631" s="33" t="s">
        <v>147</v>
      </c>
    </row>
    <row r="1632" customFormat="false" ht="15" hidden="false" customHeight="false" outlineLevel="0" collapsed="false">
      <c r="A1632" s="33" t="s">
        <v>1825</v>
      </c>
      <c r="B1632" s="34" t="n">
        <v>45620</v>
      </c>
      <c r="C1632" s="34" t="n">
        <v>45624</v>
      </c>
      <c r="D1632" s="33" t="n">
        <v>51</v>
      </c>
      <c r="E1632" s="33" t="s">
        <v>154</v>
      </c>
      <c r="F1632" s="33" t="s">
        <v>181</v>
      </c>
      <c r="G1632" s="33" t="s">
        <v>237</v>
      </c>
      <c r="H1632" s="33" t="s">
        <v>245</v>
      </c>
      <c r="I1632" s="33" t="s">
        <v>152</v>
      </c>
      <c r="J1632" s="33" t="s">
        <v>159</v>
      </c>
      <c r="K1632" s="33" t="s">
        <v>145</v>
      </c>
      <c r="L1632" s="35" t="n">
        <v>8265.2</v>
      </c>
      <c r="M1632" s="33" t="n">
        <v>5</v>
      </c>
      <c r="N1632" s="33" t="s">
        <v>210</v>
      </c>
      <c r="O1632" s="33" t="s">
        <v>147</v>
      </c>
    </row>
    <row r="1633" customFormat="false" ht="15" hidden="false" customHeight="false" outlineLevel="0" collapsed="false">
      <c r="A1633" s="33" t="s">
        <v>1826</v>
      </c>
      <c r="B1633" s="34" t="n">
        <v>45433</v>
      </c>
      <c r="C1633" s="34" t="n">
        <v>45439</v>
      </c>
      <c r="D1633" s="33" t="n">
        <v>82</v>
      </c>
      <c r="E1633" s="33" t="s">
        <v>216</v>
      </c>
      <c r="F1633" s="33" t="s">
        <v>226</v>
      </c>
      <c r="G1633" s="33" t="s">
        <v>227</v>
      </c>
      <c r="H1633" s="33" t="s">
        <v>228</v>
      </c>
      <c r="I1633" s="33" t="s">
        <v>152</v>
      </c>
      <c r="J1633" s="33" t="s">
        <v>144</v>
      </c>
      <c r="K1633" s="33" t="s">
        <v>184</v>
      </c>
      <c r="L1633" s="35" t="n">
        <v>31867.38</v>
      </c>
      <c r="M1633" s="33" t="n">
        <v>4</v>
      </c>
      <c r="N1633" s="33" t="s">
        <v>146</v>
      </c>
      <c r="O1633" s="33" t="s">
        <v>147</v>
      </c>
    </row>
    <row r="1634" customFormat="false" ht="15" hidden="false" customHeight="false" outlineLevel="0" collapsed="false">
      <c r="A1634" s="33" t="s">
        <v>1827</v>
      </c>
      <c r="B1634" s="34" t="n">
        <v>45563</v>
      </c>
      <c r="C1634" s="34" t="n">
        <v>45564</v>
      </c>
      <c r="D1634" s="33" t="n">
        <v>45</v>
      </c>
      <c r="E1634" s="33" t="s">
        <v>154</v>
      </c>
      <c r="F1634" s="33" t="s">
        <v>191</v>
      </c>
      <c r="G1634" s="33" t="s">
        <v>241</v>
      </c>
      <c r="H1634" s="33" t="s">
        <v>205</v>
      </c>
      <c r="I1634" s="33" t="s">
        <v>143</v>
      </c>
      <c r="J1634" s="33" t="s">
        <v>159</v>
      </c>
      <c r="K1634" s="33" t="s">
        <v>160</v>
      </c>
      <c r="L1634" s="35" t="n">
        <v>1090.34</v>
      </c>
      <c r="M1634" s="33" t="n">
        <v>4</v>
      </c>
      <c r="N1634" s="33" t="s">
        <v>146</v>
      </c>
      <c r="O1634" s="33" t="s">
        <v>247</v>
      </c>
    </row>
    <row r="1635" customFormat="false" ht="15" hidden="false" customHeight="false" outlineLevel="0" collapsed="false">
      <c r="A1635" s="33" t="s">
        <v>1828</v>
      </c>
      <c r="B1635" s="34" t="n">
        <v>45382</v>
      </c>
      <c r="C1635" s="34" t="n">
        <v>45384</v>
      </c>
      <c r="D1635" s="33" t="n">
        <v>11</v>
      </c>
      <c r="E1635" s="33" t="s">
        <v>154</v>
      </c>
      <c r="F1635" s="33" t="s">
        <v>288</v>
      </c>
      <c r="G1635" s="33" t="s">
        <v>302</v>
      </c>
      <c r="H1635" s="33" t="s">
        <v>222</v>
      </c>
      <c r="I1635" s="33" t="s">
        <v>152</v>
      </c>
      <c r="J1635" s="33" t="s">
        <v>159</v>
      </c>
      <c r="K1635" s="33" t="s">
        <v>145</v>
      </c>
      <c r="L1635" s="35" t="n">
        <v>1579.89</v>
      </c>
      <c r="M1635" s="33" t="n">
        <v>5</v>
      </c>
      <c r="N1635" s="33" t="s">
        <v>146</v>
      </c>
      <c r="O1635" s="33" t="s">
        <v>147</v>
      </c>
    </row>
    <row r="1636" customFormat="false" ht="15" hidden="false" customHeight="false" outlineLevel="0" collapsed="false">
      <c r="A1636" s="33" t="s">
        <v>1829</v>
      </c>
      <c r="B1636" s="34" t="n">
        <v>45352</v>
      </c>
      <c r="C1636" s="34" t="n">
        <v>45357</v>
      </c>
      <c r="D1636" s="33" t="n">
        <v>62</v>
      </c>
      <c r="E1636" s="33" t="s">
        <v>154</v>
      </c>
      <c r="F1636" s="33" t="s">
        <v>140</v>
      </c>
      <c r="G1636" s="33" t="s">
        <v>316</v>
      </c>
      <c r="H1636" s="33" t="s">
        <v>142</v>
      </c>
      <c r="I1636" s="33" t="s">
        <v>143</v>
      </c>
      <c r="J1636" s="33" t="s">
        <v>144</v>
      </c>
      <c r="K1636" s="33" t="s">
        <v>160</v>
      </c>
      <c r="L1636" s="35" t="n">
        <v>21235.11</v>
      </c>
      <c r="M1636" s="33" t="n">
        <v>5</v>
      </c>
      <c r="N1636" s="33" t="s">
        <v>146</v>
      </c>
      <c r="O1636" s="33" t="s">
        <v>147</v>
      </c>
    </row>
    <row r="1637" customFormat="false" ht="15" hidden="false" customHeight="false" outlineLevel="0" collapsed="false">
      <c r="A1637" s="33" t="s">
        <v>1830</v>
      </c>
      <c r="B1637" s="34" t="n">
        <v>45563</v>
      </c>
      <c r="C1637" s="34" t="n">
        <v>45570</v>
      </c>
      <c r="D1637" s="33" t="n">
        <v>96</v>
      </c>
      <c r="E1637" s="33" t="s">
        <v>154</v>
      </c>
      <c r="F1637" s="33" t="s">
        <v>140</v>
      </c>
      <c r="G1637" s="33" t="s">
        <v>141</v>
      </c>
      <c r="H1637" s="33" t="s">
        <v>290</v>
      </c>
      <c r="I1637" s="33" t="s">
        <v>143</v>
      </c>
      <c r="J1637" s="33" t="s">
        <v>144</v>
      </c>
      <c r="K1637" s="36"/>
      <c r="L1637" s="35" t="n">
        <v>24935.27</v>
      </c>
      <c r="M1637" s="33" t="n">
        <v>4</v>
      </c>
      <c r="N1637" s="33" t="s">
        <v>146</v>
      </c>
      <c r="O1637" s="33" t="s">
        <v>147</v>
      </c>
    </row>
    <row r="1638" customFormat="false" ht="15" hidden="false" customHeight="false" outlineLevel="0" collapsed="false">
      <c r="A1638" s="33" t="s">
        <v>1831</v>
      </c>
      <c r="B1638" s="34" t="n">
        <v>45604</v>
      </c>
      <c r="C1638" s="34" t="n">
        <v>45610</v>
      </c>
      <c r="D1638" s="33" t="n">
        <v>58</v>
      </c>
      <c r="E1638" s="33" t="s">
        <v>154</v>
      </c>
      <c r="F1638" s="33" t="s">
        <v>181</v>
      </c>
      <c r="G1638" s="33" t="s">
        <v>182</v>
      </c>
      <c r="H1638" s="33" t="s">
        <v>183</v>
      </c>
      <c r="I1638" s="33" t="s">
        <v>143</v>
      </c>
      <c r="J1638" s="33" t="s">
        <v>144</v>
      </c>
      <c r="K1638" s="33" t="s">
        <v>160</v>
      </c>
      <c r="L1638" s="35" t="n">
        <v>32551.56</v>
      </c>
      <c r="M1638" s="33" t="n">
        <v>4</v>
      </c>
      <c r="N1638" s="33" t="s">
        <v>146</v>
      </c>
      <c r="O1638" s="33" t="s">
        <v>147</v>
      </c>
    </row>
    <row r="1639" customFormat="false" ht="15" hidden="false" customHeight="false" outlineLevel="0" collapsed="false">
      <c r="A1639" s="33" t="s">
        <v>1832</v>
      </c>
      <c r="B1639" s="34" t="n">
        <v>45529</v>
      </c>
      <c r="C1639" s="34" t="n">
        <v>45530</v>
      </c>
      <c r="D1639" s="33" t="n">
        <v>23</v>
      </c>
      <c r="E1639" s="33" t="s">
        <v>139</v>
      </c>
      <c r="F1639" s="33" t="s">
        <v>203</v>
      </c>
      <c r="G1639" s="33" t="s">
        <v>241</v>
      </c>
      <c r="H1639" s="33" t="s">
        <v>205</v>
      </c>
      <c r="I1639" s="33" t="s">
        <v>143</v>
      </c>
      <c r="J1639" s="33" t="s">
        <v>176</v>
      </c>
      <c r="K1639" s="33" t="s">
        <v>184</v>
      </c>
      <c r="L1639" s="35" t="n">
        <v>2836.34</v>
      </c>
      <c r="M1639" s="33" t="n">
        <v>4</v>
      </c>
      <c r="N1639" s="33" t="s">
        <v>210</v>
      </c>
      <c r="O1639" s="33" t="s">
        <v>147</v>
      </c>
    </row>
    <row r="1640" customFormat="false" ht="15" hidden="false" customHeight="false" outlineLevel="0" collapsed="false">
      <c r="A1640" s="33" t="s">
        <v>1833</v>
      </c>
      <c r="B1640" s="34" t="n">
        <v>45485</v>
      </c>
      <c r="C1640" s="34" t="n">
        <v>45490</v>
      </c>
      <c r="D1640" s="33" t="n">
        <v>65</v>
      </c>
      <c r="E1640" s="33" t="s">
        <v>154</v>
      </c>
      <c r="F1640" s="33" t="s">
        <v>181</v>
      </c>
      <c r="G1640" s="33" t="s">
        <v>237</v>
      </c>
      <c r="H1640" s="33" t="s">
        <v>245</v>
      </c>
      <c r="I1640" s="33" t="s">
        <v>152</v>
      </c>
      <c r="J1640" s="33" t="s">
        <v>159</v>
      </c>
      <c r="K1640" s="33" t="s">
        <v>145</v>
      </c>
      <c r="L1640" s="35" t="n">
        <v>13251.95</v>
      </c>
      <c r="M1640" s="33" t="n">
        <v>3</v>
      </c>
      <c r="N1640" s="33" t="s">
        <v>146</v>
      </c>
      <c r="O1640" s="33" t="s">
        <v>147</v>
      </c>
    </row>
    <row r="1641" customFormat="false" ht="15" hidden="false" customHeight="false" outlineLevel="0" collapsed="false">
      <c r="A1641" s="33" t="s">
        <v>1834</v>
      </c>
      <c r="B1641" s="34" t="n">
        <v>45377</v>
      </c>
      <c r="C1641" s="34" t="n">
        <v>45379</v>
      </c>
      <c r="D1641" s="33" t="n">
        <v>58</v>
      </c>
      <c r="E1641" s="33" t="s">
        <v>139</v>
      </c>
      <c r="F1641" s="33" t="s">
        <v>169</v>
      </c>
      <c r="G1641" s="33" t="s">
        <v>170</v>
      </c>
      <c r="H1641" s="33" t="s">
        <v>195</v>
      </c>
      <c r="I1641" s="33" t="s">
        <v>143</v>
      </c>
      <c r="J1641" s="33" t="s">
        <v>159</v>
      </c>
      <c r="K1641" s="33" t="s">
        <v>160</v>
      </c>
      <c r="L1641" s="35" t="n">
        <v>2632.37</v>
      </c>
      <c r="M1641" s="33" t="n">
        <v>4</v>
      </c>
      <c r="N1641" s="33" t="s">
        <v>146</v>
      </c>
      <c r="O1641" s="33" t="s">
        <v>147</v>
      </c>
    </row>
    <row r="1642" customFormat="false" ht="15" hidden="false" customHeight="false" outlineLevel="0" collapsed="false">
      <c r="A1642" s="33" t="s">
        <v>1835</v>
      </c>
      <c r="B1642" s="34" t="n">
        <v>45561</v>
      </c>
      <c r="C1642" s="34" t="n">
        <v>45562</v>
      </c>
      <c r="D1642" s="33" t="n">
        <v>31</v>
      </c>
      <c r="E1642" s="33" t="s">
        <v>154</v>
      </c>
      <c r="F1642" s="33" t="s">
        <v>203</v>
      </c>
      <c r="G1642" s="33" t="s">
        <v>241</v>
      </c>
      <c r="H1642" s="33" t="s">
        <v>233</v>
      </c>
      <c r="I1642" s="33" t="s">
        <v>143</v>
      </c>
      <c r="J1642" s="33" t="s">
        <v>159</v>
      </c>
      <c r="K1642" s="33" t="s">
        <v>184</v>
      </c>
      <c r="L1642" s="35" t="n">
        <v>884.36</v>
      </c>
      <c r="M1642" s="33" t="n">
        <v>4</v>
      </c>
      <c r="N1642" s="33" t="s">
        <v>146</v>
      </c>
      <c r="O1642" s="33" t="s">
        <v>147</v>
      </c>
    </row>
    <row r="1643" customFormat="false" ht="15" hidden="false" customHeight="false" outlineLevel="0" collapsed="false">
      <c r="A1643" s="33" t="s">
        <v>1836</v>
      </c>
      <c r="B1643" s="34" t="n">
        <v>45576</v>
      </c>
      <c r="C1643" s="34" t="n">
        <v>45578</v>
      </c>
      <c r="D1643" s="33" t="n">
        <v>11</v>
      </c>
      <c r="E1643" s="33" t="s">
        <v>154</v>
      </c>
      <c r="F1643" s="33" t="s">
        <v>155</v>
      </c>
      <c r="G1643" s="33" t="s">
        <v>220</v>
      </c>
      <c r="H1643" s="33" t="s">
        <v>222</v>
      </c>
      <c r="I1643" s="33" t="s">
        <v>152</v>
      </c>
      <c r="J1643" s="33" t="s">
        <v>144</v>
      </c>
      <c r="K1643" s="33" t="s">
        <v>145</v>
      </c>
      <c r="L1643" s="35" t="n">
        <v>2813.94</v>
      </c>
      <c r="M1643" s="33" t="n">
        <v>5</v>
      </c>
      <c r="N1643" s="33" t="s">
        <v>146</v>
      </c>
      <c r="O1643" s="33" t="s">
        <v>147</v>
      </c>
    </row>
    <row r="1644" customFormat="false" ht="15" hidden="false" customHeight="false" outlineLevel="0" collapsed="false">
      <c r="A1644" s="33" t="s">
        <v>1837</v>
      </c>
      <c r="B1644" s="34" t="n">
        <v>45651</v>
      </c>
      <c r="C1644" s="34" t="n">
        <v>45652</v>
      </c>
      <c r="D1644" s="33" t="n">
        <v>0</v>
      </c>
      <c r="E1644" s="33" t="s">
        <v>216</v>
      </c>
      <c r="F1644" s="33" t="s">
        <v>240</v>
      </c>
      <c r="G1644" s="33" t="s">
        <v>192</v>
      </c>
      <c r="H1644" s="33" t="s">
        <v>193</v>
      </c>
      <c r="I1644" s="33" t="s">
        <v>143</v>
      </c>
      <c r="J1644" s="33" t="s">
        <v>144</v>
      </c>
      <c r="K1644" s="33" t="s">
        <v>145</v>
      </c>
      <c r="L1644" s="35" t="n">
        <v>1778.74</v>
      </c>
      <c r="M1644" s="36"/>
      <c r="N1644" s="33" t="s">
        <v>146</v>
      </c>
      <c r="O1644" s="33" t="s">
        <v>147</v>
      </c>
    </row>
    <row r="1645" customFormat="false" ht="15" hidden="false" customHeight="false" outlineLevel="0" collapsed="false">
      <c r="A1645" s="33" t="s">
        <v>1838</v>
      </c>
      <c r="B1645" s="34" t="n">
        <v>45644</v>
      </c>
      <c r="C1645" s="34" t="n">
        <v>45652</v>
      </c>
      <c r="D1645" s="33" t="n">
        <v>75</v>
      </c>
      <c r="E1645" s="33" t="s">
        <v>139</v>
      </c>
      <c r="F1645" s="33" t="s">
        <v>169</v>
      </c>
      <c r="G1645" s="33" t="s">
        <v>230</v>
      </c>
      <c r="H1645" s="33" t="s">
        <v>164</v>
      </c>
      <c r="I1645" s="33" t="s">
        <v>143</v>
      </c>
      <c r="J1645" s="33" t="s">
        <v>159</v>
      </c>
      <c r="K1645" s="33" t="s">
        <v>160</v>
      </c>
      <c r="L1645" s="35" t="n">
        <v>8329.22</v>
      </c>
      <c r="M1645" s="33" t="n">
        <v>4</v>
      </c>
      <c r="N1645" s="33" t="s">
        <v>146</v>
      </c>
      <c r="O1645" s="33" t="s">
        <v>147</v>
      </c>
    </row>
    <row r="1646" customFormat="false" ht="15" hidden="false" customHeight="false" outlineLevel="0" collapsed="false">
      <c r="A1646" s="33" t="s">
        <v>934</v>
      </c>
      <c r="B1646" s="34" t="n">
        <v>45379</v>
      </c>
      <c r="C1646" s="34" t="n">
        <v>45380</v>
      </c>
      <c r="D1646" s="33" t="n">
        <v>9</v>
      </c>
      <c r="E1646" s="33" t="s">
        <v>139</v>
      </c>
      <c r="F1646" s="33" t="s">
        <v>191</v>
      </c>
      <c r="G1646" s="33" t="s">
        <v>241</v>
      </c>
      <c r="H1646" s="33" t="s">
        <v>205</v>
      </c>
      <c r="I1646" s="33" t="s">
        <v>143</v>
      </c>
      <c r="J1646" s="33" t="s">
        <v>159</v>
      </c>
      <c r="K1646" s="33" t="s">
        <v>184</v>
      </c>
      <c r="L1646" s="35" t="n">
        <v>855.6</v>
      </c>
      <c r="M1646" s="33" t="n">
        <v>3</v>
      </c>
      <c r="N1646" s="33" t="s">
        <v>146</v>
      </c>
      <c r="O1646" s="33" t="s">
        <v>147</v>
      </c>
    </row>
    <row r="1647" customFormat="false" ht="15" hidden="false" customHeight="false" outlineLevel="0" collapsed="false">
      <c r="A1647" s="33" t="s">
        <v>1839</v>
      </c>
      <c r="B1647" s="34" t="n">
        <v>45365</v>
      </c>
      <c r="C1647" s="34" t="n">
        <v>45369</v>
      </c>
      <c r="D1647" s="33" t="n">
        <v>39</v>
      </c>
      <c r="E1647" s="33" t="s">
        <v>154</v>
      </c>
      <c r="F1647" s="33" t="s">
        <v>169</v>
      </c>
      <c r="G1647" s="33" t="s">
        <v>170</v>
      </c>
      <c r="H1647" s="33" t="s">
        <v>164</v>
      </c>
      <c r="I1647" s="33" t="s">
        <v>143</v>
      </c>
      <c r="J1647" s="33" t="s">
        <v>159</v>
      </c>
      <c r="K1647" s="33" t="s">
        <v>145</v>
      </c>
      <c r="L1647" s="35" t="n">
        <v>4579.85</v>
      </c>
      <c r="M1647" s="36"/>
      <c r="N1647" s="33" t="s">
        <v>146</v>
      </c>
      <c r="O1647" s="33" t="s">
        <v>147</v>
      </c>
    </row>
    <row r="1648" customFormat="false" ht="15" hidden="false" customHeight="false" outlineLevel="0" collapsed="false">
      <c r="A1648" s="33" t="s">
        <v>1840</v>
      </c>
      <c r="B1648" s="34" t="n">
        <v>45340</v>
      </c>
      <c r="C1648" s="34" t="n">
        <v>45343</v>
      </c>
      <c r="D1648" s="33" t="n">
        <v>6</v>
      </c>
      <c r="E1648" s="33" t="s">
        <v>279</v>
      </c>
      <c r="F1648" s="33" t="s">
        <v>169</v>
      </c>
      <c r="G1648" s="33" t="s">
        <v>230</v>
      </c>
      <c r="H1648" s="33" t="s">
        <v>171</v>
      </c>
      <c r="I1648" s="33" t="s">
        <v>152</v>
      </c>
      <c r="J1648" s="33" t="s">
        <v>159</v>
      </c>
      <c r="K1648" s="33" t="s">
        <v>145</v>
      </c>
      <c r="L1648" s="35" t="n">
        <v>3067.16</v>
      </c>
      <c r="M1648" s="36"/>
      <c r="N1648" s="33" t="s">
        <v>146</v>
      </c>
      <c r="O1648" s="33" t="s">
        <v>147</v>
      </c>
    </row>
    <row r="1649" customFormat="false" ht="15" hidden="false" customHeight="false" outlineLevel="0" collapsed="false">
      <c r="A1649" s="33" t="s">
        <v>1841</v>
      </c>
      <c r="B1649" s="34" t="n">
        <v>45632</v>
      </c>
      <c r="C1649" s="34" t="n">
        <v>45633</v>
      </c>
      <c r="D1649" s="33" t="n">
        <v>45</v>
      </c>
      <c r="E1649" s="33" t="s">
        <v>139</v>
      </c>
      <c r="F1649" s="33" t="s">
        <v>140</v>
      </c>
      <c r="G1649" s="33" t="s">
        <v>316</v>
      </c>
      <c r="H1649" s="33" t="s">
        <v>142</v>
      </c>
      <c r="I1649" s="33" t="s">
        <v>143</v>
      </c>
      <c r="J1649" s="33" t="s">
        <v>159</v>
      </c>
      <c r="K1649" s="33" t="s">
        <v>145</v>
      </c>
      <c r="L1649" s="35" t="n">
        <v>2316.27</v>
      </c>
      <c r="M1649" s="33" t="n">
        <v>4</v>
      </c>
      <c r="N1649" s="33" t="s">
        <v>146</v>
      </c>
      <c r="O1649" s="33" t="s">
        <v>147</v>
      </c>
    </row>
    <row r="1650" customFormat="false" ht="15" hidden="false" customHeight="false" outlineLevel="0" collapsed="false">
      <c r="A1650" s="33" t="s">
        <v>1842</v>
      </c>
      <c r="B1650" s="34" t="n">
        <v>45601</v>
      </c>
      <c r="C1650" s="34" t="n">
        <v>45602</v>
      </c>
      <c r="D1650" s="33" t="n">
        <v>72</v>
      </c>
      <c r="E1650" s="33" t="s">
        <v>139</v>
      </c>
      <c r="F1650" s="33" t="s">
        <v>191</v>
      </c>
      <c r="G1650" s="33" t="s">
        <v>232</v>
      </c>
      <c r="H1650" s="33" t="s">
        <v>233</v>
      </c>
      <c r="I1650" s="33" t="s">
        <v>158</v>
      </c>
      <c r="J1650" s="33" t="s">
        <v>159</v>
      </c>
      <c r="K1650" s="33" t="s">
        <v>209</v>
      </c>
      <c r="L1650" s="35" t="n">
        <v>1040.56</v>
      </c>
      <c r="M1650" s="33" t="n">
        <v>4</v>
      </c>
      <c r="N1650" s="33" t="s">
        <v>146</v>
      </c>
      <c r="O1650" s="33" t="s">
        <v>147</v>
      </c>
    </row>
    <row r="1651" customFormat="false" ht="15" hidden="false" customHeight="false" outlineLevel="0" collapsed="false">
      <c r="A1651" s="33" t="s">
        <v>1843</v>
      </c>
      <c r="B1651" s="34" t="n">
        <v>45587</v>
      </c>
      <c r="C1651" s="34" t="n">
        <v>45588</v>
      </c>
      <c r="D1651" s="33" t="n">
        <v>78</v>
      </c>
      <c r="E1651" s="33" t="s">
        <v>154</v>
      </c>
      <c r="F1651" s="33" t="s">
        <v>181</v>
      </c>
      <c r="G1651" s="33" t="s">
        <v>182</v>
      </c>
      <c r="H1651" s="33" t="s">
        <v>245</v>
      </c>
      <c r="I1651" s="33" t="s">
        <v>143</v>
      </c>
      <c r="J1651" s="33" t="s">
        <v>159</v>
      </c>
      <c r="K1651" s="33" t="s">
        <v>160</v>
      </c>
      <c r="L1651" s="35" t="n">
        <v>2308.89</v>
      </c>
      <c r="M1651" s="33" t="n">
        <v>4</v>
      </c>
      <c r="N1651" s="33" t="s">
        <v>210</v>
      </c>
      <c r="O1651" s="33" t="s">
        <v>206</v>
      </c>
    </row>
    <row r="1652" customFormat="false" ht="15" hidden="false" customHeight="false" outlineLevel="0" collapsed="false">
      <c r="A1652" s="33" t="s">
        <v>1844</v>
      </c>
      <c r="B1652" s="34" t="n">
        <v>45507</v>
      </c>
      <c r="C1652" s="34" t="n">
        <v>45508</v>
      </c>
      <c r="D1652" s="33" t="n">
        <v>66</v>
      </c>
      <c r="E1652" s="33" t="s">
        <v>139</v>
      </c>
      <c r="F1652" s="33" t="s">
        <v>203</v>
      </c>
      <c r="G1652" s="33" t="s">
        <v>241</v>
      </c>
      <c r="H1652" s="33" t="s">
        <v>205</v>
      </c>
      <c r="I1652" s="33" t="s">
        <v>143</v>
      </c>
      <c r="J1652" s="33" t="s">
        <v>159</v>
      </c>
      <c r="K1652" s="33" t="s">
        <v>145</v>
      </c>
      <c r="L1652" s="35" t="n">
        <v>816.11</v>
      </c>
      <c r="M1652" s="33" t="n">
        <v>4</v>
      </c>
      <c r="N1652" s="33" t="s">
        <v>146</v>
      </c>
      <c r="O1652" s="33" t="s">
        <v>147</v>
      </c>
    </row>
    <row r="1653" customFormat="false" ht="15" hidden="false" customHeight="false" outlineLevel="0" collapsed="false">
      <c r="A1653" s="33" t="s">
        <v>1845</v>
      </c>
      <c r="B1653" s="34" t="n">
        <v>45324</v>
      </c>
      <c r="C1653" s="34" t="n">
        <v>45330</v>
      </c>
      <c r="D1653" s="33" t="n">
        <v>57</v>
      </c>
      <c r="E1653" s="33" t="s">
        <v>139</v>
      </c>
      <c r="F1653" s="33" t="s">
        <v>181</v>
      </c>
      <c r="G1653" s="33" t="s">
        <v>237</v>
      </c>
      <c r="H1653" s="33" t="s">
        <v>245</v>
      </c>
      <c r="I1653" s="33" t="s">
        <v>143</v>
      </c>
      <c r="J1653" s="33" t="s">
        <v>159</v>
      </c>
      <c r="K1653" s="33" t="s">
        <v>184</v>
      </c>
      <c r="L1653" s="35" t="n">
        <v>15464.68</v>
      </c>
      <c r="M1653" s="33" t="n">
        <v>4</v>
      </c>
      <c r="N1653" s="33" t="s">
        <v>146</v>
      </c>
      <c r="O1653" s="33" t="s">
        <v>147</v>
      </c>
    </row>
    <row r="1654" customFormat="false" ht="15" hidden="false" customHeight="false" outlineLevel="0" collapsed="false">
      <c r="A1654" s="33" t="s">
        <v>1846</v>
      </c>
      <c r="B1654" s="34" t="n">
        <v>45607</v>
      </c>
      <c r="C1654" s="34" t="n">
        <v>45608</v>
      </c>
      <c r="D1654" s="33" t="n">
        <v>65</v>
      </c>
      <c r="E1654" s="33" t="s">
        <v>180</v>
      </c>
      <c r="F1654" s="33" t="s">
        <v>203</v>
      </c>
      <c r="G1654" s="33" t="s">
        <v>204</v>
      </c>
      <c r="H1654" s="33" t="s">
        <v>233</v>
      </c>
      <c r="I1654" s="33" t="s">
        <v>158</v>
      </c>
      <c r="J1654" s="33" t="s">
        <v>144</v>
      </c>
      <c r="K1654" s="33" t="s">
        <v>184</v>
      </c>
      <c r="L1654" s="35" t="n">
        <v>2003.33</v>
      </c>
      <c r="M1654" s="33" t="n">
        <v>5</v>
      </c>
      <c r="N1654" s="33" t="s">
        <v>146</v>
      </c>
      <c r="O1654" s="36"/>
    </row>
    <row r="1655" customFormat="false" ht="15" hidden="false" customHeight="false" outlineLevel="0" collapsed="false">
      <c r="A1655" s="33" t="s">
        <v>1847</v>
      </c>
      <c r="B1655" s="34" t="n">
        <v>45576</v>
      </c>
      <c r="C1655" s="34" t="n">
        <v>45577</v>
      </c>
      <c r="D1655" s="33" t="n">
        <v>12</v>
      </c>
      <c r="E1655" s="33" t="s">
        <v>154</v>
      </c>
      <c r="F1655" s="33" t="s">
        <v>191</v>
      </c>
      <c r="G1655" s="33" t="s">
        <v>204</v>
      </c>
      <c r="H1655" s="33" t="s">
        <v>205</v>
      </c>
      <c r="I1655" s="33" t="s">
        <v>143</v>
      </c>
      <c r="J1655" s="33" t="s">
        <v>176</v>
      </c>
      <c r="K1655" s="33" t="s">
        <v>209</v>
      </c>
      <c r="L1655" s="35" t="n">
        <v>3591.6</v>
      </c>
      <c r="M1655" s="33" t="n">
        <v>3</v>
      </c>
      <c r="N1655" s="33" t="s">
        <v>146</v>
      </c>
      <c r="O1655" s="33" t="s">
        <v>147</v>
      </c>
    </row>
    <row r="1656" customFormat="false" ht="15" hidden="false" customHeight="false" outlineLevel="0" collapsed="false">
      <c r="A1656" s="33" t="s">
        <v>1848</v>
      </c>
      <c r="B1656" s="34" t="n">
        <v>45389</v>
      </c>
      <c r="C1656" s="34" t="n">
        <v>45395</v>
      </c>
      <c r="D1656" s="33" t="n">
        <v>1</v>
      </c>
      <c r="E1656" s="33" t="s">
        <v>139</v>
      </c>
      <c r="F1656" s="33" t="s">
        <v>155</v>
      </c>
      <c r="G1656" s="33" t="s">
        <v>156</v>
      </c>
      <c r="H1656" s="33" t="s">
        <v>222</v>
      </c>
      <c r="I1656" s="33" t="s">
        <v>143</v>
      </c>
      <c r="J1656" s="33" t="s">
        <v>144</v>
      </c>
      <c r="K1656" s="33" t="s">
        <v>145</v>
      </c>
      <c r="L1656" s="35" t="n">
        <v>9248.45</v>
      </c>
      <c r="M1656" s="33" t="n">
        <v>4</v>
      </c>
      <c r="N1656" s="33" t="s">
        <v>146</v>
      </c>
      <c r="O1656" s="33" t="s">
        <v>147</v>
      </c>
    </row>
    <row r="1657" customFormat="false" ht="15" hidden="false" customHeight="false" outlineLevel="0" collapsed="false">
      <c r="A1657" s="33" t="s">
        <v>1849</v>
      </c>
      <c r="B1657" s="34" t="n">
        <v>45347</v>
      </c>
      <c r="C1657" s="34" t="n">
        <v>45350</v>
      </c>
      <c r="D1657" s="33" t="n">
        <v>32</v>
      </c>
      <c r="E1657" s="33" t="s">
        <v>154</v>
      </c>
      <c r="F1657" s="33" t="s">
        <v>140</v>
      </c>
      <c r="G1657" s="33" t="s">
        <v>316</v>
      </c>
      <c r="H1657" s="33" t="s">
        <v>142</v>
      </c>
      <c r="I1657" s="33" t="s">
        <v>152</v>
      </c>
      <c r="J1657" s="33" t="s">
        <v>159</v>
      </c>
      <c r="K1657" s="33" t="s">
        <v>145</v>
      </c>
      <c r="L1657" s="35" t="n">
        <v>7039.17</v>
      </c>
      <c r="M1657" s="33" t="n">
        <v>5</v>
      </c>
      <c r="N1657" s="33" t="s">
        <v>146</v>
      </c>
      <c r="O1657" s="33" t="s">
        <v>147</v>
      </c>
    </row>
    <row r="1658" customFormat="false" ht="15" hidden="false" customHeight="false" outlineLevel="0" collapsed="false">
      <c r="A1658" s="33" t="s">
        <v>1850</v>
      </c>
      <c r="B1658" s="34" t="n">
        <v>45522</v>
      </c>
      <c r="C1658" s="34" t="n">
        <v>45526</v>
      </c>
      <c r="D1658" s="33" t="n">
        <v>6</v>
      </c>
      <c r="E1658" s="33" t="s">
        <v>154</v>
      </c>
      <c r="F1658" s="33" t="s">
        <v>155</v>
      </c>
      <c r="G1658" s="33" t="s">
        <v>156</v>
      </c>
      <c r="H1658" s="33" t="s">
        <v>222</v>
      </c>
      <c r="I1658" s="33" t="s">
        <v>152</v>
      </c>
      <c r="J1658" s="33" t="s">
        <v>176</v>
      </c>
      <c r="K1658" s="33" t="s">
        <v>209</v>
      </c>
      <c r="L1658" s="35" t="n">
        <v>9051.74</v>
      </c>
      <c r="M1658" s="33" t="n">
        <v>4</v>
      </c>
      <c r="N1658" s="33" t="s">
        <v>210</v>
      </c>
      <c r="O1658" s="33" t="s">
        <v>147</v>
      </c>
    </row>
    <row r="1659" customFormat="false" ht="15" hidden="false" customHeight="false" outlineLevel="0" collapsed="false">
      <c r="A1659" s="33" t="s">
        <v>1851</v>
      </c>
      <c r="B1659" s="34" t="n">
        <v>45441</v>
      </c>
      <c r="C1659" s="34" t="n">
        <v>45451</v>
      </c>
      <c r="D1659" s="33" t="n">
        <v>71</v>
      </c>
      <c r="E1659" s="33" t="s">
        <v>154</v>
      </c>
      <c r="F1659" s="33" t="s">
        <v>226</v>
      </c>
      <c r="G1659" s="33" t="s">
        <v>258</v>
      </c>
      <c r="H1659" s="33" t="s">
        <v>228</v>
      </c>
      <c r="I1659" s="33" t="s">
        <v>152</v>
      </c>
      <c r="J1659" s="33" t="s">
        <v>159</v>
      </c>
      <c r="K1659" s="33" t="s">
        <v>209</v>
      </c>
      <c r="L1659" s="35" t="n">
        <v>27646.32</v>
      </c>
      <c r="M1659" s="33" t="n">
        <v>3</v>
      </c>
      <c r="N1659" s="33" t="s">
        <v>146</v>
      </c>
      <c r="O1659" s="33" t="s">
        <v>295</v>
      </c>
    </row>
    <row r="1660" customFormat="false" ht="15" hidden="false" customHeight="false" outlineLevel="0" collapsed="false">
      <c r="A1660" s="33" t="s">
        <v>1852</v>
      </c>
      <c r="B1660" s="34" t="n">
        <v>45477</v>
      </c>
      <c r="C1660" s="34" t="n">
        <v>45480</v>
      </c>
      <c r="D1660" s="33" t="n">
        <v>49</v>
      </c>
      <c r="E1660" s="33" t="s">
        <v>139</v>
      </c>
      <c r="F1660" s="33" t="s">
        <v>173</v>
      </c>
      <c r="G1660" s="33" t="s">
        <v>178</v>
      </c>
      <c r="H1660" s="33" t="s">
        <v>199</v>
      </c>
      <c r="I1660" s="33" t="s">
        <v>143</v>
      </c>
      <c r="J1660" s="33" t="s">
        <v>159</v>
      </c>
      <c r="K1660" s="33" t="s">
        <v>145</v>
      </c>
      <c r="L1660" s="35" t="n">
        <v>8593.69</v>
      </c>
      <c r="M1660" s="33" t="n">
        <v>4</v>
      </c>
      <c r="N1660" s="33" t="s">
        <v>146</v>
      </c>
      <c r="O1660" s="33" t="s">
        <v>147</v>
      </c>
    </row>
    <row r="1661" customFormat="false" ht="15" hidden="false" customHeight="false" outlineLevel="0" collapsed="false">
      <c r="A1661" s="33" t="s">
        <v>1853</v>
      </c>
      <c r="B1661" s="34" t="n">
        <v>45640</v>
      </c>
      <c r="C1661" s="34" t="n">
        <v>45641</v>
      </c>
      <c r="D1661" s="33" t="n">
        <v>1</v>
      </c>
      <c r="E1661" s="33" t="s">
        <v>154</v>
      </c>
      <c r="F1661" s="33" t="s">
        <v>203</v>
      </c>
      <c r="G1661" s="33" t="s">
        <v>217</v>
      </c>
      <c r="H1661" s="33" t="s">
        <v>233</v>
      </c>
      <c r="I1661" s="33" t="s">
        <v>143</v>
      </c>
      <c r="J1661" s="33" t="s">
        <v>159</v>
      </c>
      <c r="K1661" s="33" t="s">
        <v>160</v>
      </c>
      <c r="L1661" s="35" t="n">
        <v>969.36</v>
      </c>
      <c r="M1661" s="36"/>
      <c r="N1661" s="33" t="s">
        <v>146</v>
      </c>
      <c r="O1661" s="33" t="s">
        <v>147</v>
      </c>
    </row>
    <row r="1662" customFormat="false" ht="15" hidden="false" customHeight="false" outlineLevel="0" collapsed="false">
      <c r="A1662" s="33" t="s">
        <v>1854</v>
      </c>
      <c r="B1662" s="34" t="n">
        <v>45295</v>
      </c>
      <c r="C1662" s="34" t="n">
        <v>45296</v>
      </c>
      <c r="D1662" s="33" t="n">
        <v>21</v>
      </c>
      <c r="E1662" s="33" t="s">
        <v>139</v>
      </c>
      <c r="F1662" s="33" t="s">
        <v>149</v>
      </c>
      <c r="G1662" s="33" t="s">
        <v>224</v>
      </c>
      <c r="H1662" s="33" t="s">
        <v>151</v>
      </c>
      <c r="I1662" s="33" t="s">
        <v>143</v>
      </c>
      <c r="J1662" s="33" t="s">
        <v>159</v>
      </c>
      <c r="K1662" s="33" t="s">
        <v>160</v>
      </c>
      <c r="L1662" s="35" t="n">
        <v>1551.04</v>
      </c>
      <c r="M1662" s="33" t="n">
        <v>4</v>
      </c>
      <c r="N1662" s="33" t="s">
        <v>146</v>
      </c>
      <c r="O1662" s="33" t="s">
        <v>147</v>
      </c>
    </row>
    <row r="1663" customFormat="false" ht="15" hidden="false" customHeight="false" outlineLevel="0" collapsed="false">
      <c r="A1663" s="33" t="s">
        <v>1855</v>
      </c>
      <c r="B1663" s="34" t="n">
        <v>45346</v>
      </c>
      <c r="C1663" s="34" t="n">
        <v>45351</v>
      </c>
      <c r="D1663" s="33" t="n">
        <v>72</v>
      </c>
      <c r="E1663" s="33" t="s">
        <v>154</v>
      </c>
      <c r="F1663" s="33" t="s">
        <v>173</v>
      </c>
      <c r="G1663" s="33" t="s">
        <v>178</v>
      </c>
      <c r="H1663" s="33" t="s">
        <v>199</v>
      </c>
      <c r="I1663" s="33" t="s">
        <v>152</v>
      </c>
      <c r="J1663" s="33" t="s">
        <v>159</v>
      </c>
      <c r="K1663" s="33" t="s">
        <v>145</v>
      </c>
      <c r="L1663" s="35" t="n">
        <v>14962.63</v>
      </c>
      <c r="M1663" s="33" t="n">
        <v>4</v>
      </c>
      <c r="N1663" s="33" t="s">
        <v>146</v>
      </c>
      <c r="O1663" s="33" t="s">
        <v>147</v>
      </c>
    </row>
    <row r="1664" customFormat="false" ht="15" hidden="false" customHeight="false" outlineLevel="0" collapsed="false">
      <c r="A1664" s="33" t="s">
        <v>1856</v>
      </c>
      <c r="B1664" s="34" t="n">
        <v>45570</v>
      </c>
      <c r="C1664" s="34" t="n">
        <v>45572</v>
      </c>
      <c r="D1664" s="33" t="n">
        <v>20</v>
      </c>
      <c r="E1664" s="33" t="s">
        <v>139</v>
      </c>
      <c r="F1664" s="33" t="s">
        <v>149</v>
      </c>
      <c r="G1664" s="33" t="s">
        <v>150</v>
      </c>
      <c r="H1664" s="33" t="s">
        <v>151</v>
      </c>
      <c r="I1664" s="33" t="s">
        <v>152</v>
      </c>
      <c r="J1664" s="33" t="s">
        <v>159</v>
      </c>
      <c r="K1664" s="33" t="s">
        <v>145</v>
      </c>
      <c r="L1664" s="35" t="n">
        <v>2869.34</v>
      </c>
      <c r="M1664" s="33" t="n">
        <v>5</v>
      </c>
      <c r="N1664" s="33" t="s">
        <v>146</v>
      </c>
      <c r="O1664" s="33" t="s">
        <v>147</v>
      </c>
    </row>
    <row r="1665" customFormat="false" ht="15" hidden="false" customHeight="false" outlineLevel="0" collapsed="false">
      <c r="A1665" s="33" t="s">
        <v>1857</v>
      </c>
      <c r="B1665" s="34" t="n">
        <v>45336</v>
      </c>
      <c r="C1665" s="34" t="n">
        <v>45337</v>
      </c>
      <c r="D1665" s="33" t="n">
        <v>58</v>
      </c>
      <c r="E1665" s="33" t="s">
        <v>139</v>
      </c>
      <c r="F1665" s="33" t="s">
        <v>203</v>
      </c>
      <c r="G1665" s="33" t="s">
        <v>232</v>
      </c>
      <c r="H1665" s="33" t="s">
        <v>193</v>
      </c>
      <c r="I1665" s="33" t="s">
        <v>158</v>
      </c>
      <c r="J1665" s="33" t="s">
        <v>159</v>
      </c>
      <c r="K1665" s="33" t="s">
        <v>160</v>
      </c>
      <c r="L1665" s="35" t="n">
        <v>909.99</v>
      </c>
      <c r="M1665" s="33" t="n">
        <v>3</v>
      </c>
      <c r="N1665" s="33" t="s">
        <v>210</v>
      </c>
      <c r="O1665" s="33" t="s">
        <v>147</v>
      </c>
    </row>
    <row r="1666" customFormat="false" ht="15" hidden="false" customHeight="false" outlineLevel="0" collapsed="false">
      <c r="A1666" s="33" t="s">
        <v>1858</v>
      </c>
      <c r="B1666" s="34" t="n">
        <v>45652</v>
      </c>
      <c r="C1666" s="34" t="n">
        <v>45653</v>
      </c>
      <c r="D1666" s="33" t="n">
        <v>78</v>
      </c>
      <c r="E1666" s="33" t="s">
        <v>154</v>
      </c>
      <c r="F1666" s="33" t="s">
        <v>203</v>
      </c>
      <c r="G1666" s="33" t="s">
        <v>232</v>
      </c>
      <c r="H1666" s="33" t="s">
        <v>193</v>
      </c>
      <c r="I1666" s="33" t="s">
        <v>143</v>
      </c>
      <c r="J1666" s="33" t="s">
        <v>159</v>
      </c>
      <c r="K1666" s="33" t="s">
        <v>145</v>
      </c>
      <c r="L1666" s="35" t="n">
        <v>794.41</v>
      </c>
      <c r="M1666" s="33" t="n">
        <v>4</v>
      </c>
      <c r="N1666" s="33" t="s">
        <v>146</v>
      </c>
      <c r="O1666" s="33" t="s">
        <v>147</v>
      </c>
    </row>
    <row r="1667" customFormat="false" ht="15" hidden="false" customHeight="false" outlineLevel="0" collapsed="false">
      <c r="A1667" s="33" t="s">
        <v>1859</v>
      </c>
      <c r="B1667" s="34" t="n">
        <v>45512</v>
      </c>
      <c r="C1667" s="34" t="n">
        <v>45513</v>
      </c>
      <c r="D1667" s="33" t="n">
        <v>5</v>
      </c>
      <c r="E1667" s="33" t="s">
        <v>154</v>
      </c>
      <c r="F1667" s="33" t="s">
        <v>155</v>
      </c>
      <c r="G1667" s="33" t="s">
        <v>156</v>
      </c>
      <c r="H1667" s="33" t="s">
        <v>157</v>
      </c>
      <c r="I1667" s="33" t="s">
        <v>158</v>
      </c>
      <c r="J1667" s="33" t="s">
        <v>144</v>
      </c>
      <c r="K1667" s="33" t="s">
        <v>160</v>
      </c>
      <c r="L1667" s="35" t="n">
        <v>1414.45</v>
      </c>
      <c r="M1667" s="33" t="n">
        <v>5</v>
      </c>
      <c r="N1667" s="33" t="s">
        <v>146</v>
      </c>
      <c r="O1667" s="33" t="s">
        <v>147</v>
      </c>
    </row>
    <row r="1668" customFormat="false" ht="15" hidden="false" customHeight="false" outlineLevel="0" collapsed="false">
      <c r="A1668" s="33" t="s">
        <v>1860</v>
      </c>
      <c r="B1668" s="34" t="n">
        <v>45391</v>
      </c>
      <c r="C1668" s="34" t="n">
        <v>45392</v>
      </c>
      <c r="D1668" s="33" t="n">
        <v>8</v>
      </c>
      <c r="E1668" s="33" t="s">
        <v>154</v>
      </c>
      <c r="F1668" s="33" t="s">
        <v>155</v>
      </c>
      <c r="G1668" s="33" t="s">
        <v>156</v>
      </c>
      <c r="H1668" s="33" t="s">
        <v>222</v>
      </c>
      <c r="I1668" s="33" t="s">
        <v>143</v>
      </c>
      <c r="J1668" s="33" t="s">
        <v>176</v>
      </c>
      <c r="K1668" s="33" t="s">
        <v>209</v>
      </c>
      <c r="L1668" s="35" t="n">
        <v>3148.23</v>
      </c>
      <c r="M1668" s="33" t="n">
        <v>3</v>
      </c>
      <c r="N1668" s="33" t="s">
        <v>146</v>
      </c>
      <c r="O1668" s="33" t="s">
        <v>147</v>
      </c>
    </row>
    <row r="1669" customFormat="false" ht="15" hidden="false" customHeight="false" outlineLevel="0" collapsed="false">
      <c r="A1669" s="33" t="s">
        <v>1861</v>
      </c>
      <c r="B1669" s="34" t="n">
        <v>45387</v>
      </c>
      <c r="C1669" s="34" t="n">
        <v>45388</v>
      </c>
      <c r="D1669" s="33" t="n">
        <v>13</v>
      </c>
      <c r="E1669" s="33" t="s">
        <v>154</v>
      </c>
      <c r="F1669" s="33" t="s">
        <v>155</v>
      </c>
      <c r="G1669" s="33" t="s">
        <v>156</v>
      </c>
      <c r="H1669" s="33" t="s">
        <v>157</v>
      </c>
      <c r="I1669" s="33" t="s">
        <v>152</v>
      </c>
      <c r="J1669" s="33" t="s">
        <v>159</v>
      </c>
      <c r="K1669" s="33" t="s">
        <v>209</v>
      </c>
      <c r="L1669" s="35" t="n">
        <v>1017.79</v>
      </c>
      <c r="M1669" s="33" t="n">
        <v>5</v>
      </c>
      <c r="N1669" s="33" t="s">
        <v>146</v>
      </c>
      <c r="O1669" s="33" t="s">
        <v>247</v>
      </c>
    </row>
    <row r="1670" customFormat="false" ht="15" hidden="false" customHeight="false" outlineLevel="0" collapsed="false">
      <c r="A1670" s="33" t="s">
        <v>1862</v>
      </c>
      <c r="B1670" s="34" t="n">
        <v>45518</v>
      </c>
      <c r="C1670" s="34" t="n">
        <v>45525</v>
      </c>
      <c r="D1670" s="33" t="n">
        <v>44</v>
      </c>
      <c r="E1670" s="33" t="s">
        <v>154</v>
      </c>
      <c r="F1670" s="33" t="s">
        <v>181</v>
      </c>
      <c r="G1670" s="33" t="s">
        <v>182</v>
      </c>
      <c r="H1670" s="33" t="s">
        <v>245</v>
      </c>
      <c r="I1670" s="33" t="s">
        <v>158</v>
      </c>
      <c r="J1670" s="33" t="s">
        <v>176</v>
      </c>
      <c r="K1670" s="33" t="s">
        <v>184</v>
      </c>
      <c r="L1670" s="35" t="n">
        <v>71496.45</v>
      </c>
      <c r="M1670" s="33" t="n">
        <v>3</v>
      </c>
      <c r="N1670" s="33" t="s">
        <v>146</v>
      </c>
      <c r="O1670" s="33" t="s">
        <v>147</v>
      </c>
    </row>
    <row r="1671" customFormat="false" ht="15" hidden="false" customHeight="false" outlineLevel="0" collapsed="false">
      <c r="A1671" s="33" t="s">
        <v>1863</v>
      </c>
      <c r="B1671" s="34" t="n">
        <v>45620</v>
      </c>
      <c r="C1671" s="34" t="n">
        <v>45629</v>
      </c>
      <c r="D1671" s="33" t="n">
        <v>65</v>
      </c>
      <c r="E1671" s="33" t="s">
        <v>139</v>
      </c>
      <c r="F1671" s="33" t="s">
        <v>181</v>
      </c>
      <c r="G1671" s="33" t="s">
        <v>188</v>
      </c>
      <c r="H1671" s="33" t="s">
        <v>245</v>
      </c>
      <c r="I1671" s="33" t="s">
        <v>158</v>
      </c>
      <c r="J1671" s="33" t="s">
        <v>159</v>
      </c>
      <c r="K1671" s="33" t="s">
        <v>145</v>
      </c>
      <c r="L1671" s="35" t="n">
        <v>22894.2</v>
      </c>
      <c r="M1671" s="33" t="n">
        <v>4</v>
      </c>
      <c r="N1671" s="33" t="s">
        <v>146</v>
      </c>
      <c r="O1671" s="33" t="s">
        <v>147</v>
      </c>
    </row>
    <row r="1672" customFormat="false" ht="15" hidden="false" customHeight="false" outlineLevel="0" collapsed="false">
      <c r="A1672" s="33" t="s">
        <v>1864</v>
      </c>
      <c r="B1672" s="34" t="n">
        <v>45377</v>
      </c>
      <c r="C1672" s="34" t="n">
        <v>45381</v>
      </c>
      <c r="D1672" s="36" t="n">
        <v>-3</v>
      </c>
      <c r="E1672" s="33" t="s">
        <v>180</v>
      </c>
      <c r="F1672" s="33" t="s">
        <v>169</v>
      </c>
      <c r="G1672" s="33" t="s">
        <v>170</v>
      </c>
      <c r="H1672" s="33" t="s">
        <v>164</v>
      </c>
      <c r="I1672" s="33" t="s">
        <v>152</v>
      </c>
      <c r="J1672" s="33" t="s">
        <v>159</v>
      </c>
      <c r="K1672" s="33" t="s">
        <v>209</v>
      </c>
      <c r="L1672" s="35" t="n">
        <v>3554.15</v>
      </c>
      <c r="M1672" s="33" t="n">
        <v>4</v>
      </c>
      <c r="N1672" s="33" t="s">
        <v>146</v>
      </c>
      <c r="O1672" s="33" t="s">
        <v>147</v>
      </c>
    </row>
    <row r="1673" customFormat="false" ht="15" hidden="false" customHeight="false" outlineLevel="0" collapsed="false">
      <c r="A1673" s="33" t="s">
        <v>1865</v>
      </c>
      <c r="B1673" s="34" t="n">
        <v>45348</v>
      </c>
      <c r="C1673" s="34" t="n">
        <v>45355</v>
      </c>
      <c r="D1673" s="33" t="n">
        <v>72</v>
      </c>
      <c r="E1673" s="33" t="s">
        <v>154</v>
      </c>
      <c r="F1673" s="33" t="s">
        <v>181</v>
      </c>
      <c r="G1673" s="33" t="s">
        <v>188</v>
      </c>
      <c r="H1673" s="33" t="s">
        <v>245</v>
      </c>
      <c r="I1673" s="33" t="s">
        <v>143</v>
      </c>
      <c r="J1673" s="33" t="s">
        <v>144</v>
      </c>
      <c r="K1673" s="33" t="s">
        <v>145</v>
      </c>
      <c r="L1673" s="35" t="n">
        <v>29709.3</v>
      </c>
      <c r="M1673" s="33" t="n">
        <v>4</v>
      </c>
      <c r="N1673" s="33" t="s">
        <v>146</v>
      </c>
      <c r="O1673" s="33" t="s">
        <v>247</v>
      </c>
    </row>
    <row r="1674" customFormat="false" ht="15" hidden="false" customHeight="false" outlineLevel="0" collapsed="false">
      <c r="A1674" s="33" t="s">
        <v>1866</v>
      </c>
      <c r="B1674" s="34" t="n">
        <v>45480</v>
      </c>
      <c r="C1674" s="34" t="n">
        <v>45482</v>
      </c>
      <c r="D1674" s="33" t="n">
        <v>31</v>
      </c>
      <c r="E1674" s="33" t="s">
        <v>139</v>
      </c>
      <c r="F1674" s="33" t="s">
        <v>140</v>
      </c>
      <c r="G1674" s="33" t="s">
        <v>316</v>
      </c>
      <c r="H1674" s="33" t="s">
        <v>142</v>
      </c>
      <c r="I1674" s="33" t="s">
        <v>143</v>
      </c>
      <c r="J1674" s="33" t="s">
        <v>159</v>
      </c>
      <c r="K1674" s="33" t="s">
        <v>209</v>
      </c>
      <c r="L1674" s="35" t="n">
        <v>4401.56</v>
      </c>
      <c r="M1674" s="33" t="n">
        <v>4</v>
      </c>
      <c r="N1674" s="33" t="s">
        <v>146</v>
      </c>
      <c r="O1674" s="33" t="s">
        <v>147</v>
      </c>
    </row>
    <row r="1675" customFormat="false" ht="15" hidden="false" customHeight="false" outlineLevel="0" collapsed="false">
      <c r="A1675" s="33" t="s">
        <v>1867</v>
      </c>
      <c r="B1675" s="34" t="n">
        <v>45597</v>
      </c>
      <c r="C1675" s="34" t="n">
        <v>45600</v>
      </c>
      <c r="D1675" s="33" t="n">
        <v>30</v>
      </c>
      <c r="E1675" s="33" t="s">
        <v>139</v>
      </c>
      <c r="F1675" s="33" t="s">
        <v>149</v>
      </c>
      <c r="G1675" s="33" t="s">
        <v>224</v>
      </c>
      <c r="H1675" s="33" t="s">
        <v>186</v>
      </c>
      <c r="I1675" s="33" t="s">
        <v>152</v>
      </c>
      <c r="J1675" s="33" t="s">
        <v>159</v>
      </c>
      <c r="K1675" s="33" t="s">
        <v>145</v>
      </c>
      <c r="L1675" s="35" t="n">
        <v>3944.38</v>
      </c>
      <c r="M1675" s="33" t="n">
        <v>5</v>
      </c>
      <c r="N1675" s="33" t="s">
        <v>146</v>
      </c>
      <c r="O1675" s="33" t="s">
        <v>147</v>
      </c>
    </row>
    <row r="1676" customFormat="false" ht="15" hidden="false" customHeight="false" outlineLevel="0" collapsed="false">
      <c r="A1676" s="33" t="s">
        <v>1868</v>
      </c>
      <c r="B1676" s="34" t="n">
        <v>45516</v>
      </c>
      <c r="C1676" s="34" t="n">
        <v>45520</v>
      </c>
      <c r="D1676" s="33" t="n">
        <v>69</v>
      </c>
      <c r="E1676" s="33" t="s">
        <v>154</v>
      </c>
      <c r="F1676" s="33" t="s">
        <v>173</v>
      </c>
      <c r="G1676" s="33" t="s">
        <v>198</v>
      </c>
      <c r="H1676" s="33" t="s">
        <v>175</v>
      </c>
      <c r="I1676" s="33" t="s">
        <v>152</v>
      </c>
      <c r="J1676" s="33" t="s">
        <v>159</v>
      </c>
      <c r="K1676" s="33" t="s">
        <v>145</v>
      </c>
      <c r="L1676" s="35" t="n">
        <v>11114.53</v>
      </c>
      <c r="M1676" s="33" t="n">
        <v>4</v>
      </c>
      <c r="N1676" s="33" t="s">
        <v>146</v>
      </c>
      <c r="O1676" s="33" t="s">
        <v>147</v>
      </c>
    </row>
    <row r="1677" customFormat="false" ht="15" hidden="false" customHeight="false" outlineLevel="0" collapsed="false">
      <c r="A1677" s="33" t="s">
        <v>1869</v>
      </c>
      <c r="B1677" s="34" t="n">
        <v>45332</v>
      </c>
      <c r="C1677" s="34" t="n">
        <v>45334</v>
      </c>
      <c r="D1677" s="33" t="n">
        <v>26</v>
      </c>
      <c r="E1677" s="33" t="s">
        <v>139</v>
      </c>
      <c r="F1677" s="33" t="s">
        <v>149</v>
      </c>
      <c r="G1677" s="33" t="s">
        <v>243</v>
      </c>
      <c r="H1677" s="33" t="s">
        <v>186</v>
      </c>
      <c r="I1677" s="33" t="s">
        <v>143</v>
      </c>
      <c r="J1677" s="33" t="s">
        <v>144</v>
      </c>
      <c r="K1677" s="33" t="s">
        <v>184</v>
      </c>
      <c r="L1677" s="35" t="n">
        <v>4359.14</v>
      </c>
      <c r="M1677" s="33" t="n">
        <v>4</v>
      </c>
      <c r="N1677" s="33" t="s">
        <v>146</v>
      </c>
      <c r="O1677" s="33" t="s">
        <v>295</v>
      </c>
    </row>
    <row r="1678" customFormat="false" ht="15" hidden="false" customHeight="false" outlineLevel="0" collapsed="false">
      <c r="A1678" s="33" t="s">
        <v>1870</v>
      </c>
      <c r="B1678" s="34" t="n">
        <v>45356</v>
      </c>
      <c r="C1678" s="34" t="n">
        <v>45357</v>
      </c>
      <c r="D1678" s="33" t="n">
        <v>44</v>
      </c>
      <c r="E1678" s="33" t="s">
        <v>139</v>
      </c>
      <c r="F1678" s="33" t="s">
        <v>203</v>
      </c>
      <c r="G1678" s="33" t="s">
        <v>192</v>
      </c>
      <c r="H1678" s="33" t="s">
        <v>205</v>
      </c>
      <c r="I1678" s="33" t="s">
        <v>143</v>
      </c>
      <c r="J1678" s="33" t="s">
        <v>159</v>
      </c>
      <c r="K1678" s="33" t="s">
        <v>145</v>
      </c>
      <c r="L1678" s="35" t="n">
        <v>822.69</v>
      </c>
      <c r="M1678" s="33" t="n">
        <v>2</v>
      </c>
      <c r="N1678" s="33" t="s">
        <v>146</v>
      </c>
      <c r="O1678" s="33" t="s">
        <v>147</v>
      </c>
    </row>
    <row r="1679" customFormat="false" ht="15" hidden="false" customHeight="false" outlineLevel="0" collapsed="false">
      <c r="A1679" s="33" t="s">
        <v>1871</v>
      </c>
      <c r="B1679" s="34" t="n">
        <v>45513</v>
      </c>
      <c r="C1679" s="34" t="n">
        <v>45514</v>
      </c>
      <c r="D1679" s="33" t="n">
        <v>53</v>
      </c>
      <c r="E1679" s="33" t="s">
        <v>139</v>
      </c>
      <c r="F1679" s="33" t="s">
        <v>181</v>
      </c>
      <c r="G1679" s="33" t="s">
        <v>188</v>
      </c>
      <c r="H1679" s="36"/>
      <c r="I1679" s="33" t="s">
        <v>143</v>
      </c>
      <c r="J1679" s="33" t="s">
        <v>159</v>
      </c>
      <c r="K1679" s="33" t="s">
        <v>145</v>
      </c>
      <c r="L1679" s="35" t="n">
        <v>2769.72</v>
      </c>
      <c r="M1679" s="33" t="n">
        <v>2</v>
      </c>
      <c r="N1679" s="33" t="s">
        <v>210</v>
      </c>
      <c r="O1679" s="33" t="s">
        <v>247</v>
      </c>
    </row>
    <row r="1680" customFormat="false" ht="15" hidden="false" customHeight="false" outlineLevel="0" collapsed="false">
      <c r="A1680" s="33" t="s">
        <v>1872</v>
      </c>
      <c r="B1680" s="34" t="n">
        <v>45541</v>
      </c>
      <c r="C1680" s="34" t="n">
        <v>45547</v>
      </c>
      <c r="D1680" s="33" t="n">
        <v>63</v>
      </c>
      <c r="E1680" s="33" t="s">
        <v>154</v>
      </c>
      <c r="F1680" s="33" t="s">
        <v>181</v>
      </c>
      <c r="G1680" s="33" t="s">
        <v>237</v>
      </c>
      <c r="H1680" s="33" t="s">
        <v>183</v>
      </c>
      <c r="I1680" s="33" t="s">
        <v>152</v>
      </c>
      <c r="J1680" s="33" t="s">
        <v>159</v>
      </c>
      <c r="K1680" s="33" t="s">
        <v>160</v>
      </c>
      <c r="L1680" s="35" t="n">
        <v>13909.49</v>
      </c>
      <c r="M1680" s="33" t="n">
        <v>5</v>
      </c>
      <c r="N1680" s="33" t="s">
        <v>210</v>
      </c>
      <c r="O1680" s="33" t="s">
        <v>147</v>
      </c>
    </row>
    <row r="1681" customFormat="false" ht="15" hidden="false" customHeight="false" outlineLevel="0" collapsed="false">
      <c r="A1681" s="33" t="s">
        <v>1873</v>
      </c>
      <c r="B1681" s="34" t="n">
        <v>45472</v>
      </c>
      <c r="C1681" s="34" t="n">
        <v>45476</v>
      </c>
      <c r="D1681" s="33" t="n">
        <v>5</v>
      </c>
      <c r="E1681" s="33" t="s">
        <v>139</v>
      </c>
      <c r="F1681" s="33" t="s">
        <v>155</v>
      </c>
      <c r="G1681" s="33" t="s">
        <v>220</v>
      </c>
      <c r="H1681" s="33" t="s">
        <v>157</v>
      </c>
      <c r="I1681" s="33" t="s">
        <v>143</v>
      </c>
      <c r="J1681" s="33" t="s">
        <v>159</v>
      </c>
      <c r="K1681" s="33" t="s">
        <v>145</v>
      </c>
      <c r="L1681" s="35" t="n">
        <v>3479.72</v>
      </c>
      <c r="M1681" s="33" t="n">
        <v>3</v>
      </c>
      <c r="N1681" s="33" t="s">
        <v>146</v>
      </c>
      <c r="O1681" s="33" t="s">
        <v>147</v>
      </c>
    </row>
    <row r="1682" customFormat="false" ht="15" hidden="false" customHeight="false" outlineLevel="0" collapsed="false">
      <c r="A1682" s="33" t="s">
        <v>1874</v>
      </c>
      <c r="B1682" s="34" t="n">
        <v>45403</v>
      </c>
      <c r="C1682" s="34" t="n">
        <v>45404</v>
      </c>
      <c r="D1682" s="36"/>
      <c r="E1682" s="33" t="s">
        <v>139</v>
      </c>
      <c r="F1682" s="33" t="s">
        <v>240</v>
      </c>
      <c r="G1682" s="33" t="s">
        <v>217</v>
      </c>
      <c r="H1682" s="33" t="s">
        <v>193</v>
      </c>
      <c r="I1682" s="33" t="s">
        <v>143</v>
      </c>
      <c r="J1682" s="33" t="s">
        <v>159</v>
      </c>
      <c r="K1682" s="33" t="s">
        <v>145</v>
      </c>
      <c r="L1682" s="35" t="n">
        <v>968.99</v>
      </c>
      <c r="M1682" s="33" t="n">
        <v>4</v>
      </c>
      <c r="N1682" s="33" t="s">
        <v>210</v>
      </c>
      <c r="O1682" s="33" t="s">
        <v>247</v>
      </c>
    </row>
    <row r="1683" customFormat="false" ht="15" hidden="false" customHeight="false" outlineLevel="0" collapsed="false">
      <c r="A1683" s="33" t="s">
        <v>1875</v>
      </c>
      <c r="B1683" s="34" t="n">
        <v>45383</v>
      </c>
      <c r="C1683" s="34" t="n">
        <v>45386</v>
      </c>
      <c r="D1683" s="33" t="n">
        <v>2</v>
      </c>
      <c r="E1683" s="33" t="s">
        <v>139</v>
      </c>
      <c r="F1683" s="33" t="s">
        <v>288</v>
      </c>
      <c r="G1683" s="33" t="s">
        <v>220</v>
      </c>
      <c r="H1683" s="33" t="s">
        <v>157</v>
      </c>
      <c r="I1683" s="33" t="s">
        <v>143</v>
      </c>
      <c r="J1683" s="33" t="s">
        <v>159</v>
      </c>
      <c r="K1683" s="33" t="s">
        <v>160</v>
      </c>
      <c r="L1683" s="35" t="n">
        <v>2700.94</v>
      </c>
      <c r="M1683" s="33" t="n">
        <v>4</v>
      </c>
      <c r="N1683" s="33" t="s">
        <v>146</v>
      </c>
      <c r="O1683" s="33" t="s">
        <v>247</v>
      </c>
    </row>
    <row r="1684" customFormat="false" ht="15" hidden="false" customHeight="false" outlineLevel="0" collapsed="false">
      <c r="A1684" s="33" t="s">
        <v>1876</v>
      </c>
      <c r="B1684" s="34" t="n">
        <v>45466</v>
      </c>
      <c r="C1684" s="34" t="n">
        <v>45467</v>
      </c>
      <c r="D1684" s="33" t="n">
        <v>26</v>
      </c>
      <c r="E1684" s="33" t="s">
        <v>139</v>
      </c>
      <c r="F1684" s="33" t="s">
        <v>149</v>
      </c>
      <c r="G1684" s="33" t="s">
        <v>243</v>
      </c>
      <c r="H1684" s="33" t="s">
        <v>186</v>
      </c>
      <c r="I1684" s="33" t="s">
        <v>143</v>
      </c>
      <c r="J1684" s="33" t="s">
        <v>176</v>
      </c>
      <c r="K1684" s="33" t="s">
        <v>209</v>
      </c>
      <c r="L1684" s="35" t="n">
        <v>4845.71</v>
      </c>
      <c r="M1684" s="33" t="n">
        <v>3</v>
      </c>
      <c r="N1684" s="33" t="s">
        <v>146</v>
      </c>
      <c r="O1684" s="33" t="s">
        <v>147</v>
      </c>
    </row>
    <row r="1685" customFormat="false" ht="15" hidden="false" customHeight="false" outlineLevel="0" collapsed="false">
      <c r="A1685" s="33" t="s">
        <v>1877</v>
      </c>
      <c r="B1685" s="34" t="n">
        <v>45310</v>
      </c>
      <c r="C1685" s="34" t="n">
        <v>45314</v>
      </c>
      <c r="D1685" s="33" t="n">
        <v>58</v>
      </c>
      <c r="E1685" s="33" t="s">
        <v>139</v>
      </c>
      <c r="F1685" s="33" t="s">
        <v>181</v>
      </c>
      <c r="G1685" s="33" t="s">
        <v>237</v>
      </c>
      <c r="H1685" s="33" t="s">
        <v>245</v>
      </c>
      <c r="I1685" s="33" t="s">
        <v>152</v>
      </c>
      <c r="J1685" s="33" t="s">
        <v>144</v>
      </c>
      <c r="K1685" s="33" t="s">
        <v>145</v>
      </c>
      <c r="L1685" s="35" t="n">
        <v>13173.12</v>
      </c>
      <c r="M1685" s="33" t="n">
        <v>5</v>
      </c>
      <c r="N1685" s="33" t="s">
        <v>146</v>
      </c>
      <c r="O1685" s="33" t="s">
        <v>147</v>
      </c>
    </row>
    <row r="1686" customFormat="false" ht="15" hidden="false" customHeight="false" outlineLevel="0" collapsed="false">
      <c r="A1686" s="33" t="s">
        <v>1878</v>
      </c>
      <c r="B1686" s="34" t="n">
        <v>45587</v>
      </c>
      <c r="C1686" s="34" t="n">
        <v>45595</v>
      </c>
      <c r="D1686" s="33" t="n">
        <v>57</v>
      </c>
      <c r="E1686" s="33" t="s">
        <v>139</v>
      </c>
      <c r="F1686" s="33" t="s">
        <v>169</v>
      </c>
      <c r="G1686" s="33" t="s">
        <v>170</v>
      </c>
      <c r="H1686" s="33" t="s">
        <v>164</v>
      </c>
      <c r="I1686" s="33" t="s">
        <v>158</v>
      </c>
      <c r="J1686" s="33" t="s">
        <v>159</v>
      </c>
      <c r="K1686" s="33" t="s">
        <v>160</v>
      </c>
      <c r="L1686" s="35" t="n">
        <v>7958.26</v>
      </c>
      <c r="M1686" s="33" t="n">
        <v>4</v>
      </c>
      <c r="N1686" s="33" t="s">
        <v>146</v>
      </c>
      <c r="O1686" s="33" t="s">
        <v>147</v>
      </c>
    </row>
    <row r="1687" customFormat="false" ht="15" hidden="false" customHeight="false" outlineLevel="0" collapsed="false">
      <c r="A1687" s="33" t="s">
        <v>1879</v>
      </c>
      <c r="B1687" s="34" t="n">
        <v>45624</v>
      </c>
      <c r="C1687" s="34" t="n">
        <v>45626</v>
      </c>
      <c r="D1687" s="33" t="n">
        <v>41</v>
      </c>
      <c r="E1687" s="33" t="s">
        <v>139</v>
      </c>
      <c r="F1687" s="33" t="s">
        <v>173</v>
      </c>
      <c r="G1687" s="33" t="s">
        <v>174</v>
      </c>
      <c r="H1687" s="33" t="s">
        <v>199</v>
      </c>
      <c r="I1687" s="33" t="s">
        <v>143</v>
      </c>
      <c r="J1687" s="33" t="s">
        <v>159</v>
      </c>
      <c r="K1687" s="33" t="s">
        <v>160</v>
      </c>
      <c r="L1687" s="35" t="n">
        <v>5858.39</v>
      </c>
      <c r="M1687" s="33" t="n">
        <v>4</v>
      </c>
      <c r="N1687" s="33" t="s">
        <v>146</v>
      </c>
      <c r="O1687" s="33" t="s">
        <v>147</v>
      </c>
    </row>
    <row r="1688" customFormat="false" ht="15" hidden="false" customHeight="false" outlineLevel="0" collapsed="false">
      <c r="A1688" s="33" t="s">
        <v>1880</v>
      </c>
      <c r="B1688" s="34" t="n">
        <v>45442</v>
      </c>
      <c r="C1688" s="34" t="n">
        <v>45447</v>
      </c>
      <c r="D1688" s="33" t="n">
        <v>4</v>
      </c>
      <c r="E1688" s="33" t="s">
        <v>139</v>
      </c>
      <c r="F1688" s="33" t="s">
        <v>155</v>
      </c>
      <c r="G1688" s="33" t="s">
        <v>302</v>
      </c>
      <c r="H1688" s="33" t="s">
        <v>222</v>
      </c>
      <c r="I1688" s="33" t="s">
        <v>143</v>
      </c>
      <c r="J1688" s="33" t="s">
        <v>159</v>
      </c>
      <c r="K1688" s="33" t="s">
        <v>160</v>
      </c>
      <c r="L1688" s="35" t="n">
        <v>3902.87</v>
      </c>
      <c r="M1688" s="33" t="n">
        <v>4</v>
      </c>
      <c r="N1688" s="33" t="s">
        <v>146</v>
      </c>
      <c r="O1688" s="33" t="s">
        <v>147</v>
      </c>
    </row>
    <row r="1689" customFormat="false" ht="15" hidden="false" customHeight="false" outlineLevel="0" collapsed="false">
      <c r="A1689" s="33" t="s">
        <v>1881</v>
      </c>
      <c r="B1689" s="34" t="n">
        <v>45379</v>
      </c>
      <c r="C1689" s="34" t="n">
        <v>45381</v>
      </c>
      <c r="D1689" s="33" t="n">
        <v>47</v>
      </c>
      <c r="E1689" s="33" t="s">
        <v>154</v>
      </c>
      <c r="F1689" s="33" t="s">
        <v>181</v>
      </c>
      <c r="G1689" s="33" t="s">
        <v>237</v>
      </c>
      <c r="H1689" s="33" t="s">
        <v>183</v>
      </c>
      <c r="I1689" s="33" t="s">
        <v>152</v>
      </c>
      <c r="J1689" s="33" t="s">
        <v>159</v>
      </c>
      <c r="K1689" s="33" t="s">
        <v>145</v>
      </c>
      <c r="L1689" s="35" t="n">
        <v>3761.63</v>
      </c>
      <c r="M1689" s="33" t="n">
        <v>5</v>
      </c>
      <c r="N1689" s="33" t="s">
        <v>146</v>
      </c>
      <c r="O1689" s="33" t="s">
        <v>147</v>
      </c>
    </row>
    <row r="1690" customFormat="false" ht="15" hidden="false" customHeight="false" outlineLevel="0" collapsed="false">
      <c r="A1690" s="33" t="s">
        <v>1882</v>
      </c>
      <c r="B1690" s="34" t="n">
        <v>45622</v>
      </c>
      <c r="C1690" s="34" t="n">
        <v>45623</v>
      </c>
      <c r="D1690" s="33" t="n">
        <v>32</v>
      </c>
      <c r="E1690" s="33" t="s">
        <v>216</v>
      </c>
      <c r="F1690" s="33" t="s">
        <v>149</v>
      </c>
      <c r="G1690" s="33" t="s">
        <v>150</v>
      </c>
      <c r="H1690" s="33" t="s">
        <v>151</v>
      </c>
      <c r="I1690" s="33" t="s">
        <v>143</v>
      </c>
      <c r="J1690" s="33" t="s">
        <v>144</v>
      </c>
      <c r="K1690" s="33" t="s">
        <v>145</v>
      </c>
      <c r="L1690" s="35" t="n">
        <v>2553.12</v>
      </c>
      <c r="M1690" s="33" t="n">
        <v>4</v>
      </c>
      <c r="N1690" s="33" t="s">
        <v>146</v>
      </c>
      <c r="O1690" s="33" t="s">
        <v>147</v>
      </c>
    </row>
    <row r="1691" customFormat="false" ht="15" hidden="false" customHeight="false" outlineLevel="0" collapsed="false">
      <c r="A1691" s="33" t="s">
        <v>1883</v>
      </c>
      <c r="B1691" s="34" t="n">
        <v>45309</v>
      </c>
      <c r="C1691" s="34" t="n">
        <v>45313</v>
      </c>
      <c r="D1691" s="33" t="n">
        <v>56</v>
      </c>
      <c r="E1691" s="33" t="s">
        <v>154</v>
      </c>
      <c r="F1691" s="33" t="s">
        <v>169</v>
      </c>
      <c r="G1691" s="33" t="s">
        <v>170</v>
      </c>
      <c r="H1691" s="33" t="s">
        <v>195</v>
      </c>
      <c r="I1691" s="33" t="s">
        <v>143</v>
      </c>
      <c r="J1691" s="33" t="s">
        <v>144</v>
      </c>
      <c r="K1691" s="33" t="s">
        <v>160</v>
      </c>
      <c r="L1691" s="35" t="n">
        <v>6637.53</v>
      </c>
      <c r="M1691" s="33" t="n">
        <v>5</v>
      </c>
      <c r="N1691" s="33" t="s">
        <v>146</v>
      </c>
      <c r="O1691" s="33" t="s">
        <v>295</v>
      </c>
    </row>
    <row r="1692" customFormat="false" ht="15" hidden="false" customHeight="false" outlineLevel="0" collapsed="false">
      <c r="A1692" s="33" t="s">
        <v>1884</v>
      </c>
      <c r="B1692" s="34" t="n">
        <v>45382</v>
      </c>
      <c r="C1692" s="34" t="n">
        <v>45384</v>
      </c>
      <c r="D1692" s="33" t="n">
        <v>33</v>
      </c>
      <c r="E1692" s="33" t="s">
        <v>139</v>
      </c>
      <c r="F1692" s="33" t="s">
        <v>140</v>
      </c>
      <c r="G1692" s="33" t="s">
        <v>141</v>
      </c>
      <c r="H1692" s="33" t="s">
        <v>142</v>
      </c>
      <c r="I1692" s="33" t="s">
        <v>152</v>
      </c>
      <c r="J1692" s="33" t="s">
        <v>144</v>
      </c>
      <c r="K1692" s="33" t="s">
        <v>145</v>
      </c>
      <c r="L1692" s="35" t="n">
        <v>9095.53</v>
      </c>
      <c r="M1692" s="33" t="n">
        <v>4</v>
      </c>
      <c r="N1692" s="33" t="s">
        <v>146</v>
      </c>
      <c r="O1692" s="33" t="s">
        <v>206</v>
      </c>
    </row>
    <row r="1693" customFormat="false" ht="15" hidden="false" customHeight="false" outlineLevel="0" collapsed="false">
      <c r="A1693" s="33" t="s">
        <v>1885</v>
      </c>
      <c r="B1693" s="34" t="n">
        <v>45606</v>
      </c>
      <c r="C1693" s="34" t="n">
        <v>45612</v>
      </c>
      <c r="D1693" s="33" t="n">
        <v>56</v>
      </c>
      <c r="E1693" s="33" t="s">
        <v>154</v>
      </c>
      <c r="F1693" s="33" t="s">
        <v>226</v>
      </c>
      <c r="G1693" s="33" t="s">
        <v>258</v>
      </c>
      <c r="H1693" s="33" t="s">
        <v>228</v>
      </c>
      <c r="I1693" s="33" t="s">
        <v>152</v>
      </c>
      <c r="J1693" s="33" t="s">
        <v>159</v>
      </c>
      <c r="K1693" s="33" t="s">
        <v>209</v>
      </c>
      <c r="L1693" s="35" t="n">
        <v>16449.02</v>
      </c>
      <c r="M1693" s="33" t="n">
        <v>5</v>
      </c>
      <c r="N1693" s="33" t="s">
        <v>146</v>
      </c>
      <c r="O1693" s="33" t="s">
        <v>147</v>
      </c>
    </row>
    <row r="1694" customFormat="false" ht="15" hidden="false" customHeight="false" outlineLevel="0" collapsed="false">
      <c r="A1694" s="33" t="s">
        <v>1886</v>
      </c>
      <c r="B1694" s="34" t="n">
        <v>45617</v>
      </c>
      <c r="C1694" s="34" t="n">
        <v>45625</v>
      </c>
      <c r="D1694" s="33" t="n">
        <v>22</v>
      </c>
      <c r="E1694" s="33" t="s">
        <v>139</v>
      </c>
      <c r="F1694" s="33" t="s">
        <v>140</v>
      </c>
      <c r="G1694" s="33" t="s">
        <v>141</v>
      </c>
      <c r="H1694" s="33" t="s">
        <v>142</v>
      </c>
      <c r="I1694" s="33" t="s">
        <v>152</v>
      </c>
      <c r="J1694" s="33" t="s">
        <v>159</v>
      </c>
      <c r="K1694" s="33" t="s">
        <v>145</v>
      </c>
      <c r="L1694" s="35" t="n">
        <v>20954.96</v>
      </c>
      <c r="M1694" s="33" t="n">
        <v>4</v>
      </c>
      <c r="N1694" s="33" t="s">
        <v>146</v>
      </c>
      <c r="O1694" s="33" t="s">
        <v>147</v>
      </c>
    </row>
    <row r="1695" customFormat="false" ht="15" hidden="false" customHeight="false" outlineLevel="0" collapsed="false">
      <c r="A1695" s="33" t="s">
        <v>1887</v>
      </c>
      <c r="B1695" s="34" t="n">
        <v>45480</v>
      </c>
      <c r="C1695" s="34" t="n">
        <v>45485</v>
      </c>
      <c r="D1695" s="33" t="n">
        <v>26</v>
      </c>
      <c r="E1695" s="33" t="s">
        <v>154</v>
      </c>
      <c r="F1695" s="33" t="s">
        <v>140</v>
      </c>
      <c r="G1695" s="33" t="s">
        <v>316</v>
      </c>
      <c r="H1695" s="33" t="s">
        <v>290</v>
      </c>
      <c r="I1695" s="33" t="s">
        <v>143</v>
      </c>
      <c r="J1695" s="33" t="s">
        <v>159</v>
      </c>
      <c r="K1695" s="33" t="s">
        <v>184</v>
      </c>
      <c r="L1695" s="35" t="n">
        <v>11772.09</v>
      </c>
      <c r="M1695" s="33" t="n">
        <v>3</v>
      </c>
      <c r="N1695" s="33" t="s">
        <v>146</v>
      </c>
      <c r="O1695" s="33" t="s">
        <v>147</v>
      </c>
    </row>
    <row r="1696" customFormat="false" ht="15" hidden="false" customHeight="false" outlineLevel="0" collapsed="false">
      <c r="A1696" s="33" t="s">
        <v>1888</v>
      </c>
      <c r="B1696" s="34" t="n">
        <v>45381</v>
      </c>
      <c r="C1696" s="34" t="n">
        <v>45384</v>
      </c>
      <c r="D1696" s="33" t="n">
        <v>48</v>
      </c>
      <c r="E1696" s="33" t="s">
        <v>139</v>
      </c>
      <c r="F1696" s="33" t="s">
        <v>169</v>
      </c>
      <c r="G1696" s="33" t="s">
        <v>170</v>
      </c>
      <c r="H1696" s="33" t="s">
        <v>164</v>
      </c>
      <c r="I1696" s="33" t="s">
        <v>152</v>
      </c>
      <c r="J1696" s="33" t="s">
        <v>159</v>
      </c>
      <c r="K1696" s="33" t="s">
        <v>160</v>
      </c>
      <c r="L1696" s="35" t="n">
        <v>3109.47</v>
      </c>
      <c r="M1696" s="33" t="n">
        <v>5</v>
      </c>
      <c r="N1696" s="33" t="s">
        <v>146</v>
      </c>
      <c r="O1696" s="33" t="s">
        <v>147</v>
      </c>
    </row>
    <row r="1697" customFormat="false" ht="15" hidden="false" customHeight="false" outlineLevel="0" collapsed="false">
      <c r="A1697" s="33" t="s">
        <v>1889</v>
      </c>
      <c r="B1697" s="34" t="n">
        <v>45330</v>
      </c>
      <c r="C1697" s="34" t="n">
        <v>45332</v>
      </c>
      <c r="D1697" s="33" t="n">
        <v>37</v>
      </c>
      <c r="E1697" s="33" t="s">
        <v>139</v>
      </c>
      <c r="F1697" s="33" t="s">
        <v>149</v>
      </c>
      <c r="G1697" s="33" t="s">
        <v>224</v>
      </c>
      <c r="H1697" s="33" t="s">
        <v>151</v>
      </c>
      <c r="I1697" s="33" t="s">
        <v>143</v>
      </c>
      <c r="J1697" s="33" t="s">
        <v>159</v>
      </c>
      <c r="K1697" s="33" t="s">
        <v>184</v>
      </c>
      <c r="L1697" s="35" t="n">
        <v>3222.26</v>
      </c>
      <c r="M1697" s="33" t="n">
        <v>4</v>
      </c>
      <c r="N1697" s="33" t="s">
        <v>146</v>
      </c>
      <c r="O1697" s="33" t="s">
        <v>147</v>
      </c>
    </row>
    <row r="1698" customFormat="false" ht="15" hidden="false" customHeight="false" outlineLevel="0" collapsed="false">
      <c r="A1698" s="33" t="s">
        <v>1890</v>
      </c>
      <c r="B1698" s="34" t="n">
        <v>45413</v>
      </c>
      <c r="C1698" s="34" t="n">
        <v>45415</v>
      </c>
      <c r="D1698" s="33" t="n">
        <v>63</v>
      </c>
      <c r="E1698" s="33" t="s">
        <v>216</v>
      </c>
      <c r="F1698" s="33" t="s">
        <v>173</v>
      </c>
      <c r="G1698" s="33" t="s">
        <v>174</v>
      </c>
      <c r="H1698" s="33" t="s">
        <v>175</v>
      </c>
      <c r="I1698" s="33" t="s">
        <v>143</v>
      </c>
      <c r="J1698" s="33" t="s">
        <v>159</v>
      </c>
      <c r="K1698" s="36"/>
      <c r="L1698" s="35" t="n">
        <v>5387.9</v>
      </c>
      <c r="M1698" s="33" t="n">
        <v>5</v>
      </c>
      <c r="N1698" s="33" t="s">
        <v>146</v>
      </c>
      <c r="O1698" s="33" t="s">
        <v>147</v>
      </c>
    </row>
    <row r="1699" customFormat="false" ht="15" hidden="false" customHeight="false" outlineLevel="0" collapsed="false">
      <c r="A1699" s="33" t="s">
        <v>1891</v>
      </c>
      <c r="B1699" s="34" t="n">
        <v>45334</v>
      </c>
      <c r="C1699" s="34" t="n">
        <v>45338</v>
      </c>
      <c r="D1699" s="33" t="n">
        <v>53</v>
      </c>
      <c r="E1699" s="33" t="s">
        <v>139</v>
      </c>
      <c r="F1699" s="33" t="s">
        <v>173</v>
      </c>
      <c r="G1699" s="33" t="s">
        <v>198</v>
      </c>
      <c r="H1699" s="33" t="s">
        <v>199</v>
      </c>
      <c r="I1699" s="33" t="s">
        <v>143</v>
      </c>
      <c r="J1699" s="33" t="s">
        <v>144</v>
      </c>
      <c r="K1699" s="33" t="s">
        <v>160</v>
      </c>
      <c r="L1699" s="35" t="n">
        <v>19433.45</v>
      </c>
      <c r="M1699" s="33" t="n">
        <v>4</v>
      </c>
      <c r="N1699" s="33" t="s">
        <v>146</v>
      </c>
      <c r="O1699" s="33" t="s">
        <v>147</v>
      </c>
    </row>
    <row r="1700" customFormat="false" ht="15" hidden="false" customHeight="false" outlineLevel="0" collapsed="false">
      <c r="A1700" s="33" t="s">
        <v>1892</v>
      </c>
      <c r="B1700" s="34" t="n">
        <v>45621</v>
      </c>
      <c r="C1700" s="34" t="n">
        <v>45623</v>
      </c>
      <c r="D1700" s="33" t="n">
        <v>34</v>
      </c>
      <c r="E1700" s="33" t="s">
        <v>154</v>
      </c>
      <c r="F1700" s="33" t="s">
        <v>203</v>
      </c>
      <c r="G1700" s="33" t="s">
        <v>204</v>
      </c>
      <c r="H1700" s="36"/>
      <c r="I1700" s="33" t="s">
        <v>143</v>
      </c>
      <c r="J1700" s="33" t="s">
        <v>159</v>
      </c>
      <c r="K1700" s="33" t="s">
        <v>145</v>
      </c>
      <c r="L1700" s="35" t="n">
        <v>1704.66</v>
      </c>
      <c r="M1700" s="33" t="n">
        <v>4</v>
      </c>
      <c r="N1700" s="33" t="s">
        <v>146</v>
      </c>
      <c r="O1700" s="33" t="s">
        <v>247</v>
      </c>
    </row>
    <row r="1701" customFormat="false" ht="15" hidden="false" customHeight="false" outlineLevel="0" collapsed="false">
      <c r="A1701" s="33" t="s">
        <v>1893</v>
      </c>
      <c r="B1701" s="34" t="n">
        <v>45397</v>
      </c>
      <c r="C1701" s="34" t="n">
        <v>45398</v>
      </c>
      <c r="D1701" s="36"/>
      <c r="E1701" s="33" t="s">
        <v>139</v>
      </c>
      <c r="F1701" s="33" t="s">
        <v>149</v>
      </c>
      <c r="G1701" s="33" t="s">
        <v>243</v>
      </c>
      <c r="H1701" s="33" t="s">
        <v>186</v>
      </c>
      <c r="I1701" s="33" t="s">
        <v>152</v>
      </c>
      <c r="J1701" s="33" t="s">
        <v>159</v>
      </c>
      <c r="K1701" s="33" t="s">
        <v>209</v>
      </c>
      <c r="L1701" s="35" t="n">
        <v>1359.06</v>
      </c>
      <c r="M1701" s="33" t="n">
        <v>3</v>
      </c>
      <c r="N1701" s="33" t="s">
        <v>146</v>
      </c>
      <c r="O1701" s="33" t="s">
        <v>147</v>
      </c>
    </row>
    <row r="1702" customFormat="false" ht="15" hidden="false" customHeight="false" outlineLevel="0" collapsed="false">
      <c r="A1702" s="33" t="s">
        <v>1894</v>
      </c>
      <c r="B1702" s="34" t="n">
        <v>45484</v>
      </c>
      <c r="C1702" s="34" t="n">
        <v>45485</v>
      </c>
      <c r="D1702" s="33" t="n">
        <v>68</v>
      </c>
      <c r="E1702" s="33" t="s">
        <v>154</v>
      </c>
      <c r="F1702" s="33" t="s">
        <v>334</v>
      </c>
      <c r="G1702" s="33" t="s">
        <v>232</v>
      </c>
      <c r="H1702" s="33" t="s">
        <v>233</v>
      </c>
      <c r="I1702" s="33" t="s">
        <v>143</v>
      </c>
      <c r="J1702" s="33" t="s">
        <v>159</v>
      </c>
      <c r="K1702" s="33" t="s">
        <v>184</v>
      </c>
      <c r="L1702" s="35" t="n">
        <v>1035.21</v>
      </c>
      <c r="M1702" s="33" t="n">
        <v>4</v>
      </c>
      <c r="N1702" s="33" t="s">
        <v>146</v>
      </c>
      <c r="O1702" s="33" t="s">
        <v>147</v>
      </c>
    </row>
    <row r="1703" customFormat="false" ht="15" hidden="false" customHeight="false" outlineLevel="0" collapsed="false">
      <c r="A1703" s="33" t="s">
        <v>1895</v>
      </c>
      <c r="B1703" s="34" t="n">
        <v>45554</v>
      </c>
      <c r="C1703" s="34" t="n">
        <v>45555</v>
      </c>
      <c r="D1703" s="33" t="n">
        <v>88</v>
      </c>
      <c r="E1703" s="33" t="s">
        <v>154</v>
      </c>
      <c r="F1703" s="33" t="s">
        <v>191</v>
      </c>
      <c r="G1703" s="33" t="s">
        <v>192</v>
      </c>
      <c r="H1703" s="33" t="s">
        <v>233</v>
      </c>
      <c r="I1703" s="33" t="s">
        <v>143</v>
      </c>
      <c r="J1703" s="33" t="s">
        <v>159</v>
      </c>
      <c r="K1703" s="33" t="s">
        <v>160</v>
      </c>
      <c r="L1703" s="35" t="n">
        <v>757.17</v>
      </c>
      <c r="M1703" s="33" t="n">
        <v>4</v>
      </c>
      <c r="N1703" s="33" t="s">
        <v>146</v>
      </c>
      <c r="O1703" s="33" t="s">
        <v>147</v>
      </c>
    </row>
    <row r="1704" customFormat="false" ht="15" hidden="false" customHeight="false" outlineLevel="0" collapsed="false">
      <c r="A1704" s="33" t="s">
        <v>1896</v>
      </c>
      <c r="B1704" s="34" t="n">
        <v>45523</v>
      </c>
      <c r="C1704" s="34" t="n">
        <v>45531</v>
      </c>
      <c r="D1704" s="33" t="n">
        <v>31</v>
      </c>
      <c r="E1704" s="33" t="s">
        <v>139</v>
      </c>
      <c r="F1704" s="33" t="s">
        <v>173</v>
      </c>
      <c r="G1704" s="33" t="s">
        <v>198</v>
      </c>
      <c r="H1704" s="33" t="s">
        <v>199</v>
      </c>
      <c r="I1704" s="33" t="s">
        <v>152</v>
      </c>
      <c r="J1704" s="33" t="s">
        <v>159</v>
      </c>
      <c r="K1704" s="33" t="s">
        <v>145</v>
      </c>
      <c r="L1704" s="35" t="n">
        <v>20698.58</v>
      </c>
      <c r="M1704" s="33" t="n">
        <v>5</v>
      </c>
      <c r="N1704" s="33" t="s">
        <v>146</v>
      </c>
      <c r="O1704" s="33" t="s">
        <v>147</v>
      </c>
    </row>
    <row r="1705" customFormat="false" ht="15" hidden="false" customHeight="false" outlineLevel="0" collapsed="false">
      <c r="A1705" s="33" t="s">
        <v>1897</v>
      </c>
      <c r="B1705" s="34" t="n">
        <v>45370</v>
      </c>
      <c r="C1705" s="34" t="n">
        <v>45372</v>
      </c>
      <c r="D1705" s="33" t="n">
        <v>29</v>
      </c>
      <c r="E1705" s="33" t="s">
        <v>154</v>
      </c>
      <c r="F1705" s="33" t="s">
        <v>334</v>
      </c>
      <c r="G1705" s="33" t="s">
        <v>217</v>
      </c>
      <c r="H1705" s="33" t="s">
        <v>205</v>
      </c>
      <c r="I1705" s="33" t="s">
        <v>152</v>
      </c>
      <c r="J1705" s="33" t="s">
        <v>159</v>
      </c>
      <c r="K1705" s="33" t="s">
        <v>145</v>
      </c>
      <c r="L1705" s="35" t="n">
        <v>1872.5</v>
      </c>
      <c r="M1705" s="33" t="n">
        <v>4</v>
      </c>
      <c r="N1705" s="33" t="s">
        <v>146</v>
      </c>
      <c r="O1705" s="33" t="s">
        <v>247</v>
      </c>
    </row>
    <row r="1706" customFormat="false" ht="15" hidden="false" customHeight="false" outlineLevel="0" collapsed="false">
      <c r="A1706" s="33" t="s">
        <v>1898</v>
      </c>
      <c r="B1706" s="34" t="n">
        <v>45589</v>
      </c>
      <c r="C1706" s="34" t="n">
        <v>45590</v>
      </c>
      <c r="D1706" s="33" t="n">
        <v>3</v>
      </c>
      <c r="E1706" s="33" t="s">
        <v>279</v>
      </c>
      <c r="F1706" s="33" t="s">
        <v>155</v>
      </c>
      <c r="G1706" s="33" t="s">
        <v>302</v>
      </c>
      <c r="H1706" s="33" t="s">
        <v>157</v>
      </c>
      <c r="I1706" s="33" t="s">
        <v>158</v>
      </c>
      <c r="J1706" s="33" t="s">
        <v>159</v>
      </c>
      <c r="K1706" s="33" t="s">
        <v>145</v>
      </c>
      <c r="L1706" s="35" t="n">
        <v>796.3</v>
      </c>
      <c r="M1706" s="33" t="n">
        <v>5</v>
      </c>
      <c r="N1706" s="33" t="s">
        <v>146</v>
      </c>
      <c r="O1706" s="33" t="s">
        <v>147</v>
      </c>
    </row>
    <row r="1707" customFormat="false" ht="15" hidden="false" customHeight="false" outlineLevel="0" collapsed="false">
      <c r="A1707" s="33" t="s">
        <v>1899</v>
      </c>
      <c r="B1707" s="34" t="n">
        <v>45497</v>
      </c>
      <c r="C1707" s="34" t="n">
        <v>45503</v>
      </c>
      <c r="D1707" s="33" t="n">
        <v>3</v>
      </c>
      <c r="E1707" s="33" t="s">
        <v>139</v>
      </c>
      <c r="F1707" s="33" t="s">
        <v>155</v>
      </c>
      <c r="G1707" s="33" t="s">
        <v>156</v>
      </c>
      <c r="H1707" s="33" t="s">
        <v>222</v>
      </c>
      <c r="I1707" s="33" t="s">
        <v>143</v>
      </c>
      <c r="J1707" s="33" t="s">
        <v>159</v>
      </c>
      <c r="K1707" s="33" t="s">
        <v>145</v>
      </c>
      <c r="L1707" s="35" t="n">
        <v>5313.18</v>
      </c>
      <c r="M1707" s="33" t="n">
        <v>3</v>
      </c>
      <c r="N1707" s="33" t="s">
        <v>146</v>
      </c>
      <c r="O1707" s="33" t="s">
        <v>147</v>
      </c>
    </row>
    <row r="1708" customFormat="false" ht="15" hidden="false" customHeight="false" outlineLevel="0" collapsed="false">
      <c r="A1708" s="33" t="s">
        <v>1900</v>
      </c>
      <c r="B1708" s="34" t="n">
        <v>45425</v>
      </c>
      <c r="C1708" s="34" t="n">
        <v>45429</v>
      </c>
      <c r="D1708" s="33" t="n">
        <v>51</v>
      </c>
      <c r="E1708" s="33" t="s">
        <v>154</v>
      </c>
      <c r="F1708" s="33" t="s">
        <v>140</v>
      </c>
      <c r="G1708" s="33" t="s">
        <v>167</v>
      </c>
      <c r="H1708" s="33" t="s">
        <v>290</v>
      </c>
      <c r="I1708" s="33" t="s">
        <v>152</v>
      </c>
      <c r="J1708" s="33" t="s">
        <v>159</v>
      </c>
      <c r="K1708" s="33" t="s">
        <v>184</v>
      </c>
      <c r="L1708" s="35" t="n">
        <v>8689.14</v>
      </c>
      <c r="M1708" s="33" t="n">
        <v>4</v>
      </c>
      <c r="N1708" s="33" t="s">
        <v>146</v>
      </c>
      <c r="O1708" s="33" t="s">
        <v>147</v>
      </c>
    </row>
    <row r="1709" customFormat="false" ht="15" hidden="false" customHeight="false" outlineLevel="0" collapsed="false">
      <c r="A1709" s="33" t="s">
        <v>1901</v>
      </c>
      <c r="B1709" s="34" t="n">
        <v>45541</v>
      </c>
      <c r="C1709" s="34" t="n">
        <v>45546</v>
      </c>
      <c r="D1709" s="33" t="n">
        <v>6</v>
      </c>
      <c r="E1709" s="33" t="s">
        <v>139</v>
      </c>
      <c r="F1709" s="33" t="s">
        <v>376</v>
      </c>
      <c r="G1709" s="33" t="s">
        <v>302</v>
      </c>
      <c r="H1709" s="33" t="s">
        <v>222</v>
      </c>
      <c r="I1709" s="33" t="s">
        <v>143</v>
      </c>
      <c r="J1709" s="33" t="s">
        <v>159</v>
      </c>
      <c r="K1709" s="33" t="s">
        <v>160</v>
      </c>
      <c r="L1709" s="35" t="n">
        <v>4357.44</v>
      </c>
      <c r="M1709" s="33" t="n">
        <v>5</v>
      </c>
      <c r="N1709" s="33" t="s">
        <v>210</v>
      </c>
      <c r="O1709" s="33" t="s">
        <v>147</v>
      </c>
    </row>
    <row r="1710" customFormat="false" ht="15" hidden="false" customHeight="false" outlineLevel="0" collapsed="false">
      <c r="A1710" s="33" t="s">
        <v>1902</v>
      </c>
      <c r="B1710" s="34" t="n">
        <v>45462</v>
      </c>
      <c r="C1710" s="34" t="n">
        <v>45466</v>
      </c>
      <c r="D1710" s="33" t="n">
        <v>28</v>
      </c>
      <c r="E1710" s="33" t="s">
        <v>139</v>
      </c>
      <c r="F1710" s="33" t="s">
        <v>173</v>
      </c>
      <c r="G1710" s="33" t="s">
        <v>174</v>
      </c>
      <c r="H1710" s="33" t="s">
        <v>175</v>
      </c>
      <c r="I1710" s="33" t="s">
        <v>152</v>
      </c>
      <c r="J1710" s="33" t="s">
        <v>144</v>
      </c>
      <c r="K1710" s="33" t="s">
        <v>145</v>
      </c>
      <c r="L1710" s="35" t="n">
        <v>19026</v>
      </c>
      <c r="M1710" s="33" t="n">
        <v>3</v>
      </c>
      <c r="N1710" s="33" t="s">
        <v>146</v>
      </c>
      <c r="O1710" s="33" t="s">
        <v>295</v>
      </c>
    </row>
    <row r="1711" customFormat="false" ht="15" hidden="false" customHeight="false" outlineLevel="0" collapsed="false">
      <c r="A1711" s="33" t="s">
        <v>1903</v>
      </c>
      <c r="B1711" s="34" t="n">
        <v>45504</v>
      </c>
      <c r="C1711" s="34" t="n">
        <v>45511</v>
      </c>
      <c r="D1711" s="33" t="n">
        <v>11</v>
      </c>
      <c r="E1711" s="33" t="s">
        <v>139</v>
      </c>
      <c r="F1711" s="33" t="s">
        <v>169</v>
      </c>
      <c r="G1711" s="33" t="s">
        <v>213</v>
      </c>
      <c r="H1711" s="33" t="s">
        <v>164</v>
      </c>
      <c r="I1711" s="33" t="s">
        <v>143</v>
      </c>
      <c r="J1711" s="33" t="s">
        <v>159</v>
      </c>
      <c r="K1711" s="36"/>
      <c r="L1711" s="35" t="n">
        <v>9194.02</v>
      </c>
      <c r="M1711" s="33" t="n">
        <v>5</v>
      </c>
      <c r="N1711" s="33" t="s">
        <v>146</v>
      </c>
      <c r="O1711" s="33" t="s">
        <v>147</v>
      </c>
    </row>
    <row r="1712" customFormat="false" ht="15" hidden="false" customHeight="false" outlineLevel="0" collapsed="false">
      <c r="A1712" s="33" t="s">
        <v>1904</v>
      </c>
      <c r="B1712" s="34" t="n">
        <v>45476</v>
      </c>
      <c r="C1712" s="34" t="n">
        <v>45483</v>
      </c>
      <c r="D1712" s="33" t="n">
        <v>64</v>
      </c>
      <c r="E1712" s="33" t="s">
        <v>154</v>
      </c>
      <c r="F1712" s="33" t="s">
        <v>173</v>
      </c>
      <c r="G1712" s="33" t="s">
        <v>198</v>
      </c>
      <c r="H1712" s="33" t="s">
        <v>175</v>
      </c>
      <c r="I1712" s="33" t="s">
        <v>143</v>
      </c>
      <c r="J1712" s="33" t="s">
        <v>159</v>
      </c>
      <c r="K1712" s="33" t="s">
        <v>160</v>
      </c>
      <c r="L1712" s="35" t="n">
        <v>18541.36</v>
      </c>
      <c r="M1712" s="33" t="n">
        <v>5</v>
      </c>
      <c r="N1712" s="33" t="s">
        <v>146</v>
      </c>
      <c r="O1712" s="33" t="s">
        <v>147</v>
      </c>
    </row>
    <row r="1713" customFormat="false" ht="15" hidden="false" customHeight="false" outlineLevel="0" collapsed="false">
      <c r="A1713" s="33" t="s">
        <v>1905</v>
      </c>
      <c r="B1713" s="34" t="n">
        <v>45613</v>
      </c>
      <c r="C1713" s="34" t="n">
        <v>45615</v>
      </c>
      <c r="D1713" s="33" t="n">
        <v>6</v>
      </c>
      <c r="E1713" s="33" t="s">
        <v>154</v>
      </c>
      <c r="F1713" s="33" t="s">
        <v>155</v>
      </c>
      <c r="G1713" s="33" t="s">
        <v>220</v>
      </c>
      <c r="H1713" s="33" t="s">
        <v>157</v>
      </c>
      <c r="I1713" s="33" t="s">
        <v>152</v>
      </c>
      <c r="J1713" s="33" t="s">
        <v>144</v>
      </c>
      <c r="K1713" s="33" t="s">
        <v>145</v>
      </c>
      <c r="L1713" s="35" t="n">
        <v>2692.16</v>
      </c>
      <c r="M1713" s="33" t="n">
        <v>5</v>
      </c>
      <c r="N1713" s="33" t="s">
        <v>146</v>
      </c>
      <c r="O1713" s="33" t="s">
        <v>147</v>
      </c>
    </row>
    <row r="1714" customFormat="false" ht="15" hidden="false" customHeight="false" outlineLevel="0" collapsed="false">
      <c r="A1714" s="33" t="s">
        <v>1906</v>
      </c>
      <c r="B1714" s="34" t="n">
        <v>45444</v>
      </c>
      <c r="C1714" s="34" t="n">
        <v>45447</v>
      </c>
      <c r="D1714" s="33" t="n">
        <v>13</v>
      </c>
      <c r="E1714" s="33" t="s">
        <v>139</v>
      </c>
      <c r="F1714" s="33" t="s">
        <v>155</v>
      </c>
      <c r="G1714" s="33" t="s">
        <v>302</v>
      </c>
      <c r="H1714" s="33" t="s">
        <v>222</v>
      </c>
      <c r="I1714" s="33" t="s">
        <v>143</v>
      </c>
      <c r="J1714" s="33" t="s">
        <v>159</v>
      </c>
      <c r="K1714" s="33" t="s">
        <v>160</v>
      </c>
      <c r="L1714" s="35" t="n">
        <v>2535.01</v>
      </c>
      <c r="M1714" s="33" t="n">
        <v>5</v>
      </c>
      <c r="N1714" s="33" t="s">
        <v>146</v>
      </c>
      <c r="O1714" s="33" t="s">
        <v>295</v>
      </c>
    </row>
    <row r="1715" customFormat="false" ht="15" hidden="false" customHeight="false" outlineLevel="0" collapsed="false">
      <c r="A1715" s="33" t="s">
        <v>1907</v>
      </c>
      <c r="B1715" s="34" t="n">
        <v>45641</v>
      </c>
      <c r="C1715" s="34" t="n">
        <v>45642</v>
      </c>
      <c r="D1715" s="33" t="n">
        <v>30</v>
      </c>
      <c r="E1715" s="33" t="s">
        <v>139</v>
      </c>
      <c r="F1715" s="33" t="s">
        <v>149</v>
      </c>
      <c r="G1715" s="33" t="s">
        <v>224</v>
      </c>
      <c r="H1715" s="33" t="s">
        <v>151</v>
      </c>
      <c r="I1715" s="33" t="s">
        <v>152</v>
      </c>
      <c r="J1715" s="33" t="s">
        <v>159</v>
      </c>
      <c r="K1715" s="33" t="s">
        <v>160</v>
      </c>
      <c r="L1715" s="35" t="n">
        <v>1655.95</v>
      </c>
      <c r="M1715" s="33" t="n">
        <v>5</v>
      </c>
      <c r="N1715" s="33" t="s">
        <v>146</v>
      </c>
      <c r="O1715" s="33" t="s">
        <v>147</v>
      </c>
    </row>
    <row r="1716" customFormat="false" ht="15" hidden="false" customHeight="false" outlineLevel="0" collapsed="false">
      <c r="A1716" s="33" t="s">
        <v>1908</v>
      </c>
      <c r="B1716" s="34" t="n">
        <v>45433</v>
      </c>
      <c r="C1716" s="34" t="n">
        <v>45435</v>
      </c>
      <c r="D1716" s="33" t="n">
        <v>55</v>
      </c>
      <c r="E1716" s="33" t="s">
        <v>190</v>
      </c>
      <c r="F1716" s="33" t="s">
        <v>181</v>
      </c>
      <c r="G1716" s="33" t="s">
        <v>188</v>
      </c>
      <c r="H1716" s="33" t="s">
        <v>245</v>
      </c>
      <c r="I1716" s="33" t="s">
        <v>152</v>
      </c>
      <c r="J1716" s="33" t="s">
        <v>176</v>
      </c>
      <c r="K1716" s="33" t="s">
        <v>145</v>
      </c>
      <c r="L1716" s="35" t="n">
        <v>15106.73</v>
      </c>
      <c r="M1716" s="33" t="n">
        <v>3</v>
      </c>
      <c r="N1716" s="33" t="s">
        <v>146</v>
      </c>
      <c r="O1716" s="33" t="s">
        <v>147</v>
      </c>
    </row>
    <row r="1717" customFormat="false" ht="15" hidden="false" customHeight="false" outlineLevel="0" collapsed="false">
      <c r="A1717" s="33" t="s">
        <v>1909</v>
      </c>
      <c r="B1717" s="34" t="n">
        <v>45427</v>
      </c>
      <c r="C1717" s="34" t="n">
        <v>45429</v>
      </c>
      <c r="D1717" s="33" t="n">
        <v>33</v>
      </c>
      <c r="E1717" s="33" t="s">
        <v>139</v>
      </c>
      <c r="F1717" s="33" t="s">
        <v>173</v>
      </c>
      <c r="G1717" s="33" t="s">
        <v>198</v>
      </c>
      <c r="H1717" s="33" t="s">
        <v>199</v>
      </c>
      <c r="I1717" s="33" t="s">
        <v>143</v>
      </c>
      <c r="J1717" s="33" t="s">
        <v>159</v>
      </c>
      <c r="K1717" s="33" t="s">
        <v>209</v>
      </c>
      <c r="L1717" s="35" t="n">
        <v>5644.99</v>
      </c>
      <c r="M1717" s="33" t="n">
        <v>4</v>
      </c>
      <c r="N1717" s="33" t="s">
        <v>146</v>
      </c>
      <c r="O1717" s="33" t="s">
        <v>247</v>
      </c>
    </row>
    <row r="1718" customFormat="false" ht="15" hidden="false" customHeight="false" outlineLevel="0" collapsed="false">
      <c r="A1718" s="33" t="s">
        <v>1910</v>
      </c>
      <c r="B1718" s="34" t="n">
        <v>45495</v>
      </c>
      <c r="C1718" s="34" t="n">
        <v>45496</v>
      </c>
      <c r="D1718" s="33" t="n">
        <v>32</v>
      </c>
      <c r="E1718" s="33" t="s">
        <v>216</v>
      </c>
      <c r="F1718" s="33" t="s">
        <v>149</v>
      </c>
      <c r="G1718" s="33" t="s">
        <v>150</v>
      </c>
      <c r="H1718" s="33" t="s">
        <v>151</v>
      </c>
      <c r="I1718" s="33" t="s">
        <v>143</v>
      </c>
      <c r="J1718" s="33" t="s">
        <v>159</v>
      </c>
      <c r="K1718" s="33" t="s">
        <v>209</v>
      </c>
      <c r="L1718" s="35" t="n">
        <v>1681.94</v>
      </c>
      <c r="M1718" s="33" t="n">
        <v>4</v>
      </c>
      <c r="N1718" s="33" t="s">
        <v>146</v>
      </c>
      <c r="O1718" s="33" t="s">
        <v>147</v>
      </c>
    </row>
    <row r="1719" customFormat="false" ht="15" hidden="false" customHeight="false" outlineLevel="0" collapsed="false">
      <c r="A1719" s="33" t="s">
        <v>1911</v>
      </c>
      <c r="B1719" s="34" t="n">
        <v>45358</v>
      </c>
      <c r="C1719" s="34" t="n">
        <v>45359</v>
      </c>
      <c r="D1719" s="33" t="n">
        <v>59</v>
      </c>
      <c r="E1719" s="33" t="s">
        <v>180</v>
      </c>
      <c r="F1719" s="33" t="s">
        <v>203</v>
      </c>
      <c r="G1719" s="33" t="s">
        <v>217</v>
      </c>
      <c r="H1719" s="33" t="s">
        <v>233</v>
      </c>
      <c r="I1719" s="33" t="s">
        <v>143</v>
      </c>
      <c r="J1719" s="33" t="s">
        <v>159</v>
      </c>
      <c r="K1719" s="33" t="s">
        <v>145</v>
      </c>
      <c r="L1719" s="35" t="n">
        <v>951.39</v>
      </c>
      <c r="M1719" s="33" t="n">
        <v>4</v>
      </c>
      <c r="N1719" s="33" t="s">
        <v>146</v>
      </c>
      <c r="O1719" s="33" t="s">
        <v>147</v>
      </c>
    </row>
    <row r="1720" customFormat="false" ht="15" hidden="false" customHeight="false" outlineLevel="0" collapsed="false">
      <c r="A1720" s="33" t="s">
        <v>1912</v>
      </c>
      <c r="B1720" s="34" t="n">
        <v>45553</v>
      </c>
      <c r="C1720" s="34" t="n">
        <v>45554</v>
      </c>
      <c r="D1720" s="33" t="n">
        <v>39</v>
      </c>
      <c r="E1720" s="33" t="s">
        <v>154</v>
      </c>
      <c r="F1720" s="33" t="s">
        <v>203</v>
      </c>
      <c r="G1720" s="33" t="s">
        <v>217</v>
      </c>
      <c r="H1720" s="33" t="s">
        <v>193</v>
      </c>
      <c r="I1720" s="33" t="s">
        <v>143</v>
      </c>
      <c r="J1720" s="33" t="s">
        <v>176</v>
      </c>
      <c r="K1720" s="33" t="s">
        <v>160</v>
      </c>
      <c r="L1720" s="35" t="n">
        <v>3303.14</v>
      </c>
      <c r="M1720" s="33" t="n">
        <v>3</v>
      </c>
      <c r="N1720" s="33" t="s">
        <v>146</v>
      </c>
      <c r="O1720" s="33" t="s">
        <v>147</v>
      </c>
    </row>
    <row r="1721" customFormat="false" ht="15" hidden="false" customHeight="false" outlineLevel="0" collapsed="false">
      <c r="A1721" s="33" t="s">
        <v>1913</v>
      </c>
      <c r="B1721" s="34" t="n">
        <v>45382</v>
      </c>
      <c r="C1721" s="34" t="n">
        <v>45385</v>
      </c>
      <c r="D1721" s="33" t="n">
        <v>28</v>
      </c>
      <c r="E1721" s="33" t="s">
        <v>190</v>
      </c>
      <c r="F1721" s="33" t="s">
        <v>149</v>
      </c>
      <c r="G1721" s="33" t="s">
        <v>150</v>
      </c>
      <c r="H1721" s="33" t="s">
        <v>151</v>
      </c>
      <c r="I1721" s="33" t="s">
        <v>158</v>
      </c>
      <c r="J1721" s="33" t="s">
        <v>144</v>
      </c>
      <c r="K1721" s="33" t="s">
        <v>160</v>
      </c>
      <c r="L1721" s="35" t="n">
        <v>8747.88</v>
      </c>
      <c r="M1721" s="33" t="n">
        <v>5</v>
      </c>
      <c r="N1721" s="33" t="s">
        <v>146</v>
      </c>
      <c r="O1721" s="33" t="s">
        <v>147</v>
      </c>
    </row>
    <row r="1722" customFormat="false" ht="15" hidden="false" customHeight="false" outlineLevel="0" collapsed="false">
      <c r="A1722" s="33" t="s">
        <v>1914</v>
      </c>
      <c r="B1722" s="34" t="n">
        <v>45537</v>
      </c>
      <c r="C1722" s="34" t="n">
        <v>45538</v>
      </c>
      <c r="D1722" s="33" t="n">
        <v>26</v>
      </c>
      <c r="E1722" s="33" t="s">
        <v>139</v>
      </c>
      <c r="F1722" s="33" t="s">
        <v>149</v>
      </c>
      <c r="G1722" s="33" t="s">
        <v>224</v>
      </c>
      <c r="H1722" s="33" t="s">
        <v>186</v>
      </c>
      <c r="I1722" s="33" t="s">
        <v>158</v>
      </c>
      <c r="J1722" s="33" t="s">
        <v>159</v>
      </c>
      <c r="K1722" s="33" t="s">
        <v>145</v>
      </c>
      <c r="L1722" s="35" t="n">
        <v>1520.47</v>
      </c>
      <c r="M1722" s="33" t="n">
        <v>4</v>
      </c>
      <c r="N1722" s="33" t="s">
        <v>146</v>
      </c>
      <c r="O1722" s="33" t="s">
        <v>147</v>
      </c>
    </row>
    <row r="1723" customFormat="false" ht="15" hidden="false" customHeight="false" outlineLevel="0" collapsed="false">
      <c r="A1723" s="33" t="s">
        <v>1915</v>
      </c>
      <c r="B1723" s="34" t="n">
        <v>45430</v>
      </c>
      <c r="C1723" s="34" t="n">
        <v>45431</v>
      </c>
      <c r="D1723" s="33" t="n">
        <v>13</v>
      </c>
      <c r="E1723" s="33" t="s">
        <v>139</v>
      </c>
      <c r="F1723" s="33" t="s">
        <v>212</v>
      </c>
      <c r="G1723" s="33" t="s">
        <v>170</v>
      </c>
      <c r="H1723" s="33" t="s">
        <v>171</v>
      </c>
      <c r="I1723" s="33" t="s">
        <v>143</v>
      </c>
      <c r="J1723" s="33" t="s">
        <v>144</v>
      </c>
      <c r="K1723" s="33" t="s">
        <v>160</v>
      </c>
      <c r="L1723" s="35" t="n">
        <v>1966.76</v>
      </c>
      <c r="M1723" s="33" t="n">
        <v>4</v>
      </c>
      <c r="N1723" s="33" t="s">
        <v>146</v>
      </c>
      <c r="O1723" s="33" t="s">
        <v>147</v>
      </c>
    </row>
    <row r="1724" customFormat="false" ht="15" hidden="false" customHeight="false" outlineLevel="0" collapsed="false">
      <c r="A1724" s="33" t="s">
        <v>1916</v>
      </c>
      <c r="B1724" s="34" t="n">
        <v>45475</v>
      </c>
      <c r="C1724" s="34" t="n">
        <v>45476</v>
      </c>
      <c r="D1724" s="33" t="n">
        <v>11</v>
      </c>
      <c r="E1724" s="33" t="s">
        <v>154</v>
      </c>
      <c r="F1724" s="33" t="s">
        <v>155</v>
      </c>
      <c r="G1724" s="33" t="s">
        <v>302</v>
      </c>
      <c r="H1724" s="33" t="s">
        <v>157</v>
      </c>
      <c r="I1724" s="33" t="s">
        <v>152</v>
      </c>
      <c r="J1724" s="33" t="s">
        <v>159</v>
      </c>
      <c r="K1724" s="36"/>
      <c r="L1724" s="35" t="n">
        <v>993.96</v>
      </c>
      <c r="M1724" s="33" t="n">
        <v>4</v>
      </c>
      <c r="N1724" s="33" t="s">
        <v>146</v>
      </c>
      <c r="O1724" s="33" t="s">
        <v>147</v>
      </c>
    </row>
    <row r="1725" customFormat="false" ht="15" hidden="false" customHeight="false" outlineLevel="0" collapsed="false">
      <c r="A1725" s="33" t="s">
        <v>1917</v>
      </c>
      <c r="B1725" s="34" t="n">
        <v>45346</v>
      </c>
      <c r="C1725" s="34" t="n">
        <v>45348</v>
      </c>
      <c r="D1725" s="33" t="n">
        <v>34</v>
      </c>
      <c r="E1725" s="33" t="s">
        <v>139</v>
      </c>
      <c r="F1725" s="33" t="s">
        <v>149</v>
      </c>
      <c r="G1725" s="33" t="s">
        <v>150</v>
      </c>
      <c r="H1725" s="33" t="s">
        <v>186</v>
      </c>
      <c r="I1725" s="33" t="s">
        <v>158</v>
      </c>
      <c r="J1725" s="33" t="s">
        <v>159</v>
      </c>
      <c r="K1725" s="33" t="s">
        <v>145</v>
      </c>
      <c r="L1725" s="35" t="n">
        <v>3346.27</v>
      </c>
      <c r="M1725" s="33" t="n">
        <v>4</v>
      </c>
      <c r="N1725" s="33" t="s">
        <v>146</v>
      </c>
      <c r="O1725" s="33" t="s">
        <v>147</v>
      </c>
    </row>
    <row r="1726" customFormat="false" ht="15" hidden="false" customHeight="false" outlineLevel="0" collapsed="false">
      <c r="A1726" s="33" t="s">
        <v>1918</v>
      </c>
      <c r="B1726" s="34" t="n">
        <v>45604</v>
      </c>
      <c r="C1726" s="34" t="n">
        <v>45612</v>
      </c>
      <c r="D1726" s="33" t="n">
        <v>35</v>
      </c>
      <c r="E1726" s="33" t="s">
        <v>154</v>
      </c>
      <c r="F1726" s="33" t="s">
        <v>162</v>
      </c>
      <c r="G1726" s="33" t="s">
        <v>163</v>
      </c>
      <c r="H1726" s="33" t="s">
        <v>195</v>
      </c>
      <c r="I1726" s="33" t="s">
        <v>143</v>
      </c>
      <c r="J1726" s="33" t="s">
        <v>159</v>
      </c>
      <c r="K1726" s="33" t="s">
        <v>160</v>
      </c>
      <c r="L1726" s="35" t="n">
        <v>9660.25</v>
      </c>
      <c r="M1726" s="33" t="n">
        <v>5</v>
      </c>
      <c r="N1726" s="33" t="s">
        <v>146</v>
      </c>
      <c r="O1726" s="33" t="s">
        <v>147</v>
      </c>
    </row>
    <row r="1727" customFormat="false" ht="15" hidden="false" customHeight="false" outlineLevel="0" collapsed="false">
      <c r="A1727" s="33" t="s">
        <v>1919</v>
      </c>
      <c r="B1727" s="34" t="n">
        <v>45349</v>
      </c>
      <c r="C1727" s="34" t="n">
        <v>45352</v>
      </c>
      <c r="D1727" s="33" t="n">
        <v>57</v>
      </c>
      <c r="E1727" s="33" t="s">
        <v>154</v>
      </c>
      <c r="F1727" s="33" t="s">
        <v>334</v>
      </c>
      <c r="G1727" s="33" t="s">
        <v>232</v>
      </c>
      <c r="H1727" s="33" t="s">
        <v>193</v>
      </c>
      <c r="I1727" s="33" t="s">
        <v>143</v>
      </c>
      <c r="J1727" s="33" t="s">
        <v>144</v>
      </c>
      <c r="K1727" s="33" t="s">
        <v>184</v>
      </c>
      <c r="L1727" s="35" t="n">
        <v>4368.39</v>
      </c>
      <c r="M1727" s="33" t="n">
        <v>3</v>
      </c>
      <c r="N1727" s="33" t="s">
        <v>146</v>
      </c>
      <c r="O1727" s="33" t="s">
        <v>147</v>
      </c>
    </row>
    <row r="1728" customFormat="false" ht="15" hidden="false" customHeight="false" outlineLevel="0" collapsed="false">
      <c r="A1728" s="33" t="s">
        <v>1920</v>
      </c>
      <c r="B1728" s="34" t="n">
        <v>45328</v>
      </c>
      <c r="C1728" s="34" t="n">
        <v>45334</v>
      </c>
      <c r="D1728" s="33" t="n">
        <v>65</v>
      </c>
      <c r="E1728" s="33" t="s">
        <v>180</v>
      </c>
      <c r="F1728" s="33" t="s">
        <v>140</v>
      </c>
      <c r="G1728" s="33" t="s">
        <v>141</v>
      </c>
      <c r="H1728" s="33" t="s">
        <v>142</v>
      </c>
      <c r="I1728" s="33" t="s">
        <v>152</v>
      </c>
      <c r="J1728" s="33" t="s">
        <v>159</v>
      </c>
      <c r="K1728" s="33" t="s">
        <v>145</v>
      </c>
      <c r="L1728" s="35" t="n">
        <v>12173.44</v>
      </c>
      <c r="M1728" s="33" t="n">
        <v>4</v>
      </c>
      <c r="N1728" s="33" t="s">
        <v>146</v>
      </c>
      <c r="O1728" s="33" t="s">
        <v>147</v>
      </c>
    </row>
    <row r="1729" customFormat="false" ht="15" hidden="false" customHeight="false" outlineLevel="0" collapsed="false">
      <c r="A1729" s="33" t="s">
        <v>1921</v>
      </c>
      <c r="B1729" s="34" t="n">
        <v>45533</v>
      </c>
      <c r="C1729" s="34" t="n">
        <v>45541</v>
      </c>
      <c r="D1729" s="33" t="n">
        <v>34</v>
      </c>
      <c r="E1729" s="33" t="s">
        <v>139</v>
      </c>
      <c r="F1729" s="33" t="s">
        <v>173</v>
      </c>
      <c r="G1729" s="33" t="s">
        <v>178</v>
      </c>
      <c r="H1729" s="33" t="s">
        <v>175</v>
      </c>
      <c r="I1729" s="33" t="s">
        <v>143</v>
      </c>
      <c r="J1729" s="33" t="s">
        <v>159</v>
      </c>
      <c r="K1729" s="33" t="s">
        <v>145</v>
      </c>
      <c r="L1729" s="35" t="n">
        <v>18097.56</v>
      </c>
      <c r="M1729" s="33" t="n">
        <v>5</v>
      </c>
      <c r="N1729" s="33" t="s">
        <v>146</v>
      </c>
      <c r="O1729" s="33" t="s">
        <v>147</v>
      </c>
    </row>
    <row r="1730" customFormat="false" ht="15" hidden="false" customHeight="false" outlineLevel="0" collapsed="false">
      <c r="A1730" s="33" t="s">
        <v>1922</v>
      </c>
      <c r="B1730" s="34" t="n">
        <v>45382</v>
      </c>
      <c r="C1730" s="34" t="n">
        <v>45385</v>
      </c>
      <c r="D1730" s="33" t="n">
        <v>27</v>
      </c>
      <c r="E1730" s="33" t="s">
        <v>139</v>
      </c>
      <c r="F1730" s="33" t="s">
        <v>169</v>
      </c>
      <c r="G1730" s="33" t="s">
        <v>230</v>
      </c>
      <c r="H1730" s="33" t="s">
        <v>164</v>
      </c>
      <c r="I1730" s="33" t="s">
        <v>152</v>
      </c>
      <c r="J1730" s="33" t="s">
        <v>159</v>
      </c>
      <c r="K1730" s="33" t="s">
        <v>184</v>
      </c>
      <c r="L1730" s="35" t="n">
        <v>3142.22</v>
      </c>
      <c r="M1730" s="36"/>
      <c r="N1730" s="33" t="s">
        <v>146</v>
      </c>
      <c r="O1730" s="33" t="s">
        <v>147</v>
      </c>
    </row>
    <row r="1731" customFormat="false" ht="15" hidden="false" customHeight="false" outlineLevel="0" collapsed="false">
      <c r="A1731" s="33" t="s">
        <v>1923</v>
      </c>
      <c r="B1731" s="34" t="n">
        <v>45398</v>
      </c>
      <c r="C1731" s="34" t="n">
        <v>45399</v>
      </c>
      <c r="D1731" s="33" t="n">
        <v>37</v>
      </c>
      <c r="E1731" s="33" t="s">
        <v>139</v>
      </c>
      <c r="F1731" s="33" t="s">
        <v>149</v>
      </c>
      <c r="G1731" s="33" t="s">
        <v>224</v>
      </c>
      <c r="H1731" s="33" t="s">
        <v>186</v>
      </c>
      <c r="I1731" s="33" t="s">
        <v>152</v>
      </c>
      <c r="J1731" s="33" t="s">
        <v>159</v>
      </c>
      <c r="K1731" s="33" t="s">
        <v>209</v>
      </c>
      <c r="L1731" s="35" t="n">
        <v>1345.52</v>
      </c>
      <c r="M1731" s="33" t="n">
        <v>4</v>
      </c>
      <c r="N1731" s="33" t="s">
        <v>146</v>
      </c>
      <c r="O1731" s="33" t="s">
        <v>147</v>
      </c>
    </row>
    <row r="1732" customFormat="false" ht="15" hidden="false" customHeight="false" outlineLevel="0" collapsed="false">
      <c r="A1732" s="33" t="s">
        <v>1601</v>
      </c>
      <c r="B1732" s="34" t="n">
        <v>45335</v>
      </c>
      <c r="C1732" s="34" t="n">
        <v>45337</v>
      </c>
      <c r="D1732" s="36"/>
      <c r="E1732" s="33" t="s">
        <v>139</v>
      </c>
      <c r="F1732" s="33" t="s">
        <v>140</v>
      </c>
      <c r="G1732" s="33" t="s">
        <v>316</v>
      </c>
      <c r="H1732" s="33" t="s">
        <v>290</v>
      </c>
      <c r="I1732" s="33" t="s">
        <v>143</v>
      </c>
      <c r="J1732" s="33" t="s">
        <v>159</v>
      </c>
      <c r="K1732" s="33" t="s">
        <v>209</v>
      </c>
      <c r="L1732" s="35" t="n">
        <v>5914.71</v>
      </c>
      <c r="M1732" s="33" t="n">
        <v>4</v>
      </c>
      <c r="N1732" s="33" t="s">
        <v>146</v>
      </c>
      <c r="O1732" s="33" t="s">
        <v>147</v>
      </c>
    </row>
    <row r="1733" customFormat="false" ht="15" hidden="false" customHeight="false" outlineLevel="0" collapsed="false">
      <c r="A1733" s="33" t="s">
        <v>1924</v>
      </c>
      <c r="B1733" s="34" t="n">
        <v>45611</v>
      </c>
      <c r="C1733" s="34" t="n">
        <v>45614</v>
      </c>
      <c r="D1733" s="33" t="n">
        <v>37</v>
      </c>
      <c r="E1733" s="33" t="s">
        <v>139</v>
      </c>
      <c r="F1733" s="33" t="s">
        <v>149</v>
      </c>
      <c r="G1733" s="33" t="s">
        <v>150</v>
      </c>
      <c r="H1733" s="33" t="s">
        <v>151</v>
      </c>
      <c r="I1733" s="33" t="s">
        <v>143</v>
      </c>
      <c r="J1733" s="33" t="s">
        <v>159</v>
      </c>
      <c r="K1733" s="33" t="s">
        <v>145</v>
      </c>
      <c r="L1733" s="35" t="n">
        <v>5205.58</v>
      </c>
      <c r="M1733" s="33" t="n">
        <v>4</v>
      </c>
      <c r="N1733" s="33" t="s">
        <v>146</v>
      </c>
      <c r="O1733" s="33" t="s">
        <v>147</v>
      </c>
    </row>
    <row r="1734" customFormat="false" ht="15" hidden="false" customHeight="false" outlineLevel="0" collapsed="false">
      <c r="A1734" s="33" t="s">
        <v>1925</v>
      </c>
      <c r="B1734" s="34" t="n">
        <v>45400</v>
      </c>
      <c r="C1734" s="34" t="n">
        <v>45402</v>
      </c>
      <c r="D1734" s="33" t="n">
        <v>59</v>
      </c>
      <c r="E1734" s="33" t="s">
        <v>154</v>
      </c>
      <c r="F1734" s="33" t="s">
        <v>203</v>
      </c>
      <c r="G1734" s="33" t="s">
        <v>232</v>
      </c>
      <c r="H1734" s="33" t="s">
        <v>205</v>
      </c>
      <c r="I1734" s="33" t="s">
        <v>143</v>
      </c>
      <c r="J1734" s="33" t="s">
        <v>159</v>
      </c>
      <c r="K1734" s="33" t="s">
        <v>209</v>
      </c>
      <c r="L1734" s="35" t="n">
        <v>2007.64</v>
      </c>
      <c r="M1734" s="33" t="n">
        <v>4</v>
      </c>
      <c r="N1734" s="33" t="s">
        <v>146</v>
      </c>
      <c r="O1734" s="33" t="s">
        <v>147</v>
      </c>
    </row>
    <row r="1735" customFormat="false" ht="15" hidden="false" customHeight="false" outlineLevel="0" collapsed="false">
      <c r="A1735" s="33" t="s">
        <v>1926</v>
      </c>
      <c r="B1735" s="34" t="n">
        <v>45636</v>
      </c>
      <c r="C1735" s="34" t="n">
        <v>45637</v>
      </c>
      <c r="D1735" s="33" t="n">
        <v>50</v>
      </c>
      <c r="E1735" s="33" t="s">
        <v>139</v>
      </c>
      <c r="F1735" s="33" t="s">
        <v>203</v>
      </c>
      <c r="G1735" s="33" t="s">
        <v>217</v>
      </c>
      <c r="H1735" s="33" t="s">
        <v>233</v>
      </c>
      <c r="I1735" s="33" t="s">
        <v>143</v>
      </c>
      <c r="J1735" s="33" t="s">
        <v>159</v>
      </c>
      <c r="K1735" s="33" t="s">
        <v>160</v>
      </c>
      <c r="L1735" s="35" t="n">
        <v>845.34</v>
      </c>
      <c r="M1735" s="33" t="n">
        <v>3</v>
      </c>
      <c r="N1735" s="33" t="s">
        <v>146</v>
      </c>
      <c r="O1735" s="33" t="s">
        <v>147</v>
      </c>
    </row>
    <row r="1736" customFormat="false" ht="15" hidden="false" customHeight="false" outlineLevel="0" collapsed="false">
      <c r="A1736" s="33" t="s">
        <v>1927</v>
      </c>
      <c r="B1736" s="34" t="n">
        <v>45601</v>
      </c>
      <c r="C1736" s="34" t="n">
        <v>45604</v>
      </c>
      <c r="D1736" s="33" t="n">
        <v>31</v>
      </c>
      <c r="E1736" s="33" t="s">
        <v>139</v>
      </c>
      <c r="F1736" s="33" t="s">
        <v>162</v>
      </c>
      <c r="G1736" s="33" t="s">
        <v>230</v>
      </c>
      <c r="H1736" s="33" t="s">
        <v>171</v>
      </c>
      <c r="I1736" s="33" t="s">
        <v>143</v>
      </c>
      <c r="J1736" s="33" t="s">
        <v>159</v>
      </c>
      <c r="K1736" s="33" t="s">
        <v>160</v>
      </c>
      <c r="L1736" s="35" t="n">
        <v>3248.53</v>
      </c>
      <c r="M1736" s="33" t="n">
        <v>4</v>
      </c>
      <c r="N1736" s="33" t="s">
        <v>146</v>
      </c>
      <c r="O1736" s="33" t="s">
        <v>147</v>
      </c>
    </row>
    <row r="1737" customFormat="false" ht="15" hidden="false" customHeight="false" outlineLevel="0" collapsed="false">
      <c r="A1737" s="33" t="s">
        <v>1928</v>
      </c>
      <c r="B1737" s="34" t="n">
        <v>45512</v>
      </c>
      <c r="C1737" s="34" t="n">
        <v>45518</v>
      </c>
      <c r="D1737" s="33" t="n">
        <v>3</v>
      </c>
      <c r="E1737" s="33" t="s">
        <v>139</v>
      </c>
      <c r="F1737" s="33" t="s">
        <v>155</v>
      </c>
      <c r="G1737" s="33" t="s">
        <v>220</v>
      </c>
      <c r="H1737" s="33" t="s">
        <v>157</v>
      </c>
      <c r="I1737" s="33" t="s">
        <v>152</v>
      </c>
      <c r="J1737" s="33" t="s">
        <v>159</v>
      </c>
      <c r="K1737" s="33" t="s">
        <v>160</v>
      </c>
      <c r="L1737" s="35" t="n">
        <v>5692.25</v>
      </c>
      <c r="M1737" s="33" t="n">
        <v>4</v>
      </c>
      <c r="N1737" s="33" t="s">
        <v>146</v>
      </c>
      <c r="O1737" s="33" t="s">
        <v>147</v>
      </c>
    </row>
    <row r="1738" customFormat="false" ht="15" hidden="false" customHeight="false" outlineLevel="0" collapsed="false">
      <c r="A1738" s="33" t="s">
        <v>1929</v>
      </c>
      <c r="B1738" s="34" t="n">
        <v>45313</v>
      </c>
      <c r="C1738" s="34" t="n">
        <v>45319</v>
      </c>
      <c r="D1738" s="33" t="n">
        <v>54</v>
      </c>
      <c r="E1738" s="33" t="s">
        <v>139</v>
      </c>
      <c r="F1738" s="33" t="s">
        <v>173</v>
      </c>
      <c r="G1738" s="33" t="s">
        <v>178</v>
      </c>
      <c r="H1738" s="33" t="s">
        <v>175</v>
      </c>
      <c r="I1738" s="33" t="s">
        <v>143</v>
      </c>
      <c r="J1738" s="33" t="s">
        <v>159</v>
      </c>
      <c r="K1738" s="33" t="s">
        <v>145</v>
      </c>
      <c r="L1738" s="35" t="n">
        <v>15433.87</v>
      </c>
      <c r="M1738" s="33" t="n">
        <v>4</v>
      </c>
      <c r="N1738" s="33" t="s">
        <v>146</v>
      </c>
      <c r="O1738" s="33" t="s">
        <v>147</v>
      </c>
    </row>
    <row r="1739" customFormat="false" ht="15" hidden="false" customHeight="false" outlineLevel="0" collapsed="false">
      <c r="A1739" s="33" t="s">
        <v>1930</v>
      </c>
      <c r="B1739" s="34" t="n">
        <v>45588</v>
      </c>
      <c r="C1739" s="34" t="n">
        <v>45592</v>
      </c>
      <c r="D1739" s="33" t="n">
        <v>50</v>
      </c>
      <c r="E1739" s="33" t="s">
        <v>216</v>
      </c>
      <c r="F1739" s="33" t="s">
        <v>212</v>
      </c>
      <c r="G1739" s="33" t="s">
        <v>170</v>
      </c>
      <c r="H1739" s="33" t="s">
        <v>164</v>
      </c>
      <c r="I1739" s="33" t="s">
        <v>143</v>
      </c>
      <c r="J1739" s="33" t="s">
        <v>176</v>
      </c>
      <c r="K1739" s="33" t="s">
        <v>209</v>
      </c>
      <c r="L1739" s="35" t="n">
        <v>14084.64</v>
      </c>
      <c r="M1739" s="33" t="n">
        <v>3</v>
      </c>
      <c r="N1739" s="33" t="s">
        <v>210</v>
      </c>
      <c r="O1739" s="33" t="s">
        <v>147</v>
      </c>
    </row>
    <row r="1740" customFormat="false" ht="15" hidden="false" customHeight="false" outlineLevel="0" collapsed="false">
      <c r="A1740" s="33" t="s">
        <v>1931</v>
      </c>
      <c r="B1740" s="34" t="n">
        <v>45644</v>
      </c>
      <c r="C1740" s="34" t="n">
        <v>45652</v>
      </c>
      <c r="D1740" s="33" t="n">
        <v>69</v>
      </c>
      <c r="E1740" s="33" t="s">
        <v>139</v>
      </c>
      <c r="F1740" s="33" t="s">
        <v>162</v>
      </c>
      <c r="G1740" s="33" t="s">
        <v>213</v>
      </c>
      <c r="H1740" s="33" t="s">
        <v>195</v>
      </c>
      <c r="I1740" s="33" t="s">
        <v>152</v>
      </c>
      <c r="J1740" s="33" t="s">
        <v>159</v>
      </c>
      <c r="K1740" s="33" t="s">
        <v>145</v>
      </c>
      <c r="L1740" s="35" t="n">
        <v>9136.69</v>
      </c>
      <c r="M1740" s="33" t="n">
        <v>5</v>
      </c>
      <c r="N1740" s="33" t="s">
        <v>146</v>
      </c>
      <c r="O1740" s="33" t="s">
        <v>147</v>
      </c>
    </row>
    <row r="1741" customFormat="false" ht="15" hidden="false" customHeight="false" outlineLevel="0" collapsed="false">
      <c r="A1741" s="33" t="s">
        <v>1932</v>
      </c>
      <c r="B1741" s="34" t="n">
        <v>45652</v>
      </c>
      <c r="C1741" s="34" t="n">
        <v>45656</v>
      </c>
      <c r="D1741" s="33" t="n">
        <v>52</v>
      </c>
      <c r="E1741" s="33" t="s">
        <v>139</v>
      </c>
      <c r="F1741" s="33" t="s">
        <v>169</v>
      </c>
      <c r="G1741" s="33" t="s">
        <v>213</v>
      </c>
      <c r="H1741" s="33" t="s">
        <v>171</v>
      </c>
      <c r="I1741" s="33" t="s">
        <v>152</v>
      </c>
      <c r="J1741" s="33" t="s">
        <v>159</v>
      </c>
      <c r="K1741" s="33" t="s">
        <v>209</v>
      </c>
      <c r="L1741" s="35" t="n">
        <v>4095</v>
      </c>
      <c r="M1741" s="33" t="n">
        <v>4</v>
      </c>
      <c r="N1741" s="33" t="s">
        <v>146</v>
      </c>
      <c r="O1741" s="33" t="s">
        <v>147</v>
      </c>
    </row>
    <row r="1742" customFormat="false" ht="15" hidden="false" customHeight="false" outlineLevel="0" collapsed="false">
      <c r="A1742" s="33" t="s">
        <v>1933</v>
      </c>
      <c r="B1742" s="34" t="n">
        <v>45511</v>
      </c>
      <c r="C1742" s="34" t="n">
        <v>45519</v>
      </c>
      <c r="D1742" s="33" t="n">
        <v>64</v>
      </c>
      <c r="E1742" s="33" t="s">
        <v>154</v>
      </c>
      <c r="F1742" s="33" t="s">
        <v>169</v>
      </c>
      <c r="G1742" s="33" t="s">
        <v>163</v>
      </c>
      <c r="H1742" s="33" t="s">
        <v>164</v>
      </c>
      <c r="I1742" s="33" t="s">
        <v>152</v>
      </c>
      <c r="J1742" s="33" t="s">
        <v>159</v>
      </c>
      <c r="K1742" s="33" t="s">
        <v>184</v>
      </c>
      <c r="L1742" s="35" t="n">
        <v>9148.91</v>
      </c>
      <c r="M1742" s="33" t="n">
        <v>3</v>
      </c>
      <c r="N1742" s="33" t="s">
        <v>146</v>
      </c>
      <c r="O1742" s="33" t="s">
        <v>147</v>
      </c>
    </row>
    <row r="1743" customFormat="false" ht="15" hidden="false" customHeight="false" outlineLevel="0" collapsed="false">
      <c r="A1743" s="33" t="s">
        <v>1934</v>
      </c>
      <c r="B1743" s="34" t="n">
        <v>45335</v>
      </c>
      <c r="C1743" s="34" t="n">
        <v>45336</v>
      </c>
      <c r="D1743" s="33" t="n">
        <v>70</v>
      </c>
      <c r="E1743" s="33" t="s">
        <v>154</v>
      </c>
      <c r="F1743" s="33" t="s">
        <v>191</v>
      </c>
      <c r="G1743" s="33" t="s">
        <v>217</v>
      </c>
      <c r="H1743" s="33" t="s">
        <v>193</v>
      </c>
      <c r="I1743" s="33" t="s">
        <v>143</v>
      </c>
      <c r="J1743" s="33" t="s">
        <v>176</v>
      </c>
      <c r="K1743" s="33" t="s">
        <v>209</v>
      </c>
      <c r="L1743" s="35" t="n">
        <v>2793.96</v>
      </c>
      <c r="M1743" s="33" t="n">
        <v>4</v>
      </c>
      <c r="N1743" s="33" t="s">
        <v>146</v>
      </c>
      <c r="O1743" s="33" t="s">
        <v>147</v>
      </c>
    </row>
    <row r="1744" customFormat="false" ht="15" hidden="false" customHeight="false" outlineLevel="0" collapsed="false">
      <c r="A1744" s="33" t="s">
        <v>1935</v>
      </c>
      <c r="B1744" s="34" t="n">
        <v>45585</v>
      </c>
      <c r="C1744" s="34" t="n">
        <v>45586</v>
      </c>
      <c r="D1744" s="33" t="n">
        <v>51</v>
      </c>
      <c r="E1744" s="33" t="s">
        <v>154</v>
      </c>
      <c r="F1744" s="33" t="s">
        <v>203</v>
      </c>
      <c r="G1744" s="33" t="s">
        <v>232</v>
      </c>
      <c r="H1744" s="33" t="s">
        <v>193</v>
      </c>
      <c r="I1744" s="33" t="s">
        <v>143</v>
      </c>
      <c r="J1744" s="33" t="s">
        <v>159</v>
      </c>
      <c r="K1744" s="33" t="s">
        <v>160</v>
      </c>
      <c r="L1744" s="35" t="n">
        <v>778.4</v>
      </c>
      <c r="M1744" s="33" t="n">
        <v>3</v>
      </c>
      <c r="N1744" s="33" t="s">
        <v>146</v>
      </c>
      <c r="O1744" s="33" t="s">
        <v>147</v>
      </c>
    </row>
    <row r="1745" customFormat="false" ht="15" hidden="false" customHeight="false" outlineLevel="0" collapsed="false">
      <c r="A1745" s="33" t="s">
        <v>1936</v>
      </c>
      <c r="B1745" s="34" t="n">
        <v>45305</v>
      </c>
      <c r="C1745" s="34" t="n">
        <v>45309</v>
      </c>
      <c r="D1745" s="33" t="n">
        <v>68</v>
      </c>
      <c r="E1745" s="33" t="s">
        <v>154</v>
      </c>
      <c r="F1745" s="33" t="s">
        <v>169</v>
      </c>
      <c r="G1745" s="33" t="s">
        <v>163</v>
      </c>
      <c r="H1745" s="33" t="s">
        <v>164</v>
      </c>
      <c r="I1745" s="33" t="s">
        <v>143</v>
      </c>
      <c r="J1745" s="33" t="s">
        <v>144</v>
      </c>
      <c r="K1745" s="33" t="s">
        <v>160</v>
      </c>
      <c r="L1745" s="35" t="n">
        <v>7235.85</v>
      </c>
      <c r="M1745" s="33" t="n">
        <v>5</v>
      </c>
      <c r="N1745" s="33" t="s">
        <v>146</v>
      </c>
      <c r="O1745" s="33" t="s">
        <v>147</v>
      </c>
    </row>
    <row r="1746" customFormat="false" ht="15" hidden="false" customHeight="false" outlineLevel="0" collapsed="false">
      <c r="A1746" s="33" t="s">
        <v>1937</v>
      </c>
      <c r="B1746" s="34" t="n">
        <v>45335</v>
      </c>
      <c r="C1746" s="34" t="n">
        <v>45338</v>
      </c>
      <c r="D1746" s="33" t="n">
        <v>74</v>
      </c>
      <c r="E1746" s="33" t="s">
        <v>139</v>
      </c>
      <c r="F1746" s="33" t="s">
        <v>212</v>
      </c>
      <c r="G1746" s="33" t="s">
        <v>163</v>
      </c>
      <c r="H1746" s="33" t="s">
        <v>195</v>
      </c>
      <c r="I1746" s="33" t="s">
        <v>143</v>
      </c>
      <c r="J1746" s="33" t="s">
        <v>159</v>
      </c>
      <c r="K1746" s="33" t="s">
        <v>184</v>
      </c>
      <c r="L1746" s="35" t="n">
        <v>3564.16</v>
      </c>
      <c r="M1746" s="33" t="n">
        <v>4</v>
      </c>
      <c r="N1746" s="33" t="s">
        <v>146</v>
      </c>
      <c r="O1746" s="33" t="s">
        <v>147</v>
      </c>
    </row>
    <row r="1747" customFormat="false" ht="15" hidden="false" customHeight="false" outlineLevel="0" collapsed="false">
      <c r="A1747" s="33" t="s">
        <v>1938</v>
      </c>
      <c r="B1747" s="34" t="n">
        <v>45326</v>
      </c>
      <c r="C1747" s="34" t="n">
        <v>45328</v>
      </c>
      <c r="D1747" s="33" t="n">
        <v>46</v>
      </c>
      <c r="E1747" s="33" t="s">
        <v>154</v>
      </c>
      <c r="F1747" s="33" t="s">
        <v>140</v>
      </c>
      <c r="G1747" s="33" t="s">
        <v>316</v>
      </c>
      <c r="H1747" s="33" t="s">
        <v>142</v>
      </c>
      <c r="I1747" s="33" t="s">
        <v>143</v>
      </c>
      <c r="J1747" s="33" t="s">
        <v>159</v>
      </c>
      <c r="K1747" s="33" t="s">
        <v>184</v>
      </c>
      <c r="L1747" s="35" t="n">
        <v>4466.73</v>
      </c>
      <c r="M1747" s="33" t="n">
        <v>3</v>
      </c>
      <c r="N1747" s="33" t="s">
        <v>146</v>
      </c>
      <c r="O1747" s="33" t="s">
        <v>147</v>
      </c>
    </row>
    <row r="1748" customFormat="false" ht="15" hidden="false" customHeight="false" outlineLevel="0" collapsed="false">
      <c r="A1748" s="33" t="s">
        <v>1939</v>
      </c>
      <c r="B1748" s="34" t="n">
        <v>45577</v>
      </c>
      <c r="C1748" s="34" t="n">
        <v>45585</v>
      </c>
      <c r="D1748" s="33" t="n">
        <v>69</v>
      </c>
      <c r="E1748" s="33" t="s">
        <v>154</v>
      </c>
      <c r="F1748" s="33" t="s">
        <v>140</v>
      </c>
      <c r="G1748" s="33" t="s">
        <v>141</v>
      </c>
      <c r="H1748" s="33" t="s">
        <v>290</v>
      </c>
      <c r="I1748" s="33" t="s">
        <v>143</v>
      </c>
      <c r="J1748" s="33" t="s">
        <v>176</v>
      </c>
      <c r="K1748" s="33" t="s">
        <v>209</v>
      </c>
      <c r="L1748" s="35" t="n">
        <v>50902.9</v>
      </c>
      <c r="M1748" s="33" t="n">
        <v>3</v>
      </c>
      <c r="N1748" s="33" t="s">
        <v>210</v>
      </c>
      <c r="O1748" s="33" t="s">
        <v>147</v>
      </c>
    </row>
    <row r="1749" customFormat="false" ht="15" hidden="false" customHeight="false" outlineLevel="0" collapsed="false">
      <c r="A1749" s="33" t="s">
        <v>1940</v>
      </c>
      <c r="B1749" s="34" t="n">
        <v>45524</v>
      </c>
      <c r="C1749" s="34" t="n">
        <v>45527</v>
      </c>
      <c r="D1749" s="33" t="n">
        <v>34</v>
      </c>
      <c r="E1749" s="33" t="s">
        <v>139</v>
      </c>
      <c r="F1749" s="33" t="s">
        <v>169</v>
      </c>
      <c r="G1749" s="33" t="s">
        <v>230</v>
      </c>
      <c r="H1749" s="33" t="s">
        <v>171</v>
      </c>
      <c r="I1749" s="33" t="s">
        <v>143</v>
      </c>
      <c r="J1749" s="33" t="s">
        <v>144</v>
      </c>
      <c r="K1749" s="33" t="s">
        <v>145</v>
      </c>
      <c r="L1749" s="35" t="n">
        <v>6302.57</v>
      </c>
      <c r="M1749" s="33" t="n">
        <v>4</v>
      </c>
      <c r="N1749" s="33" t="s">
        <v>146</v>
      </c>
      <c r="O1749" s="33" t="s">
        <v>147</v>
      </c>
    </row>
    <row r="1750" customFormat="false" ht="15" hidden="false" customHeight="false" outlineLevel="0" collapsed="false">
      <c r="A1750" s="33" t="s">
        <v>1941</v>
      </c>
      <c r="B1750" s="34" t="n">
        <v>45366</v>
      </c>
      <c r="C1750" s="34" t="n">
        <v>45367</v>
      </c>
      <c r="D1750" s="33" t="n">
        <v>54</v>
      </c>
      <c r="E1750" s="33" t="s">
        <v>154</v>
      </c>
      <c r="F1750" s="33" t="s">
        <v>203</v>
      </c>
      <c r="G1750" s="33" t="s">
        <v>192</v>
      </c>
      <c r="H1750" s="33" t="s">
        <v>193</v>
      </c>
      <c r="I1750" s="33" t="s">
        <v>143</v>
      </c>
      <c r="J1750" s="33" t="s">
        <v>176</v>
      </c>
      <c r="K1750" s="33" t="s">
        <v>160</v>
      </c>
      <c r="L1750" s="35" t="n">
        <v>2706.41</v>
      </c>
      <c r="M1750" s="33" t="n">
        <v>2</v>
      </c>
      <c r="N1750" s="33" t="s">
        <v>146</v>
      </c>
      <c r="O1750" s="33" t="s">
        <v>147</v>
      </c>
    </row>
    <row r="1751" customFormat="false" ht="15" hidden="false" customHeight="false" outlineLevel="0" collapsed="false">
      <c r="A1751" s="33" t="s">
        <v>1942</v>
      </c>
      <c r="B1751" s="34" t="n">
        <v>45408</v>
      </c>
      <c r="C1751" s="34" t="n">
        <v>45410</v>
      </c>
      <c r="D1751" s="33" t="n">
        <v>60</v>
      </c>
      <c r="E1751" s="33" t="s">
        <v>154</v>
      </c>
      <c r="F1751" s="33" t="s">
        <v>169</v>
      </c>
      <c r="G1751" s="33" t="s">
        <v>170</v>
      </c>
      <c r="H1751" s="33" t="s">
        <v>195</v>
      </c>
      <c r="I1751" s="33" t="s">
        <v>143</v>
      </c>
      <c r="J1751" s="33" t="s">
        <v>159</v>
      </c>
      <c r="K1751" s="33" t="s">
        <v>145</v>
      </c>
      <c r="L1751" s="35" t="n">
        <v>2733.96</v>
      </c>
      <c r="M1751" s="33" t="n">
        <v>5</v>
      </c>
      <c r="N1751" s="33" t="s">
        <v>146</v>
      </c>
      <c r="O1751" s="33" t="s">
        <v>147</v>
      </c>
    </row>
    <row r="1752" customFormat="false" ht="15" hidden="false" customHeight="false" outlineLevel="0" collapsed="false">
      <c r="A1752" s="33" t="s">
        <v>1943</v>
      </c>
      <c r="B1752" s="34" t="n">
        <v>45558</v>
      </c>
      <c r="C1752" s="34" t="n">
        <v>45563</v>
      </c>
      <c r="D1752" s="33" t="n">
        <v>32</v>
      </c>
      <c r="E1752" s="33" t="s">
        <v>180</v>
      </c>
      <c r="F1752" s="33" t="s">
        <v>169</v>
      </c>
      <c r="G1752" s="33" t="s">
        <v>213</v>
      </c>
      <c r="H1752" s="33" t="s">
        <v>171</v>
      </c>
      <c r="I1752" s="33" t="s">
        <v>152</v>
      </c>
      <c r="J1752" s="33" t="s">
        <v>159</v>
      </c>
      <c r="K1752" s="33" t="s">
        <v>160</v>
      </c>
      <c r="L1752" s="35" t="n">
        <v>6059.13</v>
      </c>
      <c r="M1752" s="33" t="n">
        <v>5</v>
      </c>
      <c r="N1752" s="33" t="s">
        <v>146</v>
      </c>
      <c r="O1752" s="33" t="s">
        <v>147</v>
      </c>
    </row>
    <row r="1753" customFormat="false" ht="15" hidden="false" customHeight="false" outlineLevel="0" collapsed="false">
      <c r="A1753" s="33" t="s">
        <v>1944</v>
      </c>
      <c r="B1753" s="34" t="n">
        <v>45645</v>
      </c>
      <c r="C1753" s="34" t="n">
        <v>45647</v>
      </c>
      <c r="D1753" s="33" t="n">
        <v>8</v>
      </c>
      <c r="E1753" s="33" t="s">
        <v>139</v>
      </c>
      <c r="F1753" s="33" t="s">
        <v>155</v>
      </c>
      <c r="G1753" s="33" t="s">
        <v>156</v>
      </c>
      <c r="H1753" s="33" t="s">
        <v>157</v>
      </c>
      <c r="I1753" s="33" t="s">
        <v>143</v>
      </c>
      <c r="J1753" s="33" t="s">
        <v>159</v>
      </c>
      <c r="K1753" s="33" t="s">
        <v>145</v>
      </c>
      <c r="L1753" s="35" t="n">
        <v>1732.29</v>
      </c>
      <c r="M1753" s="33" t="n">
        <v>4</v>
      </c>
      <c r="N1753" s="33" t="s">
        <v>146</v>
      </c>
      <c r="O1753" s="33" t="s">
        <v>147</v>
      </c>
    </row>
    <row r="1754" customFormat="false" ht="15" hidden="false" customHeight="false" outlineLevel="0" collapsed="false">
      <c r="A1754" s="33" t="s">
        <v>1945</v>
      </c>
      <c r="B1754" s="34" t="n">
        <v>45544</v>
      </c>
      <c r="C1754" s="34" t="n">
        <v>45553</v>
      </c>
      <c r="D1754" s="33" t="n">
        <v>84</v>
      </c>
      <c r="E1754" s="33" t="s">
        <v>154</v>
      </c>
      <c r="F1754" s="33" t="s">
        <v>226</v>
      </c>
      <c r="G1754" s="33" t="s">
        <v>227</v>
      </c>
      <c r="H1754" s="33" t="s">
        <v>263</v>
      </c>
      <c r="I1754" s="33" t="s">
        <v>152</v>
      </c>
      <c r="J1754" s="33" t="s">
        <v>159</v>
      </c>
      <c r="K1754" s="33" t="s">
        <v>145</v>
      </c>
      <c r="L1754" s="35" t="n">
        <v>24624.54</v>
      </c>
      <c r="M1754" s="33" t="n">
        <v>3</v>
      </c>
      <c r="N1754" s="33" t="s">
        <v>146</v>
      </c>
      <c r="O1754" s="33" t="s">
        <v>147</v>
      </c>
    </row>
    <row r="1755" customFormat="false" ht="15" hidden="false" customHeight="false" outlineLevel="0" collapsed="false">
      <c r="A1755" s="33" t="s">
        <v>1946</v>
      </c>
      <c r="B1755" s="34" t="n">
        <v>45324</v>
      </c>
      <c r="C1755" s="34" t="n">
        <v>45327</v>
      </c>
      <c r="D1755" s="33" t="n">
        <v>0</v>
      </c>
      <c r="E1755" s="33" t="s">
        <v>154</v>
      </c>
      <c r="F1755" s="33" t="s">
        <v>155</v>
      </c>
      <c r="G1755" s="33" t="s">
        <v>220</v>
      </c>
      <c r="H1755" s="33" t="s">
        <v>222</v>
      </c>
      <c r="I1755" s="33" t="s">
        <v>158</v>
      </c>
      <c r="J1755" s="33" t="s">
        <v>159</v>
      </c>
      <c r="K1755" s="33" t="s">
        <v>160</v>
      </c>
      <c r="L1755" s="35" t="n">
        <v>2531.61</v>
      </c>
      <c r="M1755" s="33" t="n">
        <v>5</v>
      </c>
      <c r="N1755" s="33" t="s">
        <v>146</v>
      </c>
      <c r="O1755" s="33" t="s">
        <v>147</v>
      </c>
    </row>
    <row r="1756" customFormat="false" ht="15" hidden="false" customHeight="false" outlineLevel="0" collapsed="false">
      <c r="A1756" s="33" t="s">
        <v>1947</v>
      </c>
      <c r="B1756" s="34" t="n">
        <v>45380</v>
      </c>
      <c r="C1756" s="34" t="n">
        <v>45387</v>
      </c>
      <c r="D1756" s="33" t="n">
        <v>0</v>
      </c>
      <c r="E1756" s="33" t="s">
        <v>190</v>
      </c>
      <c r="F1756" s="33" t="s">
        <v>155</v>
      </c>
      <c r="G1756" s="33" t="s">
        <v>220</v>
      </c>
      <c r="H1756" s="33" t="s">
        <v>157</v>
      </c>
      <c r="I1756" s="33" t="s">
        <v>143</v>
      </c>
      <c r="J1756" s="33" t="s">
        <v>159</v>
      </c>
      <c r="K1756" s="33" t="s">
        <v>209</v>
      </c>
      <c r="L1756" s="35" t="n">
        <v>5379.74</v>
      </c>
      <c r="M1756" s="33" t="n">
        <v>4</v>
      </c>
      <c r="N1756" s="33" t="s">
        <v>146</v>
      </c>
      <c r="O1756" s="33" t="s">
        <v>147</v>
      </c>
    </row>
    <row r="1757" customFormat="false" ht="15" hidden="false" customHeight="false" outlineLevel="0" collapsed="false">
      <c r="A1757" s="33" t="s">
        <v>1948</v>
      </c>
      <c r="B1757" s="34" t="n">
        <v>45560</v>
      </c>
      <c r="C1757" s="34" t="n">
        <v>45562</v>
      </c>
      <c r="D1757" s="33" t="n">
        <v>37</v>
      </c>
      <c r="E1757" s="33" t="s">
        <v>139</v>
      </c>
      <c r="F1757" s="33" t="s">
        <v>149</v>
      </c>
      <c r="G1757" s="33" t="s">
        <v>150</v>
      </c>
      <c r="H1757" s="33" t="s">
        <v>151</v>
      </c>
      <c r="I1757" s="33" t="s">
        <v>143</v>
      </c>
      <c r="J1757" s="33" t="s">
        <v>159</v>
      </c>
      <c r="K1757" s="33" t="s">
        <v>145</v>
      </c>
      <c r="L1757" s="35" t="n">
        <v>2924.14</v>
      </c>
      <c r="M1757" s="33" t="n">
        <v>5</v>
      </c>
      <c r="N1757" s="33" t="s">
        <v>146</v>
      </c>
      <c r="O1757" s="33" t="s">
        <v>147</v>
      </c>
    </row>
    <row r="1758" customFormat="false" ht="15" hidden="false" customHeight="false" outlineLevel="0" collapsed="false">
      <c r="A1758" s="33" t="s">
        <v>1949</v>
      </c>
      <c r="B1758" s="34" t="n">
        <v>45454</v>
      </c>
      <c r="C1758" s="34" t="n">
        <v>45457</v>
      </c>
      <c r="D1758" s="33" t="n">
        <v>40</v>
      </c>
      <c r="E1758" s="33" t="s">
        <v>139</v>
      </c>
      <c r="F1758" s="33" t="s">
        <v>140</v>
      </c>
      <c r="G1758" s="33" t="s">
        <v>167</v>
      </c>
      <c r="H1758" s="33" t="s">
        <v>290</v>
      </c>
      <c r="I1758" s="33" t="s">
        <v>143</v>
      </c>
      <c r="J1758" s="33" t="s">
        <v>159</v>
      </c>
      <c r="K1758" s="33" t="s">
        <v>184</v>
      </c>
      <c r="L1758" s="35" t="n">
        <v>6184.04</v>
      </c>
      <c r="M1758" s="33" t="n">
        <v>5</v>
      </c>
      <c r="N1758" s="33" t="s">
        <v>146</v>
      </c>
      <c r="O1758" s="33" t="s">
        <v>147</v>
      </c>
    </row>
    <row r="1759" customFormat="false" ht="15" hidden="false" customHeight="false" outlineLevel="0" collapsed="false">
      <c r="A1759" s="33" t="s">
        <v>255</v>
      </c>
      <c r="B1759" s="34" t="n">
        <v>45466</v>
      </c>
      <c r="C1759" s="34" t="n">
        <v>45468</v>
      </c>
      <c r="D1759" s="33" t="n">
        <v>7</v>
      </c>
      <c r="E1759" s="33" t="s">
        <v>139</v>
      </c>
      <c r="F1759" s="33" t="s">
        <v>155</v>
      </c>
      <c r="G1759" s="33" t="s">
        <v>220</v>
      </c>
      <c r="H1759" s="33" t="s">
        <v>222</v>
      </c>
      <c r="I1759" s="33" t="s">
        <v>143</v>
      </c>
      <c r="J1759" s="33" t="s">
        <v>159</v>
      </c>
      <c r="K1759" s="33" t="s">
        <v>160</v>
      </c>
      <c r="L1759" s="35" t="n">
        <v>1626.47</v>
      </c>
      <c r="M1759" s="33" t="n">
        <v>4</v>
      </c>
      <c r="N1759" s="33" t="s">
        <v>146</v>
      </c>
      <c r="O1759" s="33" t="s">
        <v>147</v>
      </c>
    </row>
    <row r="1760" customFormat="false" ht="15" hidden="false" customHeight="false" outlineLevel="0" collapsed="false">
      <c r="A1760" s="33" t="s">
        <v>1950</v>
      </c>
      <c r="B1760" s="34" t="n">
        <v>45325</v>
      </c>
      <c r="C1760" s="34" t="n">
        <v>45328</v>
      </c>
      <c r="D1760" s="33" t="n">
        <v>29</v>
      </c>
      <c r="E1760" s="33" t="s">
        <v>154</v>
      </c>
      <c r="F1760" s="33" t="s">
        <v>140</v>
      </c>
      <c r="G1760" s="33" t="s">
        <v>141</v>
      </c>
      <c r="H1760" s="33" t="s">
        <v>290</v>
      </c>
      <c r="I1760" s="33" t="s">
        <v>143</v>
      </c>
      <c r="J1760" s="33" t="s">
        <v>159</v>
      </c>
      <c r="K1760" s="33" t="s">
        <v>145</v>
      </c>
      <c r="L1760" s="35" t="n">
        <v>7885.2</v>
      </c>
      <c r="M1760" s="33" t="n">
        <v>4</v>
      </c>
      <c r="N1760" s="33" t="s">
        <v>146</v>
      </c>
      <c r="O1760" s="33" t="s">
        <v>206</v>
      </c>
    </row>
    <row r="1761" customFormat="false" ht="15" hidden="false" customHeight="false" outlineLevel="0" collapsed="false">
      <c r="A1761" s="33" t="s">
        <v>1951</v>
      </c>
      <c r="B1761" s="34" t="n">
        <v>45439</v>
      </c>
      <c r="C1761" s="34" t="n">
        <v>45440</v>
      </c>
      <c r="D1761" s="33" t="n">
        <v>32</v>
      </c>
      <c r="E1761" s="33" t="s">
        <v>139</v>
      </c>
      <c r="F1761" s="33" t="s">
        <v>149</v>
      </c>
      <c r="G1761" s="33" t="s">
        <v>243</v>
      </c>
      <c r="H1761" s="33" t="s">
        <v>151</v>
      </c>
      <c r="I1761" s="33" t="s">
        <v>158</v>
      </c>
      <c r="J1761" s="33" t="s">
        <v>144</v>
      </c>
      <c r="K1761" s="33" t="s">
        <v>160</v>
      </c>
      <c r="L1761" s="35" t="n">
        <v>2831.28</v>
      </c>
      <c r="M1761" s="33" t="n">
        <v>4</v>
      </c>
      <c r="N1761" s="33" t="s">
        <v>146</v>
      </c>
      <c r="O1761" s="33" t="s">
        <v>147</v>
      </c>
    </row>
    <row r="1762" customFormat="false" ht="15" hidden="false" customHeight="false" outlineLevel="0" collapsed="false">
      <c r="A1762" s="33" t="s">
        <v>1952</v>
      </c>
      <c r="B1762" s="34" t="n">
        <v>45294</v>
      </c>
      <c r="C1762" s="34" t="n">
        <v>45296</v>
      </c>
      <c r="D1762" s="33" t="n">
        <v>62</v>
      </c>
      <c r="E1762" s="33" t="s">
        <v>154</v>
      </c>
      <c r="F1762" s="33" t="s">
        <v>212</v>
      </c>
      <c r="G1762" s="33" t="s">
        <v>170</v>
      </c>
      <c r="H1762" s="33" t="s">
        <v>171</v>
      </c>
      <c r="I1762" s="33" t="s">
        <v>143</v>
      </c>
      <c r="J1762" s="33" t="s">
        <v>159</v>
      </c>
      <c r="K1762" s="33" t="s">
        <v>184</v>
      </c>
      <c r="L1762" s="35" t="n">
        <v>2372.01</v>
      </c>
      <c r="M1762" s="36"/>
      <c r="N1762" s="33" t="s">
        <v>146</v>
      </c>
      <c r="O1762" s="33" t="s">
        <v>147</v>
      </c>
    </row>
    <row r="1763" customFormat="false" ht="15" hidden="false" customHeight="false" outlineLevel="0" collapsed="false">
      <c r="A1763" s="33" t="s">
        <v>1953</v>
      </c>
      <c r="B1763" s="34" t="n">
        <v>45477</v>
      </c>
      <c r="C1763" s="34" t="n">
        <v>45488</v>
      </c>
      <c r="D1763" s="33" t="n">
        <v>30</v>
      </c>
      <c r="E1763" s="33" t="s">
        <v>154</v>
      </c>
      <c r="F1763" s="33" t="s">
        <v>169</v>
      </c>
      <c r="G1763" s="33" t="s">
        <v>230</v>
      </c>
      <c r="H1763" s="33" t="s">
        <v>195</v>
      </c>
      <c r="I1763" s="33" t="s">
        <v>158</v>
      </c>
      <c r="J1763" s="33" t="s">
        <v>176</v>
      </c>
      <c r="K1763" s="33" t="s">
        <v>209</v>
      </c>
      <c r="L1763" s="35" t="n">
        <v>35371.5</v>
      </c>
      <c r="M1763" s="33" t="n">
        <v>3</v>
      </c>
      <c r="N1763" s="33" t="s">
        <v>210</v>
      </c>
      <c r="O1763" s="36"/>
    </row>
    <row r="1764" customFormat="false" ht="15" hidden="false" customHeight="false" outlineLevel="0" collapsed="false">
      <c r="A1764" s="33" t="s">
        <v>1954</v>
      </c>
      <c r="B1764" s="34" t="n">
        <v>45306</v>
      </c>
      <c r="C1764" s="34" t="n">
        <v>45308</v>
      </c>
      <c r="D1764" s="33" t="n">
        <v>48</v>
      </c>
      <c r="E1764" s="33" t="s">
        <v>154</v>
      </c>
      <c r="F1764" s="33" t="s">
        <v>173</v>
      </c>
      <c r="G1764" s="33" t="s">
        <v>198</v>
      </c>
      <c r="H1764" s="33" t="s">
        <v>175</v>
      </c>
      <c r="I1764" s="33" t="s">
        <v>143</v>
      </c>
      <c r="J1764" s="33" t="s">
        <v>159</v>
      </c>
      <c r="K1764" s="33" t="s">
        <v>160</v>
      </c>
      <c r="L1764" s="35" t="n">
        <v>5713.75</v>
      </c>
      <c r="M1764" s="33" t="n">
        <v>5</v>
      </c>
      <c r="N1764" s="33" t="s">
        <v>146</v>
      </c>
      <c r="O1764" s="33" t="s">
        <v>147</v>
      </c>
    </row>
    <row r="1765" customFormat="false" ht="15" hidden="false" customHeight="false" outlineLevel="0" collapsed="false">
      <c r="A1765" s="33" t="s">
        <v>1955</v>
      </c>
      <c r="B1765" s="34" t="n">
        <v>45407</v>
      </c>
      <c r="C1765" s="34" t="n">
        <v>45410</v>
      </c>
      <c r="D1765" s="33" t="n">
        <v>79</v>
      </c>
      <c r="E1765" s="33" t="s">
        <v>139</v>
      </c>
      <c r="F1765" s="33" t="s">
        <v>169</v>
      </c>
      <c r="G1765" s="33" t="s">
        <v>170</v>
      </c>
      <c r="H1765" s="33" t="s">
        <v>171</v>
      </c>
      <c r="I1765" s="33" t="s">
        <v>152</v>
      </c>
      <c r="J1765" s="33" t="s">
        <v>144</v>
      </c>
      <c r="K1765" s="33" t="s">
        <v>145</v>
      </c>
      <c r="L1765" s="35" t="n">
        <v>5006.22</v>
      </c>
      <c r="M1765" s="33" t="n">
        <v>4</v>
      </c>
      <c r="N1765" s="33" t="s">
        <v>146</v>
      </c>
      <c r="O1765" s="33" t="s">
        <v>147</v>
      </c>
    </row>
    <row r="1766" customFormat="false" ht="15" hidden="false" customHeight="false" outlineLevel="0" collapsed="false">
      <c r="A1766" s="33" t="s">
        <v>1956</v>
      </c>
      <c r="B1766" s="34" t="n">
        <v>45511</v>
      </c>
      <c r="C1766" s="34" t="n">
        <v>45516</v>
      </c>
      <c r="D1766" s="33" t="n">
        <v>96</v>
      </c>
      <c r="E1766" s="33" t="s">
        <v>139</v>
      </c>
      <c r="F1766" s="33" t="s">
        <v>169</v>
      </c>
      <c r="G1766" s="33" t="s">
        <v>213</v>
      </c>
      <c r="H1766" s="33" t="s">
        <v>164</v>
      </c>
      <c r="I1766" s="33" t="s">
        <v>158</v>
      </c>
      <c r="J1766" s="33" t="s">
        <v>159</v>
      </c>
      <c r="K1766" s="33" t="s">
        <v>209</v>
      </c>
      <c r="L1766" s="35" t="n">
        <v>5463.9</v>
      </c>
      <c r="M1766" s="33" t="n">
        <v>3</v>
      </c>
      <c r="N1766" s="33" t="s">
        <v>146</v>
      </c>
      <c r="O1766" s="33" t="s">
        <v>147</v>
      </c>
    </row>
    <row r="1767" customFormat="false" ht="15" hidden="false" customHeight="false" outlineLevel="0" collapsed="false">
      <c r="A1767" s="33" t="s">
        <v>1957</v>
      </c>
      <c r="B1767" s="34" t="n">
        <v>45589</v>
      </c>
      <c r="C1767" s="34" t="n">
        <v>45591</v>
      </c>
      <c r="D1767" s="33" t="n">
        <v>53</v>
      </c>
      <c r="E1767" s="33" t="s">
        <v>154</v>
      </c>
      <c r="F1767" s="33" t="s">
        <v>140</v>
      </c>
      <c r="G1767" s="33" t="s">
        <v>141</v>
      </c>
      <c r="H1767" s="33" t="s">
        <v>290</v>
      </c>
      <c r="I1767" s="33" t="s">
        <v>152</v>
      </c>
      <c r="J1767" s="33" t="s">
        <v>159</v>
      </c>
      <c r="K1767" s="33" t="s">
        <v>209</v>
      </c>
      <c r="L1767" s="35" t="n">
        <v>5294.54</v>
      </c>
      <c r="M1767" s="33" t="n">
        <v>4</v>
      </c>
      <c r="N1767" s="33" t="s">
        <v>146</v>
      </c>
      <c r="O1767" s="33" t="s">
        <v>147</v>
      </c>
    </row>
    <row r="1768" customFormat="false" ht="15" hidden="false" customHeight="false" outlineLevel="0" collapsed="false">
      <c r="A1768" s="33" t="s">
        <v>1958</v>
      </c>
      <c r="B1768" s="34" t="n">
        <v>45447</v>
      </c>
      <c r="C1768" s="34" t="n">
        <v>45451</v>
      </c>
      <c r="D1768" s="33" t="n">
        <v>35</v>
      </c>
      <c r="E1768" s="33" t="s">
        <v>154</v>
      </c>
      <c r="F1768" s="33" t="s">
        <v>140</v>
      </c>
      <c r="G1768" s="33" t="s">
        <v>141</v>
      </c>
      <c r="H1768" s="33" t="s">
        <v>142</v>
      </c>
      <c r="I1768" s="33" t="s">
        <v>143</v>
      </c>
      <c r="J1768" s="33" t="s">
        <v>159</v>
      </c>
      <c r="K1768" s="33" t="s">
        <v>160</v>
      </c>
      <c r="L1768" s="37" t="n">
        <v>0</v>
      </c>
      <c r="M1768" s="33" t="n">
        <v>4</v>
      </c>
      <c r="N1768" s="33" t="s">
        <v>146</v>
      </c>
      <c r="O1768" s="33" t="s">
        <v>147</v>
      </c>
    </row>
    <row r="1769" customFormat="false" ht="15" hidden="false" customHeight="false" outlineLevel="0" collapsed="false">
      <c r="A1769" s="33" t="s">
        <v>1959</v>
      </c>
      <c r="B1769" s="34" t="n">
        <v>45652</v>
      </c>
      <c r="C1769" s="34" t="n">
        <v>45654</v>
      </c>
      <c r="D1769" s="33" t="n">
        <v>21</v>
      </c>
      <c r="E1769" s="33" t="s">
        <v>139</v>
      </c>
      <c r="F1769" s="33" t="s">
        <v>203</v>
      </c>
      <c r="G1769" s="33" t="s">
        <v>204</v>
      </c>
      <c r="H1769" s="33" t="s">
        <v>233</v>
      </c>
      <c r="I1769" s="33" t="s">
        <v>152</v>
      </c>
      <c r="J1769" s="33" t="s">
        <v>159</v>
      </c>
      <c r="K1769" s="33" t="s">
        <v>184</v>
      </c>
      <c r="L1769" s="35" t="n">
        <v>1359.48</v>
      </c>
      <c r="M1769" s="33" t="n">
        <v>4</v>
      </c>
      <c r="N1769" s="33" t="s">
        <v>146</v>
      </c>
      <c r="O1769" s="33" t="s">
        <v>147</v>
      </c>
    </row>
    <row r="1770" customFormat="false" ht="15" hidden="false" customHeight="false" outlineLevel="0" collapsed="false">
      <c r="A1770" s="33" t="s">
        <v>1960</v>
      </c>
      <c r="B1770" s="34" t="n">
        <v>45513</v>
      </c>
      <c r="C1770" s="34" t="n">
        <v>45517</v>
      </c>
      <c r="D1770" s="33" t="n">
        <v>49</v>
      </c>
      <c r="E1770" s="33" t="s">
        <v>139</v>
      </c>
      <c r="F1770" s="33" t="s">
        <v>212</v>
      </c>
      <c r="G1770" s="33" t="s">
        <v>170</v>
      </c>
      <c r="H1770" s="33" t="s">
        <v>171</v>
      </c>
      <c r="I1770" s="33" t="s">
        <v>143</v>
      </c>
      <c r="J1770" s="33" t="s">
        <v>159</v>
      </c>
      <c r="K1770" s="33" t="s">
        <v>145</v>
      </c>
      <c r="L1770" s="35" t="n">
        <v>4293.37</v>
      </c>
      <c r="M1770" s="33" t="n">
        <v>4</v>
      </c>
      <c r="N1770" s="33" t="s">
        <v>210</v>
      </c>
      <c r="O1770" s="33" t="s">
        <v>147</v>
      </c>
    </row>
    <row r="1771" customFormat="false" ht="15" hidden="false" customHeight="false" outlineLevel="0" collapsed="false">
      <c r="A1771" s="33" t="s">
        <v>1961</v>
      </c>
      <c r="B1771" s="34" t="n">
        <v>45566</v>
      </c>
      <c r="C1771" s="34" t="n">
        <v>45567</v>
      </c>
      <c r="D1771" s="33" t="n">
        <v>10</v>
      </c>
      <c r="E1771" s="33" t="s">
        <v>139</v>
      </c>
      <c r="F1771" s="33" t="s">
        <v>376</v>
      </c>
      <c r="G1771" s="33" t="s">
        <v>220</v>
      </c>
      <c r="H1771" s="33" t="s">
        <v>157</v>
      </c>
      <c r="I1771" s="33" t="s">
        <v>143</v>
      </c>
      <c r="J1771" s="33" t="s">
        <v>176</v>
      </c>
      <c r="K1771" s="33" t="s">
        <v>145</v>
      </c>
      <c r="L1771" s="35" t="n">
        <v>2464.71</v>
      </c>
      <c r="M1771" s="33" t="n">
        <v>5</v>
      </c>
      <c r="N1771" s="33" t="s">
        <v>146</v>
      </c>
      <c r="O1771" s="33" t="s">
        <v>147</v>
      </c>
    </row>
    <row r="1772" customFormat="false" ht="15" hidden="false" customHeight="false" outlineLevel="0" collapsed="false">
      <c r="A1772" s="33" t="s">
        <v>1962</v>
      </c>
      <c r="B1772" s="34" t="n">
        <v>45503</v>
      </c>
      <c r="C1772" s="34" t="n">
        <v>45509</v>
      </c>
      <c r="D1772" s="33" t="n">
        <v>59</v>
      </c>
      <c r="E1772" s="33" t="s">
        <v>257</v>
      </c>
      <c r="F1772" s="33" t="s">
        <v>173</v>
      </c>
      <c r="G1772" s="33" t="s">
        <v>174</v>
      </c>
      <c r="H1772" s="33" t="s">
        <v>175</v>
      </c>
      <c r="I1772" s="33" t="s">
        <v>143</v>
      </c>
      <c r="J1772" s="33" t="s">
        <v>144</v>
      </c>
      <c r="K1772" s="33" t="s">
        <v>145</v>
      </c>
      <c r="L1772" s="35" t="n">
        <v>23247.24</v>
      </c>
      <c r="M1772" s="33" t="n">
        <v>3</v>
      </c>
      <c r="N1772" s="33" t="s">
        <v>146</v>
      </c>
      <c r="O1772" s="33" t="s">
        <v>147</v>
      </c>
    </row>
    <row r="1773" customFormat="false" ht="15" hidden="false" customHeight="false" outlineLevel="0" collapsed="false">
      <c r="A1773" s="33" t="s">
        <v>1963</v>
      </c>
      <c r="B1773" s="34" t="n">
        <v>45450</v>
      </c>
      <c r="C1773" s="34" t="n">
        <v>45454</v>
      </c>
      <c r="D1773" s="33" t="n">
        <v>44</v>
      </c>
      <c r="E1773" s="33" t="s">
        <v>154</v>
      </c>
      <c r="F1773" s="33" t="s">
        <v>169</v>
      </c>
      <c r="G1773" s="33" t="s">
        <v>230</v>
      </c>
      <c r="H1773" s="33" t="s">
        <v>195</v>
      </c>
      <c r="I1773" s="33" t="s">
        <v>152</v>
      </c>
      <c r="J1773" s="33" t="s">
        <v>159</v>
      </c>
      <c r="K1773" s="33" t="s">
        <v>145</v>
      </c>
      <c r="L1773" s="35" t="n">
        <v>4333.43</v>
      </c>
      <c r="M1773" s="33" t="n">
        <v>4</v>
      </c>
      <c r="N1773" s="33" t="s">
        <v>146</v>
      </c>
      <c r="O1773" s="33" t="s">
        <v>147</v>
      </c>
    </row>
    <row r="1774" customFormat="false" ht="15" hidden="false" customHeight="false" outlineLevel="0" collapsed="false">
      <c r="A1774" s="33" t="s">
        <v>1964</v>
      </c>
      <c r="B1774" s="34" t="n">
        <v>45360</v>
      </c>
      <c r="C1774" s="34" t="n">
        <v>45371</v>
      </c>
      <c r="D1774" s="33" t="n">
        <v>63</v>
      </c>
      <c r="E1774" s="33" t="s">
        <v>154</v>
      </c>
      <c r="F1774" s="33" t="s">
        <v>226</v>
      </c>
      <c r="G1774" s="33" t="s">
        <v>258</v>
      </c>
      <c r="H1774" s="33" t="s">
        <v>263</v>
      </c>
      <c r="I1774" s="33" t="s">
        <v>152</v>
      </c>
      <c r="J1774" s="33" t="s">
        <v>159</v>
      </c>
      <c r="K1774" s="33" t="s">
        <v>160</v>
      </c>
      <c r="L1774" s="35" t="n">
        <v>34545.21</v>
      </c>
      <c r="M1774" s="33" t="n">
        <v>3</v>
      </c>
      <c r="N1774" s="33" t="s">
        <v>146</v>
      </c>
      <c r="O1774" s="33" t="s">
        <v>247</v>
      </c>
    </row>
    <row r="1775" customFormat="false" ht="15" hidden="false" customHeight="false" outlineLevel="0" collapsed="false">
      <c r="A1775" s="33" t="s">
        <v>1965</v>
      </c>
      <c r="B1775" s="34" t="n">
        <v>45302</v>
      </c>
      <c r="C1775" s="34" t="n">
        <v>45309</v>
      </c>
      <c r="D1775" s="33" t="n">
        <v>57</v>
      </c>
      <c r="E1775" s="33" t="s">
        <v>154</v>
      </c>
      <c r="F1775" s="33" t="s">
        <v>173</v>
      </c>
      <c r="G1775" s="33" t="s">
        <v>198</v>
      </c>
      <c r="H1775" s="33" t="s">
        <v>199</v>
      </c>
      <c r="I1775" s="33" t="s">
        <v>143</v>
      </c>
      <c r="J1775" s="33" t="s">
        <v>176</v>
      </c>
      <c r="K1775" s="33" t="s">
        <v>145</v>
      </c>
      <c r="L1775" s="35" t="n">
        <v>67782.81</v>
      </c>
      <c r="M1775" s="33" t="n">
        <v>5</v>
      </c>
      <c r="N1775" s="33" t="s">
        <v>146</v>
      </c>
      <c r="O1775" s="33" t="s">
        <v>147</v>
      </c>
    </row>
    <row r="1776" customFormat="false" ht="15" hidden="false" customHeight="false" outlineLevel="0" collapsed="false">
      <c r="A1776" s="33" t="s">
        <v>1966</v>
      </c>
      <c r="B1776" s="34" t="n">
        <v>45320</v>
      </c>
      <c r="C1776" s="34" t="n">
        <v>45322</v>
      </c>
      <c r="D1776" s="33" t="n">
        <v>71</v>
      </c>
      <c r="E1776" s="33" t="s">
        <v>139</v>
      </c>
      <c r="F1776" s="33" t="s">
        <v>191</v>
      </c>
      <c r="G1776" s="33" t="s">
        <v>192</v>
      </c>
      <c r="H1776" s="33" t="s">
        <v>233</v>
      </c>
      <c r="I1776" s="33" t="s">
        <v>143</v>
      </c>
      <c r="J1776" s="33" t="s">
        <v>159</v>
      </c>
      <c r="K1776" s="33" t="s">
        <v>184</v>
      </c>
      <c r="L1776" s="35" t="n">
        <v>1781.01</v>
      </c>
      <c r="M1776" s="33" t="n">
        <v>3</v>
      </c>
      <c r="N1776" s="33" t="s">
        <v>146</v>
      </c>
      <c r="O1776" s="33" t="s">
        <v>147</v>
      </c>
    </row>
    <row r="1777" customFormat="false" ht="15" hidden="false" customHeight="false" outlineLevel="0" collapsed="false">
      <c r="A1777" s="33" t="s">
        <v>1967</v>
      </c>
      <c r="B1777" s="34" t="n">
        <v>45475</v>
      </c>
      <c r="C1777" s="34" t="n">
        <v>45479</v>
      </c>
      <c r="D1777" s="33" t="n">
        <v>36</v>
      </c>
      <c r="E1777" s="33" t="s">
        <v>139</v>
      </c>
      <c r="F1777" s="33" t="s">
        <v>169</v>
      </c>
      <c r="G1777" s="33" t="s">
        <v>213</v>
      </c>
      <c r="H1777" s="33" t="s">
        <v>171</v>
      </c>
      <c r="I1777" s="33" t="s">
        <v>152</v>
      </c>
      <c r="J1777" s="33" t="s">
        <v>159</v>
      </c>
      <c r="K1777" s="33" t="s">
        <v>160</v>
      </c>
      <c r="L1777" s="35" t="n">
        <v>4278.49</v>
      </c>
      <c r="M1777" s="33" t="n">
        <v>5</v>
      </c>
      <c r="N1777" s="33" t="s">
        <v>146</v>
      </c>
      <c r="O1777" s="33" t="s">
        <v>147</v>
      </c>
    </row>
    <row r="1778" customFormat="false" ht="15" hidden="false" customHeight="false" outlineLevel="0" collapsed="false">
      <c r="A1778" s="33" t="s">
        <v>1968</v>
      </c>
      <c r="B1778" s="34" t="n">
        <v>45640</v>
      </c>
      <c r="C1778" s="34" t="n">
        <v>45650</v>
      </c>
      <c r="D1778" s="33" t="n">
        <v>75</v>
      </c>
      <c r="E1778" s="33" t="s">
        <v>139</v>
      </c>
      <c r="F1778" s="33" t="s">
        <v>181</v>
      </c>
      <c r="G1778" s="33" t="s">
        <v>182</v>
      </c>
      <c r="H1778" s="33" t="s">
        <v>183</v>
      </c>
      <c r="I1778" s="33" t="s">
        <v>143</v>
      </c>
      <c r="J1778" s="33" t="s">
        <v>176</v>
      </c>
      <c r="K1778" s="33" t="s">
        <v>145</v>
      </c>
      <c r="L1778" s="35" t="n">
        <v>88780.65</v>
      </c>
      <c r="M1778" s="33" t="n">
        <v>4</v>
      </c>
      <c r="N1778" s="33" t="s">
        <v>146</v>
      </c>
      <c r="O1778" s="33" t="s">
        <v>147</v>
      </c>
    </row>
    <row r="1779" customFormat="false" ht="15" hidden="false" customHeight="false" outlineLevel="0" collapsed="false">
      <c r="A1779" s="33" t="s">
        <v>1969</v>
      </c>
      <c r="B1779" s="34" t="n">
        <v>45535</v>
      </c>
      <c r="C1779" s="34" t="n">
        <v>45540</v>
      </c>
      <c r="D1779" s="33" t="n">
        <v>42</v>
      </c>
      <c r="E1779" s="33" t="s">
        <v>139</v>
      </c>
      <c r="F1779" s="33" t="s">
        <v>162</v>
      </c>
      <c r="G1779" s="33" t="s">
        <v>213</v>
      </c>
      <c r="H1779" s="33" t="s">
        <v>164</v>
      </c>
      <c r="I1779" s="33" t="s">
        <v>143</v>
      </c>
      <c r="J1779" s="33" t="s">
        <v>159</v>
      </c>
      <c r="K1779" s="33" t="s">
        <v>209</v>
      </c>
      <c r="L1779" s="35" t="n">
        <v>6020.38</v>
      </c>
      <c r="M1779" s="33" t="n">
        <v>4</v>
      </c>
      <c r="N1779" s="33" t="s">
        <v>146</v>
      </c>
      <c r="O1779" s="33" t="s">
        <v>147</v>
      </c>
    </row>
    <row r="1780" customFormat="false" ht="15" hidden="false" customHeight="false" outlineLevel="0" collapsed="false">
      <c r="A1780" s="33" t="s">
        <v>1970</v>
      </c>
      <c r="B1780" s="34" t="n">
        <v>45483</v>
      </c>
      <c r="C1780" s="34" t="n">
        <v>45489</v>
      </c>
      <c r="D1780" s="33" t="n">
        <v>42</v>
      </c>
      <c r="E1780" s="33" t="s">
        <v>279</v>
      </c>
      <c r="F1780" s="33" t="s">
        <v>212</v>
      </c>
      <c r="G1780" s="33" t="s">
        <v>230</v>
      </c>
      <c r="H1780" s="33" t="s">
        <v>195</v>
      </c>
      <c r="I1780" s="33" t="s">
        <v>152</v>
      </c>
      <c r="J1780" s="33" t="s">
        <v>159</v>
      </c>
      <c r="K1780" s="33" t="s">
        <v>160</v>
      </c>
      <c r="L1780" s="35" t="n">
        <v>6317.1</v>
      </c>
      <c r="M1780" s="33" t="n">
        <v>4</v>
      </c>
      <c r="N1780" s="33" t="s">
        <v>146</v>
      </c>
      <c r="O1780" s="33" t="s">
        <v>147</v>
      </c>
    </row>
    <row r="1781" customFormat="false" ht="15" hidden="false" customHeight="false" outlineLevel="0" collapsed="false">
      <c r="A1781" s="33" t="s">
        <v>1971</v>
      </c>
      <c r="B1781" s="34" t="n">
        <v>45626</v>
      </c>
      <c r="C1781" s="34" t="n">
        <v>45631</v>
      </c>
      <c r="D1781" s="33" t="n">
        <v>0</v>
      </c>
      <c r="E1781" s="33" t="s">
        <v>154</v>
      </c>
      <c r="F1781" s="33" t="s">
        <v>162</v>
      </c>
      <c r="G1781" s="33" t="s">
        <v>230</v>
      </c>
      <c r="H1781" s="33" t="s">
        <v>164</v>
      </c>
      <c r="I1781" s="33" t="s">
        <v>152</v>
      </c>
      <c r="J1781" s="33" t="s">
        <v>159</v>
      </c>
      <c r="K1781" s="33" t="s">
        <v>184</v>
      </c>
      <c r="L1781" s="35" t="n">
        <v>6123.24</v>
      </c>
      <c r="M1781" s="33" t="n">
        <v>4</v>
      </c>
      <c r="N1781" s="33" t="s">
        <v>146</v>
      </c>
      <c r="O1781" s="33" t="s">
        <v>147</v>
      </c>
    </row>
    <row r="1782" customFormat="false" ht="15" hidden="false" customHeight="false" outlineLevel="0" collapsed="false">
      <c r="A1782" s="33" t="s">
        <v>1972</v>
      </c>
      <c r="B1782" s="34" t="n">
        <v>45436</v>
      </c>
      <c r="C1782" s="34" t="n">
        <v>45441</v>
      </c>
      <c r="D1782" s="33" t="n">
        <v>20</v>
      </c>
      <c r="E1782" s="33" t="s">
        <v>154</v>
      </c>
      <c r="F1782" s="33" t="s">
        <v>169</v>
      </c>
      <c r="G1782" s="33" t="s">
        <v>170</v>
      </c>
      <c r="H1782" s="33" t="s">
        <v>171</v>
      </c>
      <c r="I1782" s="33" t="s">
        <v>143</v>
      </c>
      <c r="J1782" s="33" t="s">
        <v>144</v>
      </c>
      <c r="K1782" s="33" t="s">
        <v>145</v>
      </c>
      <c r="L1782" s="35" t="n">
        <v>9998.95</v>
      </c>
      <c r="M1782" s="33" t="n">
        <v>5</v>
      </c>
      <c r="N1782" s="33" t="s">
        <v>146</v>
      </c>
      <c r="O1782" s="33" t="s">
        <v>147</v>
      </c>
    </row>
    <row r="1783" customFormat="false" ht="15" hidden="false" customHeight="false" outlineLevel="0" collapsed="false">
      <c r="A1783" s="33" t="s">
        <v>1973</v>
      </c>
      <c r="B1783" s="34" t="n">
        <v>45346</v>
      </c>
      <c r="C1783" s="34" t="n">
        <v>45353</v>
      </c>
      <c r="D1783" s="33" t="n">
        <v>39</v>
      </c>
      <c r="E1783" s="33" t="s">
        <v>139</v>
      </c>
      <c r="F1783" s="33" t="s">
        <v>173</v>
      </c>
      <c r="G1783" s="33" t="s">
        <v>174</v>
      </c>
      <c r="H1783" s="33" t="s">
        <v>175</v>
      </c>
      <c r="I1783" s="33" t="s">
        <v>152</v>
      </c>
      <c r="J1783" s="33" t="s">
        <v>159</v>
      </c>
      <c r="K1783" s="33" t="s">
        <v>160</v>
      </c>
      <c r="L1783" s="35" t="n">
        <v>18231.43</v>
      </c>
      <c r="M1783" s="33" t="n">
        <v>4</v>
      </c>
      <c r="N1783" s="33" t="s">
        <v>146</v>
      </c>
      <c r="O1783" s="33" t="s">
        <v>147</v>
      </c>
    </row>
    <row r="1784" customFormat="false" ht="15" hidden="false" customHeight="false" outlineLevel="0" collapsed="false">
      <c r="A1784" s="33" t="s">
        <v>1974</v>
      </c>
      <c r="B1784" s="34" t="n">
        <v>45574</v>
      </c>
      <c r="C1784" s="34" t="n">
        <v>45580</v>
      </c>
      <c r="D1784" s="33" t="n">
        <v>86</v>
      </c>
      <c r="E1784" s="33" t="s">
        <v>154</v>
      </c>
      <c r="F1784" s="33" t="s">
        <v>181</v>
      </c>
      <c r="G1784" s="33" t="s">
        <v>237</v>
      </c>
      <c r="H1784" s="33" t="s">
        <v>245</v>
      </c>
      <c r="I1784" s="33" t="s">
        <v>143</v>
      </c>
      <c r="J1784" s="33" t="s">
        <v>159</v>
      </c>
      <c r="K1784" s="33" t="s">
        <v>145</v>
      </c>
      <c r="L1784" s="35" t="n">
        <v>18239.28</v>
      </c>
      <c r="M1784" s="33" t="n">
        <v>4</v>
      </c>
      <c r="N1784" s="33" t="s">
        <v>146</v>
      </c>
      <c r="O1784" s="33" t="s">
        <v>147</v>
      </c>
    </row>
    <row r="1785" customFormat="false" ht="15" hidden="false" customHeight="false" outlineLevel="0" collapsed="false">
      <c r="A1785" s="33" t="s">
        <v>1975</v>
      </c>
      <c r="B1785" s="34" t="n">
        <v>45486</v>
      </c>
      <c r="C1785" s="34" t="n">
        <v>45488</v>
      </c>
      <c r="D1785" s="33" t="n">
        <v>18</v>
      </c>
      <c r="E1785" s="33" t="s">
        <v>139</v>
      </c>
      <c r="F1785" s="33" t="s">
        <v>203</v>
      </c>
      <c r="G1785" s="33" t="s">
        <v>217</v>
      </c>
      <c r="H1785" s="33" t="s">
        <v>205</v>
      </c>
      <c r="I1785" s="33" t="s">
        <v>143</v>
      </c>
      <c r="J1785" s="33" t="s">
        <v>159</v>
      </c>
      <c r="K1785" s="33" t="s">
        <v>145</v>
      </c>
      <c r="L1785" s="35" t="n">
        <v>2158.26</v>
      </c>
      <c r="M1785" s="33" t="n">
        <v>4</v>
      </c>
      <c r="N1785" s="33" t="s">
        <v>146</v>
      </c>
      <c r="O1785" s="33" t="s">
        <v>147</v>
      </c>
    </row>
    <row r="1786" customFormat="false" ht="15" hidden="false" customHeight="false" outlineLevel="0" collapsed="false">
      <c r="A1786" s="33" t="s">
        <v>1976</v>
      </c>
      <c r="B1786" s="34" t="n">
        <v>45619</v>
      </c>
      <c r="C1786" s="34" t="n">
        <v>45622</v>
      </c>
      <c r="D1786" s="33" t="n">
        <v>54</v>
      </c>
      <c r="E1786" s="33" t="s">
        <v>139</v>
      </c>
      <c r="F1786" s="33" t="s">
        <v>203</v>
      </c>
      <c r="G1786" s="33" t="s">
        <v>217</v>
      </c>
      <c r="H1786" s="33" t="s">
        <v>193</v>
      </c>
      <c r="I1786" s="33" t="s">
        <v>143</v>
      </c>
      <c r="J1786" s="33" t="s">
        <v>159</v>
      </c>
      <c r="K1786" s="33" t="s">
        <v>145</v>
      </c>
      <c r="L1786" s="35" t="n">
        <v>2881.24</v>
      </c>
      <c r="M1786" s="33" t="n">
        <v>3</v>
      </c>
      <c r="N1786" s="33" t="s">
        <v>146</v>
      </c>
      <c r="O1786" s="33" t="s">
        <v>147</v>
      </c>
    </row>
    <row r="1787" customFormat="false" ht="15" hidden="false" customHeight="false" outlineLevel="0" collapsed="false">
      <c r="A1787" s="33" t="s">
        <v>1977</v>
      </c>
      <c r="B1787" s="34" t="n">
        <v>45418</v>
      </c>
      <c r="C1787" s="34" t="n">
        <v>45421</v>
      </c>
      <c r="D1787" s="33" t="n">
        <v>56</v>
      </c>
      <c r="E1787" s="33" t="s">
        <v>154</v>
      </c>
      <c r="F1787" s="33" t="s">
        <v>203</v>
      </c>
      <c r="G1787" s="33" t="s">
        <v>192</v>
      </c>
      <c r="H1787" s="33" t="s">
        <v>193</v>
      </c>
      <c r="I1787" s="33" t="s">
        <v>143</v>
      </c>
      <c r="J1787" s="33" t="s">
        <v>159</v>
      </c>
      <c r="K1787" s="33" t="s">
        <v>160</v>
      </c>
      <c r="L1787" s="35" t="n">
        <v>2965.05</v>
      </c>
      <c r="M1787" s="33" t="n">
        <v>3</v>
      </c>
      <c r="N1787" s="33" t="s">
        <v>146</v>
      </c>
      <c r="O1787" s="33" t="s">
        <v>247</v>
      </c>
    </row>
    <row r="1788" customFormat="false" ht="15" hidden="false" customHeight="false" outlineLevel="0" collapsed="false">
      <c r="A1788" s="33" t="s">
        <v>1978</v>
      </c>
      <c r="B1788" s="34" t="n">
        <v>45574</v>
      </c>
      <c r="C1788" s="34" t="n">
        <v>45576</v>
      </c>
      <c r="D1788" s="36"/>
      <c r="E1788" s="33" t="s">
        <v>279</v>
      </c>
      <c r="F1788" s="33" t="s">
        <v>203</v>
      </c>
      <c r="G1788" s="33" t="s">
        <v>241</v>
      </c>
      <c r="H1788" s="33" t="s">
        <v>205</v>
      </c>
      <c r="I1788" s="33" t="s">
        <v>143</v>
      </c>
      <c r="J1788" s="33" t="s">
        <v>159</v>
      </c>
      <c r="K1788" s="33" t="s">
        <v>145</v>
      </c>
      <c r="L1788" s="35" t="n">
        <v>1979.99</v>
      </c>
      <c r="M1788" s="33" t="n">
        <v>3</v>
      </c>
      <c r="N1788" s="33" t="s">
        <v>146</v>
      </c>
      <c r="O1788" s="33" t="s">
        <v>147</v>
      </c>
    </row>
    <row r="1789" customFormat="false" ht="15" hidden="false" customHeight="false" outlineLevel="0" collapsed="false">
      <c r="A1789" s="33" t="s">
        <v>1979</v>
      </c>
      <c r="B1789" s="34" t="n">
        <v>45311</v>
      </c>
      <c r="C1789" s="34" t="n">
        <v>45315</v>
      </c>
      <c r="D1789" s="33" t="n">
        <v>58</v>
      </c>
      <c r="E1789" s="33" t="s">
        <v>154</v>
      </c>
      <c r="F1789" s="33" t="s">
        <v>212</v>
      </c>
      <c r="G1789" s="33" t="s">
        <v>170</v>
      </c>
      <c r="H1789" s="36"/>
      <c r="I1789" s="33" t="s">
        <v>143</v>
      </c>
      <c r="J1789" s="33" t="s">
        <v>144</v>
      </c>
      <c r="K1789" s="33" t="s">
        <v>145</v>
      </c>
      <c r="L1789" s="35" t="n">
        <v>8546.05</v>
      </c>
      <c r="M1789" s="33" t="n">
        <v>4</v>
      </c>
      <c r="N1789" s="33" t="s">
        <v>146</v>
      </c>
      <c r="O1789" s="33" t="s">
        <v>147</v>
      </c>
    </row>
    <row r="1790" customFormat="false" ht="15" hidden="false" customHeight="false" outlineLevel="0" collapsed="false">
      <c r="A1790" s="33" t="s">
        <v>1980</v>
      </c>
      <c r="B1790" s="34" t="n">
        <v>45580</v>
      </c>
      <c r="C1790" s="34" t="n">
        <v>45584</v>
      </c>
      <c r="D1790" s="33" t="n">
        <v>50</v>
      </c>
      <c r="E1790" s="33" t="s">
        <v>139</v>
      </c>
      <c r="F1790" s="33" t="s">
        <v>173</v>
      </c>
      <c r="G1790" s="33" t="s">
        <v>198</v>
      </c>
      <c r="H1790" s="33" t="s">
        <v>175</v>
      </c>
      <c r="I1790" s="33" t="s">
        <v>143</v>
      </c>
      <c r="J1790" s="33" t="s">
        <v>144</v>
      </c>
      <c r="K1790" s="33" t="s">
        <v>184</v>
      </c>
      <c r="L1790" s="35" t="n">
        <v>25111.67</v>
      </c>
      <c r="M1790" s="33" t="n">
        <v>4</v>
      </c>
      <c r="N1790" s="33" t="s">
        <v>146</v>
      </c>
      <c r="O1790" s="33" t="s">
        <v>147</v>
      </c>
    </row>
    <row r="1791" customFormat="false" ht="15" hidden="false" customHeight="false" outlineLevel="0" collapsed="false">
      <c r="A1791" s="33" t="s">
        <v>1981</v>
      </c>
      <c r="B1791" s="34" t="n">
        <v>45478</v>
      </c>
      <c r="C1791" s="34" t="n">
        <v>45480</v>
      </c>
      <c r="D1791" s="33" t="n">
        <v>27</v>
      </c>
      <c r="E1791" s="33" t="s">
        <v>139</v>
      </c>
      <c r="F1791" s="33" t="s">
        <v>173</v>
      </c>
      <c r="G1791" s="33" t="s">
        <v>178</v>
      </c>
      <c r="H1791" s="33" t="s">
        <v>175</v>
      </c>
      <c r="I1791" s="33" t="s">
        <v>152</v>
      </c>
      <c r="J1791" s="33" t="s">
        <v>159</v>
      </c>
      <c r="K1791" s="33" t="s">
        <v>145</v>
      </c>
      <c r="L1791" s="35" t="n">
        <v>5596.58</v>
      </c>
      <c r="M1791" s="33" t="n">
        <v>3</v>
      </c>
      <c r="N1791" s="33" t="s">
        <v>146</v>
      </c>
      <c r="O1791" s="33" t="s">
        <v>206</v>
      </c>
    </row>
    <row r="1792" customFormat="false" ht="15" hidden="false" customHeight="false" outlineLevel="0" collapsed="false">
      <c r="A1792" s="33" t="s">
        <v>1982</v>
      </c>
      <c r="B1792" s="34" t="n">
        <v>45302</v>
      </c>
      <c r="C1792" s="34" t="n">
        <v>45303</v>
      </c>
      <c r="D1792" s="33" t="n">
        <v>67</v>
      </c>
      <c r="E1792" s="33" t="s">
        <v>139</v>
      </c>
      <c r="F1792" s="33" t="s">
        <v>191</v>
      </c>
      <c r="G1792" s="33" t="s">
        <v>204</v>
      </c>
      <c r="H1792" s="33" t="s">
        <v>193</v>
      </c>
      <c r="I1792" s="33" t="s">
        <v>143</v>
      </c>
      <c r="J1792" s="33" t="s">
        <v>159</v>
      </c>
      <c r="K1792" s="36"/>
      <c r="L1792" s="35" t="n">
        <v>1058.96</v>
      </c>
      <c r="M1792" s="33" t="n">
        <v>3</v>
      </c>
      <c r="N1792" s="33" t="s">
        <v>146</v>
      </c>
      <c r="O1792" s="33" t="s">
        <v>295</v>
      </c>
    </row>
    <row r="1793" customFormat="false" ht="15" hidden="false" customHeight="false" outlineLevel="0" collapsed="false">
      <c r="A1793" s="33" t="s">
        <v>1983</v>
      </c>
      <c r="B1793" s="34" t="n">
        <v>45643</v>
      </c>
      <c r="C1793" s="34" t="n">
        <v>45653</v>
      </c>
      <c r="D1793" s="33" t="n">
        <v>41</v>
      </c>
      <c r="E1793" s="33" t="s">
        <v>154</v>
      </c>
      <c r="F1793" s="33" t="s">
        <v>212</v>
      </c>
      <c r="G1793" s="33" t="s">
        <v>230</v>
      </c>
      <c r="H1793" s="33" t="s">
        <v>164</v>
      </c>
      <c r="I1793" s="33" t="s">
        <v>152</v>
      </c>
      <c r="J1793" s="33" t="s">
        <v>159</v>
      </c>
      <c r="K1793" s="33" t="s">
        <v>184</v>
      </c>
      <c r="L1793" s="35" t="n">
        <v>12829.93</v>
      </c>
      <c r="M1793" s="36"/>
      <c r="N1793" s="33" t="s">
        <v>146</v>
      </c>
      <c r="O1793" s="33" t="s">
        <v>147</v>
      </c>
    </row>
    <row r="1794" customFormat="false" ht="15" hidden="false" customHeight="false" outlineLevel="0" collapsed="false">
      <c r="A1794" s="33" t="s">
        <v>1984</v>
      </c>
      <c r="B1794" s="34" t="n">
        <v>45463</v>
      </c>
      <c r="C1794" s="34" t="n">
        <v>45469</v>
      </c>
      <c r="D1794" s="33" t="n">
        <v>72</v>
      </c>
      <c r="E1794" s="33" t="s">
        <v>154</v>
      </c>
      <c r="F1794" s="33" t="s">
        <v>140</v>
      </c>
      <c r="G1794" s="33" t="s">
        <v>141</v>
      </c>
      <c r="H1794" s="33" t="s">
        <v>142</v>
      </c>
      <c r="I1794" s="33" t="s">
        <v>143</v>
      </c>
      <c r="J1794" s="33" t="s">
        <v>159</v>
      </c>
      <c r="K1794" s="33" t="s">
        <v>160</v>
      </c>
      <c r="L1794" s="35" t="n">
        <v>10975.11</v>
      </c>
      <c r="M1794" s="33" t="n">
        <v>4</v>
      </c>
      <c r="N1794" s="33" t="s">
        <v>146</v>
      </c>
      <c r="O1794" s="33" t="s">
        <v>147</v>
      </c>
    </row>
    <row r="1795" customFormat="false" ht="15" hidden="false" customHeight="false" outlineLevel="0" collapsed="false">
      <c r="A1795" s="33" t="s">
        <v>1985</v>
      </c>
      <c r="B1795" s="34" t="n">
        <v>45490</v>
      </c>
      <c r="C1795" s="34" t="n">
        <v>45494</v>
      </c>
      <c r="D1795" s="33" t="n">
        <v>4</v>
      </c>
      <c r="E1795" s="33" t="s">
        <v>139</v>
      </c>
      <c r="F1795" s="33" t="s">
        <v>376</v>
      </c>
      <c r="G1795" s="33" t="s">
        <v>156</v>
      </c>
      <c r="H1795" s="33" t="s">
        <v>157</v>
      </c>
      <c r="I1795" s="33" t="s">
        <v>152</v>
      </c>
      <c r="J1795" s="33" t="s">
        <v>144</v>
      </c>
      <c r="K1795" s="33" t="s">
        <v>160</v>
      </c>
      <c r="L1795" s="35" t="n">
        <v>6298.94</v>
      </c>
      <c r="M1795" s="33" t="n">
        <v>5</v>
      </c>
      <c r="N1795" s="33" t="s">
        <v>146</v>
      </c>
      <c r="O1795" s="33" t="s">
        <v>147</v>
      </c>
    </row>
    <row r="1796" customFormat="false" ht="15" hidden="false" customHeight="false" outlineLevel="0" collapsed="false">
      <c r="A1796" s="33" t="s">
        <v>1986</v>
      </c>
      <c r="B1796" s="34" t="n">
        <v>45604</v>
      </c>
      <c r="C1796" s="34" t="n">
        <v>45611</v>
      </c>
      <c r="D1796" s="33" t="n">
        <v>25</v>
      </c>
      <c r="E1796" s="33" t="s">
        <v>139</v>
      </c>
      <c r="F1796" s="33" t="s">
        <v>149</v>
      </c>
      <c r="G1796" s="33" t="s">
        <v>224</v>
      </c>
      <c r="H1796" s="33" t="s">
        <v>186</v>
      </c>
      <c r="I1796" s="33" t="s">
        <v>143</v>
      </c>
      <c r="J1796" s="33" t="s">
        <v>159</v>
      </c>
      <c r="K1796" s="33" t="s">
        <v>160</v>
      </c>
      <c r="L1796" s="35" t="n">
        <v>8292.35</v>
      </c>
      <c r="M1796" s="33" t="n">
        <v>4</v>
      </c>
      <c r="N1796" s="33" t="s">
        <v>146</v>
      </c>
      <c r="O1796" s="33" t="s">
        <v>147</v>
      </c>
    </row>
    <row r="1797" customFormat="false" ht="15" hidden="false" customHeight="false" outlineLevel="0" collapsed="false">
      <c r="A1797" s="33" t="s">
        <v>1987</v>
      </c>
      <c r="B1797" s="34" t="n">
        <v>45557</v>
      </c>
      <c r="C1797" s="34" t="n">
        <v>45558</v>
      </c>
      <c r="D1797" s="33" t="n">
        <v>44</v>
      </c>
      <c r="E1797" s="33" t="s">
        <v>154</v>
      </c>
      <c r="F1797" s="33" t="s">
        <v>203</v>
      </c>
      <c r="G1797" s="33" t="s">
        <v>192</v>
      </c>
      <c r="H1797" s="33" t="s">
        <v>233</v>
      </c>
      <c r="I1797" s="33" t="s">
        <v>152</v>
      </c>
      <c r="J1797" s="33" t="s">
        <v>159</v>
      </c>
      <c r="K1797" s="33" t="s">
        <v>145</v>
      </c>
      <c r="L1797" s="35" t="n">
        <v>861.09</v>
      </c>
      <c r="M1797" s="33" t="n">
        <v>3</v>
      </c>
      <c r="N1797" s="33" t="s">
        <v>210</v>
      </c>
      <c r="O1797" s="33" t="s">
        <v>147</v>
      </c>
    </row>
    <row r="1798" customFormat="false" ht="15" hidden="false" customHeight="false" outlineLevel="0" collapsed="false">
      <c r="A1798" s="33" t="s">
        <v>1988</v>
      </c>
      <c r="B1798" s="34" t="n">
        <v>45519</v>
      </c>
      <c r="C1798" s="34" t="n">
        <v>45520</v>
      </c>
      <c r="D1798" s="33" t="n">
        <v>37</v>
      </c>
      <c r="E1798" s="33" t="s">
        <v>154</v>
      </c>
      <c r="F1798" s="33" t="s">
        <v>203</v>
      </c>
      <c r="G1798" s="33" t="s">
        <v>204</v>
      </c>
      <c r="H1798" s="33" t="s">
        <v>205</v>
      </c>
      <c r="I1798" s="33" t="s">
        <v>143</v>
      </c>
      <c r="J1798" s="33" t="s">
        <v>159</v>
      </c>
      <c r="K1798" s="33" t="s">
        <v>160</v>
      </c>
      <c r="L1798" s="35" t="n">
        <v>907.34</v>
      </c>
      <c r="M1798" s="33" t="n">
        <v>3</v>
      </c>
      <c r="N1798" s="33" t="s">
        <v>146</v>
      </c>
      <c r="O1798" s="33" t="s">
        <v>147</v>
      </c>
    </row>
    <row r="1799" customFormat="false" ht="15" hidden="false" customHeight="false" outlineLevel="0" collapsed="false">
      <c r="A1799" s="33" t="s">
        <v>1989</v>
      </c>
      <c r="B1799" s="34" t="n">
        <v>45576</v>
      </c>
      <c r="C1799" s="34" t="n">
        <v>45582</v>
      </c>
      <c r="D1799" s="33" t="n">
        <v>25</v>
      </c>
      <c r="E1799" s="33" t="s">
        <v>154</v>
      </c>
      <c r="F1799" s="33" t="s">
        <v>140</v>
      </c>
      <c r="G1799" s="33" t="s">
        <v>141</v>
      </c>
      <c r="H1799" s="33" t="s">
        <v>142</v>
      </c>
      <c r="I1799" s="33" t="s">
        <v>158</v>
      </c>
      <c r="J1799" s="33" t="s">
        <v>159</v>
      </c>
      <c r="K1799" s="33" t="s">
        <v>160</v>
      </c>
      <c r="L1799" s="35" t="n">
        <v>13390.28</v>
      </c>
      <c r="M1799" s="33" t="n">
        <v>5</v>
      </c>
      <c r="N1799" s="33" t="s">
        <v>146</v>
      </c>
      <c r="O1799" s="33" t="s">
        <v>147</v>
      </c>
    </row>
    <row r="1800" customFormat="false" ht="15" hidden="false" customHeight="false" outlineLevel="0" collapsed="false">
      <c r="A1800" s="33" t="s">
        <v>1990</v>
      </c>
      <c r="B1800" s="34" t="n">
        <v>45305</v>
      </c>
      <c r="C1800" s="34" t="n">
        <v>45306</v>
      </c>
      <c r="D1800" s="33" t="n">
        <v>58</v>
      </c>
      <c r="E1800" s="33" t="s">
        <v>154</v>
      </c>
      <c r="F1800" s="33" t="s">
        <v>203</v>
      </c>
      <c r="G1800" s="33" t="s">
        <v>241</v>
      </c>
      <c r="H1800" s="33" t="s">
        <v>233</v>
      </c>
      <c r="I1800" s="33" t="s">
        <v>143</v>
      </c>
      <c r="J1800" s="33" t="s">
        <v>176</v>
      </c>
      <c r="K1800" s="33" t="s">
        <v>145</v>
      </c>
      <c r="L1800" s="35" t="n">
        <v>3454.52</v>
      </c>
      <c r="M1800" s="33" t="n">
        <v>4</v>
      </c>
      <c r="N1800" s="33" t="s">
        <v>146</v>
      </c>
      <c r="O1800" s="33" t="s">
        <v>147</v>
      </c>
    </row>
    <row r="1801" customFormat="false" ht="15" hidden="false" customHeight="false" outlineLevel="0" collapsed="false">
      <c r="A1801" s="33" t="s">
        <v>1991</v>
      </c>
      <c r="B1801" s="34" t="n">
        <v>45519</v>
      </c>
      <c r="C1801" s="34" t="n">
        <v>45528</v>
      </c>
      <c r="D1801" s="33" t="n">
        <v>30</v>
      </c>
      <c r="E1801" s="33" t="s">
        <v>139</v>
      </c>
      <c r="F1801" s="33" t="s">
        <v>173</v>
      </c>
      <c r="G1801" s="33" t="s">
        <v>178</v>
      </c>
      <c r="H1801" s="33" t="s">
        <v>199</v>
      </c>
      <c r="I1801" s="33" t="s">
        <v>143</v>
      </c>
      <c r="J1801" s="33" t="s">
        <v>176</v>
      </c>
      <c r="K1801" s="33" t="s">
        <v>145</v>
      </c>
      <c r="L1801" s="35" t="n">
        <v>77038.81</v>
      </c>
      <c r="M1801" s="33" t="n">
        <v>4</v>
      </c>
      <c r="N1801" s="33" t="s">
        <v>146</v>
      </c>
      <c r="O1801" s="33" t="s">
        <v>147</v>
      </c>
    </row>
    <row r="1802" customFormat="false" ht="15" hidden="false" customHeight="false" outlineLevel="0" collapsed="false">
      <c r="A1802" s="33" t="s">
        <v>1992</v>
      </c>
      <c r="B1802" s="34" t="n">
        <v>45541</v>
      </c>
      <c r="C1802" s="34" t="n">
        <v>45553</v>
      </c>
      <c r="D1802" s="33" t="n">
        <v>81</v>
      </c>
      <c r="E1802" s="33" t="s">
        <v>139</v>
      </c>
      <c r="F1802" s="33" t="s">
        <v>181</v>
      </c>
      <c r="G1802" s="33" t="s">
        <v>237</v>
      </c>
      <c r="H1802" s="33" t="s">
        <v>245</v>
      </c>
      <c r="I1802" s="33" t="s">
        <v>143</v>
      </c>
      <c r="J1802" s="33" t="s">
        <v>159</v>
      </c>
      <c r="K1802" s="33" t="s">
        <v>145</v>
      </c>
      <c r="L1802" s="35" t="n">
        <v>27095.02</v>
      </c>
      <c r="M1802" s="33" t="n">
        <v>4</v>
      </c>
      <c r="N1802" s="33" t="s">
        <v>146</v>
      </c>
      <c r="O1802" s="33" t="s">
        <v>206</v>
      </c>
    </row>
    <row r="1803" customFormat="false" ht="15" hidden="false" customHeight="false" outlineLevel="0" collapsed="false">
      <c r="A1803" s="33" t="s">
        <v>1993</v>
      </c>
      <c r="B1803" s="34" t="n">
        <v>45314</v>
      </c>
      <c r="C1803" s="34" t="n">
        <v>45316</v>
      </c>
      <c r="D1803" s="33" t="n">
        <v>79</v>
      </c>
      <c r="E1803" s="33" t="s">
        <v>257</v>
      </c>
      <c r="F1803" s="33" t="s">
        <v>203</v>
      </c>
      <c r="G1803" s="33" t="s">
        <v>192</v>
      </c>
      <c r="H1803" s="33" t="s">
        <v>205</v>
      </c>
      <c r="I1803" s="33" t="s">
        <v>158</v>
      </c>
      <c r="J1803" s="33" t="s">
        <v>144</v>
      </c>
      <c r="K1803" s="33" t="s">
        <v>145</v>
      </c>
      <c r="L1803" s="35" t="n">
        <v>3854.17</v>
      </c>
      <c r="M1803" s="33" t="n">
        <v>4</v>
      </c>
      <c r="N1803" s="33" t="s">
        <v>146</v>
      </c>
      <c r="O1803" s="33" t="s">
        <v>147</v>
      </c>
    </row>
    <row r="1804" customFormat="false" ht="15" hidden="false" customHeight="false" outlineLevel="0" collapsed="false">
      <c r="A1804" s="33" t="s">
        <v>1994</v>
      </c>
      <c r="B1804" s="34" t="n">
        <v>45319</v>
      </c>
      <c r="C1804" s="34" t="n">
        <v>45321</v>
      </c>
      <c r="D1804" s="33" t="n">
        <v>7</v>
      </c>
      <c r="E1804" s="33" t="s">
        <v>154</v>
      </c>
      <c r="F1804" s="33" t="s">
        <v>155</v>
      </c>
      <c r="G1804" s="33" t="s">
        <v>302</v>
      </c>
      <c r="H1804" s="33" t="s">
        <v>157</v>
      </c>
      <c r="I1804" s="33" t="s">
        <v>143</v>
      </c>
      <c r="J1804" s="33" t="s">
        <v>159</v>
      </c>
      <c r="K1804" s="33" t="s">
        <v>184</v>
      </c>
      <c r="L1804" s="35" t="n">
        <v>1591.98</v>
      </c>
      <c r="M1804" s="33" t="n">
        <v>5</v>
      </c>
      <c r="N1804" s="33" t="s">
        <v>146</v>
      </c>
      <c r="O1804" s="33" t="s">
        <v>295</v>
      </c>
    </row>
    <row r="1805" customFormat="false" ht="15" hidden="false" customHeight="false" outlineLevel="0" collapsed="false">
      <c r="A1805" s="33" t="s">
        <v>1995</v>
      </c>
      <c r="B1805" s="34" t="n">
        <v>45512</v>
      </c>
      <c r="C1805" s="34" t="n">
        <v>45515</v>
      </c>
      <c r="D1805" s="33" t="n">
        <v>29</v>
      </c>
      <c r="E1805" s="33" t="s">
        <v>139</v>
      </c>
      <c r="F1805" s="33" t="s">
        <v>173</v>
      </c>
      <c r="G1805" s="33" t="s">
        <v>178</v>
      </c>
      <c r="H1805" s="33" t="s">
        <v>199</v>
      </c>
      <c r="I1805" s="33" t="s">
        <v>143</v>
      </c>
      <c r="J1805" s="33" t="s">
        <v>159</v>
      </c>
      <c r="K1805" s="33" t="s">
        <v>160</v>
      </c>
      <c r="L1805" s="35" t="n">
        <v>6621.7</v>
      </c>
      <c r="M1805" s="33" t="n">
        <v>5</v>
      </c>
      <c r="N1805" s="33" t="s">
        <v>146</v>
      </c>
      <c r="O1805" s="33" t="s">
        <v>206</v>
      </c>
    </row>
    <row r="1806" customFormat="false" ht="15" hidden="false" customHeight="false" outlineLevel="0" collapsed="false">
      <c r="A1806" s="33" t="s">
        <v>1996</v>
      </c>
      <c r="B1806" s="34" t="n">
        <v>45592</v>
      </c>
      <c r="C1806" s="34" t="n">
        <v>45594</v>
      </c>
      <c r="D1806" s="33" t="n">
        <v>60</v>
      </c>
      <c r="E1806" s="33" t="s">
        <v>180</v>
      </c>
      <c r="F1806" s="33" t="s">
        <v>169</v>
      </c>
      <c r="G1806" s="33" t="s">
        <v>163</v>
      </c>
      <c r="H1806" s="33" t="s">
        <v>195</v>
      </c>
      <c r="I1806" s="33" t="s">
        <v>143</v>
      </c>
      <c r="J1806" s="33" t="s">
        <v>176</v>
      </c>
      <c r="K1806" s="33" t="s">
        <v>145</v>
      </c>
      <c r="L1806" s="35" t="n">
        <v>8814.76</v>
      </c>
      <c r="M1806" s="33" t="n">
        <v>3</v>
      </c>
      <c r="N1806" s="33" t="s">
        <v>146</v>
      </c>
      <c r="O1806" s="33" t="s">
        <v>147</v>
      </c>
    </row>
    <row r="1807" customFormat="false" ht="15" hidden="false" customHeight="false" outlineLevel="0" collapsed="false">
      <c r="A1807" s="33" t="s">
        <v>1997</v>
      </c>
      <c r="B1807" s="34" t="n">
        <v>45482</v>
      </c>
      <c r="C1807" s="34" t="n">
        <v>45484</v>
      </c>
      <c r="D1807" s="33" t="n">
        <v>2</v>
      </c>
      <c r="E1807" s="33" t="s">
        <v>139</v>
      </c>
      <c r="F1807" s="33" t="s">
        <v>155</v>
      </c>
      <c r="G1807" s="33" t="s">
        <v>220</v>
      </c>
      <c r="H1807" s="33" t="s">
        <v>222</v>
      </c>
      <c r="I1807" s="33" t="s">
        <v>143</v>
      </c>
      <c r="J1807" s="33" t="s">
        <v>159</v>
      </c>
      <c r="K1807" s="33" t="s">
        <v>145</v>
      </c>
      <c r="L1807" s="35" t="n">
        <v>1702.43</v>
      </c>
      <c r="M1807" s="33" t="n">
        <v>5</v>
      </c>
      <c r="N1807" s="33" t="s">
        <v>146</v>
      </c>
      <c r="O1807" s="33" t="s">
        <v>147</v>
      </c>
    </row>
    <row r="1808" customFormat="false" ht="15" hidden="false" customHeight="false" outlineLevel="0" collapsed="false">
      <c r="A1808" s="33" t="s">
        <v>1998</v>
      </c>
      <c r="B1808" s="34" t="n">
        <v>45384</v>
      </c>
      <c r="C1808" s="34" t="n">
        <v>45385</v>
      </c>
      <c r="D1808" s="33" t="n">
        <v>45</v>
      </c>
      <c r="E1808" s="33" t="s">
        <v>154</v>
      </c>
      <c r="F1808" s="33" t="s">
        <v>203</v>
      </c>
      <c r="G1808" s="33" t="s">
        <v>192</v>
      </c>
      <c r="H1808" s="33" t="s">
        <v>233</v>
      </c>
      <c r="I1808" s="33" t="s">
        <v>143</v>
      </c>
      <c r="J1808" s="33" t="s">
        <v>159</v>
      </c>
      <c r="K1808" s="33" t="s">
        <v>184</v>
      </c>
      <c r="L1808" s="35" t="n">
        <v>886.37</v>
      </c>
      <c r="M1808" s="33" t="n">
        <v>5</v>
      </c>
      <c r="N1808" s="33" t="s">
        <v>146</v>
      </c>
      <c r="O1808" s="33" t="s">
        <v>147</v>
      </c>
    </row>
    <row r="1809" customFormat="false" ht="15" hidden="false" customHeight="false" outlineLevel="0" collapsed="false">
      <c r="A1809" s="33" t="s">
        <v>1999</v>
      </c>
      <c r="B1809" s="34" t="n">
        <v>45310</v>
      </c>
      <c r="C1809" s="34" t="n">
        <v>45313</v>
      </c>
      <c r="D1809" s="33" t="n">
        <v>28</v>
      </c>
      <c r="E1809" s="33" t="s">
        <v>139</v>
      </c>
      <c r="F1809" s="33" t="s">
        <v>149</v>
      </c>
      <c r="G1809" s="33" t="s">
        <v>150</v>
      </c>
      <c r="H1809" s="33" t="s">
        <v>186</v>
      </c>
      <c r="I1809" s="33" t="s">
        <v>143</v>
      </c>
      <c r="J1809" s="33" t="s">
        <v>159</v>
      </c>
      <c r="K1809" s="33" t="s">
        <v>184</v>
      </c>
      <c r="L1809" s="35" t="n">
        <v>4459.11</v>
      </c>
      <c r="M1809" s="33" t="n">
        <v>5</v>
      </c>
      <c r="N1809" s="33" t="s">
        <v>210</v>
      </c>
      <c r="O1809" s="33" t="s">
        <v>147</v>
      </c>
    </row>
    <row r="1810" customFormat="false" ht="15" hidden="false" customHeight="false" outlineLevel="0" collapsed="false">
      <c r="A1810" s="33" t="s">
        <v>2000</v>
      </c>
      <c r="B1810" s="34" t="n">
        <v>45339</v>
      </c>
      <c r="C1810" s="34" t="n">
        <v>45343</v>
      </c>
      <c r="D1810" s="33" t="n">
        <v>3</v>
      </c>
      <c r="E1810" s="33" t="s">
        <v>139</v>
      </c>
      <c r="F1810" s="33" t="s">
        <v>376</v>
      </c>
      <c r="G1810" s="33" t="s">
        <v>156</v>
      </c>
      <c r="H1810" s="33" t="s">
        <v>157</v>
      </c>
      <c r="I1810" s="33" t="s">
        <v>152</v>
      </c>
      <c r="J1810" s="33" t="s">
        <v>159</v>
      </c>
      <c r="K1810" s="33" t="s">
        <v>184</v>
      </c>
      <c r="L1810" s="35" t="n">
        <v>3160.89</v>
      </c>
      <c r="M1810" s="33" t="n">
        <v>4</v>
      </c>
      <c r="N1810" s="33" t="s">
        <v>146</v>
      </c>
      <c r="O1810" s="33" t="s">
        <v>147</v>
      </c>
    </row>
    <row r="1811" customFormat="false" ht="15" hidden="false" customHeight="false" outlineLevel="0" collapsed="false">
      <c r="A1811" s="33" t="s">
        <v>2001</v>
      </c>
      <c r="B1811" s="34" t="n">
        <v>45488</v>
      </c>
      <c r="C1811" s="34" t="n">
        <v>45489</v>
      </c>
      <c r="D1811" s="33" t="n">
        <v>2</v>
      </c>
      <c r="E1811" s="33" t="s">
        <v>190</v>
      </c>
      <c r="F1811" s="33" t="s">
        <v>376</v>
      </c>
      <c r="G1811" s="33" t="s">
        <v>156</v>
      </c>
      <c r="H1811" s="33" t="s">
        <v>222</v>
      </c>
      <c r="I1811" s="33" t="s">
        <v>152</v>
      </c>
      <c r="J1811" s="33" t="s">
        <v>159</v>
      </c>
      <c r="K1811" s="33" t="s">
        <v>145</v>
      </c>
      <c r="L1811" s="35" t="n">
        <v>850.83</v>
      </c>
      <c r="M1811" s="36"/>
      <c r="N1811" s="33" t="s">
        <v>146</v>
      </c>
      <c r="O1811" s="36"/>
    </row>
    <row r="1812" customFormat="false" ht="15" hidden="false" customHeight="false" outlineLevel="0" collapsed="false">
      <c r="A1812" s="33" t="s">
        <v>2002</v>
      </c>
      <c r="B1812" s="34" t="n">
        <v>45583</v>
      </c>
      <c r="C1812" s="34" t="n">
        <v>45592</v>
      </c>
      <c r="D1812" s="33" t="n">
        <v>52</v>
      </c>
      <c r="E1812" s="33" t="s">
        <v>154</v>
      </c>
      <c r="F1812" s="33" t="s">
        <v>173</v>
      </c>
      <c r="G1812" s="33" t="s">
        <v>198</v>
      </c>
      <c r="H1812" s="33" t="s">
        <v>199</v>
      </c>
      <c r="I1812" s="33" t="s">
        <v>143</v>
      </c>
      <c r="J1812" s="33" t="s">
        <v>176</v>
      </c>
      <c r="K1812" s="33" t="s">
        <v>160</v>
      </c>
      <c r="L1812" s="35" t="n">
        <v>76196.86</v>
      </c>
      <c r="M1812" s="33" t="n">
        <v>5</v>
      </c>
      <c r="N1812" s="33" t="s">
        <v>146</v>
      </c>
      <c r="O1812" s="33" t="s">
        <v>147</v>
      </c>
    </row>
    <row r="1813" customFormat="false" ht="15" hidden="false" customHeight="false" outlineLevel="0" collapsed="false">
      <c r="A1813" s="33" t="s">
        <v>2003</v>
      </c>
      <c r="B1813" s="34" t="n">
        <v>45412</v>
      </c>
      <c r="C1813" s="34" t="n">
        <v>45420</v>
      </c>
      <c r="D1813" s="33" t="n">
        <v>75</v>
      </c>
      <c r="E1813" s="33" t="s">
        <v>154</v>
      </c>
      <c r="F1813" s="33" t="s">
        <v>226</v>
      </c>
      <c r="G1813" s="33" t="s">
        <v>258</v>
      </c>
      <c r="H1813" s="33" t="s">
        <v>228</v>
      </c>
      <c r="I1813" s="33" t="s">
        <v>152</v>
      </c>
      <c r="J1813" s="33" t="s">
        <v>144</v>
      </c>
      <c r="K1813" s="33" t="s">
        <v>145</v>
      </c>
      <c r="L1813" s="35" t="n">
        <v>39108.28</v>
      </c>
      <c r="M1813" s="33" t="n">
        <v>5</v>
      </c>
      <c r="N1813" s="33" t="s">
        <v>146</v>
      </c>
      <c r="O1813" s="33" t="s">
        <v>295</v>
      </c>
    </row>
    <row r="1814" customFormat="false" ht="15" hidden="false" customHeight="false" outlineLevel="0" collapsed="false">
      <c r="A1814" s="33" t="s">
        <v>2004</v>
      </c>
      <c r="B1814" s="34" t="n">
        <v>45356</v>
      </c>
      <c r="C1814" s="34" t="n">
        <v>45359</v>
      </c>
      <c r="D1814" s="33" t="n">
        <v>16</v>
      </c>
      <c r="E1814" s="33" t="s">
        <v>154</v>
      </c>
      <c r="F1814" s="33" t="s">
        <v>140</v>
      </c>
      <c r="G1814" s="33" t="s">
        <v>167</v>
      </c>
      <c r="H1814" s="33" t="s">
        <v>142</v>
      </c>
      <c r="I1814" s="33" t="s">
        <v>152</v>
      </c>
      <c r="J1814" s="33" t="s">
        <v>159</v>
      </c>
      <c r="K1814" s="33" t="s">
        <v>145</v>
      </c>
      <c r="L1814" s="35" t="n">
        <v>7009.19</v>
      </c>
      <c r="M1814" s="33" t="n">
        <v>4</v>
      </c>
      <c r="N1814" s="33" t="s">
        <v>146</v>
      </c>
      <c r="O1814" s="33" t="s">
        <v>147</v>
      </c>
    </row>
    <row r="1815" customFormat="false" ht="15" hidden="false" customHeight="false" outlineLevel="0" collapsed="false">
      <c r="A1815" s="33" t="s">
        <v>2005</v>
      </c>
      <c r="B1815" s="34" t="n">
        <v>45398</v>
      </c>
      <c r="C1815" s="34" t="n">
        <v>45413</v>
      </c>
      <c r="D1815" s="33" t="n">
        <v>47</v>
      </c>
      <c r="E1815" s="33" t="s">
        <v>154</v>
      </c>
      <c r="F1815" s="33" t="s">
        <v>226</v>
      </c>
      <c r="G1815" s="33" t="s">
        <v>227</v>
      </c>
      <c r="H1815" s="33" t="s">
        <v>228</v>
      </c>
      <c r="I1815" s="33" t="s">
        <v>152</v>
      </c>
      <c r="J1815" s="33" t="s">
        <v>144</v>
      </c>
      <c r="K1815" s="33" t="s">
        <v>160</v>
      </c>
      <c r="L1815" s="35" t="n">
        <v>81389.86</v>
      </c>
      <c r="M1815" s="33" t="n">
        <v>3</v>
      </c>
      <c r="N1815" s="33" t="s">
        <v>210</v>
      </c>
      <c r="O1815" s="33" t="s">
        <v>147</v>
      </c>
    </row>
    <row r="1816" customFormat="false" ht="15" hidden="false" customHeight="false" outlineLevel="0" collapsed="false">
      <c r="A1816" s="33" t="s">
        <v>2006</v>
      </c>
      <c r="B1816" s="34" t="n">
        <v>45550</v>
      </c>
      <c r="C1816" s="34" t="n">
        <v>45555</v>
      </c>
      <c r="D1816" s="33" t="n">
        <v>66</v>
      </c>
      <c r="E1816" s="33" t="s">
        <v>139</v>
      </c>
      <c r="F1816" s="33" t="s">
        <v>181</v>
      </c>
      <c r="G1816" s="33" t="s">
        <v>182</v>
      </c>
      <c r="H1816" s="33" t="s">
        <v>183</v>
      </c>
      <c r="I1816" s="33" t="s">
        <v>152</v>
      </c>
      <c r="J1816" s="33" t="s">
        <v>159</v>
      </c>
      <c r="K1816" s="36"/>
      <c r="L1816" s="35" t="n">
        <v>9611.28</v>
      </c>
      <c r="M1816" s="33" t="n">
        <v>4</v>
      </c>
      <c r="N1816" s="33" t="s">
        <v>146</v>
      </c>
      <c r="O1816" s="33" t="s">
        <v>147</v>
      </c>
    </row>
    <row r="1817" customFormat="false" ht="15" hidden="false" customHeight="false" outlineLevel="0" collapsed="false">
      <c r="A1817" s="33" t="s">
        <v>2007</v>
      </c>
      <c r="B1817" s="34" t="n">
        <v>45437</v>
      </c>
      <c r="C1817" s="34" t="n">
        <v>45441</v>
      </c>
      <c r="D1817" s="33" t="n">
        <v>46</v>
      </c>
      <c r="E1817" s="33" t="s">
        <v>139</v>
      </c>
      <c r="F1817" s="33" t="s">
        <v>169</v>
      </c>
      <c r="G1817" s="33" t="s">
        <v>170</v>
      </c>
      <c r="H1817" s="33" t="s">
        <v>195</v>
      </c>
      <c r="I1817" s="33" t="s">
        <v>143</v>
      </c>
      <c r="J1817" s="33" t="s">
        <v>159</v>
      </c>
      <c r="K1817" s="33" t="s">
        <v>184</v>
      </c>
      <c r="L1817" s="35" t="n">
        <v>4088.42</v>
      </c>
      <c r="M1817" s="33" t="n">
        <v>3</v>
      </c>
      <c r="N1817" s="33" t="s">
        <v>146</v>
      </c>
      <c r="O1817" s="33" t="s">
        <v>147</v>
      </c>
    </row>
    <row r="1818" customFormat="false" ht="15" hidden="false" customHeight="false" outlineLevel="0" collapsed="false">
      <c r="A1818" s="33" t="s">
        <v>2008</v>
      </c>
      <c r="B1818" s="34" t="n">
        <v>45334</v>
      </c>
      <c r="C1818" s="34" t="n">
        <v>45340</v>
      </c>
      <c r="D1818" s="33" t="n">
        <v>56</v>
      </c>
      <c r="E1818" s="33" t="s">
        <v>154</v>
      </c>
      <c r="F1818" s="33" t="s">
        <v>226</v>
      </c>
      <c r="G1818" s="33" t="s">
        <v>386</v>
      </c>
      <c r="H1818" s="33" t="s">
        <v>263</v>
      </c>
      <c r="I1818" s="33" t="s">
        <v>152</v>
      </c>
      <c r="J1818" s="33" t="s">
        <v>176</v>
      </c>
      <c r="K1818" s="33" t="s">
        <v>160</v>
      </c>
      <c r="L1818" s="35" t="n">
        <v>67641.14</v>
      </c>
      <c r="M1818" s="33" t="n">
        <v>5</v>
      </c>
      <c r="N1818" s="33" t="s">
        <v>146</v>
      </c>
      <c r="O1818" s="33" t="s">
        <v>147</v>
      </c>
    </row>
    <row r="1819" customFormat="false" ht="15" hidden="false" customHeight="false" outlineLevel="0" collapsed="false">
      <c r="A1819" s="33" t="s">
        <v>2009</v>
      </c>
      <c r="B1819" s="34" t="n">
        <v>45586</v>
      </c>
      <c r="C1819" s="34" t="n">
        <v>45593</v>
      </c>
      <c r="D1819" s="33" t="n">
        <v>5</v>
      </c>
      <c r="E1819" s="33" t="s">
        <v>216</v>
      </c>
      <c r="F1819" s="33" t="s">
        <v>155</v>
      </c>
      <c r="G1819" s="33" t="s">
        <v>156</v>
      </c>
      <c r="H1819" s="33" t="s">
        <v>157</v>
      </c>
      <c r="I1819" s="33" t="s">
        <v>143</v>
      </c>
      <c r="J1819" s="33" t="s">
        <v>159</v>
      </c>
      <c r="K1819" s="33" t="s">
        <v>145</v>
      </c>
      <c r="L1819" s="35" t="n">
        <v>5285.21</v>
      </c>
      <c r="M1819" s="33" t="n">
        <v>4</v>
      </c>
      <c r="N1819" s="33" t="s">
        <v>146</v>
      </c>
      <c r="O1819" s="33" t="s">
        <v>147</v>
      </c>
    </row>
    <row r="1820" customFormat="false" ht="15" hidden="false" customHeight="false" outlineLevel="0" collapsed="false">
      <c r="A1820" s="33" t="s">
        <v>2010</v>
      </c>
      <c r="B1820" s="34" t="n">
        <v>45362</v>
      </c>
      <c r="C1820" s="34" t="n">
        <v>45366</v>
      </c>
      <c r="D1820" s="33" t="n">
        <v>46</v>
      </c>
      <c r="E1820" s="33" t="s">
        <v>139</v>
      </c>
      <c r="F1820" s="33" t="s">
        <v>162</v>
      </c>
      <c r="G1820" s="33" t="s">
        <v>213</v>
      </c>
      <c r="H1820" s="33" t="s">
        <v>171</v>
      </c>
      <c r="I1820" s="33" t="s">
        <v>143</v>
      </c>
      <c r="J1820" s="33" t="s">
        <v>159</v>
      </c>
      <c r="K1820" s="33" t="s">
        <v>145</v>
      </c>
      <c r="L1820" s="35" t="n">
        <v>4273.27</v>
      </c>
      <c r="M1820" s="33" t="n">
        <v>4</v>
      </c>
      <c r="N1820" s="33" t="s">
        <v>146</v>
      </c>
      <c r="O1820" s="33" t="s">
        <v>147</v>
      </c>
    </row>
    <row r="1821" customFormat="false" ht="15" hidden="false" customHeight="false" outlineLevel="0" collapsed="false">
      <c r="A1821" s="33" t="s">
        <v>2011</v>
      </c>
      <c r="B1821" s="34" t="n">
        <v>45358</v>
      </c>
      <c r="C1821" s="34" t="n">
        <v>45360</v>
      </c>
      <c r="D1821" s="33" t="n">
        <v>3</v>
      </c>
      <c r="E1821" s="33" t="s">
        <v>154</v>
      </c>
      <c r="F1821" s="33" t="s">
        <v>155</v>
      </c>
      <c r="G1821" s="33" t="s">
        <v>302</v>
      </c>
      <c r="H1821" s="33" t="s">
        <v>157</v>
      </c>
      <c r="I1821" s="33" t="s">
        <v>143</v>
      </c>
      <c r="J1821" s="33" t="s">
        <v>144</v>
      </c>
      <c r="K1821" s="33" t="s">
        <v>160</v>
      </c>
      <c r="L1821" s="35" t="n">
        <v>2260.62</v>
      </c>
      <c r="M1821" s="33" t="n">
        <v>4</v>
      </c>
      <c r="N1821" s="33" t="s">
        <v>146</v>
      </c>
      <c r="O1821" s="33" t="s">
        <v>147</v>
      </c>
    </row>
    <row r="1822" customFormat="false" ht="15" hidden="false" customHeight="false" outlineLevel="0" collapsed="false">
      <c r="A1822" s="33" t="s">
        <v>2012</v>
      </c>
      <c r="B1822" s="34" t="n">
        <v>45427</v>
      </c>
      <c r="C1822" s="34" t="n">
        <v>45428</v>
      </c>
      <c r="D1822" s="33" t="n">
        <v>40</v>
      </c>
      <c r="E1822" s="33" t="s">
        <v>154</v>
      </c>
      <c r="F1822" s="33" t="s">
        <v>173</v>
      </c>
      <c r="G1822" s="33" t="s">
        <v>198</v>
      </c>
      <c r="H1822" s="33" t="s">
        <v>175</v>
      </c>
      <c r="I1822" s="33" t="s">
        <v>143</v>
      </c>
      <c r="J1822" s="33" t="s">
        <v>176</v>
      </c>
      <c r="K1822" s="33" t="s">
        <v>184</v>
      </c>
      <c r="L1822" s="35" t="n">
        <v>8481.56</v>
      </c>
      <c r="M1822" s="33" t="n">
        <v>4</v>
      </c>
      <c r="N1822" s="33" t="s">
        <v>146</v>
      </c>
      <c r="O1822" s="33" t="s">
        <v>147</v>
      </c>
    </row>
    <row r="1823" customFormat="false" ht="15" hidden="false" customHeight="false" outlineLevel="0" collapsed="false">
      <c r="A1823" s="33" t="s">
        <v>2013</v>
      </c>
      <c r="B1823" s="34" t="n">
        <v>45649</v>
      </c>
      <c r="C1823" s="34" t="n">
        <v>45656</v>
      </c>
      <c r="D1823" s="33" t="n">
        <v>86</v>
      </c>
      <c r="E1823" s="33" t="s">
        <v>139</v>
      </c>
      <c r="F1823" s="33" t="s">
        <v>181</v>
      </c>
      <c r="G1823" s="33" t="s">
        <v>182</v>
      </c>
      <c r="H1823" s="33" t="s">
        <v>183</v>
      </c>
      <c r="I1823" s="33" t="s">
        <v>152</v>
      </c>
      <c r="J1823" s="33" t="s">
        <v>159</v>
      </c>
      <c r="K1823" s="33" t="s">
        <v>145</v>
      </c>
      <c r="L1823" s="35" t="n">
        <v>16137.35</v>
      </c>
      <c r="M1823" s="33" t="n">
        <v>4</v>
      </c>
      <c r="N1823" s="33" t="s">
        <v>146</v>
      </c>
      <c r="O1823" s="33" t="s">
        <v>147</v>
      </c>
    </row>
    <row r="1824" customFormat="false" ht="15" hidden="false" customHeight="false" outlineLevel="0" collapsed="false">
      <c r="A1824" s="33" t="s">
        <v>2014</v>
      </c>
      <c r="B1824" s="34" t="n">
        <v>45564</v>
      </c>
      <c r="C1824" s="34" t="n">
        <v>45565</v>
      </c>
      <c r="D1824" s="33" t="n">
        <v>68</v>
      </c>
      <c r="E1824" s="33" t="s">
        <v>154</v>
      </c>
      <c r="F1824" s="33" t="s">
        <v>240</v>
      </c>
      <c r="G1824" s="33" t="s">
        <v>241</v>
      </c>
      <c r="H1824" s="33" t="s">
        <v>233</v>
      </c>
      <c r="I1824" s="33" t="s">
        <v>143</v>
      </c>
      <c r="J1824" s="33" t="s">
        <v>159</v>
      </c>
      <c r="K1824" s="33" t="s">
        <v>184</v>
      </c>
      <c r="L1824" s="35" t="n">
        <v>902.73</v>
      </c>
      <c r="M1824" s="33" t="n">
        <v>4</v>
      </c>
      <c r="N1824" s="33" t="s">
        <v>146</v>
      </c>
      <c r="O1824" s="33" t="s">
        <v>295</v>
      </c>
    </row>
    <row r="1825" customFormat="false" ht="15" hidden="false" customHeight="false" outlineLevel="0" collapsed="false">
      <c r="A1825" s="33" t="s">
        <v>2015</v>
      </c>
      <c r="B1825" s="34" t="n">
        <v>45586</v>
      </c>
      <c r="C1825" s="34" t="n">
        <v>45591</v>
      </c>
      <c r="D1825" s="33" t="n">
        <v>40</v>
      </c>
      <c r="E1825" s="33" t="s">
        <v>154</v>
      </c>
      <c r="F1825" s="33" t="s">
        <v>181</v>
      </c>
      <c r="G1825" s="33" t="s">
        <v>188</v>
      </c>
      <c r="H1825" s="33" t="s">
        <v>245</v>
      </c>
      <c r="I1825" s="33" t="s">
        <v>143</v>
      </c>
      <c r="J1825" s="33" t="s">
        <v>144</v>
      </c>
      <c r="K1825" s="33" t="s">
        <v>145</v>
      </c>
      <c r="L1825" s="35" t="n">
        <v>28773.19</v>
      </c>
      <c r="M1825" s="33" t="n">
        <v>5</v>
      </c>
      <c r="N1825" s="33" t="s">
        <v>210</v>
      </c>
      <c r="O1825" s="33" t="s">
        <v>147</v>
      </c>
    </row>
    <row r="1826" customFormat="false" ht="15" hidden="false" customHeight="false" outlineLevel="0" collapsed="false">
      <c r="A1826" s="33" t="s">
        <v>2016</v>
      </c>
      <c r="B1826" s="34" t="n">
        <v>45404</v>
      </c>
      <c r="C1826" s="34" t="n">
        <v>45408</v>
      </c>
      <c r="D1826" s="33" t="n">
        <v>26</v>
      </c>
      <c r="E1826" s="33" t="s">
        <v>139</v>
      </c>
      <c r="F1826" s="33" t="s">
        <v>162</v>
      </c>
      <c r="G1826" s="33" t="s">
        <v>163</v>
      </c>
      <c r="H1826" s="33" t="s">
        <v>164</v>
      </c>
      <c r="I1826" s="33" t="s">
        <v>143</v>
      </c>
      <c r="J1826" s="33" t="s">
        <v>159</v>
      </c>
      <c r="K1826" s="33" t="s">
        <v>160</v>
      </c>
      <c r="L1826" s="35" t="n">
        <v>4316.94</v>
      </c>
      <c r="M1826" s="33" t="n">
        <v>5</v>
      </c>
      <c r="N1826" s="33" t="s">
        <v>146</v>
      </c>
      <c r="O1826" s="33" t="s">
        <v>147</v>
      </c>
    </row>
    <row r="1827" customFormat="false" ht="15" hidden="false" customHeight="false" outlineLevel="0" collapsed="false">
      <c r="A1827" s="33" t="s">
        <v>2017</v>
      </c>
      <c r="B1827" s="34" t="n">
        <v>45307</v>
      </c>
      <c r="C1827" s="34" t="n">
        <v>45308</v>
      </c>
      <c r="D1827" s="33" t="n">
        <v>65</v>
      </c>
      <c r="E1827" s="33" t="s">
        <v>154</v>
      </c>
      <c r="F1827" s="33" t="s">
        <v>203</v>
      </c>
      <c r="G1827" s="33" t="s">
        <v>204</v>
      </c>
      <c r="H1827" s="33" t="s">
        <v>205</v>
      </c>
      <c r="I1827" s="33" t="s">
        <v>143</v>
      </c>
      <c r="J1827" s="33" t="s">
        <v>144</v>
      </c>
      <c r="K1827" s="33" t="s">
        <v>160</v>
      </c>
      <c r="L1827" s="35" t="n">
        <v>1681.88</v>
      </c>
      <c r="M1827" s="33" t="n">
        <v>2</v>
      </c>
      <c r="N1827" s="33" t="s">
        <v>146</v>
      </c>
      <c r="O1827" s="33" t="s">
        <v>147</v>
      </c>
    </row>
    <row r="1828" customFormat="false" ht="15" hidden="false" customHeight="false" outlineLevel="0" collapsed="false">
      <c r="A1828" s="33" t="s">
        <v>2018</v>
      </c>
      <c r="B1828" s="34" t="n">
        <v>45626</v>
      </c>
      <c r="C1828" s="34" t="n">
        <v>45627</v>
      </c>
      <c r="D1828" s="33" t="n">
        <v>23</v>
      </c>
      <c r="E1828" s="33" t="s">
        <v>139</v>
      </c>
      <c r="F1828" s="33" t="s">
        <v>149</v>
      </c>
      <c r="G1828" s="33" t="s">
        <v>150</v>
      </c>
      <c r="H1828" s="33" t="s">
        <v>151</v>
      </c>
      <c r="I1828" s="33" t="s">
        <v>143</v>
      </c>
      <c r="J1828" s="33" t="s">
        <v>159</v>
      </c>
      <c r="K1828" s="33" t="s">
        <v>184</v>
      </c>
      <c r="L1828" s="35" t="n">
        <v>1425.2</v>
      </c>
      <c r="M1828" s="33" t="n">
        <v>5</v>
      </c>
      <c r="N1828" s="33" t="s">
        <v>146</v>
      </c>
      <c r="O1828" s="33" t="s">
        <v>147</v>
      </c>
    </row>
    <row r="1829" customFormat="false" ht="15" hidden="false" customHeight="false" outlineLevel="0" collapsed="false">
      <c r="A1829" s="33" t="s">
        <v>2019</v>
      </c>
      <c r="B1829" s="34" t="n">
        <v>45427</v>
      </c>
      <c r="C1829" s="34" t="n">
        <v>45432</v>
      </c>
      <c r="D1829" s="33" t="n">
        <v>28</v>
      </c>
      <c r="E1829" s="33" t="s">
        <v>154</v>
      </c>
      <c r="F1829" s="33" t="s">
        <v>173</v>
      </c>
      <c r="G1829" s="33" t="s">
        <v>178</v>
      </c>
      <c r="H1829" s="33" t="s">
        <v>175</v>
      </c>
      <c r="I1829" s="33" t="s">
        <v>152</v>
      </c>
      <c r="J1829" s="33" t="s">
        <v>159</v>
      </c>
      <c r="K1829" s="33" t="s">
        <v>145</v>
      </c>
      <c r="L1829" s="35" t="n">
        <v>14951.51</v>
      </c>
      <c r="M1829" s="33" t="n">
        <v>3</v>
      </c>
      <c r="N1829" s="33" t="s">
        <v>146</v>
      </c>
      <c r="O1829" s="33" t="s">
        <v>147</v>
      </c>
    </row>
    <row r="1830" customFormat="false" ht="15" hidden="false" customHeight="false" outlineLevel="0" collapsed="false">
      <c r="A1830" s="33" t="s">
        <v>2020</v>
      </c>
      <c r="B1830" s="34" t="n">
        <v>45460</v>
      </c>
      <c r="C1830" s="34" t="n">
        <v>45464</v>
      </c>
      <c r="D1830" s="33" t="n">
        <v>49</v>
      </c>
      <c r="E1830" s="33" t="s">
        <v>139</v>
      </c>
      <c r="F1830" s="33" t="s">
        <v>181</v>
      </c>
      <c r="G1830" s="33" t="s">
        <v>188</v>
      </c>
      <c r="H1830" s="33" t="s">
        <v>183</v>
      </c>
      <c r="I1830" s="33" t="s">
        <v>158</v>
      </c>
      <c r="J1830" s="33" t="s">
        <v>159</v>
      </c>
      <c r="K1830" s="33" t="s">
        <v>145</v>
      </c>
      <c r="L1830" s="35" t="n">
        <v>11381.74</v>
      </c>
      <c r="M1830" s="33" t="n">
        <v>4</v>
      </c>
      <c r="N1830" s="33" t="s">
        <v>146</v>
      </c>
      <c r="O1830" s="33" t="s">
        <v>147</v>
      </c>
    </row>
    <row r="1831" customFormat="false" ht="15" hidden="false" customHeight="false" outlineLevel="0" collapsed="false">
      <c r="A1831" s="33" t="s">
        <v>2021</v>
      </c>
      <c r="B1831" s="34" t="n">
        <v>45562</v>
      </c>
      <c r="C1831" s="34" t="n">
        <v>45566</v>
      </c>
      <c r="D1831" s="33" t="n">
        <v>88</v>
      </c>
      <c r="E1831" s="33" t="s">
        <v>139</v>
      </c>
      <c r="F1831" s="33" t="s">
        <v>181</v>
      </c>
      <c r="G1831" s="33" t="s">
        <v>188</v>
      </c>
      <c r="H1831" s="33" t="s">
        <v>183</v>
      </c>
      <c r="I1831" s="33" t="s">
        <v>143</v>
      </c>
      <c r="J1831" s="33" t="s">
        <v>144</v>
      </c>
      <c r="K1831" s="33" t="s">
        <v>160</v>
      </c>
      <c r="L1831" s="35" t="n">
        <v>18074.1</v>
      </c>
      <c r="M1831" s="33" t="n">
        <v>3</v>
      </c>
      <c r="N1831" s="33" t="s">
        <v>146</v>
      </c>
      <c r="O1831" s="33" t="s">
        <v>147</v>
      </c>
    </row>
    <row r="1832" customFormat="false" ht="15" hidden="false" customHeight="false" outlineLevel="0" collapsed="false">
      <c r="A1832" s="33" t="s">
        <v>2022</v>
      </c>
      <c r="B1832" s="34" t="n">
        <v>45631</v>
      </c>
      <c r="C1832" s="34" t="n">
        <v>45633</v>
      </c>
      <c r="D1832" s="33" t="n">
        <v>10</v>
      </c>
      <c r="E1832" s="33" t="s">
        <v>154</v>
      </c>
      <c r="F1832" s="33" t="s">
        <v>155</v>
      </c>
      <c r="G1832" s="33" t="s">
        <v>156</v>
      </c>
      <c r="H1832" s="33" t="s">
        <v>157</v>
      </c>
      <c r="I1832" s="33" t="s">
        <v>158</v>
      </c>
      <c r="J1832" s="33" t="s">
        <v>159</v>
      </c>
      <c r="K1832" s="33" t="s">
        <v>160</v>
      </c>
      <c r="L1832" s="35" t="n">
        <v>1620.71</v>
      </c>
      <c r="M1832" s="33" t="n">
        <v>4</v>
      </c>
      <c r="N1832" s="33" t="s">
        <v>146</v>
      </c>
      <c r="O1832" s="33" t="s">
        <v>147</v>
      </c>
    </row>
    <row r="1833" customFormat="false" ht="15" hidden="false" customHeight="false" outlineLevel="0" collapsed="false">
      <c r="A1833" s="33" t="s">
        <v>2023</v>
      </c>
      <c r="B1833" s="34" t="n">
        <v>45410</v>
      </c>
      <c r="C1833" s="34" t="n">
        <v>45417</v>
      </c>
      <c r="D1833" s="33" t="n">
        <v>36</v>
      </c>
      <c r="E1833" s="33" t="s">
        <v>139</v>
      </c>
      <c r="F1833" s="33" t="s">
        <v>173</v>
      </c>
      <c r="G1833" s="33" t="s">
        <v>174</v>
      </c>
      <c r="H1833" s="33" t="s">
        <v>199</v>
      </c>
      <c r="I1833" s="33" t="s">
        <v>143</v>
      </c>
      <c r="J1833" s="33" t="s">
        <v>159</v>
      </c>
      <c r="K1833" s="33" t="s">
        <v>160</v>
      </c>
      <c r="L1833" s="35" t="n">
        <v>15431.45</v>
      </c>
      <c r="M1833" s="33" t="n">
        <v>3</v>
      </c>
      <c r="N1833" s="33" t="s">
        <v>146</v>
      </c>
      <c r="O1833" s="33" t="s">
        <v>147</v>
      </c>
    </row>
    <row r="1834" customFormat="false" ht="15" hidden="false" customHeight="false" outlineLevel="0" collapsed="false">
      <c r="A1834" s="33" t="s">
        <v>2024</v>
      </c>
      <c r="B1834" s="34" t="n">
        <v>45557</v>
      </c>
      <c r="C1834" s="34" t="n">
        <v>45564</v>
      </c>
      <c r="D1834" s="33" t="n">
        <v>19</v>
      </c>
      <c r="E1834" s="33" t="s">
        <v>139</v>
      </c>
      <c r="F1834" s="33" t="s">
        <v>173</v>
      </c>
      <c r="G1834" s="33" t="s">
        <v>198</v>
      </c>
      <c r="H1834" s="33" t="s">
        <v>199</v>
      </c>
      <c r="I1834" s="33" t="s">
        <v>152</v>
      </c>
      <c r="J1834" s="33" t="s">
        <v>159</v>
      </c>
      <c r="K1834" s="36"/>
      <c r="L1834" s="35" t="n">
        <v>21942.27</v>
      </c>
      <c r="M1834" s="33" t="n">
        <v>4</v>
      </c>
      <c r="N1834" s="33" t="s">
        <v>146</v>
      </c>
      <c r="O1834" s="33" t="s">
        <v>147</v>
      </c>
    </row>
    <row r="1835" customFormat="false" ht="15" hidden="false" customHeight="false" outlineLevel="0" collapsed="false">
      <c r="A1835" s="33" t="s">
        <v>2025</v>
      </c>
      <c r="B1835" s="34" t="n">
        <v>45606</v>
      </c>
      <c r="C1835" s="34" t="n">
        <v>45612</v>
      </c>
      <c r="D1835" s="33" t="n">
        <v>55</v>
      </c>
      <c r="E1835" s="33" t="s">
        <v>139</v>
      </c>
      <c r="F1835" s="33" t="s">
        <v>226</v>
      </c>
      <c r="G1835" s="33" t="s">
        <v>258</v>
      </c>
      <c r="H1835" s="33" t="s">
        <v>263</v>
      </c>
      <c r="I1835" s="33" t="s">
        <v>152</v>
      </c>
      <c r="J1835" s="33" t="s">
        <v>144</v>
      </c>
      <c r="K1835" s="33" t="s">
        <v>184</v>
      </c>
      <c r="L1835" s="35" t="n">
        <v>28761.76</v>
      </c>
      <c r="M1835" s="33" t="n">
        <v>5</v>
      </c>
      <c r="N1835" s="33" t="s">
        <v>146</v>
      </c>
      <c r="O1835" s="33" t="s">
        <v>147</v>
      </c>
    </row>
    <row r="1836" customFormat="false" ht="15" hidden="false" customHeight="false" outlineLevel="0" collapsed="false">
      <c r="A1836" s="33" t="s">
        <v>2026</v>
      </c>
      <c r="B1836" s="34" t="n">
        <v>45394</v>
      </c>
      <c r="C1836" s="34" t="n">
        <v>45397</v>
      </c>
      <c r="D1836" s="33" t="n">
        <v>0</v>
      </c>
      <c r="E1836" s="33" t="s">
        <v>154</v>
      </c>
      <c r="F1836" s="33" t="s">
        <v>203</v>
      </c>
      <c r="G1836" s="33" t="s">
        <v>217</v>
      </c>
      <c r="H1836" s="33" t="s">
        <v>205</v>
      </c>
      <c r="I1836" s="33" t="s">
        <v>143</v>
      </c>
      <c r="J1836" s="33" t="s">
        <v>159</v>
      </c>
      <c r="K1836" s="33" t="s">
        <v>160</v>
      </c>
      <c r="L1836" s="35" t="n">
        <v>2548.84</v>
      </c>
      <c r="M1836" s="33" t="n">
        <v>3</v>
      </c>
      <c r="N1836" s="33" t="s">
        <v>210</v>
      </c>
      <c r="O1836" s="33" t="s">
        <v>147</v>
      </c>
    </row>
    <row r="1837" customFormat="false" ht="15" hidden="false" customHeight="false" outlineLevel="0" collapsed="false">
      <c r="A1837" s="33" t="s">
        <v>2027</v>
      </c>
      <c r="B1837" s="34" t="n">
        <v>45507</v>
      </c>
      <c r="C1837" s="34" t="n">
        <v>45508</v>
      </c>
      <c r="D1837" s="33" t="n">
        <v>59</v>
      </c>
      <c r="E1837" s="33" t="s">
        <v>139</v>
      </c>
      <c r="F1837" s="33" t="s">
        <v>203</v>
      </c>
      <c r="G1837" s="33" t="s">
        <v>217</v>
      </c>
      <c r="H1837" s="33" t="s">
        <v>193</v>
      </c>
      <c r="I1837" s="33" t="s">
        <v>143</v>
      </c>
      <c r="J1837" s="33" t="s">
        <v>159</v>
      </c>
      <c r="K1837" s="33" t="s">
        <v>209</v>
      </c>
      <c r="L1837" s="35" t="n">
        <v>1000.74</v>
      </c>
      <c r="M1837" s="33" t="n">
        <v>4</v>
      </c>
      <c r="N1837" s="33" t="s">
        <v>146</v>
      </c>
      <c r="O1837" s="33" t="s">
        <v>147</v>
      </c>
    </row>
    <row r="1838" customFormat="false" ht="15" hidden="false" customHeight="false" outlineLevel="0" collapsed="false">
      <c r="A1838" s="33" t="s">
        <v>2028</v>
      </c>
      <c r="B1838" s="34" t="n">
        <v>45599</v>
      </c>
      <c r="C1838" s="34" t="n">
        <v>45602</v>
      </c>
      <c r="D1838" s="33" t="n">
        <v>46</v>
      </c>
      <c r="E1838" s="33" t="s">
        <v>154</v>
      </c>
      <c r="F1838" s="33" t="s">
        <v>140</v>
      </c>
      <c r="G1838" s="33" t="s">
        <v>167</v>
      </c>
      <c r="H1838" s="33" t="s">
        <v>290</v>
      </c>
      <c r="I1838" s="33" t="s">
        <v>158</v>
      </c>
      <c r="J1838" s="33" t="s">
        <v>159</v>
      </c>
      <c r="K1838" s="33" t="s">
        <v>160</v>
      </c>
      <c r="L1838" s="35" t="n">
        <v>7801.3</v>
      </c>
      <c r="M1838" s="33" t="n">
        <v>4</v>
      </c>
      <c r="N1838" s="33" t="s">
        <v>146</v>
      </c>
      <c r="O1838" s="33" t="s">
        <v>147</v>
      </c>
    </row>
    <row r="1839" customFormat="false" ht="15" hidden="false" customHeight="false" outlineLevel="0" collapsed="false">
      <c r="A1839" s="33" t="s">
        <v>2029</v>
      </c>
      <c r="B1839" s="34" t="n">
        <v>45464</v>
      </c>
      <c r="C1839" s="34" t="n">
        <v>45465</v>
      </c>
      <c r="D1839" s="33" t="n">
        <v>34</v>
      </c>
      <c r="E1839" s="33" t="s">
        <v>154</v>
      </c>
      <c r="F1839" s="33" t="s">
        <v>140</v>
      </c>
      <c r="G1839" s="33" t="s">
        <v>316</v>
      </c>
      <c r="H1839" s="33" t="s">
        <v>142</v>
      </c>
      <c r="I1839" s="33" t="s">
        <v>143</v>
      </c>
      <c r="J1839" s="33" t="s">
        <v>159</v>
      </c>
      <c r="K1839" s="33" t="s">
        <v>145</v>
      </c>
      <c r="L1839" s="35" t="n">
        <v>2428.83</v>
      </c>
      <c r="M1839" s="33" t="n">
        <v>3</v>
      </c>
      <c r="N1839" s="33" t="s">
        <v>146</v>
      </c>
      <c r="O1839" s="33" t="s">
        <v>147</v>
      </c>
    </row>
    <row r="1840" customFormat="false" ht="15" hidden="false" customHeight="false" outlineLevel="0" collapsed="false">
      <c r="A1840" s="33" t="s">
        <v>2030</v>
      </c>
      <c r="B1840" s="34" t="n">
        <v>45536</v>
      </c>
      <c r="C1840" s="34" t="n">
        <v>45537</v>
      </c>
      <c r="D1840" s="33" t="n">
        <v>31</v>
      </c>
      <c r="E1840" s="33" t="s">
        <v>139</v>
      </c>
      <c r="F1840" s="33" t="s">
        <v>149</v>
      </c>
      <c r="G1840" s="33" t="s">
        <v>224</v>
      </c>
      <c r="H1840" s="33" t="s">
        <v>186</v>
      </c>
      <c r="I1840" s="33" t="s">
        <v>143</v>
      </c>
      <c r="J1840" s="33" t="s">
        <v>144</v>
      </c>
      <c r="K1840" s="33" t="s">
        <v>184</v>
      </c>
      <c r="L1840" s="35" t="n">
        <v>2378.88</v>
      </c>
      <c r="M1840" s="33" t="n">
        <v>4</v>
      </c>
      <c r="N1840" s="33" t="s">
        <v>146</v>
      </c>
      <c r="O1840" s="33" t="s">
        <v>147</v>
      </c>
    </row>
    <row r="1841" customFormat="false" ht="15" hidden="false" customHeight="false" outlineLevel="0" collapsed="false">
      <c r="A1841" s="33" t="s">
        <v>2031</v>
      </c>
      <c r="B1841" s="34" t="n">
        <v>45560</v>
      </c>
      <c r="C1841" s="34" t="n">
        <v>45573</v>
      </c>
      <c r="D1841" s="33" t="n">
        <v>55</v>
      </c>
      <c r="E1841" s="33" t="s">
        <v>216</v>
      </c>
      <c r="F1841" s="33" t="s">
        <v>181</v>
      </c>
      <c r="G1841" s="33" t="s">
        <v>237</v>
      </c>
      <c r="H1841" s="33" t="s">
        <v>183</v>
      </c>
      <c r="I1841" s="33" t="s">
        <v>143</v>
      </c>
      <c r="J1841" s="33" t="s">
        <v>159</v>
      </c>
      <c r="K1841" s="33" t="s">
        <v>184</v>
      </c>
      <c r="L1841" s="35" t="n">
        <v>31675.76</v>
      </c>
      <c r="M1841" s="33" t="n">
        <v>3</v>
      </c>
      <c r="N1841" s="33" t="s">
        <v>210</v>
      </c>
      <c r="O1841" s="33" t="s">
        <v>147</v>
      </c>
    </row>
    <row r="1842" customFormat="false" ht="15" hidden="false" customHeight="false" outlineLevel="0" collapsed="false">
      <c r="A1842" s="33" t="s">
        <v>2032</v>
      </c>
      <c r="B1842" s="34" t="n">
        <v>45616</v>
      </c>
      <c r="C1842" s="34" t="n">
        <v>45617</v>
      </c>
      <c r="D1842" s="33" t="n">
        <v>48</v>
      </c>
      <c r="E1842" s="33" t="s">
        <v>257</v>
      </c>
      <c r="F1842" s="33" t="s">
        <v>203</v>
      </c>
      <c r="G1842" s="33" t="s">
        <v>217</v>
      </c>
      <c r="H1842" s="33" t="s">
        <v>205</v>
      </c>
      <c r="I1842" s="33" t="s">
        <v>143</v>
      </c>
      <c r="J1842" s="33" t="s">
        <v>159</v>
      </c>
      <c r="K1842" s="33" t="s">
        <v>184</v>
      </c>
      <c r="L1842" s="35" t="n">
        <v>879.29</v>
      </c>
      <c r="M1842" s="33" t="n">
        <v>3</v>
      </c>
      <c r="N1842" s="33" t="s">
        <v>146</v>
      </c>
      <c r="O1842" s="33" t="s">
        <v>247</v>
      </c>
    </row>
    <row r="1843" customFormat="false" ht="15" hidden="false" customHeight="false" outlineLevel="0" collapsed="false">
      <c r="A1843" s="33" t="s">
        <v>2033</v>
      </c>
      <c r="B1843" s="34" t="n">
        <v>45445</v>
      </c>
      <c r="C1843" s="34" t="n">
        <v>45447</v>
      </c>
      <c r="D1843" s="33" t="n">
        <v>30</v>
      </c>
      <c r="E1843" s="33" t="s">
        <v>279</v>
      </c>
      <c r="F1843" s="33" t="s">
        <v>149</v>
      </c>
      <c r="G1843" s="33" t="s">
        <v>224</v>
      </c>
      <c r="H1843" s="33" t="s">
        <v>151</v>
      </c>
      <c r="I1843" s="33" t="s">
        <v>143</v>
      </c>
      <c r="J1843" s="33" t="s">
        <v>159</v>
      </c>
      <c r="K1843" s="33" t="s">
        <v>160</v>
      </c>
      <c r="L1843" s="35" t="n">
        <v>2914.98</v>
      </c>
      <c r="M1843" s="33" t="n">
        <v>4</v>
      </c>
      <c r="N1843" s="33" t="s">
        <v>146</v>
      </c>
      <c r="O1843" s="33" t="s">
        <v>147</v>
      </c>
    </row>
    <row r="1844" customFormat="false" ht="15" hidden="false" customHeight="false" outlineLevel="0" collapsed="false">
      <c r="A1844" s="33" t="s">
        <v>2034</v>
      </c>
      <c r="B1844" s="34" t="n">
        <v>45339</v>
      </c>
      <c r="C1844" s="34" t="n">
        <v>45344</v>
      </c>
      <c r="D1844" s="33" t="n">
        <v>12</v>
      </c>
      <c r="E1844" s="33" t="s">
        <v>154</v>
      </c>
      <c r="F1844" s="33" t="s">
        <v>376</v>
      </c>
      <c r="G1844" s="33" t="s">
        <v>302</v>
      </c>
      <c r="H1844" s="33" t="s">
        <v>157</v>
      </c>
      <c r="I1844" s="33" t="s">
        <v>158</v>
      </c>
      <c r="J1844" s="33" t="s">
        <v>159</v>
      </c>
      <c r="K1844" s="33" t="s">
        <v>160</v>
      </c>
      <c r="L1844" s="35" t="n">
        <v>4130.51</v>
      </c>
      <c r="M1844" s="33" t="n">
        <v>3</v>
      </c>
      <c r="N1844" s="33" t="s">
        <v>146</v>
      </c>
      <c r="O1844" s="33" t="s">
        <v>147</v>
      </c>
    </row>
    <row r="1845" customFormat="false" ht="15" hidden="false" customHeight="false" outlineLevel="0" collapsed="false">
      <c r="A1845" s="33" t="s">
        <v>2035</v>
      </c>
      <c r="B1845" s="34" t="n">
        <v>45613</v>
      </c>
      <c r="C1845" s="34" t="n">
        <v>45622</v>
      </c>
      <c r="D1845" s="33" t="n">
        <v>31</v>
      </c>
      <c r="E1845" s="33" t="s">
        <v>154</v>
      </c>
      <c r="F1845" s="33" t="s">
        <v>173</v>
      </c>
      <c r="G1845" s="33" t="s">
        <v>178</v>
      </c>
      <c r="H1845" s="33" t="s">
        <v>175</v>
      </c>
      <c r="I1845" s="33" t="s">
        <v>152</v>
      </c>
      <c r="J1845" s="33" t="s">
        <v>144</v>
      </c>
      <c r="K1845" s="33" t="s">
        <v>160</v>
      </c>
      <c r="L1845" s="35" t="n">
        <v>47359.59</v>
      </c>
      <c r="M1845" s="33" t="n">
        <v>3</v>
      </c>
      <c r="N1845" s="33" t="s">
        <v>146</v>
      </c>
      <c r="O1845" s="36"/>
    </row>
    <row r="1846" customFormat="false" ht="15" hidden="false" customHeight="false" outlineLevel="0" collapsed="false">
      <c r="A1846" s="33" t="s">
        <v>2036</v>
      </c>
      <c r="B1846" s="34" t="n">
        <v>45570</v>
      </c>
      <c r="C1846" s="34" t="n">
        <v>45571</v>
      </c>
      <c r="D1846" s="33" t="n">
        <v>28</v>
      </c>
      <c r="E1846" s="33" t="s">
        <v>139</v>
      </c>
      <c r="F1846" s="33" t="s">
        <v>240</v>
      </c>
      <c r="G1846" s="33" t="s">
        <v>192</v>
      </c>
      <c r="H1846" s="33" t="s">
        <v>205</v>
      </c>
      <c r="I1846" s="33" t="s">
        <v>143</v>
      </c>
      <c r="J1846" s="33" t="s">
        <v>159</v>
      </c>
      <c r="K1846" s="33" t="s">
        <v>160</v>
      </c>
      <c r="L1846" s="35" t="n">
        <v>945.42</v>
      </c>
      <c r="M1846" s="33" t="n">
        <v>3</v>
      </c>
      <c r="N1846" s="33" t="s">
        <v>146</v>
      </c>
      <c r="O1846" s="33" t="s">
        <v>147</v>
      </c>
    </row>
    <row r="1847" customFormat="false" ht="15" hidden="false" customHeight="false" outlineLevel="0" collapsed="false">
      <c r="A1847" s="33" t="s">
        <v>2037</v>
      </c>
      <c r="B1847" s="34" t="n">
        <v>45657</v>
      </c>
      <c r="C1847" s="34" t="n">
        <v>45658</v>
      </c>
      <c r="D1847" s="33" t="n">
        <v>54</v>
      </c>
      <c r="E1847" s="33" t="s">
        <v>154</v>
      </c>
      <c r="F1847" s="33" t="s">
        <v>181</v>
      </c>
      <c r="G1847" s="33" t="s">
        <v>182</v>
      </c>
      <c r="H1847" s="33" t="s">
        <v>245</v>
      </c>
      <c r="I1847" s="33" t="s">
        <v>152</v>
      </c>
      <c r="J1847" s="33" t="s">
        <v>159</v>
      </c>
      <c r="K1847" s="33" t="s">
        <v>184</v>
      </c>
      <c r="L1847" s="35" t="n">
        <v>2466.28</v>
      </c>
      <c r="M1847" s="36"/>
      <c r="N1847" s="33" t="s">
        <v>146</v>
      </c>
      <c r="O1847" s="33" t="s">
        <v>247</v>
      </c>
    </row>
    <row r="1848" customFormat="false" ht="15" hidden="false" customHeight="false" outlineLevel="0" collapsed="false">
      <c r="A1848" s="33" t="s">
        <v>2038</v>
      </c>
      <c r="B1848" s="34" t="n">
        <v>45426</v>
      </c>
      <c r="C1848" s="34" t="n">
        <v>45427</v>
      </c>
      <c r="D1848" s="33" t="n">
        <v>56</v>
      </c>
      <c r="E1848" s="33" t="s">
        <v>154</v>
      </c>
      <c r="F1848" s="33" t="s">
        <v>203</v>
      </c>
      <c r="G1848" s="33" t="s">
        <v>204</v>
      </c>
      <c r="H1848" s="33" t="s">
        <v>193</v>
      </c>
      <c r="I1848" s="33" t="s">
        <v>143</v>
      </c>
      <c r="J1848" s="33" t="s">
        <v>159</v>
      </c>
      <c r="K1848" s="33" t="s">
        <v>145</v>
      </c>
      <c r="L1848" s="35" t="n">
        <v>996.52</v>
      </c>
      <c r="M1848" s="36"/>
      <c r="N1848" s="33" t="s">
        <v>146</v>
      </c>
      <c r="O1848" s="33" t="s">
        <v>147</v>
      </c>
    </row>
    <row r="1849" customFormat="false" ht="15" hidden="false" customHeight="false" outlineLevel="0" collapsed="false">
      <c r="A1849" s="33" t="s">
        <v>2039</v>
      </c>
      <c r="B1849" s="34" t="n">
        <v>45582</v>
      </c>
      <c r="C1849" s="34" t="n">
        <v>45584</v>
      </c>
      <c r="D1849" s="33" t="n">
        <v>16</v>
      </c>
      <c r="E1849" s="33" t="s">
        <v>139</v>
      </c>
      <c r="F1849" s="33" t="s">
        <v>149</v>
      </c>
      <c r="G1849" s="33" t="s">
        <v>243</v>
      </c>
      <c r="H1849" s="33" t="s">
        <v>186</v>
      </c>
      <c r="I1849" s="33" t="s">
        <v>143</v>
      </c>
      <c r="J1849" s="33" t="s">
        <v>159</v>
      </c>
      <c r="K1849" s="33" t="s">
        <v>184</v>
      </c>
      <c r="L1849" s="35" t="n">
        <v>3129.05</v>
      </c>
      <c r="M1849" s="33" t="n">
        <v>2</v>
      </c>
      <c r="N1849" s="33" t="s">
        <v>146</v>
      </c>
      <c r="O1849" s="33" t="s">
        <v>147</v>
      </c>
    </row>
    <row r="1850" customFormat="false" ht="15" hidden="false" customHeight="false" outlineLevel="0" collapsed="false">
      <c r="A1850" s="33" t="s">
        <v>2040</v>
      </c>
      <c r="B1850" s="34" t="n">
        <v>45338</v>
      </c>
      <c r="C1850" s="34" t="n">
        <v>45341</v>
      </c>
      <c r="D1850" s="33" t="n">
        <v>0</v>
      </c>
      <c r="E1850" s="33" t="s">
        <v>139</v>
      </c>
      <c r="F1850" s="33" t="s">
        <v>155</v>
      </c>
      <c r="G1850" s="33" t="s">
        <v>220</v>
      </c>
      <c r="H1850" s="33" t="s">
        <v>222</v>
      </c>
      <c r="I1850" s="33" t="s">
        <v>143</v>
      </c>
      <c r="J1850" s="33" t="s">
        <v>159</v>
      </c>
      <c r="K1850" s="33" t="s">
        <v>145</v>
      </c>
      <c r="L1850" s="35" t="n">
        <v>1966.86</v>
      </c>
      <c r="M1850" s="33" t="n">
        <v>4</v>
      </c>
      <c r="N1850" s="33" t="s">
        <v>146</v>
      </c>
      <c r="O1850" s="33" t="s">
        <v>147</v>
      </c>
    </row>
    <row r="1851" customFormat="false" ht="15" hidden="false" customHeight="false" outlineLevel="0" collapsed="false">
      <c r="A1851" s="33" t="s">
        <v>2041</v>
      </c>
      <c r="B1851" s="34" t="n">
        <v>45321</v>
      </c>
      <c r="C1851" s="34" t="n">
        <v>45322</v>
      </c>
      <c r="D1851" s="33" t="n">
        <v>44</v>
      </c>
      <c r="E1851" s="33" t="s">
        <v>139</v>
      </c>
      <c r="F1851" s="33" t="s">
        <v>191</v>
      </c>
      <c r="G1851" s="33" t="s">
        <v>232</v>
      </c>
      <c r="H1851" s="33" t="s">
        <v>233</v>
      </c>
      <c r="I1851" s="33" t="s">
        <v>143</v>
      </c>
      <c r="J1851" s="33" t="s">
        <v>159</v>
      </c>
      <c r="K1851" s="33" t="s">
        <v>184</v>
      </c>
      <c r="L1851" s="35" t="n">
        <v>989.37</v>
      </c>
      <c r="M1851" s="33" t="n">
        <v>3</v>
      </c>
      <c r="N1851" s="33" t="s">
        <v>146</v>
      </c>
      <c r="O1851" s="33" t="s">
        <v>147</v>
      </c>
    </row>
    <row r="1852" customFormat="false" ht="15" hidden="false" customHeight="false" outlineLevel="0" collapsed="false">
      <c r="A1852" s="33" t="s">
        <v>1818</v>
      </c>
      <c r="B1852" s="34" t="n">
        <v>45347</v>
      </c>
      <c r="C1852" s="34" t="n">
        <v>45350</v>
      </c>
      <c r="D1852" s="33" t="n">
        <v>3</v>
      </c>
      <c r="E1852" s="33" t="s">
        <v>139</v>
      </c>
      <c r="F1852" s="33" t="s">
        <v>140</v>
      </c>
      <c r="G1852" s="33" t="s">
        <v>141</v>
      </c>
      <c r="H1852" s="33" t="s">
        <v>290</v>
      </c>
      <c r="I1852" s="33" t="s">
        <v>143</v>
      </c>
      <c r="J1852" s="33" t="s">
        <v>159</v>
      </c>
      <c r="K1852" s="33" t="s">
        <v>160</v>
      </c>
      <c r="L1852" s="35" t="n">
        <v>5745.47</v>
      </c>
      <c r="M1852" s="33" t="n">
        <v>4</v>
      </c>
      <c r="N1852" s="33" t="s">
        <v>210</v>
      </c>
      <c r="O1852" s="33" t="s">
        <v>147</v>
      </c>
    </row>
    <row r="1853" customFormat="false" ht="15" hidden="false" customHeight="false" outlineLevel="0" collapsed="false">
      <c r="A1853" s="33" t="s">
        <v>2042</v>
      </c>
      <c r="B1853" s="34" t="n">
        <v>45473</v>
      </c>
      <c r="C1853" s="34" t="n">
        <v>45474</v>
      </c>
      <c r="D1853" s="33" t="n">
        <v>57</v>
      </c>
      <c r="E1853" s="33" t="s">
        <v>154</v>
      </c>
      <c r="F1853" s="33" t="s">
        <v>181</v>
      </c>
      <c r="G1853" s="33" t="s">
        <v>237</v>
      </c>
      <c r="H1853" s="33" t="s">
        <v>245</v>
      </c>
      <c r="I1853" s="33" t="s">
        <v>152</v>
      </c>
      <c r="J1853" s="33" t="s">
        <v>159</v>
      </c>
      <c r="K1853" s="33" t="s">
        <v>209</v>
      </c>
      <c r="L1853" s="35" t="n">
        <v>2224.82</v>
      </c>
      <c r="M1853" s="33" t="n">
        <v>3</v>
      </c>
      <c r="N1853" s="33" t="s">
        <v>146</v>
      </c>
      <c r="O1853" s="33" t="s">
        <v>147</v>
      </c>
    </row>
    <row r="1854" customFormat="false" ht="15" hidden="false" customHeight="false" outlineLevel="0" collapsed="false">
      <c r="A1854" s="33" t="s">
        <v>2043</v>
      </c>
      <c r="B1854" s="34" t="n">
        <v>45450</v>
      </c>
      <c r="C1854" s="34" t="n">
        <v>45453</v>
      </c>
      <c r="D1854" s="33" t="n">
        <v>5</v>
      </c>
      <c r="E1854" s="33" t="s">
        <v>139</v>
      </c>
      <c r="F1854" s="33" t="s">
        <v>155</v>
      </c>
      <c r="G1854" s="33" t="s">
        <v>220</v>
      </c>
      <c r="H1854" s="33" t="s">
        <v>157</v>
      </c>
      <c r="I1854" s="33" t="s">
        <v>143</v>
      </c>
      <c r="J1854" s="33" t="s">
        <v>159</v>
      </c>
      <c r="K1854" s="33" t="s">
        <v>160</v>
      </c>
      <c r="L1854" s="35" t="n">
        <v>2320.9</v>
      </c>
      <c r="M1854" s="33" t="n">
        <v>5</v>
      </c>
      <c r="N1854" s="33" t="s">
        <v>146</v>
      </c>
      <c r="O1854" s="33" t="s">
        <v>147</v>
      </c>
    </row>
    <row r="1855" customFormat="false" ht="15" hidden="false" customHeight="false" outlineLevel="0" collapsed="false">
      <c r="A1855" s="33" t="s">
        <v>2044</v>
      </c>
      <c r="B1855" s="34" t="n">
        <v>45300</v>
      </c>
      <c r="C1855" s="34" t="n">
        <v>45303</v>
      </c>
      <c r="D1855" s="33" t="n">
        <v>50</v>
      </c>
      <c r="E1855" s="33" t="s">
        <v>154</v>
      </c>
      <c r="F1855" s="33" t="s">
        <v>212</v>
      </c>
      <c r="G1855" s="33" t="s">
        <v>163</v>
      </c>
      <c r="H1855" s="33" t="s">
        <v>164</v>
      </c>
      <c r="I1855" s="33" t="s">
        <v>152</v>
      </c>
      <c r="J1855" s="33" t="s">
        <v>159</v>
      </c>
      <c r="K1855" s="33" t="s">
        <v>145</v>
      </c>
      <c r="L1855" s="35" t="n">
        <v>3627.76</v>
      </c>
      <c r="M1855" s="36"/>
      <c r="N1855" s="33" t="s">
        <v>146</v>
      </c>
      <c r="O1855" s="33" t="s">
        <v>147</v>
      </c>
    </row>
    <row r="1856" customFormat="false" ht="15" hidden="false" customHeight="false" outlineLevel="0" collapsed="false">
      <c r="A1856" s="33" t="s">
        <v>2045</v>
      </c>
      <c r="B1856" s="34" t="n">
        <v>45547</v>
      </c>
      <c r="C1856" s="34" t="n">
        <v>45549</v>
      </c>
      <c r="D1856" s="33" t="n">
        <v>57</v>
      </c>
      <c r="E1856" s="33" t="s">
        <v>154</v>
      </c>
      <c r="F1856" s="33" t="s">
        <v>191</v>
      </c>
      <c r="G1856" s="33" t="s">
        <v>217</v>
      </c>
      <c r="H1856" s="33" t="s">
        <v>193</v>
      </c>
      <c r="I1856" s="33" t="s">
        <v>143</v>
      </c>
      <c r="J1856" s="33" t="s">
        <v>159</v>
      </c>
      <c r="K1856" s="33" t="s">
        <v>145</v>
      </c>
      <c r="L1856" s="35" t="n">
        <v>2042.86</v>
      </c>
      <c r="M1856" s="33" t="n">
        <v>3</v>
      </c>
      <c r="N1856" s="33" t="s">
        <v>146</v>
      </c>
      <c r="O1856" s="33" t="s">
        <v>147</v>
      </c>
    </row>
    <row r="1857" customFormat="false" ht="15" hidden="false" customHeight="false" outlineLevel="0" collapsed="false">
      <c r="A1857" s="33" t="s">
        <v>2046</v>
      </c>
      <c r="B1857" s="34" t="n">
        <v>45501</v>
      </c>
      <c r="C1857" s="34" t="n">
        <v>45502</v>
      </c>
      <c r="D1857" s="33" t="n">
        <v>36</v>
      </c>
      <c r="E1857" s="33" t="s">
        <v>154</v>
      </c>
      <c r="F1857" s="33" t="s">
        <v>173</v>
      </c>
      <c r="G1857" s="33" t="s">
        <v>174</v>
      </c>
      <c r="H1857" s="33" t="s">
        <v>175</v>
      </c>
      <c r="I1857" s="33" t="s">
        <v>143</v>
      </c>
      <c r="J1857" s="33" t="s">
        <v>159</v>
      </c>
      <c r="K1857" s="33" t="s">
        <v>145</v>
      </c>
      <c r="L1857" s="35" t="n">
        <v>2705</v>
      </c>
      <c r="M1857" s="33" t="n">
        <v>3</v>
      </c>
      <c r="N1857" s="33" t="s">
        <v>146</v>
      </c>
      <c r="O1857" s="33" t="s">
        <v>147</v>
      </c>
    </row>
    <row r="1858" customFormat="false" ht="15" hidden="false" customHeight="false" outlineLevel="0" collapsed="false">
      <c r="A1858" s="33" t="s">
        <v>2047</v>
      </c>
      <c r="B1858" s="34" t="n">
        <v>45528</v>
      </c>
      <c r="C1858" s="34" t="n">
        <v>45535</v>
      </c>
      <c r="D1858" s="33" t="n">
        <v>39</v>
      </c>
      <c r="E1858" s="33" t="s">
        <v>154</v>
      </c>
      <c r="F1858" s="33" t="s">
        <v>181</v>
      </c>
      <c r="G1858" s="33" t="s">
        <v>188</v>
      </c>
      <c r="H1858" s="33" t="s">
        <v>245</v>
      </c>
      <c r="I1858" s="33" t="s">
        <v>143</v>
      </c>
      <c r="J1858" s="33" t="s">
        <v>159</v>
      </c>
      <c r="K1858" s="33" t="s">
        <v>184</v>
      </c>
      <c r="L1858" s="35" t="n">
        <v>14291.27</v>
      </c>
      <c r="M1858" s="33" t="n">
        <v>4</v>
      </c>
      <c r="N1858" s="33" t="s">
        <v>146</v>
      </c>
      <c r="O1858" s="33" t="s">
        <v>147</v>
      </c>
    </row>
    <row r="1859" customFormat="false" ht="15" hidden="false" customHeight="false" outlineLevel="0" collapsed="false">
      <c r="A1859" s="33" t="s">
        <v>2048</v>
      </c>
      <c r="B1859" s="34" t="n">
        <v>45422</v>
      </c>
      <c r="C1859" s="34" t="n">
        <v>45423</v>
      </c>
      <c r="D1859" s="33" t="n">
        <v>15</v>
      </c>
      <c r="E1859" s="33" t="s">
        <v>139</v>
      </c>
      <c r="F1859" s="33" t="s">
        <v>203</v>
      </c>
      <c r="G1859" s="33" t="s">
        <v>217</v>
      </c>
      <c r="H1859" s="33" t="s">
        <v>193</v>
      </c>
      <c r="I1859" s="33" t="s">
        <v>143</v>
      </c>
      <c r="J1859" s="33" t="s">
        <v>159</v>
      </c>
      <c r="K1859" s="33" t="s">
        <v>145</v>
      </c>
      <c r="L1859" s="35" t="n">
        <v>1048.44</v>
      </c>
      <c r="M1859" s="33" t="n">
        <v>2</v>
      </c>
      <c r="N1859" s="33" t="s">
        <v>146</v>
      </c>
      <c r="O1859" s="33" t="s">
        <v>147</v>
      </c>
    </row>
    <row r="1860" customFormat="false" ht="15" hidden="false" customHeight="false" outlineLevel="0" collapsed="false">
      <c r="A1860" s="33" t="s">
        <v>2049</v>
      </c>
      <c r="B1860" s="34" t="n">
        <v>45616</v>
      </c>
      <c r="C1860" s="34" t="n">
        <v>45620</v>
      </c>
      <c r="D1860" s="33" t="n">
        <v>24</v>
      </c>
      <c r="E1860" s="33" t="s">
        <v>154</v>
      </c>
      <c r="F1860" s="33" t="s">
        <v>140</v>
      </c>
      <c r="G1860" s="33" t="s">
        <v>167</v>
      </c>
      <c r="H1860" s="33" t="s">
        <v>290</v>
      </c>
      <c r="I1860" s="33" t="s">
        <v>143</v>
      </c>
      <c r="J1860" s="33" t="s">
        <v>144</v>
      </c>
      <c r="K1860" s="33" t="s">
        <v>184</v>
      </c>
      <c r="L1860" s="35" t="n">
        <v>18393.91</v>
      </c>
      <c r="M1860" s="33" t="n">
        <v>4</v>
      </c>
      <c r="N1860" s="33" t="s">
        <v>146</v>
      </c>
      <c r="O1860" s="33" t="s">
        <v>147</v>
      </c>
    </row>
    <row r="1861" customFormat="false" ht="15" hidden="false" customHeight="false" outlineLevel="0" collapsed="false">
      <c r="A1861" s="33" t="s">
        <v>2050</v>
      </c>
      <c r="B1861" s="34" t="n">
        <v>45293</v>
      </c>
      <c r="C1861" s="34" t="n">
        <v>45298</v>
      </c>
      <c r="D1861" s="33" t="n">
        <v>66</v>
      </c>
      <c r="E1861" s="33" t="s">
        <v>154</v>
      </c>
      <c r="F1861" s="33" t="s">
        <v>181</v>
      </c>
      <c r="G1861" s="33" t="s">
        <v>188</v>
      </c>
      <c r="H1861" s="33" t="s">
        <v>183</v>
      </c>
      <c r="I1861" s="33" t="s">
        <v>152</v>
      </c>
      <c r="J1861" s="33" t="s">
        <v>159</v>
      </c>
      <c r="K1861" s="36"/>
      <c r="L1861" s="35" t="n">
        <v>12032.37</v>
      </c>
      <c r="M1861" s="33" t="n">
        <v>5</v>
      </c>
      <c r="N1861" s="33" t="s">
        <v>210</v>
      </c>
      <c r="O1861" s="33" t="s">
        <v>147</v>
      </c>
    </row>
    <row r="1862" customFormat="false" ht="15" hidden="false" customHeight="false" outlineLevel="0" collapsed="false">
      <c r="A1862" s="33" t="s">
        <v>2051</v>
      </c>
      <c r="B1862" s="34" t="n">
        <v>45408</v>
      </c>
      <c r="C1862" s="34" t="n">
        <v>45411</v>
      </c>
      <c r="D1862" s="33" t="n">
        <v>66</v>
      </c>
      <c r="E1862" s="33" t="s">
        <v>190</v>
      </c>
      <c r="F1862" s="33" t="s">
        <v>181</v>
      </c>
      <c r="G1862" s="33" t="s">
        <v>188</v>
      </c>
      <c r="H1862" s="33" t="s">
        <v>245</v>
      </c>
      <c r="I1862" s="33" t="s">
        <v>143</v>
      </c>
      <c r="J1862" s="33" t="s">
        <v>144</v>
      </c>
      <c r="K1862" s="33" t="s">
        <v>145</v>
      </c>
      <c r="L1862" s="35" t="n">
        <v>11412.53</v>
      </c>
      <c r="M1862" s="33" t="n">
        <v>4</v>
      </c>
      <c r="N1862" s="33" t="s">
        <v>210</v>
      </c>
      <c r="O1862" s="33" t="s">
        <v>147</v>
      </c>
    </row>
    <row r="1863" customFormat="false" ht="15" hidden="false" customHeight="false" outlineLevel="0" collapsed="false">
      <c r="A1863" s="33" t="s">
        <v>2052</v>
      </c>
      <c r="B1863" s="34" t="n">
        <v>45599</v>
      </c>
      <c r="C1863" s="34" t="n">
        <v>45602</v>
      </c>
      <c r="D1863" s="33" t="n">
        <v>42</v>
      </c>
      <c r="E1863" s="33" t="s">
        <v>154</v>
      </c>
      <c r="F1863" s="33" t="s">
        <v>173</v>
      </c>
      <c r="G1863" s="33" t="s">
        <v>178</v>
      </c>
      <c r="H1863" s="33" t="s">
        <v>199</v>
      </c>
      <c r="I1863" s="33" t="s">
        <v>143</v>
      </c>
      <c r="J1863" s="33" t="s">
        <v>159</v>
      </c>
      <c r="K1863" s="33" t="s">
        <v>160</v>
      </c>
      <c r="L1863" s="35" t="n">
        <v>8937.58</v>
      </c>
      <c r="M1863" s="36"/>
      <c r="N1863" s="33" t="s">
        <v>146</v>
      </c>
      <c r="O1863" s="33" t="s">
        <v>147</v>
      </c>
    </row>
    <row r="1864" customFormat="false" ht="15" hidden="false" customHeight="false" outlineLevel="0" collapsed="false">
      <c r="A1864" s="33" t="s">
        <v>2053</v>
      </c>
      <c r="B1864" s="34" t="n">
        <v>45563</v>
      </c>
      <c r="C1864" s="34" t="n">
        <v>45568</v>
      </c>
      <c r="D1864" s="33" t="n">
        <v>76</v>
      </c>
      <c r="E1864" s="33" t="s">
        <v>139</v>
      </c>
      <c r="F1864" s="33" t="s">
        <v>181</v>
      </c>
      <c r="G1864" s="33" t="s">
        <v>237</v>
      </c>
      <c r="H1864" s="33" t="s">
        <v>183</v>
      </c>
      <c r="I1864" s="33" t="s">
        <v>143</v>
      </c>
      <c r="J1864" s="33" t="s">
        <v>144</v>
      </c>
      <c r="K1864" s="33" t="s">
        <v>160</v>
      </c>
      <c r="L1864" s="35" t="n">
        <v>18134.06</v>
      </c>
      <c r="M1864" s="33" t="n">
        <v>4</v>
      </c>
      <c r="N1864" s="33" t="s">
        <v>146</v>
      </c>
      <c r="O1864" s="33" t="s">
        <v>147</v>
      </c>
    </row>
    <row r="1865" customFormat="false" ht="15" hidden="false" customHeight="false" outlineLevel="0" collapsed="false">
      <c r="A1865" s="33" t="s">
        <v>2054</v>
      </c>
      <c r="B1865" s="34" t="n">
        <v>45385</v>
      </c>
      <c r="C1865" s="34" t="n">
        <v>45389</v>
      </c>
      <c r="D1865" s="33" t="n">
        <v>39</v>
      </c>
      <c r="E1865" s="33" t="s">
        <v>154</v>
      </c>
      <c r="F1865" s="33" t="s">
        <v>169</v>
      </c>
      <c r="G1865" s="33" t="s">
        <v>170</v>
      </c>
      <c r="H1865" s="33" t="s">
        <v>164</v>
      </c>
      <c r="I1865" s="33" t="s">
        <v>152</v>
      </c>
      <c r="J1865" s="33" t="s">
        <v>159</v>
      </c>
      <c r="K1865" s="33" t="s">
        <v>145</v>
      </c>
      <c r="L1865" s="35" t="n">
        <v>4421.89</v>
      </c>
      <c r="M1865" s="33" t="n">
        <v>4</v>
      </c>
      <c r="N1865" s="33" t="s">
        <v>146</v>
      </c>
      <c r="O1865" s="33" t="s">
        <v>147</v>
      </c>
    </row>
    <row r="1866" customFormat="false" ht="15" hidden="false" customHeight="false" outlineLevel="0" collapsed="false">
      <c r="A1866" s="33" t="s">
        <v>2055</v>
      </c>
      <c r="B1866" s="34" t="n">
        <v>45537</v>
      </c>
      <c r="C1866" s="34" t="n">
        <v>45538</v>
      </c>
      <c r="D1866" s="33" t="n">
        <v>3</v>
      </c>
      <c r="E1866" s="33" t="s">
        <v>257</v>
      </c>
      <c r="F1866" s="33" t="s">
        <v>155</v>
      </c>
      <c r="G1866" s="33" t="s">
        <v>156</v>
      </c>
      <c r="H1866" s="33" t="s">
        <v>222</v>
      </c>
      <c r="I1866" s="33" t="s">
        <v>152</v>
      </c>
      <c r="J1866" s="33" t="s">
        <v>159</v>
      </c>
      <c r="K1866" s="33" t="s">
        <v>184</v>
      </c>
      <c r="L1866" s="35" t="n">
        <v>889.07</v>
      </c>
      <c r="M1866" s="33" t="n">
        <v>4</v>
      </c>
      <c r="N1866" s="33" t="s">
        <v>146</v>
      </c>
      <c r="O1866" s="33" t="s">
        <v>147</v>
      </c>
    </row>
    <row r="1867" customFormat="false" ht="15" hidden="false" customHeight="false" outlineLevel="0" collapsed="false">
      <c r="A1867" s="33" t="s">
        <v>2056</v>
      </c>
      <c r="B1867" s="34" t="n">
        <v>45586</v>
      </c>
      <c r="C1867" s="34" t="n">
        <v>45590</v>
      </c>
      <c r="D1867" s="33" t="n">
        <v>44</v>
      </c>
      <c r="E1867" s="33" t="s">
        <v>139</v>
      </c>
      <c r="F1867" s="33" t="s">
        <v>169</v>
      </c>
      <c r="G1867" s="33" t="s">
        <v>163</v>
      </c>
      <c r="H1867" s="33" t="s">
        <v>195</v>
      </c>
      <c r="I1867" s="33" t="s">
        <v>143</v>
      </c>
      <c r="J1867" s="33" t="s">
        <v>159</v>
      </c>
      <c r="K1867" s="33" t="s">
        <v>145</v>
      </c>
      <c r="L1867" s="35" t="n">
        <v>4877.22</v>
      </c>
      <c r="M1867" s="33" t="n">
        <v>5</v>
      </c>
      <c r="N1867" s="33" t="s">
        <v>146</v>
      </c>
      <c r="O1867" s="33" t="s">
        <v>147</v>
      </c>
    </row>
    <row r="1868" customFormat="false" ht="15" hidden="false" customHeight="false" outlineLevel="0" collapsed="false">
      <c r="A1868" s="33" t="s">
        <v>2057</v>
      </c>
      <c r="B1868" s="34" t="n">
        <v>45498</v>
      </c>
      <c r="C1868" s="34" t="n">
        <v>45504</v>
      </c>
      <c r="D1868" s="33" t="n">
        <v>44</v>
      </c>
      <c r="E1868" s="33" t="s">
        <v>139</v>
      </c>
      <c r="F1868" s="33" t="s">
        <v>169</v>
      </c>
      <c r="G1868" s="33" t="s">
        <v>230</v>
      </c>
      <c r="H1868" s="33" t="s">
        <v>164</v>
      </c>
      <c r="I1868" s="33" t="s">
        <v>143</v>
      </c>
      <c r="J1868" s="33" t="s">
        <v>159</v>
      </c>
      <c r="K1868" s="33" t="s">
        <v>145</v>
      </c>
      <c r="L1868" s="35" t="n">
        <v>5974.33</v>
      </c>
      <c r="M1868" s="33" t="n">
        <v>4</v>
      </c>
      <c r="N1868" s="33" t="s">
        <v>146</v>
      </c>
      <c r="O1868" s="33" t="s">
        <v>147</v>
      </c>
    </row>
    <row r="1869" customFormat="false" ht="15" hidden="false" customHeight="false" outlineLevel="0" collapsed="false">
      <c r="A1869" s="33" t="s">
        <v>2058</v>
      </c>
      <c r="B1869" s="34" t="n">
        <v>45557</v>
      </c>
      <c r="C1869" s="34" t="n">
        <v>45560</v>
      </c>
      <c r="D1869" s="33" t="n">
        <v>49</v>
      </c>
      <c r="E1869" s="33" t="s">
        <v>139</v>
      </c>
      <c r="F1869" s="33" t="s">
        <v>203</v>
      </c>
      <c r="G1869" s="33" t="s">
        <v>192</v>
      </c>
      <c r="H1869" s="33" t="s">
        <v>193</v>
      </c>
      <c r="I1869" s="33" t="s">
        <v>143</v>
      </c>
      <c r="J1869" s="33" t="s">
        <v>159</v>
      </c>
      <c r="K1869" s="33" t="s">
        <v>160</v>
      </c>
      <c r="L1869" s="35" t="n">
        <v>2448.02</v>
      </c>
      <c r="M1869" s="33" t="n">
        <v>4</v>
      </c>
      <c r="N1869" s="33" t="s">
        <v>146</v>
      </c>
      <c r="O1869" s="33" t="s">
        <v>247</v>
      </c>
    </row>
    <row r="1870" customFormat="false" ht="15" hidden="false" customHeight="false" outlineLevel="0" collapsed="false">
      <c r="A1870" s="33" t="s">
        <v>2059</v>
      </c>
      <c r="B1870" s="34" t="n">
        <v>45482</v>
      </c>
      <c r="C1870" s="34" t="n">
        <v>45484</v>
      </c>
      <c r="D1870" s="33" t="n">
        <v>38</v>
      </c>
      <c r="E1870" s="33" t="s">
        <v>139</v>
      </c>
      <c r="F1870" s="33" t="s">
        <v>203</v>
      </c>
      <c r="G1870" s="33" t="s">
        <v>217</v>
      </c>
      <c r="H1870" s="33" t="s">
        <v>205</v>
      </c>
      <c r="I1870" s="33" t="s">
        <v>143</v>
      </c>
      <c r="J1870" s="33" t="s">
        <v>176</v>
      </c>
      <c r="K1870" s="33" t="s">
        <v>160</v>
      </c>
      <c r="L1870" s="35" t="n">
        <v>5189.16</v>
      </c>
      <c r="M1870" s="33" t="n">
        <v>3</v>
      </c>
      <c r="N1870" s="33" t="s">
        <v>210</v>
      </c>
      <c r="O1870" s="33" t="s">
        <v>147</v>
      </c>
    </row>
    <row r="1871" customFormat="false" ht="15" hidden="false" customHeight="false" outlineLevel="0" collapsed="false">
      <c r="A1871" s="33" t="s">
        <v>898</v>
      </c>
      <c r="B1871" s="34" t="n">
        <v>45646</v>
      </c>
      <c r="C1871" s="34" t="n">
        <v>45647</v>
      </c>
      <c r="D1871" s="33" t="n">
        <v>29</v>
      </c>
      <c r="E1871" s="33" t="s">
        <v>139</v>
      </c>
      <c r="F1871" s="33" t="s">
        <v>203</v>
      </c>
      <c r="G1871" s="33" t="s">
        <v>232</v>
      </c>
      <c r="H1871" s="33" t="s">
        <v>193</v>
      </c>
      <c r="I1871" s="33" t="s">
        <v>143</v>
      </c>
      <c r="J1871" s="33" t="s">
        <v>144</v>
      </c>
      <c r="K1871" s="33" t="s">
        <v>184</v>
      </c>
      <c r="L1871" s="35" t="n">
        <v>1446.15</v>
      </c>
      <c r="M1871" s="33" t="n">
        <v>4</v>
      </c>
      <c r="N1871" s="33" t="s">
        <v>146</v>
      </c>
      <c r="O1871" s="33" t="s">
        <v>147</v>
      </c>
    </row>
    <row r="1872" customFormat="false" ht="15" hidden="false" customHeight="false" outlineLevel="0" collapsed="false">
      <c r="A1872" s="33" t="s">
        <v>2060</v>
      </c>
      <c r="B1872" s="34" t="n">
        <v>45515</v>
      </c>
      <c r="C1872" s="34" t="n">
        <v>45519</v>
      </c>
      <c r="D1872" s="33" t="n">
        <v>59</v>
      </c>
      <c r="E1872" s="33" t="s">
        <v>257</v>
      </c>
      <c r="F1872" s="33" t="s">
        <v>226</v>
      </c>
      <c r="G1872" s="33" t="s">
        <v>227</v>
      </c>
      <c r="H1872" s="33" t="s">
        <v>263</v>
      </c>
      <c r="I1872" s="33" t="s">
        <v>143</v>
      </c>
      <c r="J1872" s="33" t="s">
        <v>144</v>
      </c>
      <c r="K1872" s="33" t="s">
        <v>184</v>
      </c>
      <c r="L1872" s="35" t="n">
        <v>21531.68</v>
      </c>
      <c r="M1872" s="33" t="n">
        <v>4</v>
      </c>
      <c r="N1872" s="33" t="s">
        <v>146</v>
      </c>
      <c r="O1872" s="33" t="s">
        <v>147</v>
      </c>
    </row>
    <row r="1873" customFormat="false" ht="15" hidden="false" customHeight="false" outlineLevel="0" collapsed="false">
      <c r="A1873" s="33" t="s">
        <v>2061</v>
      </c>
      <c r="B1873" s="34" t="n">
        <v>45480</v>
      </c>
      <c r="C1873" s="34" t="n">
        <v>45485</v>
      </c>
      <c r="D1873" s="33" t="n">
        <v>35</v>
      </c>
      <c r="E1873" s="33" t="s">
        <v>139</v>
      </c>
      <c r="F1873" s="33" t="s">
        <v>149</v>
      </c>
      <c r="G1873" s="33" t="s">
        <v>243</v>
      </c>
      <c r="H1873" s="33" t="s">
        <v>186</v>
      </c>
      <c r="I1873" s="33" t="s">
        <v>143</v>
      </c>
      <c r="J1873" s="33" t="s">
        <v>159</v>
      </c>
      <c r="K1873" s="33" t="s">
        <v>184</v>
      </c>
      <c r="L1873" s="35" t="n">
        <v>7618.47</v>
      </c>
      <c r="M1873" s="33" t="n">
        <v>4</v>
      </c>
      <c r="N1873" s="33" t="s">
        <v>146</v>
      </c>
      <c r="O1873" s="33" t="s">
        <v>147</v>
      </c>
    </row>
    <row r="1874" customFormat="false" ht="15" hidden="false" customHeight="false" outlineLevel="0" collapsed="false">
      <c r="A1874" s="33" t="s">
        <v>2062</v>
      </c>
      <c r="B1874" s="34" t="n">
        <v>45360</v>
      </c>
      <c r="C1874" s="34" t="n">
        <v>45361</v>
      </c>
      <c r="D1874" s="33" t="n">
        <v>39</v>
      </c>
      <c r="E1874" s="33" t="s">
        <v>154</v>
      </c>
      <c r="F1874" s="33" t="s">
        <v>203</v>
      </c>
      <c r="G1874" s="33" t="s">
        <v>204</v>
      </c>
      <c r="H1874" s="33" t="s">
        <v>193</v>
      </c>
      <c r="I1874" s="33" t="s">
        <v>143</v>
      </c>
      <c r="J1874" s="33" t="s">
        <v>159</v>
      </c>
      <c r="K1874" s="33" t="s">
        <v>184</v>
      </c>
      <c r="L1874" s="35" t="n">
        <v>739.53</v>
      </c>
      <c r="M1874" s="33" t="n">
        <v>4</v>
      </c>
      <c r="N1874" s="33" t="s">
        <v>146</v>
      </c>
      <c r="O1874" s="33" t="s">
        <v>147</v>
      </c>
    </row>
    <row r="1875" customFormat="false" ht="15" hidden="false" customHeight="false" outlineLevel="0" collapsed="false">
      <c r="A1875" s="33" t="s">
        <v>856</v>
      </c>
      <c r="B1875" s="34" t="n">
        <v>45444</v>
      </c>
      <c r="C1875" s="34" t="n">
        <v>45446</v>
      </c>
      <c r="D1875" s="33" t="n">
        <v>39</v>
      </c>
      <c r="E1875" s="33" t="s">
        <v>139</v>
      </c>
      <c r="F1875" s="33" t="s">
        <v>203</v>
      </c>
      <c r="G1875" s="33" t="s">
        <v>192</v>
      </c>
      <c r="H1875" s="33" t="s">
        <v>193</v>
      </c>
      <c r="I1875" s="33" t="s">
        <v>143</v>
      </c>
      <c r="J1875" s="33" t="s">
        <v>159</v>
      </c>
      <c r="K1875" s="36"/>
      <c r="L1875" s="35" t="n">
        <v>1867.95</v>
      </c>
      <c r="M1875" s="33" t="n">
        <v>4</v>
      </c>
      <c r="N1875" s="33" t="s">
        <v>146</v>
      </c>
      <c r="O1875" s="33" t="s">
        <v>147</v>
      </c>
    </row>
    <row r="1876" customFormat="false" ht="15" hidden="false" customHeight="false" outlineLevel="0" collapsed="false">
      <c r="A1876" s="33" t="s">
        <v>2063</v>
      </c>
      <c r="B1876" s="34" t="n">
        <v>45473</v>
      </c>
      <c r="C1876" s="34" t="n">
        <v>45475</v>
      </c>
      <c r="D1876" s="33" t="n">
        <v>28</v>
      </c>
      <c r="E1876" s="33" t="s">
        <v>216</v>
      </c>
      <c r="F1876" s="33" t="s">
        <v>169</v>
      </c>
      <c r="G1876" s="33" t="s">
        <v>230</v>
      </c>
      <c r="H1876" s="33" t="s">
        <v>195</v>
      </c>
      <c r="I1876" s="33" t="s">
        <v>143</v>
      </c>
      <c r="J1876" s="33" t="s">
        <v>159</v>
      </c>
      <c r="K1876" s="33" t="s">
        <v>160</v>
      </c>
      <c r="L1876" s="35" t="n">
        <v>2389.05</v>
      </c>
      <c r="M1876" s="33" t="n">
        <v>5</v>
      </c>
      <c r="N1876" s="33" t="s">
        <v>146</v>
      </c>
      <c r="O1876" s="36"/>
    </row>
    <row r="1877" customFormat="false" ht="15" hidden="false" customHeight="false" outlineLevel="0" collapsed="false">
      <c r="A1877" s="33" t="s">
        <v>2064</v>
      </c>
      <c r="B1877" s="34" t="n">
        <v>45574</v>
      </c>
      <c r="C1877" s="34" t="n">
        <v>45575</v>
      </c>
      <c r="D1877" s="33" t="n">
        <v>35</v>
      </c>
      <c r="E1877" s="33" t="s">
        <v>139</v>
      </c>
      <c r="F1877" s="33" t="s">
        <v>203</v>
      </c>
      <c r="G1877" s="33" t="s">
        <v>232</v>
      </c>
      <c r="H1877" s="33" t="s">
        <v>233</v>
      </c>
      <c r="I1877" s="33" t="s">
        <v>143</v>
      </c>
      <c r="J1877" s="33" t="s">
        <v>176</v>
      </c>
      <c r="K1877" s="33" t="s">
        <v>160</v>
      </c>
      <c r="L1877" s="35" t="n">
        <v>3443.32</v>
      </c>
      <c r="M1877" s="36"/>
      <c r="N1877" s="33" t="s">
        <v>146</v>
      </c>
      <c r="O1877" s="33" t="s">
        <v>206</v>
      </c>
    </row>
    <row r="1878" customFormat="false" ht="15" hidden="false" customHeight="false" outlineLevel="0" collapsed="false">
      <c r="A1878" s="33" t="s">
        <v>2065</v>
      </c>
      <c r="B1878" s="34" t="n">
        <v>45577</v>
      </c>
      <c r="C1878" s="34" t="n">
        <v>45578</v>
      </c>
      <c r="D1878" s="33" t="n">
        <v>74</v>
      </c>
      <c r="E1878" s="33" t="s">
        <v>154</v>
      </c>
      <c r="F1878" s="33" t="s">
        <v>203</v>
      </c>
      <c r="G1878" s="33" t="s">
        <v>217</v>
      </c>
      <c r="H1878" s="33" t="s">
        <v>193</v>
      </c>
      <c r="I1878" s="33" t="s">
        <v>143</v>
      </c>
      <c r="J1878" s="33" t="s">
        <v>159</v>
      </c>
      <c r="K1878" s="33" t="s">
        <v>184</v>
      </c>
      <c r="L1878" s="35" t="n">
        <v>892.88</v>
      </c>
      <c r="M1878" s="33" t="n">
        <v>5</v>
      </c>
      <c r="N1878" s="33" t="s">
        <v>146</v>
      </c>
      <c r="O1878" s="33" t="s">
        <v>147</v>
      </c>
    </row>
    <row r="1879" customFormat="false" ht="15" hidden="false" customHeight="false" outlineLevel="0" collapsed="false">
      <c r="A1879" s="33" t="s">
        <v>2066</v>
      </c>
      <c r="B1879" s="34" t="n">
        <v>45382</v>
      </c>
      <c r="C1879" s="34" t="n">
        <v>45386</v>
      </c>
      <c r="D1879" s="33" t="n">
        <v>14</v>
      </c>
      <c r="E1879" s="33" t="s">
        <v>154</v>
      </c>
      <c r="F1879" s="33" t="s">
        <v>155</v>
      </c>
      <c r="G1879" s="33" t="s">
        <v>302</v>
      </c>
      <c r="H1879" s="33" t="s">
        <v>222</v>
      </c>
      <c r="I1879" s="33" t="s">
        <v>158</v>
      </c>
      <c r="J1879" s="33" t="s">
        <v>159</v>
      </c>
      <c r="K1879" s="33" t="s">
        <v>145</v>
      </c>
      <c r="L1879" s="35" t="n">
        <v>3951.78</v>
      </c>
      <c r="M1879" s="33" t="n">
        <v>5</v>
      </c>
      <c r="N1879" s="33" t="s">
        <v>146</v>
      </c>
      <c r="O1879" s="33" t="s">
        <v>147</v>
      </c>
    </row>
    <row r="1880" customFormat="false" ht="15" hidden="false" customHeight="false" outlineLevel="0" collapsed="false">
      <c r="A1880" s="33" t="s">
        <v>2067</v>
      </c>
      <c r="B1880" s="34" t="n">
        <v>45408</v>
      </c>
      <c r="C1880" s="34" t="n">
        <v>45415</v>
      </c>
      <c r="D1880" s="33" t="n">
        <v>57</v>
      </c>
      <c r="E1880" s="33" t="s">
        <v>216</v>
      </c>
      <c r="F1880" s="33" t="s">
        <v>226</v>
      </c>
      <c r="G1880" s="33" t="s">
        <v>386</v>
      </c>
      <c r="H1880" s="33" t="s">
        <v>263</v>
      </c>
      <c r="I1880" s="33" t="s">
        <v>143</v>
      </c>
      <c r="J1880" s="33" t="s">
        <v>176</v>
      </c>
      <c r="K1880" s="33" t="s">
        <v>160</v>
      </c>
      <c r="L1880" s="35" t="n">
        <v>89976.99</v>
      </c>
      <c r="M1880" s="33" t="n">
        <v>4</v>
      </c>
      <c r="N1880" s="33" t="s">
        <v>146</v>
      </c>
      <c r="O1880" s="33" t="s">
        <v>247</v>
      </c>
    </row>
    <row r="1881" customFormat="false" ht="15" hidden="false" customHeight="false" outlineLevel="0" collapsed="false">
      <c r="A1881" s="33" t="s">
        <v>2068</v>
      </c>
      <c r="B1881" s="34" t="n">
        <v>45456</v>
      </c>
      <c r="C1881" s="34" t="n">
        <v>45457</v>
      </c>
      <c r="D1881" s="33" t="n">
        <v>1</v>
      </c>
      <c r="E1881" s="33" t="s">
        <v>139</v>
      </c>
      <c r="F1881" s="33" t="s">
        <v>155</v>
      </c>
      <c r="G1881" s="33" t="s">
        <v>220</v>
      </c>
      <c r="H1881" s="33" t="s">
        <v>222</v>
      </c>
      <c r="I1881" s="33" t="s">
        <v>143</v>
      </c>
      <c r="J1881" s="33" t="s">
        <v>159</v>
      </c>
      <c r="K1881" s="33" t="s">
        <v>209</v>
      </c>
      <c r="L1881" s="35" t="n">
        <v>789.08</v>
      </c>
      <c r="M1881" s="33" t="n">
        <v>3</v>
      </c>
      <c r="N1881" s="33" t="s">
        <v>146</v>
      </c>
      <c r="O1881" s="33" t="s">
        <v>147</v>
      </c>
    </row>
    <row r="1882" customFormat="false" ht="15" hidden="false" customHeight="false" outlineLevel="0" collapsed="false">
      <c r="A1882" s="33" t="s">
        <v>2069</v>
      </c>
      <c r="B1882" s="34" t="n">
        <v>45398</v>
      </c>
      <c r="C1882" s="34" t="n">
        <v>45399</v>
      </c>
      <c r="D1882" s="33" t="n">
        <v>10</v>
      </c>
      <c r="E1882" s="33" t="s">
        <v>154</v>
      </c>
      <c r="F1882" s="33" t="s">
        <v>155</v>
      </c>
      <c r="G1882" s="33" t="s">
        <v>220</v>
      </c>
      <c r="H1882" s="33" t="s">
        <v>222</v>
      </c>
      <c r="I1882" s="33" t="s">
        <v>152</v>
      </c>
      <c r="J1882" s="33" t="s">
        <v>159</v>
      </c>
      <c r="K1882" s="33" t="s">
        <v>184</v>
      </c>
      <c r="L1882" s="35" t="n">
        <v>877.76</v>
      </c>
      <c r="M1882" s="33" t="n">
        <v>3</v>
      </c>
      <c r="N1882" s="33" t="s">
        <v>146</v>
      </c>
      <c r="O1882" s="33" t="s">
        <v>147</v>
      </c>
    </row>
    <row r="1883" customFormat="false" ht="15" hidden="false" customHeight="false" outlineLevel="0" collapsed="false">
      <c r="A1883" s="33" t="s">
        <v>2070</v>
      </c>
      <c r="B1883" s="34" t="n">
        <v>45463</v>
      </c>
      <c r="C1883" s="34" t="n">
        <v>45467</v>
      </c>
      <c r="D1883" s="33" t="n">
        <v>28</v>
      </c>
      <c r="E1883" s="33" t="s">
        <v>139</v>
      </c>
      <c r="F1883" s="33" t="s">
        <v>149</v>
      </c>
      <c r="G1883" s="33" t="s">
        <v>150</v>
      </c>
      <c r="H1883" s="33" t="s">
        <v>151</v>
      </c>
      <c r="I1883" s="33" t="s">
        <v>143</v>
      </c>
      <c r="J1883" s="33" t="s">
        <v>159</v>
      </c>
      <c r="K1883" s="33" t="s">
        <v>184</v>
      </c>
      <c r="L1883" s="35" t="n">
        <v>6174.94</v>
      </c>
      <c r="M1883" s="33" t="n">
        <v>3</v>
      </c>
      <c r="N1883" s="33" t="s">
        <v>146</v>
      </c>
      <c r="O1883" s="33" t="s">
        <v>247</v>
      </c>
    </row>
    <row r="1884" customFormat="false" ht="15" hidden="false" customHeight="false" outlineLevel="0" collapsed="false">
      <c r="A1884" s="33" t="s">
        <v>2071</v>
      </c>
      <c r="B1884" s="34" t="n">
        <v>45529</v>
      </c>
      <c r="C1884" s="34" t="n">
        <v>45530</v>
      </c>
      <c r="D1884" s="33" t="n">
        <v>50</v>
      </c>
      <c r="E1884" s="33" t="s">
        <v>154</v>
      </c>
      <c r="F1884" s="33" t="s">
        <v>203</v>
      </c>
      <c r="G1884" s="33" t="s">
        <v>232</v>
      </c>
      <c r="H1884" s="33" t="s">
        <v>233</v>
      </c>
      <c r="I1884" s="33" t="s">
        <v>143</v>
      </c>
      <c r="J1884" s="33" t="s">
        <v>159</v>
      </c>
      <c r="K1884" s="33" t="s">
        <v>160</v>
      </c>
      <c r="L1884" s="35" t="n">
        <v>937.35</v>
      </c>
      <c r="M1884" s="33" t="n">
        <v>4</v>
      </c>
      <c r="N1884" s="33" t="s">
        <v>210</v>
      </c>
      <c r="O1884" s="33" t="s">
        <v>147</v>
      </c>
    </row>
    <row r="1885" customFormat="false" ht="15" hidden="false" customHeight="false" outlineLevel="0" collapsed="false">
      <c r="A1885" s="33" t="s">
        <v>2072</v>
      </c>
      <c r="B1885" s="34" t="n">
        <v>45418</v>
      </c>
      <c r="C1885" s="34" t="n">
        <v>45424</v>
      </c>
      <c r="D1885" s="33" t="n">
        <v>50</v>
      </c>
      <c r="E1885" s="33" t="s">
        <v>139</v>
      </c>
      <c r="F1885" s="33" t="s">
        <v>173</v>
      </c>
      <c r="G1885" s="33" t="s">
        <v>198</v>
      </c>
      <c r="H1885" s="33" t="s">
        <v>175</v>
      </c>
      <c r="I1885" s="33" t="s">
        <v>143</v>
      </c>
      <c r="J1885" s="33" t="s">
        <v>159</v>
      </c>
      <c r="K1885" s="33" t="s">
        <v>209</v>
      </c>
      <c r="L1885" s="35" t="n">
        <v>15988.36</v>
      </c>
      <c r="M1885" s="33" t="n">
        <v>4</v>
      </c>
      <c r="N1885" s="33" t="s">
        <v>210</v>
      </c>
      <c r="O1885" s="33" t="s">
        <v>147</v>
      </c>
    </row>
    <row r="1886" customFormat="false" ht="15" hidden="false" customHeight="false" outlineLevel="0" collapsed="false">
      <c r="A1886" s="33" t="s">
        <v>2073</v>
      </c>
      <c r="B1886" s="34" t="n">
        <v>45384</v>
      </c>
      <c r="C1886" s="34" t="n">
        <v>45385</v>
      </c>
      <c r="D1886" s="33" t="n">
        <v>76</v>
      </c>
      <c r="E1886" s="33" t="s">
        <v>139</v>
      </c>
      <c r="F1886" s="33" t="s">
        <v>140</v>
      </c>
      <c r="G1886" s="33" t="s">
        <v>316</v>
      </c>
      <c r="H1886" s="33" t="s">
        <v>142</v>
      </c>
      <c r="I1886" s="33" t="s">
        <v>143</v>
      </c>
      <c r="J1886" s="33" t="s">
        <v>159</v>
      </c>
      <c r="K1886" s="33" t="s">
        <v>145</v>
      </c>
      <c r="L1886" s="35" t="n">
        <v>2146.09</v>
      </c>
      <c r="M1886" s="33" t="n">
        <v>3</v>
      </c>
      <c r="N1886" s="33" t="s">
        <v>146</v>
      </c>
      <c r="O1886" s="33" t="s">
        <v>147</v>
      </c>
    </row>
    <row r="1887" customFormat="false" ht="15" hidden="false" customHeight="false" outlineLevel="0" collapsed="false">
      <c r="A1887" s="33" t="s">
        <v>2074</v>
      </c>
      <c r="B1887" s="34" t="n">
        <v>45647</v>
      </c>
      <c r="C1887" s="34" t="n">
        <v>45648</v>
      </c>
      <c r="D1887" s="33" t="n">
        <v>57</v>
      </c>
      <c r="E1887" s="33" t="s">
        <v>139</v>
      </c>
      <c r="F1887" s="33" t="s">
        <v>203</v>
      </c>
      <c r="G1887" s="33" t="s">
        <v>192</v>
      </c>
      <c r="H1887" s="33" t="s">
        <v>193</v>
      </c>
      <c r="I1887" s="33" t="s">
        <v>143</v>
      </c>
      <c r="J1887" s="33" t="s">
        <v>144</v>
      </c>
      <c r="K1887" s="33" t="s">
        <v>145</v>
      </c>
      <c r="L1887" s="35" t="n">
        <v>1347.34</v>
      </c>
      <c r="M1887" s="33" t="n">
        <v>2</v>
      </c>
      <c r="N1887" s="33" t="s">
        <v>146</v>
      </c>
      <c r="O1887" s="33" t="s">
        <v>147</v>
      </c>
    </row>
    <row r="1888" customFormat="false" ht="15" hidden="false" customHeight="false" outlineLevel="0" collapsed="false">
      <c r="A1888" s="33" t="s">
        <v>2075</v>
      </c>
      <c r="B1888" s="34" t="n">
        <v>45359</v>
      </c>
      <c r="C1888" s="34" t="n">
        <v>45362</v>
      </c>
      <c r="D1888" s="33" t="n">
        <v>67</v>
      </c>
      <c r="E1888" s="33" t="s">
        <v>139</v>
      </c>
      <c r="F1888" s="33" t="s">
        <v>169</v>
      </c>
      <c r="G1888" s="33" t="s">
        <v>230</v>
      </c>
      <c r="H1888" s="33" t="s">
        <v>171</v>
      </c>
      <c r="I1888" s="33" t="s">
        <v>152</v>
      </c>
      <c r="J1888" s="33" t="s">
        <v>159</v>
      </c>
      <c r="K1888" s="33" t="s">
        <v>160</v>
      </c>
      <c r="L1888" s="35" t="n">
        <v>2722.53</v>
      </c>
      <c r="M1888" s="33" t="n">
        <v>5</v>
      </c>
      <c r="N1888" s="33" t="s">
        <v>146</v>
      </c>
      <c r="O1888" s="33" t="s">
        <v>147</v>
      </c>
    </row>
    <row r="1889" customFormat="false" ht="15" hidden="false" customHeight="false" outlineLevel="0" collapsed="false">
      <c r="A1889" s="33" t="s">
        <v>2076</v>
      </c>
      <c r="B1889" s="34" t="n">
        <v>45603</v>
      </c>
      <c r="C1889" s="34" t="n">
        <v>45607</v>
      </c>
      <c r="D1889" s="33" t="n">
        <v>16</v>
      </c>
      <c r="E1889" s="33" t="s">
        <v>190</v>
      </c>
      <c r="F1889" s="33" t="s">
        <v>169</v>
      </c>
      <c r="G1889" s="33" t="s">
        <v>213</v>
      </c>
      <c r="H1889" s="33" t="s">
        <v>195</v>
      </c>
      <c r="I1889" s="33" t="s">
        <v>143</v>
      </c>
      <c r="J1889" s="33" t="s">
        <v>159</v>
      </c>
      <c r="K1889" s="33" t="s">
        <v>209</v>
      </c>
      <c r="L1889" s="35" t="n">
        <v>4734.95</v>
      </c>
      <c r="M1889" s="33" t="n">
        <v>3</v>
      </c>
      <c r="N1889" s="33" t="s">
        <v>146</v>
      </c>
      <c r="O1889" s="33" t="s">
        <v>147</v>
      </c>
    </row>
    <row r="1890" customFormat="false" ht="15" hidden="false" customHeight="false" outlineLevel="0" collapsed="false">
      <c r="A1890" s="33" t="s">
        <v>2077</v>
      </c>
      <c r="B1890" s="34" t="n">
        <v>45349</v>
      </c>
      <c r="C1890" s="34" t="n">
        <v>45350</v>
      </c>
      <c r="D1890" s="33" t="n">
        <v>34</v>
      </c>
      <c r="E1890" s="33" t="s">
        <v>139</v>
      </c>
      <c r="F1890" s="33" t="s">
        <v>191</v>
      </c>
      <c r="G1890" s="33" t="s">
        <v>241</v>
      </c>
      <c r="H1890" s="33" t="s">
        <v>233</v>
      </c>
      <c r="I1890" s="33" t="s">
        <v>143</v>
      </c>
      <c r="J1890" s="33" t="s">
        <v>159</v>
      </c>
      <c r="K1890" s="33" t="s">
        <v>145</v>
      </c>
      <c r="L1890" s="35" t="n">
        <v>768.77</v>
      </c>
      <c r="M1890" s="33" t="n">
        <v>3</v>
      </c>
      <c r="N1890" s="33" t="s">
        <v>210</v>
      </c>
      <c r="O1890" s="33" t="s">
        <v>147</v>
      </c>
    </row>
    <row r="1891" customFormat="false" ht="15" hidden="false" customHeight="false" outlineLevel="0" collapsed="false">
      <c r="A1891" s="33" t="s">
        <v>2078</v>
      </c>
      <c r="B1891" s="34" t="n">
        <v>45457</v>
      </c>
      <c r="C1891" s="34" t="n">
        <v>45458</v>
      </c>
      <c r="D1891" s="33" t="n">
        <v>9</v>
      </c>
      <c r="E1891" s="33" t="s">
        <v>139</v>
      </c>
      <c r="F1891" s="33" t="s">
        <v>155</v>
      </c>
      <c r="G1891" s="33" t="s">
        <v>156</v>
      </c>
      <c r="H1891" s="33" t="s">
        <v>222</v>
      </c>
      <c r="I1891" s="33" t="s">
        <v>152</v>
      </c>
      <c r="J1891" s="33" t="s">
        <v>159</v>
      </c>
      <c r="K1891" s="33" t="s">
        <v>160</v>
      </c>
      <c r="L1891" s="35" t="n">
        <v>1009.16</v>
      </c>
      <c r="M1891" s="33" t="n">
        <v>4</v>
      </c>
      <c r="N1891" s="33" t="s">
        <v>146</v>
      </c>
      <c r="O1891" s="33" t="s">
        <v>147</v>
      </c>
    </row>
    <row r="1892" customFormat="false" ht="15" hidden="false" customHeight="false" outlineLevel="0" collapsed="false">
      <c r="A1892" s="33" t="s">
        <v>2079</v>
      </c>
      <c r="B1892" s="34" t="n">
        <v>45656</v>
      </c>
      <c r="C1892" s="34" t="n">
        <v>45657</v>
      </c>
      <c r="D1892" s="33" t="n">
        <v>15</v>
      </c>
      <c r="E1892" s="33" t="s">
        <v>154</v>
      </c>
      <c r="F1892" s="33" t="s">
        <v>169</v>
      </c>
      <c r="G1892" s="33" t="s">
        <v>170</v>
      </c>
      <c r="H1892" s="33" t="s">
        <v>164</v>
      </c>
      <c r="I1892" s="33" t="s">
        <v>152</v>
      </c>
      <c r="J1892" s="33" t="s">
        <v>159</v>
      </c>
      <c r="K1892" s="33" t="s">
        <v>209</v>
      </c>
      <c r="L1892" s="35" t="n">
        <v>1211.52</v>
      </c>
      <c r="M1892" s="33" t="n">
        <v>3</v>
      </c>
      <c r="N1892" s="33" t="s">
        <v>146</v>
      </c>
      <c r="O1892" s="33" t="s">
        <v>147</v>
      </c>
    </row>
    <row r="1893" customFormat="false" ht="15" hidden="false" customHeight="false" outlineLevel="0" collapsed="false">
      <c r="A1893" s="33" t="s">
        <v>2080</v>
      </c>
      <c r="B1893" s="34" t="n">
        <v>45352</v>
      </c>
      <c r="C1893" s="34" t="n">
        <v>45353</v>
      </c>
      <c r="D1893" s="33" t="n">
        <v>68</v>
      </c>
      <c r="E1893" s="33" t="s">
        <v>154</v>
      </c>
      <c r="F1893" s="33" t="s">
        <v>169</v>
      </c>
      <c r="G1893" s="33" t="s">
        <v>230</v>
      </c>
      <c r="H1893" s="33" t="s">
        <v>171</v>
      </c>
      <c r="I1893" s="33" t="s">
        <v>152</v>
      </c>
      <c r="J1893" s="33" t="s">
        <v>144</v>
      </c>
      <c r="K1893" s="33" t="s">
        <v>184</v>
      </c>
      <c r="L1893" s="35" t="n">
        <v>2153.35</v>
      </c>
      <c r="M1893" s="33" t="n">
        <v>5</v>
      </c>
      <c r="N1893" s="33" t="s">
        <v>146</v>
      </c>
      <c r="O1893" s="33" t="s">
        <v>147</v>
      </c>
    </row>
    <row r="1894" customFormat="false" ht="15" hidden="false" customHeight="false" outlineLevel="0" collapsed="false">
      <c r="A1894" s="33" t="s">
        <v>2081</v>
      </c>
      <c r="B1894" s="34" t="n">
        <v>45460</v>
      </c>
      <c r="C1894" s="34" t="n">
        <v>45470</v>
      </c>
      <c r="D1894" s="33" t="n">
        <v>61</v>
      </c>
      <c r="E1894" s="33" t="s">
        <v>139</v>
      </c>
      <c r="F1894" s="33" t="s">
        <v>169</v>
      </c>
      <c r="G1894" s="33" t="s">
        <v>213</v>
      </c>
      <c r="H1894" s="33" t="s">
        <v>171</v>
      </c>
      <c r="I1894" s="33" t="s">
        <v>143</v>
      </c>
      <c r="J1894" s="33" t="s">
        <v>159</v>
      </c>
      <c r="K1894" s="33" t="s">
        <v>145</v>
      </c>
      <c r="L1894" s="35" t="n">
        <v>10988.96</v>
      </c>
      <c r="M1894" s="36"/>
      <c r="N1894" s="33" t="s">
        <v>146</v>
      </c>
      <c r="O1894" s="33" t="s">
        <v>147</v>
      </c>
    </row>
    <row r="1895" customFormat="false" ht="15" hidden="false" customHeight="false" outlineLevel="0" collapsed="false">
      <c r="A1895" s="33" t="s">
        <v>471</v>
      </c>
      <c r="B1895" s="34" t="n">
        <v>45328</v>
      </c>
      <c r="C1895" s="34" t="n">
        <v>45329</v>
      </c>
      <c r="D1895" s="33" t="n">
        <v>46</v>
      </c>
      <c r="E1895" s="33" t="s">
        <v>154</v>
      </c>
      <c r="F1895" s="33" t="s">
        <v>169</v>
      </c>
      <c r="G1895" s="33" t="s">
        <v>230</v>
      </c>
      <c r="H1895" s="33" t="s">
        <v>164</v>
      </c>
      <c r="I1895" s="33" t="s">
        <v>152</v>
      </c>
      <c r="J1895" s="33" t="s">
        <v>159</v>
      </c>
      <c r="K1895" s="33" t="s">
        <v>145</v>
      </c>
      <c r="L1895" s="35" t="n">
        <v>945.18</v>
      </c>
      <c r="M1895" s="33" t="n">
        <v>4</v>
      </c>
      <c r="N1895" s="33" t="s">
        <v>210</v>
      </c>
      <c r="O1895" s="33" t="s">
        <v>147</v>
      </c>
    </row>
    <row r="1896" customFormat="false" ht="15" hidden="false" customHeight="false" outlineLevel="0" collapsed="false">
      <c r="A1896" s="33" t="s">
        <v>2082</v>
      </c>
      <c r="B1896" s="34" t="n">
        <v>45553</v>
      </c>
      <c r="C1896" s="34" t="n">
        <v>45568</v>
      </c>
      <c r="D1896" s="33" t="n">
        <v>76</v>
      </c>
      <c r="E1896" s="33" t="s">
        <v>139</v>
      </c>
      <c r="F1896" s="33" t="s">
        <v>226</v>
      </c>
      <c r="G1896" s="33" t="s">
        <v>258</v>
      </c>
      <c r="H1896" s="33" t="s">
        <v>228</v>
      </c>
      <c r="I1896" s="33" t="s">
        <v>152</v>
      </c>
      <c r="J1896" s="33" t="s">
        <v>176</v>
      </c>
      <c r="K1896" s="36"/>
      <c r="L1896" s="35" t="n">
        <v>171999.72</v>
      </c>
      <c r="M1896" s="33" t="n">
        <v>3</v>
      </c>
      <c r="N1896" s="33" t="s">
        <v>146</v>
      </c>
      <c r="O1896" s="33" t="s">
        <v>147</v>
      </c>
    </row>
    <row r="1897" customFormat="false" ht="15" hidden="false" customHeight="false" outlineLevel="0" collapsed="false">
      <c r="A1897" s="33" t="s">
        <v>2083</v>
      </c>
      <c r="B1897" s="34" t="n">
        <v>45504</v>
      </c>
      <c r="C1897" s="34" t="n">
        <v>45505</v>
      </c>
      <c r="D1897" s="33" t="n">
        <v>4</v>
      </c>
      <c r="E1897" s="33" t="s">
        <v>154</v>
      </c>
      <c r="F1897" s="33" t="s">
        <v>288</v>
      </c>
      <c r="G1897" s="33" t="s">
        <v>302</v>
      </c>
      <c r="H1897" s="33" t="s">
        <v>157</v>
      </c>
      <c r="I1897" s="33" t="s">
        <v>143</v>
      </c>
      <c r="J1897" s="33" t="s">
        <v>159</v>
      </c>
      <c r="K1897" s="33" t="s">
        <v>184</v>
      </c>
      <c r="L1897" s="35" t="n">
        <v>980.93</v>
      </c>
      <c r="M1897" s="33" t="n">
        <v>5</v>
      </c>
      <c r="N1897" s="33" t="s">
        <v>146</v>
      </c>
      <c r="O1897" s="33" t="s">
        <v>147</v>
      </c>
    </row>
    <row r="1898" customFormat="false" ht="15" hidden="false" customHeight="false" outlineLevel="0" collapsed="false">
      <c r="A1898" s="33" t="s">
        <v>2084</v>
      </c>
      <c r="B1898" s="34" t="n">
        <v>45499</v>
      </c>
      <c r="C1898" s="34" t="n">
        <v>45504</v>
      </c>
      <c r="D1898" s="33" t="n">
        <v>19</v>
      </c>
      <c r="E1898" s="33" t="s">
        <v>154</v>
      </c>
      <c r="F1898" s="33" t="s">
        <v>173</v>
      </c>
      <c r="G1898" s="33" t="s">
        <v>178</v>
      </c>
      <c r="H1898" s="33" t="s">
        <v>175</v>
      </c>
      <c r="I1898" s="33" t="s">
        <v>143</v>
      </c>
      <c r="J1898" s="33" t="s">
        <v>159</v>
      </c>
      <c r="K1898" s="36"/>
      <c r="L1898" s="35" t="n">
        <v>13763.82</v>
      </c>
      <c r="M1898" s="33" t="n">
        <v>4</v>
      </c>
      <c r="N1898" s="33" t="s">
        <v>210</v>
      </c>
      <c r="O1898" s="33" t="s">
        <v>147</v>
      </c>
    </row>
    <row r="1899" customFormat="false" ht="15" hidden="false" customHeight="false" outlineLevel="0" collapsed="false">
      <c r="A1899" s="33" t="s">
        <v>2085</v>
      </c>
      <c r="B1899" s="34" t="n">
        <v>45633</v>
      </c>
      <c r="C1899" s="34" t="n">
        <v>45641</v>
      </c>
      <c r="D1899" s="33" t="n">
        <v>22</v>
      </c>
      <c r="E1899" s="33" t="s">
        <v>154</v>
      </c>
      <c r="F1899" s="33" t="s">
        <v>212</v>
      </c>
      <c r="G1899" s="33" t="s">
        <v>230</v>
      </c>
      <c r="H1899" s="33" t="s">
        <v>171</v>
      </c>
      <c r="I1899" s="33" t="s">
        <v>152</v>
      </c>
      <c r="J1899" s="33" t="s">
        <v>159</v>
      </c>
      <c r="K1899" s="33" t="s">
        <v>160</v>
      </c>
      <c r="L1899" s="35" t="n">
        <v>9244.77</v>
      </c>
      <c r="M1899" s="33" t="n">
        <v>5</v>
      </c>
      <c r="N1899" s="33" t="s">
        <v>146</v>
      </c>
      <c r="O1899" s="33" t="s">
        <v>147</v>
      </c>
    </row>
    <row r="1900" customFormat="false" ht="15" hidden="false" customHeight="false" outlineLevel="0" collapsed="false">
      <c r="A1900" s="33" t="s">
        <v>1255</v>
      </c>
      <c r="B1900" s="34" t="n">
        <v>45360</v>
      </c>
      <c r="C1900" s="34" t="n">
        <v>45362</v>
      </c>
      <c r="D1900" s="33" t="n">
        <v>39</v>
      </c>
      <c r="E1900" s="33" t="s">
        <v>139</v>
      </c>
      <c r="F1900" s="33" t="s">
        <v>140</v>
      </c>
      <c r="G1900" s="33" t="s">
        <v>316</v>
      </c>
      <c r="H1900" s="33" t="s">
        <v>290</v>
      </c>
      <c r="I1900" s="33" t="s">
        <v>152</v>
      </c>
      <c r="J1900" s="33" t="s">
        <v>159</v>
      </c>
      <c r="K1900" s="33" t="s">
        <v>184</v>
      </c>
      <c r="L1900" s="35" t="n">
        <v>4569.34</v>
      </c>
      <c r="M1900" s="33" t="n">
        <v>5</v>
      </c>
      <c r="N1900" s="33" t="s">
        <v>146</v>
      </c>
      <c r="O1900" s="33" t="s">
        <v>147</v>
      </c>
    </row>
    <row r="1901" customFormat="false" ht="15" hidden="false" customHeight="false" outlineLevel="0" collapsed="false">
      <c r="A1901" s="33" t="s">
        <v>2086</v>
      </c>
      <c r="B1901" s="34" t="n">
        <v>45350</v>
      </c>
      <c r="C1901" s="34" t="n">
        <v>45351</v>
      </c>
      <c r="D1901" s="33" t="n">
        <v>23</v>
      </c>
      <c r="E1901" s="33" t="s">
        <v>139</v>
      </c>
      <c r="F1901" s="33" t="s">
        <v>149</v>
      </c>
      <c r="G1901" s="33" t="s">
        <v>224</v>
      </c>
      <c r="H1901" s="33" t="s">
        <v>186</v>
      </c>
      <c r="I1901" s="33" t="s">
        <v>143</v>
      </c>
      <c r="J1901" s="33" t="s">
        <v>144</v>
      </c>
      <c r="K1901" s="33" t="s">
        <v>160</v>
      </c>
      <c r="L1901" s="35" t="n">
        <v>2235.67</v>
      </c>
      <c r="M1901" s="33" t="n">
        <v>3</v>
      </c>
      <c r="N1901" s="33" t="s">
        <v>146</v>
      </c>
      <c r="O1901" s="33" t="s">
        <v>147</v>
      </c>
    </row>
    <row r="1902" customFormat="false" ht="15" hidden="false" customHeight="false" outlineLevel="0" collapsed="false">
      <c r="A1902" s="33" t="s">
        <v>2087</v>
      </c>
      <c r="B1902" s="34" t="n">
        <v>45638</v>
      </c>
      <c r="C1902" s="34" t="n">
        <v>45641</v>
      </c>
      <c r="D1902" s="33" t="n">
        <v>28</v>
      </c>
      <c r="E1902" s="33" t="s">
        <v>139</v>
      </c>
      <c r="F1902" s="33" t="s">
        <v>149</v>
      </c>
      <c r="G1902" s="33" t="s">
        <v>150</v>
      </c>
      <c r="H1902" s="33" t="s">
        <v>151</v>
      </c>
      <c r="I1902" s="33" t="s">
        <v>152</v>
      </c>
      <c r="J1902" s="33" t="s">
        <v>176</v>
      </c>
      <c r="K1902" s="33" t="s">
        <v>145</v>
      </c>
      <c r="L1902" s="35" t="n">
        <v>17301.79</v>
      </c>
      <c r="M1902" s="33" t="n">
        <v>4</v>
      </c>
      <c r="N1902" s="33" t="s">
        <v>146</v>
      </c>
      <c r="O1902" s="33" t="s">
        <v>147</v>
      </c>
    </row>
    <row r="1903" customFormat="false" ht="15" hidden="false" customHeight="false" outlineLevel="0" collapsed="false">
      <c r="A1903" s="33" t="s">
        <v>2088</v>
      </c>
      <c r="B1903" s="34" t="n">
        <v>45338</v>
      </c>
      <c r="C1903" s="34" t="n">
        <v>45347</v>
      </c>
      <c r="D1903" s="33" t="n">
        <v>35</v>
      </c>
      <c r="E1903" s="33" t="s">
        <v>139</v>
      </c>
      <c r="F1903" s="33" t="s">
        <v>162</v>
      </c>
      <c r="G1903" s="33" t="s">
        <v>213</v>
      </c>
      <c r="H1903" s="33" t="s">
        <v>171</v>
      </c>
      <c r="I1903" s="33" t="s">
        <v>152</v>
      </c>
      <c r="J1903" s="33" t="s">
        <v>144</v>
      </c>
      <c r="K1903" s="33" t="s">
        <v>160</v>
      </c>
      <c r="L1903" s="35" t="n">
        <v>15506.72</v>
      </c>
      <c r="M1903" s="36"/>
      <c r="N1903" s="33" t="s">
        <v>146</v>
      </c>
      <c r="O1903" s="33" t="s">
        <v>147</v>
      </c>
    </row>
    <row r="1904" customFormat="false" ht="15" hidden="false" customHeight="false" outlineLevel="0" collapsed="false">
      <c r="A1904" s="33" t="s">
        <v>2089</v>
      </c>
      <c r="B1904" s="34" t="n">
        <v>45411</v>
      </c>
      <c r="C1904" s="34" t="n">
        <v>45416</v>
      </c>
      <c r="D1904" s="33" t="n">
        <v>66</v>
      </c>
      <c r="E1904" s="33" t="s">
        <v>154</v>
      </c>
      <c r="F1904" s="33" t="s">
        <v>181</v>
      </c>
      <c r="G1904" s="33" t="s">
        <v>188</v>
      </c>
      <c r="H1904" s="33" t="s">
        <v>245</v>
      </c>
      <c r="I1904" s="33" t="s">
        <v>152</v>
      </c>
      <c r="J1904" s="33" t="s">
        <v>144</v>
      </c>
      <c r="K1904" s="33" t="s">
        <v>145</v>
      </c>
      <c r="L1904" s="35" t="n">
        <v>21805.73</v>
      </c>
      <c r="M1904" s="33" t="n">
        <v>4</v>
      </c>
      <c r="N1904" s="33" t="s">
        <v>146</v>
      </c>
      <c r="O1904" s="33" t="s">
        <v>147</v>
      </c>
    </row>
    <row r="1905" customFormat="false" ht="15" hidden="false" customHeight="false" outlineLevel="0" collapsed="false">
      <c r="A1905" s="33" t="s">
        <v>2090</v>
      </c>
      <c r="B1905" s="34" t="n">
        <v>45463</v>
      </c>
      <c r="C1905" s="34" t="n">
        <v>45465</v>
      </c>
      <c r="D1905" s="33" t="n">
        <v>10</v>
      </c>
      <c r="E1905" s="33" t="s">
        <v>154</v>
      </c>
      <c r="F1905" s="33" t="s">
        <v>155</v>
      </c>
      <c r="G1905" s="33" t="s">
        <v>220</v>
      </c>
      <c r="H1905" s="33" t="s">
        <v>222</v>
      </c>
      <c r="I1905" s="33" t="s">
        <v>158</v>
      </c>
      <c r="J1905" s="33" t="s">
        <v>176</v>
      </c>
      <c r="K1905" s="33" t="s">
        <v>184</v>
      </c>
      <c r="L1905" s="35" t="n">
        <v>5802.45</v>
      </c>
      <c r="M1905" s="33" t="n">
        <v>4</v>
      </c>
      <c r="N1905" s="33" t="s">
        <v>146</v>
      </c>
      <c r="O1905" s="33" t="s">
        <v>247</v>
      </c>
    </row>
    <row r="1906" customFormat="false" ht="15" hidden="false" customHeight="false" outlineLevel="0" collapsed="false">
      <c r="A1906" s="33" t="s">
        <v>2091</v>
      </c>
      <c r="B1906" s="34" t="n">
        <v>45560</v>
      </c>
      <c r="C1906" s="34" t="n">
        <v>45562</v>
      </c>
      <c r="D1906" s="33" t="n">
        <v>78</v>
      </c>
      <c r="E1906" s="33" t="s">
        <v>154</v>
      </c>
      <c r="F1906" s="33" t="s">
        <v>226</v>
      </c>
      <c r="G1906" s="33" t="s">
        <v>386</v>
      </c>
      <c r="H1906" s="36"/>
      <c r="I1906" s="33" t="s">
        <v>143</v>
      </c>
      <c r="J1906" s="33" t="s">
        <v>144</v>
      </c>
      <c r="K1906" s="33" t="s">
        <v>145</v>
      </c>
      <c r="L1906" s="35" t="n">
        <v>10585.99</v>
      </c>
      <c r="M1906" s="33" t="n">
        <v>5</v>
      </c>
      <c r="N1906" s="33" t="s">
        <v>146</v>
      </c>
      <c r="O1906" s="33" t="s">
        <v>147</v>
      </c>
    </row>
    <row r="1907" customFormat="false" ht="15" hidden="false" customHeight="false" outlineLevel="0" collapsed="false">
      <c r="A1907" s="33" t="s">
        <v>2092</v>
      </c>
      <c r="B1907" s="34" t="n">
        <v>45435</v>
      </c>
      <c r="C1907" s="34" t="n">
        <v>45436</v>
      </c>
      <c r="D1907" s="33" t="n">
        <v>40</v>
      </c>
      <c r="E1907" s="33" t="s">
        <v>154</v>
      </c>
      <c r="F1907" s="33" t="s">
        <v>203</v>
      </c>
      <c r="G1907" s="33" t="s">
        <v>192</v>
      </c>
      <c r="H1907" s="33" t="s">
        <v>193</v>
      </c>
      <c r="I1907" s="33" t="s">
        <v>143</v>
      </c>
      <c r="J1907" s="33" t="s">
        <v>159</v>
      </c>
      <c r="K1907" s="33" t="s">
        <v>145</v>
      </c>
      <c r="L1907" s="35" t="n">
        <v>910.79</v>
      </c>
      <c r="M1907" s="33" t="n">
        <v>4</v>
      </c>
      <c r="N1907" s="33" t="s">
        <v>146</v>
      </c>
      <c r="O1907" s="33" t="s">
        <v>147</v>
      </c>
    </row>
    <row r="1908" customFormat="false" ht="15" hidden="false" customHeight="false" outlineLevel="0" collapsed="false">
      <c r="A1908" s="33" t="s">
        <v>2093</v>
      </c>
      <c r="B1908" s="34" t="n">
        <v>45445</v>
      </c>
      <c r="C1908" s="34" t="n">
        <v>45446</v>
      </c>
      <c r="D1908" s="36" t="n">
        <v>-3</v>
      </c>
      <c r="E1908" s="33" t="s">
        <v>139</v>
      </c>
      <c r="F1908" s="33" t="s">
        <v>240</v>
      </c>
      <c r="G1908" s="33" t="s">
        <v>192</v>
      </c>
      <c r="H1908" s="33" t="s">
        <v>233</v>
      </c>
      <c r="I1908" s="33" t="s">
        <v>143</v>
      </c>
      <c r="J1908" s="33" t="s">
        <v>159</v>
      </c>
      <c r="K1908" s="33" t="s">
        <v>160</v>
      </c>
      <c r="L1908" s="35" t="n">
        <v>812.95</v>
      </c>
      <c r="M1908" s="33" t="n">
        <v>4</v>
      </c>
      <c r="N1908" s="33" t="s">
        <v>146</v>
      </c>
      <c r="O1908" s="33" t="s">
        <v>147</v>
      </c>
    </row>
    <row r="1909" customFormat="false" ht="15" hidden="false" customHeight="false" outlineLevel="0" collapsed="false">
      <c r="A1909" s="33" t="s">
        <v>2094</v>
      </c>
      <c r="B1909" s="34" t="n">
        <v>45565</v>
      </c>
      <c r="C1909" s="34" t="n">
        <v>45567</v>
      </c>
      <c r="D1909" s="33" t="n">
        <v>32</v>
      </c>
      <c r="E1909" s="33" t="s">
        <v>139</v>
      </c>
      <c r="F1909" s="33" t="s">
        <v>203</v>
      </c>
      <c r="G1909" s="33" t="s">
        <v>241</v>
      </c>
      <c r="H1909" s="33" t="s">
        <v>205</v>
      </c>
      <c r="I1909" s="33" t="s">
        <v>143</v>
      </c>
      <c r="J1909" s="33" t="s">
        <v>159</v>
      </c>
      <c r="K1909" s="33" t="s">
        <v>145</v>
      </c>
      <c r="L1909" s="35" t="n">
        <v>1839.23</v>
      </c>
      <c r="M1909" s="33" t="n">
        <v>3</v>
      </c>
      <c r="N1909" s="33" t="s">
        <v>146</v>
      </c>
      <c r="O1909" s="33" t="s">
        <v>147</v>
      </c>
    </row>
    <row r="1910" customFormat="false" ht="15" hidden="false" customHeight="false" outlineLevel="0" collapsed="false">
      <c r="A1910" s="33" t="s">
        <v>2095</v>
      </c>
      <c r="B1910" s="34" t="n">
        <v>45649</v>
      </c>
      <c r="C1910" s="34" t="n">
        <v>45650</v>
      </c>
      <c r="D1910" s="33" t="n">
        <v>15</v>
      </c>
      <c r="E1910" s="33" t="s">
        <v>216</v>
      </c>
      <c r="F1910" s="33" t="s">
        <v>149</v>
      </c>
      <c r="G1910" s="33" t="s">
        <v>243</v>
      </c>
      <c r="H1910" s="33" t="s">
        <v>186</v>
      </c>
      <c r="I1910" s="33" t="s">
        <v>143</v>
      </c>
      <c r="J1910" s="33" t="s">
        <v>159</v>
      </c>
      <c r="K1910" s="33" t="s">
        <v>160</v>
      </c>
      <c r="L1910" s="35" t="n">
        <v>1228.68</v>
      </c>
      <c r="M1910" s="33" t="n">
        <v>3</v>
      </c>
      <c r="N1910" s="33" t="s">
        <v>146</v>
      </c>
      <c r="O1910" s="33" t="s">
        <v>147</v>
      </c>
    </row>
    <row r="1911" customFormat="false" ht="15" hidden="false" customHeight="false" outlineLevel="0" collapsed="false">
      <c r="A1911" s="33" t="s">
        <v>2096</v>
      </c>
      <c r="B1911" s="34" t="n">
        <v>45655</v>
      </c>
      <c r="C1911" s="34" t="n">
        <v>45659</v>
      </c>
      <c r="D1911" s="33" t="n">
        <v>56</v>
      </c>
      <c r="E1911" s="33" t="s">
        <v>139</v>
      </c>
      <c r="F1911" s="33" t="s">
        <v>173</v>
      </c>
      <c r="G1911" s="33" t="s">
        <v>178</v>
      </c>
      <c r="H1911" s="33" t="s">
        <v>199</v>
      </c>
      <c r="I1911" s="33" t="s">
        <v>152</v>
      </c>
      <c r="J1911" s="33" t="s">
        <v>159</v>
      </c>
      <c r="K1911" s="33" t="s">
        <v>145</v>
      </c>
      <c r="L1911" s="35" t="n">
        <v>9554.47</v>
      </c>
      <c r="M1911" s="33" t="n">
        <v>3</v>
      </c>
      <c r="N1911" s="33" t="s">
        <v>210</v>
      </c>
      <c r="O1911" s="33" t="s">
        <v>247</v>
      </c>
    </row>
    <row r="1912" customFormat="false" ht="15" hidden="false" customHeight="false" outlineLevel="0" collapsed="false">
      <c r="A1912" s="33" t="s">
        <v>2097</v>
      </c>
      <c r="B1912" s="34" t="n">
        <v>45578</v>
      </c>
      <c r="C1912" s="34" t="n">
        <v>45582</v>
      </c>
      <c r="D1912" s="33" t="n">
        <v>17</v>
      </c>
      <c r="E1912" s="33" t="s">
        <v>139</v>
      </c>
      <c r="F1912" s="33" t="s">
        <v>203</v>
      </c>
      <c r="G1912" s="33" t="s">
        <v>204</v>
      </c>
      <c r="H1912" s="33" t="s">
        <v>205</v>
      </c>
      <c r="I1912" s="33" t="s">
        <v>143</v>
      </c>
      <c r="J1912" s="33" t="s">
        <v>159</v>
      </c>
      <c r="K1912" s="33" t="s">
        <v>145</v>
      </c>
      <c r="L1912" s="35" t="n">
        <v>3211.87</v>
      </c>
      <c r="M1912" s="33" t="n">
        <v>4</v>
      </c>
      <c r="N1912" s="33" t="s">
        <v>210</v>
      </c>
      <c r="O1912" s="33" t="s">
        <v>147</v>
      </c>
    </row>
    <row r="1913" customFormat="false" ht="15" hidden="false" customHeight="false" outlineLevel="0" collapsed="false">
      <c r="A1913" s="33" t="s">
        <v>2098</v>
      </c>
      <c r="B1913" s="34" t="n">
        <v>45380</v>
      </c>
      <c r="C1913" s="34" t="n">
        <v>45382</v>
      </c>
      <c r="D1913" s="33" t="n">
        <v>49</v>
      </c>
      <c r="E1913" s="33" t="s">
        <v>139</v>
      </c>
      <c r="F1913" s="33" t="s">
        <v>173</v>
      </c>
      <c r="G1913" s="33" t="s">
        <v>174</v>
      </c>
      <c r="H1913" s="33" t="s">
        <v>199</v>
      </c>
      <c r="I1913" s="33" t="s">
        <v>152</v>
      </c>
      <c r="J1913" s="33" t="s">
        <v>159</v>
      </c>
      <c r="K1913" s="33" t="s">
        <v>184</v>
      </c>
      <c r="L1913" s="35" t="n">
        <v>5268.42</v>
      </c>
      <c r="M1913" s="33" t="n">
        <v>5</v>
      </c>
      <c r="N1913" s="33" t="s">
        <v>146</v>
      </c>
      <c r="O1913" s="33" t="s">
        <v>147</v>
      </c>
    </row>
    <row r="1914" customFormat="false" ht="15" hidden="false" customHeight="false" outlineLevel="0" collapsed="false">
      <c r="A1914" s="33" t="s">
        <v>2099</v>
      </c>
      <c r="B1914" s="34" t="n">
        <v>45307</v>
      </c>
      <c r="C1914" s="34" t="n">
        <v>45309</v>
      </c>
      <c r="D1914" s="33" t="n">
        <v>4</v>
      </c>
      <c r="E1914" s="33" t="s">
        <v>257</v>
      </c>
      <c r="F1914" s="33" t="s">
        <v>155</v>
      </c>
      <c r="G1914" s="33" t="s">
        <v>220</v>
      </c>
      <c r="H1914" s="33" t="s">
        <v>222</v>
      </c>
      <c r="I1914" s="33" t="s">
        <v>152</v>
      </c>
      <c r="J1914" s="33" t="s">
        <v>159</v>
      </c>
      <c r="K1914" s="33" t="s">
        <v>160</v>
      </c>
      <c r="L1914" s="35" t="n">
        <v>1743.35</v>
      </c>
      <c r="M1914" s="33" t="n">
        <v>4</v>
      </c>
      <c r="N1914" s="33" t="s">
        <v>146</v>
      </c>
      <c r="O1914" s="33" t="s">
        <v>147</v>
      </c>
    </row>
    <row r="1915" customFormat="false" ht="15" hidden="false" customHeight="false" outlineLevel="0" collapsed="false">
      <c r="A1915" s="33" t="s">
        <v>2100</v>
      </c>
      <c r="B1915" s="34" t="n">
        <v>45639</v>
      </c>
      <c r="C1915" s="34" t="n">
        <v>45640</v>
      </c>
      <c r="D1915" s="33" t="n">
        <v>28</v>
      </c>
      <c r="E1915" s="33" t="s">
        <v>139</v>
      </c>
      <c r="F1915" s="33" t="s">
        <v>149</v>
      </c>
      <c r="G1915" s="33" t="s">
        <v>150</v>
      </c>
      <c r="H1915" s="33" t="s">
        <v>186</v>
      </c>
      <c r="I1915" s="33" t="s">
        <v>152</v>
      </c>
      <c r="J1915" s="33" t="s">
        <v>159</v>
      </c>
      <c r="K1915" s="33" t="s">
        <v>184</v>
      </c>
      <c r="L1915" s="35" t="n">
        <v>1488.87</v>
      </c>
      <c r="M1915" s="33" t="n">
        <v>4</v>
      </c>
      <c r="N1915" s="33" t="s">
        <v>146</v>
      </c>
      <c r="O1915" s="33" t="s">
        <v>147</v>
      </c>
    </row>
    <row r="1916" customFormat="false" ht="15" hidden="false" customHeight="false" outlineLevel="0" collapsed="false">
      <c r="A1916" s="33" t="s">
        <v>2101</v>
      </c>
      <c r="B1916" s="34" t="n">
        <v>45554</v>
      </c>
      <c r="C1916" s="34" t="n">
        <v>45556</v>
      </c>
      <c r="D1916" s="33" t="n">
        <v>44</v>
      </c>
      <c r="E1916" s="33" t="s">
        <v>154</v>
      </c>
      <c r="F1916" s="33" t="s">
        <v>203</v>
      </c>
      <c r="G1916" s="33" t="s">
        <v>192</v>
      </c>
      <c r="H1916" s="33" t="s">
        <v>193</v>
      </c>
      <c r="I1916" s="33" t="s">
        <v>143</v>
      </c>
      <c r="J1916" s="33" t="s">
        <v>159</v>
      </c>
      <c r="K1916" s="33" t="s">
        <v>145</v>
      </c>
      <c r="L1916" s="35" t="n">
        <v>1718.53</v>
      </c>
      <c r="M1916" s="33" t="n">
        <v>2</v>
      </c>
      <c r="N1916" s="33" t="s">
        <v>146</v>
      </c>
      <c r="O1916" s="33" t="s">
        <v>147</v>
      </c>
    </row>
    <row r="1917" customFormat="false" ht="15" hidden="false" customHeight="false" outlineLevel="0" collapsed="false">
      <c r="A1917" s="33" t="s">
        <v>2102</v>
      </c>
      <c r="B1917" s="34" t="n">
        <v>45485</v>
      </c>
      <c r="C1917" s="34" t="n">
        <v>45497</v>
      </c>
      <c r="D1917" s="33" t="n">
        <v>74</v>
      </c>
      <c r="E1917" s="33" t="s">
        <v>139</v>
      </c>
      <c r="F1917" s="33" t="s">
        <v>173</v>
      </c>
      <c r="G1917" s="33" t="s">
        <v>178</v>
      </c>
      <c r="H1917" s="33" t="s">
        <v>199</v>
      </c>
      <c r="I1917" s="33" t="s">
        <v>143</v>
      </c>
      <c r="J1917" s="33" t="s">
        <v>159</v>
      </c>
      <c r="K1917" s="33" t="s">
        <v>184</v>
      </c>
      <c r="L1917" s="35" t="n">
        <v>35182.91</v>
      </c>
      <c r="M1917" s="33" t="n">
        <v>3</v>
      </c>
      <c r="N1917" s="33" t="s">
        <v>146</v>
      </c>
      <c r="O1917" s="33" t="s">
        <v>147</v>
      </c>
    </row>
    <row r="1918" customFormat="false" ht="15" hidden="false" customHeight="false" outlineLevel="0" collapsed="false">
      <c r="A1918" s="33" t="s">
        <v>2103</v>
      </c>
      <c r="B1918" s="34" t="n">
        <v>45648</v>
      </c>
      <c r="C1918" s="34" t="n">
        <v>45651</v>
      </c>
      <c r="D1918" s="33" t="n">
        <v>42</v>
      </c>
      <c r="E1918" s="33" t="s">
        <v>139</v>
      </c>
      <c r="F1918" s="33" t="s">
        <v>173</v>
      </c>
      <c r="G1918" s="33" t="s">
        <v>174</v>
      </c>
      <c r="H1918" s="33" t="s">
        <v>175</v>
      </c>
      <c r="I1918" s="33" t="s">
        <v>152</v>
      </c>
      <c r="J1918" s="33" t="s">
        <v>159</v>
      </c>
      <c r="K1918" s="33" t="s">
        <v>145</v>
      </c>
      <c r="L1918" s="35" t="n">
        <v>8117.27</v>
      </c>
      <c r="M1918" s="33" t="n">
        <v>4</v>
      </c>
      <c r="N1918" s="33" t="s">
        <v>146</v>
      </c>
      <c r="O1918" s="33" t="s">
        <v>147</v>
      </c>
    </row>
    <row r="1919" customFormat="false" ht="15" hidden="false" customHeight="false" outlineLevel="0" collapsed="false">
      <c r="A1919" s="33" t="s">
        <v>2104</v>
      </c>
      <c r="B1919" s="34" t="n">
        <v>45373</v>
      </c>
      <c r="C1919" s="34" t="n">
        <v>45374</v>
      </c>
      <c r="D1919" s="33" t="n">
        <v>29</v>
      </c>
      <c r="E1919" s="33" t="s">
        <v>139</v>
      </c>
      <c r="F1919" s="33" t="s">
        <v>149</v>
      </c>
      <c r="G1919" s="33" t="s">
        <v>243</v>
      </c>
      <c r="H1919" s="33" t="s">
        <v>186</v>
      </c>
      <c r="I1919" s="33" t="s">
        <v>143</v>
      </c>
      <c r="J1919" s="33" t="s">
        <v>159</v>
      </c>
      <c r="K1919" s="33" t="s">
        <v>209</v>
      </c>
      <c r="L1919" s="35" t="n">
        <v>1775.45</v>
      </c>
      <c r="M1919" s="33" t="n">
        <v>2</v>
      </c>
      <c r="N1919" s="33" t="s">
        <v>146</v>
      </c>
      <c r="O1919" s="33" t="s">
        <v>147</v>
      </c>
    </row>
    <row r="1920" customFormat="false" ht="15" hidden="false" customHeight="false" outlineLevel="0" collapsed="false">
      <c r="A1920" s="33" t="s">
        <v>2105</v>
      </c>
      <c r="B1920" s="34" t="n">
        <v>45345</v>
      </c>
      <c r="C1920" s="34" t="n">
        <v>45349</v>
      </c>
      <c r="D1920" s="33" t="n">
        <v>32</v>
      </c>
      <c r="E1920" s="33" t="s">
        <v>139</v>
      </c>
      <c r="F1920" s="33" t="s">
        <v>169</v>
      </c>
      <c r="G1920" s="33" t="s">
        <v>170</v>
      </c>
      <c r="H1920" s="33" t="s">
        <v>164</v>
      </c>
      <c r="I1920" s="33" t="s">
        <v>143</v>
      </c>
      <c r="J1920" s="33" t="s">
        <v>159</v>
      </c>
      <c r="K1920" s="33" t="s">
        <v>160</v>
      </c>
      <c r="L1920" s="35" t="n">
        <v>4875.96</v>
      </c>
      <c r="M1920" s="33" t="n">
        <v>3</v>
      </c>
      <c r="N1920" s="33" t="s">
        <v>146</v>
      </c>
      <c r="O1920" s="33" t="s">
        <v>147</v>
      </c>
    </row>
    <row r="1921" customFormat="false" ht="15" hidden="false" customHeight="false" outlineLevel="0" collapsed="false">
      <c r="A1921" s="33" t="s">
        <v>2106</v>
      </c>
      <c r="B1921" s="34" t="n">
        <v>45414</v>
      </c>
      <c r="C1921" s="34" t="n">
        <v>45424</v>
      </c>
      <c r="D1921" s="33" t="n">
        <v>40</v>
      </c>
      <c r="E1921" s="33" t="s">
        <v>216</v>
      </c>
      <c r="F1921" s="33" t="s">
        <v>140</v>
      </c>
      <c r="G1921" s="33" t="s">
        <v>167</v>
      </c>
      <c r="H1921" s="33" t="s">
        <v>142</v>
      </c>
      <c r="I1921" s="33" t="s">
        <v>143</v>
      </c>
      <c r="J1921" s="33" t="s">
        <v>159</v>
      </c>
      <c r="K1921" s="36"/>
      <c r="L1921" s="35" t="n">
        <v>25683.04</v>
      </c>
      <c r="M1921" s="33" t="n">
        <v>3</v>
      </c>
      <c r="N1921" s="33" t="s">
        <v>146</v>
      </c>
      <c r="O1921" s="33" t="s">
        <v>147</v>
      </c>
    </row>
    <row r="1922" customFormat="false" ht="15" hidden="false" customHeight="false" outlineLevel="0" collapsed="false">
      <c r="A1922" s="33" t="s">
        <v>2107</v>
      </c>
      <c r="B1922" s="34" t="n">
        <v>45352</v>
      </c>
      <c r="C1922" s="34" t="n">
        <v>45354</v>
      </c>
      <c r="D1922" s="33" t="n">
        <v>65</v>
      </c>
      <c r="E1922" s="33" t="s">
        <v>154</v>
      </c>
      <c r="F1922" s="33" t="s">
        <v>173</v>
      </c>
      <c r="G1922" s="33" t="s">
        <v>174</v>
      </c>
      <c r="H1922" s="33" t="s">
        <v>175</v>
      </c>
      <c r="I1922" s="33" t="s">
        <v>152</v>
      </c>
      <c r="J1922" s="33" t="s">
        <v>159</v>
      </c>
      <c r="K1922" s="33" t="s">
        <v>160</v>
      </c>
      <c r="L1922" s="35" t="n">
        <v>5367.97</v>
      </c>
      <c r="M1922" s="33" t="n">
        <v>3</v>
      </c>
      <c r="N1922" s="33" t="s">
        <v>146</v>
      </c>
      <c r="O1922" s="33" t="s">
        <v>147</v>
      </c>
    </row>
    <row r="1923" customFormat="false" ht="15" hidden="false" customHeight="false" outlineLevel="0" collapsed="false">
      <c r="A1923" s="33" t="s">
        <v>2108</v>
      </c>
      <c r="B1923" s="34" t="n">
        <v>45614</v>
      </c>
      <c r="C1923" s="34" t="n">
        <v>45617</v>
      </c>
      <c r="D1923" s="36"/>
      <c r="E1923" s="33" t="s">
        <v>139</v>
      </c>
      <c r="F1923" s="33" t="s">
        <v>169</v>
      </c>
      <c r="G1923" s="33" t="s">
        <v>163</v>
      </c>
      <c r="H1923" s="33" t="s">
        <v>195</v>
      </c>
      <c r="I1923" s="33" t="s">
        <v>143</v>
      </c>
      <c r="J1923" s="33" t="s">
        <v>176</v>
      </c>
      <c r="K1923" s="33" t="s">
        <v>145</v>
      </c>
      <c r="L1923" s="35" t="n">
        <v>13105.67</v>
      </c>
      <c r="M1923" s="33" t="n">
        <v>5</v>
      </c>
      <c r="N1923" s="33" t="s">
        <v>146</v>
      </c>
      <c r="O1923" s="33" t="s">
        <v>147</v>
      </c>
    </row>
    <row r="1924" customFormat="false" ht="15" hidden="false" customHeight="false" outlineLevel="0" collapsed="false">
      <c r="A1924" s="33" t="s">
        <v>2109</v>
      </c>
      <c r="B1924" s="34" t="n">
        <v>45338</v>
      </c>
      <c r="C1924" s="34" t="n">
        <v>45340</v>
      </c>
      <c r="D1924" s="33" t="n">
        <v>73</v>
      </c>
      <c r="E1924" s="33" t="s">
        <v>139</v>
      </c>
      <c r="F1924" s="33" t="s">
        <v>181</v>
      </c>
      <c r="G1924" s="33" t="s">
        <v>188</v>
      </c>
      <c r="H1924" s="33" t="s">
        <v>183</v>
      </c>
      <c r="I1924" s="33" t="s">
        <v>152</v>
      </c>
      <c r="J1924" s="33" t="s">
        <v>144</v>
      </c>
      <c r="K1924" s="33" t="s">
        <v>160</v>
      </c>
      <c r="L1924" s="35" t="n">
        <v>8528.09</v>
      </c>
      <c r="M1924" s="33" t="n">
        <v>4</v>
      </c>
      <c r="N1924" s="33" t="s">
        <v>146</v>
      </c>
      <c r="O1924" s="33" t="s">
        <v>147</v>
      </c>
    </row>
    <row r="1925" customFormat="false" ht="15" hidden="false" customHeight="false" outlineLevel="0" collapsed="false">
      <c r="A1925" s="33" t="s">
        <v>2110</v>
      </c>
      <c r="B1925" s="34" t="n">
        <v>45323</v>
      </c>
      <c r="C1925" s="34" t="n">
        <v>45339</v>
      </c>
      <c r="D1925" s="33" t="n">
        <v>55</v>
      </c>
      <c r="E1925" s="33" t="s">
        <v>180</v>
      </c>
      <c r="F1925" s="33" t="s">
        <v>226</v>
      </c>
      <c r="G1925" s="33" t="s">
        <v>258</v>
      </c>
      <c r="H1925" s="33" t="s">
        <v>228</v>
      </c>
      <c r="I1925" s="33" t="s">
        <v>158</v>
      </c>
      <c r="J1925" s="33" t="s">
        <v>144</v>
      </c>
      <c r="K1925" s="33" t="s">
        <v>184</v>
      </c>
      <c r="L1925" s="35" t="n">
        <v>70746.97</v>
      </c>
      <c r="M1925" s="33" t="n">
        <v>4</v>
      </c>
      <c r="N1925" s="33" t="s">
        <v>146</v>
      </c>
      <c r="O1925" s="33" t="s">
        <v>147</v>
      </c>
    </row>
    <row r="1926" customFormat="false" ht="15" hidden="false" customHeight="false" outlineLevel="0" collapsed="false">
      <c r="A1926" s="33" t="s">
        <v>2111</v>
      </c>
      <c r="B1926" s="34" t="n">
        <v>45525</v>
      </c>
      <c r="C1926" s="34" t="n">
        <v>45526</v>
      </c>
      <c r="D1926" s="33" t="n">
        <v>17</v>
      </c>
      <c r="E1926" s="33" t="s">
        <v>139</v>
      </c>
      <c r="F1926" s="33" t="s">
        <v>149</v>
      </c>
      <c r="G1926" s="33" t="s">
        <v>243</v>
      </c>
      <c r="H1926" s="33" t="s">
        <v>186</v>
      </c>
      <c r="I1926" s="33" t="s">
        <v>143</v>
      </c>
      <c r="J1926" s="33" t="s">
        <v>159</v>
      </c>
      <c r="K1926" s="33" t="s">
        <v>145</v>
      </c>
      <c r="L1926" s="35" t="n">
        <v>1416.58</v>
      </c>
      <c r="M1926" s="33" t="n">
        <v>4</v>
      </c>
      <c r="N1926" s="33" t="s">
        <v>146</v>
      </c>
      <c r="O1926" s="33" t="s">
        <v>147</v>
      </c>
    </row>
    <row r="1927" customFormat="false" ht="15" hidden="false" customHeight="false" outlineLevel="0" collapsed="false">
      <c r="A1927" s="33" t="s">
        <v>2112</v>
      </c>
      <c r="B1927" s="34" t="n">
        <v>45484</v>
      </c>
      <c r="C1927" s="34" t="n">
        <v>45495</v>
      </c>
      <c r="D1927" s="33" t="n">
        <v>80</v>
      </c>
      <c r="E1927" s="33" t="s">
        <v>154</v>
      </c>
      <c r="F1927" s="33" t="s">
        <v>140</v>
      </c>
      <c r="G1927" s="33" t="s">
        <v>316</v>
      </c>
      <c r="H1927" s="33" t="s">
        <v>290</v>
      </c>
      <c r="I1927" s="33" t="s">
        <v>152</v>
      </c>
      <c r="J1927" s="33" t="s">
        <v>159</v>
      </c>
      <c r="K1927" s="33" t="s">
        <v>145</v>
      </c>
      <c r="L1927" s="35" t="n">
        <v>22505.5</v>
      </c>
      <c r="M1927" s="33" t="n">
        <v>2</v>
      </c>
      <c r="N1927" s="33" t="s">
        <v>210</v>
      </c>
      <c r="O1927" s="33" t="s">
        <v>147</v>
      </c>
    </row>
    <row r="1928" customFormat="false" ht="15" hidden="false" customHeight="false" outlineLevel="0" collapsed="false">
      <c r="A1928" s="33" t="s">
        <v>2113</v>
      </c>
      <c r="B1928" s="34" t="n">
        <v>45441</v>
      </c>
      <c r="C1928" s="34" t="n">
        <v>45443</v>
      </c>
      <c r="D1928" s="33" t="n">
        <v>24</v>
      </c>
      <c r="E1928" s="33" t="s">
        <v>190</v>
      </c>
      <c r="F1928" s="33" t="s">
        <v>149</v>
      </c>
      <c r="G1928" s="33" t="s">
        <v>243</v>
      </c>
      <c r="H1928" s="33" t="s">
        <v>186</v>
      </c>
      <c r="I1928" s="33" t="s">
        <v>158</v>
      </c>
      <c r="J1928" s="33" t="s">
        <v>159</v>
      </c>
      <c r="K1928" s="33" t="s">
        <v>160</v>
      </c>
      <c r="L1928" s="35" t="n">
        <v>2679.68</v>
      </c>
      <c r="M1928" s="33" t="n">
        <v>5</v>
      </c>
      <c r="N1928" s="33" t="s">
        <v>146</v>
      </c>
      <c r="O1928" s="33" t="s">
        <v>147</v>
      </c>
    </row>
    <row r="1929" customFormat="false" ht="15" hidden="false" customHeight="false" outlineLevel="0" collapsed="false">
      <c r="A1929" s="33" t="s">
        <v>772</v>
      </c>
      <c r="B1929" s="34" t="n">
        <v>45634</v>
      </c>
      <c r="C1929" s="34" t="n">
        <v>45636</v>
      </c>
      <c r="D1929" s="33" t="n">
        <v>0</v>
      </c>
      <c r="E1929" s="33" t="s">
        <v>154</v>
      </c>
      <c r="F1929" s="33" t="s">
        <v>376</v>
      </c>
      <c r="G1929" s="33" t="s">
        <v>220</v>
      </c>
      <c r="H1929" s="33" t="s">
        <v>157</v>
      </c>
      <c r="I1929" s="33" t="s">
        <v>152</v>
      </c>
      <c r="J1929" s="33" t="s">
        <v>159</v>
      </c>
      <c r="K1929" s="33" t="s">
        <v>184</v>
      </c>
      <c r="L1929" s="35" t="n">
        <v>2061.51</v>
      </c>
      <c r="M1929" s="33" t="n">
        <v>5</v>
      </c>
      <c r="N1929" s="33" t="s">
        <v>146</v>
      </c>
      <c r="O1929" s="33" t="s">
        <v>247</v>
      </c>
    </row>
    <row r="1930" customFormat="false" ht="15" hidden="false" customHeight="false" outlineLevel="0" collapsed="false">
      <c r="A1930" s="33" t="s">
        <v>2114</v>
      </c>
      <c r="B1930" s="34" t="n">
        <v>45509</v>
      </c>
      <c r="C1930" s="34" t="n">
        <v>45512</v>
      </c>
      <c r="D1930" s="33" t="n">
        <v>38</v>
      </c>
      <c r="E1930" s="33" t="s">
        <v>154</v>
      </c>
      <c r="F1930" s="33" t="s">
        <v>173</v>
      </c>
      <c r="G1930" s="33" t="s">
        <v>198</v>
      </c>
      <c r="H1930" s="33" t="s">
        <v>199</v>
      </c>
      <c r="I1930" s="33" t="s">
        <v>143</v>
      </c>
      <c r="J1930" s="33" t="s">
        <v>159</v>
      </c>
      <c r="K1930" s="33" t="s">
        <v>209</v>
      </c>
      <c r="L1930" s="35" t="n">
        <v>7759.24</v>
      </c>
      <c r="M1930" s="33" t="n">
        <v>4</v>
      </c>
      <c r="N1930" s="33" t="s">
        <v>146</v>
      </c>
      <c r="O1930" s="33" t="s">
        <v>147</v>
      </c>
    </row>
    <row r="1931" customFormat="false" ht="15" hidden="false" customHeight="false" outlineLevel="0" collapsed="false">
      <c r="A1931" s="33" t="s">
        <v>928</v>
      </c>
      <c r="B1931" s="34" t="n">
        <v>45582</v>
      </c>
      <c r="C1931" s="34" t="n">
        <v>45584</v>
      </c>
      <c r="D1931" s="33" t="n">
        <v>40</v>
      </c>
      <c r="E1931" s="33" t="s">
        <v>139</v>
      </c>
      <c r="F1931" s="33" t="s">
        <v>203</v>
      </c>
      <c r="G1931" s="33" t="s">
        <v>192</v>
      </c>
      <c r="H1931" s="33" t="s">
        <v>233</v>
      </c>
      <c r="I1931" s="33" t="s">
        <v>143</v>
      </c>
      <c r="J1931" s="33" t="s">
        <v>144</v>
      </c>
      <c r="K1931" s="33" t="s">
        <v>145</v>
      </c>
      <c r="L1931" s="35" t="n">
        <v>3502.88</v>
      </c>
      <c r="M1931" s="33" t="n">
        <v>5</v>
      </c>
      <c r="N1931" s="33" t="s">
        <v>146</v>
      </c>
      <c r="O1931" s="33" t="s">
        <v>147</v>
      </c>
    </row>
    <row r="1932" customFormat="false" ht="15" hidden="false" customHeight="false" outlineLevel="0" collapsed="false">
      <c r="A1932" s="33" t="s">
        <v>2115</v>
      </c>
      <c r="B1932" s="34" t="n">
        <v>45493</v>
      </c>
      <c r="C1932" s="34" t="n">
        <v>45501</v>
      </c>
      <c r="D1932" s="33" t="n">
        <v>52</v>
      </c>
      <c r="E1932" s="33" t="s">
        <v>139</v>
      </c>
      <c r="F1932" s="33" t="s">
        <v>140</v>
      </c>
      <c r="G1932" s="33" t="s">
        <v>167</v>
      </c>
      <c r="H1932" s="33" t="s">
        <v>142</v>
      </c>
      <c r="I1932" s="33" t="s">
        <v>143</v>
      </c>
      <c r="J1932" s="33" t="s">
        <v>144</v>
      </c>
      <c r="K1932" s="33" t="s">
        <v>209</v>
      </c>
      <c r="L1932" s="35" t="n">
        <v>37553.68</v>
      </c>
      <c r="M1932" s="33" t="n">
        <v>4</v>
      </c>
      <c r="N1932" s="33" t="s">
        <v>146</v>
      </c>
      <c r="O1932" s="33" t="s">
        <v>147</v>
      </c>
    </row>
    <row r="1933" customFormat="false" ht="15" hidden="false" customHeight="false" outlineLevel="0" collapsed="false">
      <c r="A1933" s="33" t="s">
        <v>2116</v>
      </c>
      <c r="B1933" s="34" t="n">
        <v>45341</v>
      </c>
      <c r="C1933" s="34" t="n">
        <v>45347</v>
      </c>
      <c r="D1933" s="33" t="n">
        <v>61</v>
      </c>
      <c r="E1933" s="33" t="s">
        <v>139</v>
      </c>
      <c r="F1933" s="33" t="s">
        <v>181</v>
      </c>
      <c r="G1933" s="33" t="s">
        <v>237</v>
      </c>
      <c r="H1933" s="33" t="s">
        <v>245</v>
      </c>
      <c r="I1933" s="33" t="s">
        <v>152</v>
      </c>
      <c r="J1933" s="33" t="s">
        <v>159</v>
      </c>
      <c r="K1933" s="33" t="s">
        <v>145</v>
      </c>
      <c r="L1933" s="35" t="n">
        <v>13688.34</v>
      </c>
      <c r="M1933" s="33" t="n">
        <v>3</v>
      </c>
      <c r="N1933" s="33" t="s">
        <v>146</v>
      </c>
      <c r="O1933" s="33" t="s">
        <v>147</v>
      </c>
    </row>
    <row r="1934" customFormat="false" ht="15" hidden="false" customHeight="false" outlineLevel="0" collapsed="false">
      <c r="A1934" s="33" t="s">
        <v>2117</v>
      </c>
      <c r="B1934" s="34" t="n">
        <v>45505</v>
      </c>
      <c r="C1934" s="34" t="n">
        <v>45509</v>
      </c>
      <c r="D1934" s="33" t="n">
        <v>46</v>
      </c>
      <c r="E1934" s="33" t="s">
        <v>139</v>
      </c>
      <c r="F1934" s="33" t="s">
        <v>162</v>
      </c>
      <c r="G1934" s="33" t="s">
        <v>230</v>
      </c>
      <c r="H1934" s="33" t="s">
        <v>195</v>
      </c>
      <c r="I1934" s="33" t="s">
        <v>152</v>
      </c>
      <c r="J1934" s="33" t="s">
        <v>159</v>
      </c>
      <c r="K1934" s="33" t="s">
        <v>184</v>
      </c>
      <c r="L1934" s="35" t="n">
        <v>5590.82</v>
      </c>
      <c r="M1934" s="33" t="n">
        <v>4</v>
      </c>
      <c r="N1934" s="33" t="s">
        <v>146</v>
      </c>
      <c r="O1934" s="33" t="s">
        <v>147</v>
      </c>
    </row>
    <row r="1935" customFormat="false" ht="15" hidden="false" customHeight="false" outlineLevel="0" collapsed="false">
      <c r="A1935" s="33" t="s">
        <v>2118</v>
      </c>
      <c r="B1935" s="34" t="n">
        <v>45301</v>
      </c>
      <c r="C1935" s="34" t="n">
        <v>45310</v>
      </c>
      <c r="D1935" s="33" t="n">
        <v>59</v>
      </c>
      <c r="E1935" s="33" t="s">
        <v>154</v>
      </c>
      <c r="F1935" s="33" t="s">
        <v>173</v>
      </c>
      <c r="G1935" s="33" t="s">
        <v>178</v>
      </c>
      <c r="H1935" s="33" t="s">
        <v>175</v>
      </c>
      <c r="I1935" s="33" t="s">
        <v>143</v>
      </c>
      <c r="J1935" s="33" t="s">
        <v>159</v>
      </c>
      <c r="K1935" s="33" t="s">
        <v>184</v>
      </c>
      <c r="L1935" s="35" t="n">
        <v>23859.73</v>
      </c>
      <c r="M1935" s="33" t="n">
        <v>3</v>
      </c>
      <c r="N1935" s="33" t="s">
        <v>146</v>
      </c>
      <c r="O1935" s="33" t="s">
        <v>147</v>
      </c>
    </row>
    <row r="1936" customFormat="false" ht="15" hidden="false" customHeight="false" outlineLevel="0" collapsed="false">
      <c r="A1936" s="33" t="s">
        <v>2119</v>
      </c>
      <c r="B1936" s="34" t="n">
        <v>45578</v>
      </c>
      <c r="C1936" s="34" t="n">
        <v>45581</v>
      </c>
      <c r="D1936" s="33" t="n">
        <v>5</v>
      </c>
      <c r="E1936" s="33" t="s">
        <v>257</v>
      </c>
      <c r="F1936" s="33" t="s">
        <v>173</v>
      </c>
      <c r="G1936" s="33" t="s">
        <v>198</v>
      </c>
      <c r="H1936" s="33" t="s">
        <v>175</v>
      </c>
      <c r="I1936" s="33" t="s">
        <v>143</v>
      </c>
      <c r="J1936" s="33" t="s">
        <v>159</v>
      </c>
      <c r="K1936" s="33" t="s">
        <v>145</v>
      </c>
      <c r="L1936" s="35" t="n">
        <v>6716.93</v>
      </c>
      <c r="M1936" s="33" t="n">
        <v>4</v>
      </c>
      <c r="N1936" s="33" t="s">
        <v>146</v>
      </c>
      <c r="O1936" s="33" t="s">
        <v>295</v>
      </c>
    </row>
    <row r="1937" customFormat="false" ht="15" hidden="false" customHeight="false" outlineLevel="0" collapsed="false">
      <c r="A1937" s="33" t="s">
        <v>2120</v>
      </c>
      <c r="B1937" s="34" t="n">
        <v>45380</v>
      </c>
      <c r="C1937" s="34" t="n">
        <v>45382</v>
      </c>
      <c r="D1937" s="33" t="n">
        <v>74</v>
      </c>
      <c r="E1937" s="33" t="s">
        <v>180</v>
      </c>
      <c r="F1937" s="33" t="s">
        <v>226</v>
      </c>
      <c r="G1937" s="33" t="s">
        <v>386</v>
      </c>
      <c r="H1937" s="33" t="s">
        <v>228</v>
      </c>
      <c r="I1937" s="33" t="s">
        <v>143</v>
      </c>
      <c r="J1937" s="33" t="s">
        <v>176</v>
      </c>
      <c r="K1937" s="33" t="s">
        <v>145</v>
      </c>
      <c r="L1937" s="35" t="n">
        <v>23824.31</v>
      </c>
      <c r="M1937" s="33" t="n">
        <v>4</v>
      </c>
      <c r="N1937" s="33" t="s">
        <v>146</v>
      </c>
      <c r="O1937" s="33" t="s">
        <v>147</v>
      </c>
    </row>
    <row r="1938" customFormat="false" ht="15" hidden="false" customHeight="false" outlineLevel="0" collapsed="false">
      <c r="A1938" s="33" t="s">
        <v>2121</v>
      </c>
      <c r="B1938" s="34" t="n">
        <v>45641</v>
      </c>
      <c r="C1938" s="34" t="n">
        <v>45643</v>
      </c>
      <c r="D1938" s="33" t="n">
        <v>25</v>
      </c>
      <c r="E1938" s="33" t="s">
        <v>154</v>
      </c>
      <c r="F1938" s="33" t="s">
        <v>173</v>
      </c>
      <c r="G1938" s="33" t="s">
        <v>174</v>
      </c>
      <c r="H1938" s="33" t="s">
        <v>175</v>
      </c>
      <c r="I1938" s="33" t="s">
        <v>143</v>
      </c>
      <c r="J1938" s="33" t="s">
        <v>159</v>
      </c>
      <c r="K1938" s="33" t="s">
        <v>160</v>
      </c>
      <c r="L1938" s="35" t="n">
        <v>6589.17</v>
      </c>
      <c r="M1938" s="33" t="n">
        <v>5</v>
      </c>
      <c r="N1938" s="33" t="s">
        <v>146</v>
      </c>
      <c r="O1938" s="33" t="s">
        <v>247</v>
      </c>
    </row>
    <row r="1939" customFormat="false" ht="15" hidden="false" customHeight="false" outlineLevel="0" collapsed="false">
      <c r="A1939" s="33" t="s">
        <v>2122</v>
      </c>
      <c r="B1939" s="34" t="n">
        <v>45559</v>
      </c>
      <c r="C1939" s="34" t="n">
        <v>45562</v>
      </c>
      <c r="D1939" s="33" t="n">
        <v>31</v>
      </c>
      <c r="E1939" s="33" t="s">
        <v>139</v>
      </c>
      <c r="F1939" s="33" t="s">
        <v>169</v>
      </c>
      <c r="G1939" s="33" t="s">
        <v>230</v>
      </c>
      <c r="H1939" s="33" t="s">
        <v>171</v>
      </c>
      <c r="I1939" s="33" t="s">
        <v>152</v>
      </c>
      <c r="J1939" s="33" t="s">
        <v>159</v>
      </c>
      <c r="K1939" s="33" t="s">
        <v>145</v>
      </c>
      <c r="L1939" s="35" t="n">
        <v>3313.89</v>
      </c>
      <c r="M1939" s="33" t="n">
        <v>5</v>
      </c>
      <c r="N1939" s="33" t="s">
        <v>146</v>
      </c>
      <c r="O1939" s="33" t="s">
        <v>147</v>
      </c>
    </row>
    <row r="1940" customFormat="false" ht="15" hidden="false" customHeight="false" outlineLevel="0" collapsed="false">
      <c r="A1940" s="33" t="s">
        <v>2123</v>
      </c>
      <c r="B1940" s="34" t="n">
        <v>45338</v>
      </c>
      <c r="C1940" s="34" t="n">
        <v>45339</v>
      </c>
      <c r="D1940" s="33" t="n">
        <v>31</v>
      </c>
      <c r="E1940" s="33" t="s">
        <v>154</v>
      </c>
      <c r="F1940" s="33" t="s">
        <v>203</v>
      </c>
      <c r="G1940" s="33" t="s">
        <v>192</v>
      </c>
      <c r="H1940" s="33" t="s">
        <v>233</v>
      </c>
      <c r="I1940" s="33" t="s">
        <v>143</v>
      </c>
      <c r="J1940" s="33" t="s">
        <v>176</v>
      </c>
      <c r="K1940" s="33" t="s">
        <v>209</v>
      </c>
      <c r="L1940" s="35" t="n">
        <v>2309.18</v>
      </c>
      <c r="M1940" s="33" t="n">
        <v>4</v>
      </c>
      <c r="N1940" s="33" t="s">
        <v>210</v>
      </c>
      <c r="O1940" s="33" t="s">
        <v>147</v>
      </c>
    </row>
    <row r="1941" customFormat="false" ht="15" hidden="false" customHeight="false" outlineLevel="0" collapsed="false">
      <c r="A1941" s="33" t="s">
        <v>2124</v>
      </c>
      <c r="B1941" s="34" t="n">
        <v>45299</v>
      </c>
      <c r="C1941" s="34" t="n">
        <v>45302</v>
      </c>
      <c r="D1941" s="33" t="n">
        <v>44</v>
      </c>
      <c r="E1941" s="33" t="s">
        <v>154</v>
      </c>
      <c r="F1941" s="33" t="s">
        <v>173</v>
      </c>
      <c r="G1941" s="33" t="s">
        <v>178</v>
      </c>
      <c r="H1941" s="33" t="s">
        <v>175</v>
      </c>
      <c r="I1941" s="33" t="s">
        <v>152</v>
      </c>
      <c r="J1941" s="33" t="s">
        <v>159</v>
      </c>
      <c r="K1941" s="33" t="s">
        <v>145</v>
      </c>
      <c r="L1941" s="35" t="n">
        <v>7111.57</v>
      </c>
      <c r="M1941" s="33" t="n">
        <v>5</v>
      </c>
      <c r="N1941" s="33" t="s">
        <v>146</v>
      </c>
      <c r="O1941" s="33" t="s">
        <v>247</v>
      </c>
    </row>
    <row r="1942" customFormat="false" ht="15" hidden="false" customHeight="false" outlineLevel="0" collapsed="false">
      <c r="A1942" s="33" t="s">
        <v>2125</v>
      </c>
      <c r="B1942" s="34" t="n">
        <v>45324</v>
      </c>
      <c r="C1942" s="34" t="n">
        <v>45326</v>
      </c>
      <c r="D1942" s="33" t="n">
        <v>41</v>
      </c>
      <c r="E1942" s="33" t="s">
        <v>154</v>
      </c>
      <c r="F1942" s="33" t="s">
        <v>181</v>
      </c>
      <c r="G1942" s="33" t="s">
        <v>237</v>
      </c>
      <c r="H1942" s="33" t="s">
        <v>183</v>
      </c>
      <c r="I1942" s="33" t="s">
        <v>143</v>
      </c>
      <c r="J1942" s="33" t="s">
        <v>159</v>
      </c>
      <c r="K1942" s="33" t="s">
        <v>145</v>
      </c>
      <c r="L1942" s="35" t="n">
        <v>4806.46</v>
      </c>
      <c r="M1942" s="33" t="n">
        <v>4</v>
      </c>
      <c r="N1942" s="33" t="s">
        <v>146</v>
      </c>
      <c r="O1942" s="33" t="s">
        <v>147</v>
      </c>
    </row>
    <row r="1943" customFormat="false" ht="15" hidden="false" customHeight="false" outlineLevel="0" collapsed="false">
      <c r="A1943" s="33" t="s">
        <v>2126</v>
      </c>
      <c r="B1943" s="34" t="n">
        <v>45581</v>
      </c>
      <c r="C1943" s="34" t="n">
        <v>45583</v>
      </c>
      <c r="D1943" s="33" t="n">
        <v>24</v>
      </c>
      <c r="E1943" s="33" t="s">
        <v>154</v>
      </c>
      <c r="F1943" s="33" t="s">
        <v>203</v>
      </c>
      <c r="G1943" s="33" t="s">
        <v>241</v>
      </c>
      <c r="H1943" s="33" t="s">
        <v>233</v>
      </c>
      <c r="I1943" s="33" t="s">
        <v>143</v>
      </c>
      <c r="J1943" s="33" t="s">
        <v>144</v>
      </c>
      <c r="K1943" s="33" t="s">
        <v>209</v>
      </c>
      <c r="L1943" s="35" t="n">
        <v>3261.54</v>
      </c>
      <c r="M1943" s="33" t="n">
        <v>4</v>
      </c>
      <c r="N1943" s="33" t="s">
        <v>146</v>
      </c>
      <c r="O1943" s="33" t="s">
        <v>147</v>
      </c>
    </row>
    <row r="1944" customFormat="false" ht="15" hidden="false" customHeight="false" outlineLevel="0" collapsed="false">
      <c r="A1944" s="33" t="s">
        <v>2127</v>
      </c>
      <c r="B1944" s="34" t="n">
        <v>45377</v>
      </c>
      <c r="C1944" s="34" t="n">
        <v>45382</v>
      </c>
      <c r="D1944" s="33" t="n">
        <v>7</v>
      </c>
      <c r="E1944" s="33" t="s">
        <v>216</v>
      </c>
      <c r="F1944" s="33" t="s">
        <v>169</v>
      </c>
      <c r="G1944" s="33" t="s">
        <v>230</v>
      </c>
      <c r="H1944" s="33" t="s">
        <v>171</v>
      </c>
      <c r="I1944" s="33" t="s">
        <v>143</v>
      </c>
      <c r="J1944" s="33" t="s">
        <v>159</v>
      </c>
      <c r="K1944" s="33" t="s">
        <v>145</v>
      </c>
      <c r="L1944" s="35" t="n">
        <v>4104.35</v>
      </c>
      <c r="M1944" s="33" t="n">
        <v>5</v>
      </c>
      <c r="N1944" s="33" t="s">
        <v>146</v>
      </c>
      <c r="O1944" s="33" t="s">
        <v>206</v>
      </c>
    </row>
    <row r="1945" customFormat="false" ht="15" hidden="false" customHeight="false" outlineLevel="0" collapsed="false">
      <c r="A1945" s="33" t="s">
        <v>2128</v>
      </c>
      <c r="B1945" s="34" t="n">
        <v>45321</v>
      </c>
      <c r="C1945" s="34" t="n">
        <v>45322</v>
      </c>
      <c r="D1945" s="33" t="n">
        <v>62</v>
      </c>
      <c r="E1945" s="33" t="s">
        <v>154</v>
      </c>
      <c r="F1945" s="33" t="s">
        <v>203</v>
      </c>
      <c r="G1945" s="33" t="s">
        <v>232</v>
      </c>
      <c r="H1945" s="33" t="s">
        <v>205</v>
      </c>
      <c r="I1945" s="33" t="s">
        <v>143</v>
      </c>
      <c r="J1945" s="33" t="s">
        <v>144</v>
      </c>
      <c r="K1945" s="33" t="s">
        <v>145</v>
      </c>
      <c r="L1945" s="35" t="n">
        <v>1694.89</v>
      </c>
      <c r="M1945" s="33" t="n">
        <v>4</v>
      </c>
      <c r="N1945" s="33" t="s">
        <v>146</v>
      </c>
      <c r="O1945" s="33" t="s">
        <v>147</v>
      </c>
    </row>
    <row r="1946" customFormat="false" ht="15" hidden="false" customHeight="false" outlineLevel="0" collapsed="false">
      <c r="A1946" s="33" t="s">
        <v>2129</v>
      </c>
      <c r="B1946" s="34" t="n">
        <v>45343</v>
      </c>
      <c r="C1946" s="34" t="n">
        <v>45345</v>
      </c>
      <c r="D1946" s="33" t="n">
        <v>0</v>
      </c>
      <c r="E1946" s="33" t="s">
        <v>154</v>
      </c>
      <c r="F1946" s="33" t="s">
        <v>288</v>
      </c>
      <c r="G1946" s="33" t="s">
        <v>156</v>
      </c>
      <c r="H1946" s="33" t="s">
        <v>222</v>
      </c>
      <c r="I1946" s="33" t="s">
        <v>152</v>
      </c>
      <c r="J1946" s="33" t="s">
        <v>159</v>
      </c>
      <c r="K1946" s="33" t="s">
        <v>184</v>
      </c>
      <c r="L1946" s="35" t="n">
        <v>1622.93</v>
      </c>
      <c r="M1946" s="33" t="n">
        <v>3</v>
      </c>
      <c r="N1946" s="33" t="s">
        <v>146</v>
      </c>
      <c r="O1946" s="33" t="s">
        <v>295</v>
      </c>
    </row>
    <row r="1947" customFormat="false" ht="15" hidden="false" customHeight="false" outlineLevel="0" collapsed="false">
      <c r="A1947" s="33" t="s">
        <v>2130</v>
      </c>
      <c r="B1947" s="34" t="n">
        <v>45630</v>
      </c>
      <c r="C1947" s="34" t="n">
        <v>45636</v>
      </c>
      <c r="D1947" s="33" t="n">
        <v>26</v>
      </c>
      <c r="E1947" s="33" t="s">
        <v>154</v>
      </c>
      <c r="F1947" s="33" t="s">
        <v>140</v>
      </c>
      <c r="G1947" s="33" t="s">
        <v>316</v>
      </c>
      <c r="H1947" s="33" t="s">
        <v>142</v>
      </c>
      <c r="I1947" s="33" t="s">
        <v>152</v>
      </c>
      <c r="J1947" s="33" t="s">
        <v>144</v>
      </c>
      <c r="K1947" s="33" t="s">
        <v>209</v>
      </c>
      <c r="L1947" s="35" t="n">
        <v>23723.63</v>
      </c>
      <c r="M1947" s="33" t="n">
        <v>3</v>
      </c>
      <c r="N1947" s="33" t="s">
        <v>146</v>
      </c>
      <c r="O1947" s="33" t="s">
        <v>247</v>
      </c>
    </row>
    <row r="1948" customFormat="false" ht="15" hidden="false" customHeight="false" outlineLevel="0" collapsed="false">
      <c r="A1948" s="33" t="s">
        <v>2131</v>
      </c>
      <c r="B1948" s="34" t="n">
        <v>45420</v>
      </c>
      <c r="C1948" s="34" t="n">
        <v>45422</v>
      </c>
      <c r="D1948" s="33" t="n">
        <v>32</v>
      </c>
      <c r="E1948" s="33" t="s">
        <v>154</v>
      </c>
      <c r="F1948" s="33" t="s">
        <v>203</v>
      </c>
      <c r="G1948" s="33" t="s">
        <v>232</v>
      </c>
      <c r="H1948" s="33" t="s">
        <v>193</v>
      </c>
      <c r="I1948" s="33" t="s">
        <v>143</v>
      </c>
      <c r="J1948" s="33" t="s">
        <v>176</v>
      </c>
      <c r="K1948" s="33" t="s">
        <v>145</v>
      </c>
      <c r="L1948" s="35" t="n">
        <v>7389.93</v>
      </c>
      <c r="M1948" s="33" t="n">
        <v>5</v>
      </c>
      <c r="N1948" s="33" t="s">
        <v>146</v>
      </c>
      <c r="O1948" s="33" t="s">
        <v>147</v>
      </c>
    </row>
    <row r="1949" customFormat="false" ht="15" hidden="false" customHeight="false" outlineLevel="0" collapsed="false">
      <c r="A1949" s="33" t="s">
        <v>2132</v>
      </c>
      <c r="B1949" s="34" t="n">
        <v>45344</v>
      </c>
      <c r="C1949" s="34" t="n">
        <v>45353</v>
      </c>
      <c r="D1949" s="33" t="n">
        <v>36</v>
      </c>
      <c r="E1949" s="33" t="s">
        <v>154</v>
      </c>
      <c r="F1949" s="33" t="s">
        <v>173</v>
      </c>
      <c r="G1949" s="33" t="s">
        <v>174</v>
      </c>
      <c r="H1949" s="33" t="s">
        <v>175</v>
      </c>
      <c r="I1949" s="33" t="s">
        <v>143</v>
      </c>
      <c r="J1949" s="33" t="s">
        <v>176</v>
      </c>
      <c r="K1949" s="33" t="s">
        <v>145</v>
      </c>
      <c r="L1949" s="35" t="n">
        <v>75132.53</v>
      </c>
      <c r="M1949" s="33" t="n">
        <v>5</v>
      </c>
      <c r="N1949" s="33" t="s">
        <v>146</v>
      </c>
      <c r="O1949" s="33" t="s">
        <v>147</v>
      </c>
    </row>
    <row r="1950" customFormat="false" ht="15" hidden="false" customHeight="false" outlineLevel="0" collapsed="false">
      <c r="A1950" s="33" t="s">
        <v>2133</v>
      </c>
      <c r="B1950" s="34" t="n">
        <v>45499</v>
      </c>
      <c r="C1950" s="34" t="n">
        <v>45505</v>
      </c>
      <c r="D1950" s="33" t="n">
        <v>29</v>
      </c>
      <c r="E1950" s="33" t="s">
        <v>139</v>
      </c>
      <c r="F1950" s="33" t="s">
        <v>169</v>
      </c>
      <c r="G1950" s="33" t="s">
        <v>170</v>
      </c>
      <c r="H1950" s="33" t="s">
        <v>195</v>
      </c>
      <c r="I1950" s="33" t="s">
        <v>152</v>
      </c>
      <c r="J1950" s="33" t="s">
        <v>144</v>
      </c>
      <c r="K1950" s="33" t="s">
        <v>160</v>
      </c>
      <c r="L1950" s="35" t="n">
        <v>11143.06</v>
      </c>
      <c r="M1950" s="33" t="n">
        <v>3</v>
      </c>
      <c r="N1950" s="33" t="s">
        <v>146</v>
      </c>
      <c r="O1950" s="33" t="s">
        <v>147</v>
      </c>
    </row>
    <row r="1951" customFormat="false" ht="15" hidden="false" customHeight="false" outlineLevel="0" collapsed="false">
      <c r="A1951" s="33" t="s">
        <v>2134</v>
      </c>
      <c r="B1951" s="34" t="n">
        <v>45404</v>
      </c>
      <c r="C1951" s="34" t="n">
        <v>45405</v>
      </c>
      <c r="D1951" s="33" t="n">
        <v>58</v>
      </c>
      <c r="E1951" s="33" t="s">
        <v>139</v>
      </c>
      <c r="F1951" s="33" t="s">
        <v>203</v>
      </c>
      <c r="G1951" s="33" t="s">
        <v>241</v>
      </c>
      <c r="H1951" s="33" t="s">
        <v>193</v>
      </c>
      <c r="I1951" s="33" t="s">
        <v>143</v>
      </c>
      <c r="J1951" s="33" t="s">
        <v>176</v>
      </c>
      <c r="K1951" s="33" t="s">
        <v>145</v>
      </c>
      <c r="L1951" s="35" t="n">
        <v>2532.34</v>
      </c>
      <c r="M1951" s="33" t="n">
        <v>3</v>
      </c>
      <c r="N1951" s="33" t="s">
        <v>146</v>
      </c>
      <c r="O1951" s="33" t="s">
        <v>147</v>
      </c>
    </row>
    <row r="1952" customFormat="false" ht="15" hidden="false" customHeight="false" outlineLevel="0" collapsed="false">
      <c r="A1952" s="33" t="s">
        <v>2135</v>
      </c>
      <c r="B1952" s="34" t="n">
        <v>45603</v>
      </c>
      <c r="C1952" s="34" t="n">
        <v>45606</v>
      </c>
      <c r="D1952" s="33" t="n">
        <v>4</v>
      </c>
      <c r="E1952" s="33" t="s">
        <v>216</v>
      </c>
      <c r="F1952" s="33" t="s">
        <v>155</v>
      </c>
      <c r="G1952" s="33" t="s">
        <v>156</v>
      </c>
      <c r="H1952" s="33" t="s">
        <v>157</v>
      </c>
      <c r="I1952" s="33" t="s">
        <v>152</v>
      </c>
      <c r="J1952" s="33" t="s">
        <v>176</v>
      </c>
      <c r="K1952" s="33" t="s">
        <v>160</v>
      </c>
      <c r="L1952" s="35" t="n">
        <v>9738.08</v>
      </c>
      <c r="M1952" s="33" t="n">
        <v>5</v>
      </c>
      <c r="N1952" s="33" t="s">
        <v>146</v>
      </c>
      <c r="O1952" s="33" t="s">
        <v>147</v>
      </c>
    </row>
    <row r="1953" customFormat="false" ht="15" hidden="false" customHeight="false" outlineLevel="0" collapsed="false">
      <c r="A1953" s="33" t="s">
        <v>2136</v>
      </c>
      <c r="B1953" s="34" t="n">
        <v>45552</v>
      </c>
      <c r="C1953" s="34" t="n">
        <v>45553</v>
      </c>
      <c r="D1953" s="33" t="n">
        <v>31</v>
      </c>
      <c r="E1953" s="33" t="s">
        <v>139</v>
      </c>
      <c r="F1953" s="33" t="s">
        <v>149</v>
      </c>
      <c r="G1953" s="33" t="s">
        <v>243</v>
      </c>
      <c r="H1953" s="33" t="s">
        <v>151</v>
      </c>
      <c r="I1953" s="33" t="s">
        <v>143</v>
      </c>
      <c r="J1953" s="33" t="s">
        <v>159</v>
      </c>
      <c r="K1953" s="33" t="s">
        <v>160</v>
      </c>
      <c r="L1953" s="35" t="n">
        <v>1507.25</v>
      </c>
      <c r="M1953" s="33" t="n">
        <v>4</v>
      </c>
      <c r="N1953" s="33" t="s">
        <v>146</v>
      </c>
      <c r="O1953" s="33" t="s">
        <v>147</v>
      </c>
    </row>
    <row r="1954" customFormat="false" ht="15" hidden="false" customHeight="false" outlineLevel="0" collapsed="false">
      <c r="A1954" s="33" t="s">
        <v>2137</v>
      </c>
      <c r="B1954" s="34" t="n">
        <v>45326</v>
      </c>
      <c r="C1954" s="34" t="n">
        <v>45331</v>
      </c>
      <c r="D1954" s="33" t="n">
        <v>42</v>
      </c>
      <c r="E1954" s="33" t="s">
        <v>139</v>
      </c>
      <c r="F1954" s="33" t="s">
        <v>169</v>
      </c>
      <c r="G1954" s="33" t="s">
        <v>230</v>
      </c>
      <c r="H1954" s="33" t="s">
        <v>164</v>
      </c>
      <c r="I1954" s="33" t="s">
        <v>152</v>
      </c>
      <c r="J1954" s="33" t="s">
        <v>159</v>
      </c>
      <c r="K1954" s="33" t="s">
        <v>145</v>
      </c>
      <c r="L1954" s="35" t="n">
        <v>5387.46</v>
      </c>
      <c r="M1954" s="36"/>
      <c r="N1954" s="33" t="s">
        <v>210</v>
      </c>
      <c r="O1954" s="33" t="s">
        <v>147</v>
      </c>
    </row>
    <row r="1955" customFormat="false" ht="15" hidden="false" customHeight="false" outlineLevel="0" collapsed="false">
      <c r="A1955" s="33" t="s">
        <v>2138</v>
      </c>
      <c r="B1955" s="34" t="n">
        <v>45488</v>
      </c>
      <c r="C1955" s="34" t="n">
        <v>45490</v>
      </c>
      <c r="D1955" s="33" t="n">
        <v>0</v>
      </c>
      <c r="E1955" s="33" t="s">
        <v>154</v>
      </c>
      <c r="F1955" s="33" t="s">
        <v>288</v>
      </c>
      <c r="G1955" s="33" t="s">
        <v>220</v>
      </c>
      <c r="H1955" s="33" t="s">
        <v>157</v>
      </c>
      <c r="I1955" s="33" t="s">
        <v>143</v>
      </c>
      <c r="J1955" s="33" t="s">
        <v>159</v>
      </c>
      <c r="K1955" s="33" t="s">
        <v>160</v>
      </c>
      <c r="L1955" s="35" t="n">
        <v>1464.14</v>
      </c>
      <c r="M1955" s="33" t="n">
        <v>5</v>
      </c>
      <c r="N1955" s="33" t="s">
        <v>146</v>
      </c>
      <c r="O1955" s="33" t="s">
        <v>147</v>
      </c>
    </row>
    <row r="1956" customFormat="false" ht="15" hidden="false" customHeight="false" outlineLevel="0" collapsed="false">
      <c r="A1956" s="33" t="s">
        <v>2139</v>
      </c>
      <c r="B1956" s="34" t="n">
        <v>45388</v>
      </c>
      <c r="C1956" s="34" t="n">
        <v>45390</v>
      </c>
      <c r="D1956" s="33" t="n">
        <v>88</v>
      </c>
      <c r="E1956" s="33" t="s">
        <v>154</v>
      </c>
      <c r="F1956" s="33" t="s">
        <v>169</v>
      </c>
      <c r="G1956" s="33" t="s">
        <v>213</v>
      </c>
      <c r="H1956" s="33" t="s">
        <v>164</v>
      </c>
      <c r="I1956" s="33" t="s">
        <v>143</v>
      </c>
      <c r="J1956" s="33" t="s">
        <v>159</v>
      </c>
      <c r="K1956" s="33" t="s">
        <v>160</v>
      </c>
      <c r="L1956" s="35" t="n">
        <v>2348.25</v>
      </c>
      <c r="M1956" s="33" t="n">
        <v>4</v>
      </c>
      <c r="N1956" s="33" t="s">
        <v>146</v>
      </c>
      <c r="O1956" s="33" t="s">
        <v>147</v>
      </c>
    </row>
    <row r="1957" customFormat="false" ht="15" hidden="false" customHeight="false" outlineLevel="0" collapsed="false">
      <c r="A1957" s="33" t="s">
        <v>2140</v>
      </c>
      <c r="B1957" s="34" t="n">
        <v>45573</v>
      </c>
      <c r="C1957" s="34" t="n">
        <v>45574</v>
      </c>
      <c r="D1957" s="33" t="n">
        <v>7</v>
      </c>
      <c r="E1957" s="33" t="s">
        <v>257</v>
      </c>
      <c r="F1957" s="33" t="s">
        <v>203</v>
      </c>
      <c r="G1957" s="33" t="s">
        <v>204</v>
      </c>
      <c r="H1957" s="33" t="s">
        <v>233</v>
      </c>
      <c r="I1957" s="33" t="s">
        <v>143</v>
      </c>
      <c r="J1957" s="33" t="s">
        <v>159</v>
      </c>
      <c r="K1957" s="33" t="s">
        <v>160</v>
      </c>
      <c r="L1957" s="35" t="n">
        <v>821.16</v>
      </c>
      <c r="M1957" s="33" t="n">
        <v>5</v>
      </c>
      <c r="N1957" s="33" t="s">
        <v>146</v>
      </c>
      <c r="O1957" s="36"/>
    </row>
    <row r="1958" customFormat="false" ht="15" hidden="false" customHeight="false" outlineLevel="0" collapsed="false">
      <c r="A1958" s="33" t="s">
        <v>2141</v>
      </c>
      <c r="B1958" s="34" t="n">
        <v>45419</v>
      </c>
      <c r="C1958" s="34" t="n">
        <v>45423</v>
      </c>
      <c r="D1958" s="33" t="n">
        <v>4</v>
      </c>
      <c r="E1958" s="33" t="s">
        <v>139</v>
      </c>
      <c r="F1958" s="33" t="s">
        <v>155</v>
      </c>
      <c r="G1958" s="33" t="s">
        <v>220</v>
      </c>
      <c r="H1958" s="33" t="s">
        <v>222</v>
      </c>
      <c r="I1958" s="33" t="s">
        <v>143</v>
      </c>
      <c r="J1958" s="33" t="s">
        <v>144</v>
      </c>
      <c r="K1958" s="33" t="s">
        <v>145</v>
      </c>
      <c r="L1958" s="35" t="n">
        <v>5602.01</v>
      </c>
      <c r="M1958" s="33" t="n">
        <v>3</v>
      </c>
      <c r="N1958" s="33" t="s">
        <v>146</v>
      </c>
      <c r="O1958" s="33" t="s">
        <v>147</v>
      </c>
    </row>
    <row r="1959" customFormat="false" ht="15" hidden="false" customHeight="false" outlineLevel="0" collapsed="false">
      <c r="A1959" s="33" t="s">
        <v>2142</v>
      </c>
      <c r="B1959" s="34" t="n">
        <v>45575</v>
      </c>
      <c r="C1959" s="34" t="n">
        <v>45578</v>
      </c>
      <c r="D1959" s="33" t="n">
        <v>71</v>
      </c>
      <c r="E1959" s="33" t="s">
        <v>139</v>
      </c>
      <c r="F1959" s="33" t="s">
        <v>169</v>
      </c>
      <c r="G1959" s="33" t="s">
        <v>230</v>
      </c>
      <c r="H1959" s="33" t="s">
        <v>164</v>
      </c>
      <c r="I1959" s="33" t="s">
        <v>143</v>
      </c>
      <c r="J1959" s="33" t="s">
        <v>159</v>
      </c>
      <c r="K1959" s="33" t="s">
        <v>160</v>
      </c>
      <c r="L1959" s="35" t="n">
        <v>3299.45</v>
      </c>
      <c r="M1959" s="33" t="n">
        <v>4</v>
      </c>
      <c r="N1959" s="33" t="s">
        <v>146</v>
      </c>
      <c r="O1959" s="33" t="s">
        <v>147</v>
      </c>
    </row>
    <row r="1960" customFormat="false" ht="15" hidden="false" customHeight="false" outlineLevel="0" collapsed="false">
      <c r="A1960" s="33" t="s">
        <v>2143</v>
      </c>
      <c r="B1960" s="34" t="n">
        <v>45298</v>
      </c>
      <c r="C1960" s="34" t="n">
        <v>45300</v>
      </c>
      <c r="D1960" s="33" t="n">
        <v>43</v>
      </c>
      <c r="E1960" s="33" t="s">
        <v>139</v>
      </c>
      <c r="F1960" s="33" t="s">
        <v>162</v>
      </c>
      <c r="G1960" s="33" t="s">
        <v>230</v>
      </c>
      <c r="H1960" s="33" t="s">
        <v>195</v>
      </c>
      <c r="I1960" s="33" t="s">
        <v>143</v>
      </c>
      <c r="J1960" s="33" t="s">
        <v>159</v>
      </c>
      <c r="K1960" s="36"/>
      <c r="L1960" s="35" t="n">
        <v>1958.01</v>
      </c>
      <c r="M1960" s="33" t="n">
        <v>3</v>
      </c>
      <c r="N1960" s="33" t="s">
        <v>146</v>
      </c>
      <c r="O1960" s="33" t="s">
        <v>147</v>
      </c>
    </row>
    <row r="1961" customFormat="false" ht="15" hidden="false" customHeight="false" outlineLevel="0" collapsed="false">
      <c r="A1961" s="33" t="s">
        <v>1253</v>
      </c>
      <c r="B1961" s="34" t="n">
        <v>45508</v>
      </c>
      <c r="C1961" s="34" t="n">
        <v>45513</v>
      </c>
      <c r="D1961" s="33" t="n">
        <v>39</v>
      </c>
      <c r="E1961" s="33" t="s">
        <v>139</v>
      </c>
      <c r="F1961" s="33" t="s">
        <v>169</v>
      </c>
      <c r="G1961" s="33" t="s">
        <v>213</v>
      </c>
      <c r="H1961" s="33" t="s">
        <v>171</v>
      </c>
      <c r="I1961" s="33" t="s">
        <v>143</v>
      </c>
      <c r="J1961" s="33" t="s">
        <v>159</v>
      </c>
      <c r="K1961" s="33" t="s">
        <v>160</v>
      </c>
      <c r="L1961" s="35" t="n">
        <v>5092.79</v>
      </c>
      <c r="M1961" s="33" t="n">
        <v>5</v>
      </c>
      <c r="N1961" s="33" t="s">
        <v>146</v>
      </c>
      <c r="O1961" s="33" t="s">
        <v>147</v>
      </c>
    </row>
    <row r="1962" customFormat="false" ht="15" hidden="false" customHeight="false" outlineLevel="0" collapsed="false">
      <c r="A1962" s="33" t="s">
        <v>2144</v>
      </c>
      <c r="B1962" s="34" t="n">
        <v>45504</v>
      </c>
      <c r="C1962" s="34" t="n">
        <v>45505</v>
      </c>
      <c r="D1962" s="33" t="n">
        <v>3</v>
      </c>
      <c r="E1962" s="33" t="s">
        <v>139</v>
      </c>
      <c r="F1962" s="33" t="s">
        <v>288</v>
      </c>
      <c r="G1962" s="33" t="s">
        <v>220</v>
      </c>
      <c r="H1962" s="33" t="s">
        <v>157</v>
      </c>
      <c r="I1962" s="33" t="s">
        <v>152</v>
      </c>
      <c r="J1962" s="33" t="s">
        <v>159</v>
      </c>
      <c r="K1962" s="33" t="s">
        <v>145</v>
      </c>
      <c r="L1962" s="35" t="n">
        <v>926.13</v>
      </c>
      <c r="M1962" s="33" t="n">
        <v>4</v>
      </c>
      <c r="N1962" s="33" t="s">
        <v>146</v>
      </c>
      <c r="O1962" s="33" t="s">
        <v>147</v>
      </c>
    </row>
    <row r="1963" customFormat="false" ht="15" hidden="false" customHeight="false" outlineLevel="0" collapsed="false">
      <c r="A1963" s="33" t="s">
        <v>2145</v>
      </c>
      <c r="B1963" s="34" t="n">
        <v>45508</v>
      </c>
      <c r="C1963" s="34" t="n">
        <v>45509</v>
      </c>
      <c r="D1963" s="33" t="n">
        <v>31</v>
      </c>
      <c r="E1963" s="33" t="s">
        <v>139</v>
      </c>
      <c r="F1963" s="33" t="s">
        <v>149</v>
      </c>
      <c r="G1963" s="33" t="s">
        <v>243</v>
      </c>
      <c r="H1963" s="33" t="s">
        <v>186</v>
      </c>
      <c r="I1963" s="33" t="s">
        <v>152</v>
      </c>
      <c r="J1963" s="33" t="s">
        <v>159</v>
      </c>
      <c r="K1963" s="33" t="s">
        <v>145</v>
      </c>
      <c r="L1963" s="35" t="n">
        <v>1294.28</v>
      </c>
      <c r="M1963" s="33" t="n">
        <v>5</v>
      </c>
      <c r="N1963" s="33" t="s">
        <v>146</v>
      </c>
      <c r="O1963" s="33" t="s">
        <v>147</v>
      </c>
    </row>
    <row r="1964" customFormat="false" ht="15" hidden="false" customHeight="false" outlineLevel="0" collapsed="false">
      <c r="A1964" s="33" t="s">
        <v>2146</v>
      </c>
      <c r="B1964" s="34" t="n">
        <v>45461</v>
      </c>
      <c r="C1964" s="34" t="n">
        <v>45462</v>
      </c>
      <c r="D1964" s="33" t="n">
        <v>8</v>
      </c>
      <c r="E1964" s="33" t="s">
        <v>154</v>
      </c>
      <c r="F1964" s="33" t="s">
        <v>288</v>
      </c>
      <c r="G1964" s="33" t="s">
        <v>302</v>
      </c>
      <c r="H1964" s="33" t="s">
        <v>157</v>
      </c>
      <c r="I1964" s="33" t="s">
        <v>143</v>
      </c>
      <c r="J1964" s="33" t="s">
        <v>144</v>
      </c>
      <c r="K1964" s="33" t="s">
        <v>160</v>
      </c>
      <c r="L1964" s="35" t="n">
        <v>1416.53</v>
      </c>
      <c r="M1964" s="33" t="n">
        <v>3</v>
      </c>
      <c r="N1964" s="33" t="s">
        <v>146</v>
      </c>
      <c r="O1964" s="33" t="s">
        <v>147</v>
      </c>
    </row>
    <row r="1965" customFormat="false" ht="15" hidden="false" customHeight="false" outlineLevel="0" collapsed="false">
      <c r="A1965" s="33" t="s">
        <v>2046</v>
      </c>
      <c r="B1965" s="34" t="n">
        <v>45501</v>
      </c>
      <c r="C1965" s="34" t="n">
        <v>45502</v>
      </c>
      <c r="D1965" s="33" t="n">
        <v>36</v>
      </c>
      <c r="E1965" s="33" t="s">
        <v>154</v>
      </c>
      <c r="F1965" s="33" t="s">
        <v>173</v>
      </c>
      <c r="G1965" s="33" t="s">
        <v>174</v>
      </c>
      <c r="H1965" s="33" t="s">
        <v>175</v>
      </c>
      <c r="I1965" s="33" t="s">
        <v>143</v>
      </c>
      <c r="J1965" s="33" t="s">
        <v>159</v>
      </c>
      <c r="K1965" s="33" t="s">
        <v>145</v>
      </c>
      <c r="L1965" s="35" t="n">
        <v>2705</v>
      </c>
      <c r="M1965" s="33" t="n">
        <v>3</v>
      </c>
      <c r="N1965" s="33" t="s">
        <v>146</v>
      </c>
      <c r="O1965" s="33" t="s">
        <v>147</v>
      </c>
    </row>
    <row r="1966" customFormat="false" ht="15" hidden="false" customHeight="false" outlineLevel="0" collapsed="false">
      <c r="A1966" s="33" t="s">
        <v>2147</v>
      </c>
      <c r="B1966" s="34" t="n">
        <v>45413</v>
      </c>
      <c r="C1966" s="34" t="n">
        <v>45414</v>
      </c>
      <c r="D1966" s="33" t="n">
        <v>57</v>
      </c>
      <c r="E1966" s="33" t="s">
        <v>279</v>
      </c>
      <c r="F1966" s="33" t="s">
        <v>240</v>
      </c>
      <c r="G1966" s="33" t="s">
        <v>241</v>
      </c>
      <c r="H1966" s="33" t="s">
        <v>205</v>
      </c>
      <c r="I1966" s="33" t="s">
        <v>152</v>
      </c>
      <c r="J1966" s="33" t="s">
        <v>144</v>
      </c>
      <c r="K1966" s="36"/>
      <c r="L1966" s="35" t="n">
        <v>1226.74</v>
      </c>
      <c r="M1966" s="33" t="n">
        <v>4</v>
      </c>
      <c r="N1966" s="33" t="s">
        <v>146</v>
      </c>
      <c r="O1966" s="33" t="s">
        <v>147</v>
      </c>
    </row>
    <row r="1967" customFormat="false" ht="15" hidden="false" customHeight="false" outlineLevel="0" collapsed="false">
      <c r="A1967" s="33" t="s">
        <v>2148</v>
      </c>
      <c r="B1967" s="34" t="n">
        <v>45472</v>
      </c>
      <c r="C1967" s="34" t="n">
        <v>45473</v>
      </c>
      <c r="D1967" s="33" t="n">
        <v>0</v>
      </c>
      <c r="E1967" s="33" t="s">
        <v>139</v>
      </c>
      <c r="F1967" s="33" t="s">
        <v>203</v>
      </c>
      <c r="G1967" s="33" t="s">
        <v>192</v>
      </c>
      <c r="H1967" s="33" t="s">
        <v>193</v>
      </c>
      <c r="I1967" s="33" t="s">
        <v>143</v>
      </c>
      <c r="J1967" s="33" t="s">
        <v>159</v>
      </c>
      <c r="K1967" s="33" t="s">
        <v>145</v>
      </c>
      <c r="L1967" s="35" t="n">
        <v>959.38</v>
      </c>
      <c r="M1967" s="33" t="n">
        <v>4</v>
      </c>
      <c r="N1967" s="33" t="s">
        <v>146</v>
      </c>
      <c r="O1967" s="33" t="s">
        <v>147</v>
      </c>
    </row>
    <row r="1968" customFormat="false" ht="15" hidden="false" customHeight="false" outlineLevel="0" collapsed="false">
      <c r="A1968" s="33" t="s">
        <v>1951</v>
      </c>
      <c r="B1968" s="34" t="n">
        <v>45439</v>
      </c>
      <c r="C1968" s="34" t="n">
        <v>45440</v>
      </c>
      <c r="D1968" s="33" t="n">
        <v>32</v>
      </c>
      <c r="E1968" s="33" t="s">
        <v>139</v>
      </c>
      <c r="F1968" s="33" t="s">
        <v>149</v>
      </c>
      <c r="G1968" s="33" t="s">
        <v>243</v>
      </c>
      <c r="H1968" s="33" t="s">
        <v>151</v>
      </c>
      <c r="I1968" s="33" t="s">
        <v>158</v>
      </c>
      <c r="J1968" s="33" t="s">
        <v>144</v>
      </c>
      <c r="K1968" s="33" t="s">
        <v>160</v>
      </c>
      <c r="L1968" s="35" t="n">
        <v>2831.28</v>
      </c>
      <c r="M1968" s="33" t="n">
        <v>4</v>
      </c>
      <c r="N1968" s="33" t="s">
        <v>146</v>
      </c>
      <c r="O1968" s="33" t="s">
        <v>147</v>
      </c>
    </row>
    <row r="1969" customFormat="false" ht="15" hidden="false" customHeight="false" outlineLevel="0" collapsed="false">
      <c r="A1969" s="33" t="s">
        <v>2149</v>
      </c>
      <c r="B1969" s="34" t="n">
        <v>45601</v>
      </c>
      <c r="C1969" s="34" t="n">
        <v>45618</v>
      </c>
      <c r="D1969" s="33" t="n">
        <v>48</v>
      </c>
      <c r="E1969" s="33" t="s">
        <v>154</v>
      </c>
      <c r="F1969" s="33" t="s">
        <v>169</v>
      </c>
      <c r="G1969" s="33" t="s">
        <v>163</v>
      </c>
      <c r="H1969" s="33" t="s">
        <v>164</v>
      </c>
      <c r="I1969" s="33" t="s">
        <v>143</v>
      </c>
      <c r="J1969" s="33" t="s">
        <v>159</v>
      </c>
      <c r="K1969" s="33" t="s">
        <v>145</v>
      </c>
      <c r="L1969" s="35" t="n">
        <v>19320.05</v>
      </c>
      <c r="M1969" s="33" t="n">
        <v>4</v>
      </c>
      <c r="N1969" s="33" t="s">
        <v>146</v>
      </c>
      <c r="O1969" s="33" t="s">
        <v>147</v>
      </c>
    </row>
    <row r="1970" customFormat="false" ht="15" hidden="false" customHeight="false" outlineLevel="0" collapsed="false">
      <c r="A1970" s="33" t="s">
        <v>2150</v>
      </c>
      <c r="B1970" s="34" t="n">
        <v>45630</v>
      </c>
      <c r="C1970" s="34" t="n">
        <v>45633</v>
      </c>
      <c r="D1970" s="33" t="n">
        <v>0</v>
      </c>
      <c r="E1970" s="33" t="s">
        <v>190</v>
      </c>
      <c r="F1970" s="33" t="s">
        <v>155</v>
      </c>
      <c r="G1970" s="33" t="s">
        <v>220</v>
      </c>
      <c r="H1970" s="33" t="s">
        <v>222</v>
      </c>
      <c r="I1970" s="33" t="s">
        <v>152</v>
      </c>
      <c r="J1970" s="33" t="s">
        <v>159</v>
      </c>
      <c r="K1970" s="33" t="s">
        <v>184</v>
      </c>
      <c r="L1970" s="35" t="n">
        <v>2724.79</v>
      </c>
      <c r="M1970" s="36"/>
      <c r="N1970" s="33" t="s">
        <v>146</v>
      </c>
      <c r="O1970" s="33" t="s">
        <v>147</v>
      </c>
    </row>
    <row r="1971" customFormat="false" ht="15" hidden="false" customHeight="false" outlineLevel="0" collapsed="false">
      <c r="A1971" s="33" t="s">
        <v>2151</v>
      </c>
      <c r="B1971" s="34" t="n">
        <v>45337</v>
      </c>
      <c r="C1971" s="34" t="n">
        <v>45339</v>
      </c>
      <c r="D1971" s="33" t="n">
        <v>47</v>
      </c>
      <c r="E1971" s="33" t="s">
        <v>139</v>
      </c>
      <c r="F1971" s="33" t="s">
        <v>140</v>
      </c>
      <c r="G1971" s="33" t="s">
        <v>167</v>
      </c>
      <c r="H1971" s="33" t="s">
        <v>142</v>
      </c>
      <c r="I1971" s="33" t="s">
        <v>152</v>
      </c>
      <c r="J1971" s="33" t="s">
        <v>159</v>
      </c>
      <c r="K1971" s="33" t="s">
        <v>145</v>
      </c>
      <c r="L1971" s="35" t="n">
        <v>4404.65</v>
      </c>
      <c r="M1971" s="33" t="n">
        <v>5</v>
      </c>
      <c r="N1971" s="33" t="s">
        <v>146</v>
      </c>
      <c r="O1971" s="33" t="s">
        <v>147</v>
      </c>
    </row>
    <row r="1972" customFormat="false" ht="15" hidden="false" customHeight="false" outlineLevel="0" collapsed="false">
      <c r="A1972" s="33" t="s">
        <v>2152</v>
      </c>
      <c r="B1972" s="34" t="n">
        <v>45541</v>
      </c>
      <c r="C1972" s="34" t="n">
        <v>45547</v>
      </c>
      <c r="D1972" s="33" t="n">
        <v>79</v>
      </c>
      <c r="E1972" s="33" t="s">
        <v>154</v>
      </c>
      <c r="F1972" s="33" t="s">
        <v>140</v>
      </c>
      <c r="G1972" s="33" t="s">
        <v>167</v>
      </c>
      <c r="H1972" s="33" t="s">
        <v>290</v>
      </c>
      <c r="I1972" s="33" t="s">
        <v>143</v>
      </c>
      <c r="J1972" s="33" t="s">
        <v>159</v>
      </c>
      <c r="K1972" s="33" t="s">
        <v>145</v>
      </c>
      <c r="L1972" s="35" t="n">
        <v>11780.79</v>
      </c>
      <c r="M1972" s="33" t="n">
        <v>5</v>
      </c>
      <c r="N1972" s="33" t="s">
        <v>146</v>
      </c>
      <c r="O1972" s="33" t="s">
        <v>147</v>
      </c>
    </row>
    <row r="1973" customFormat="false" ht="15" hidden="false" customHeight="false" outlineLevel="0" collapsed="false">
      <c r="A1973" s="33" t="s">
        <v>2153</v>
      </c>
      <c r="B1973" s="34" t="n">
        <v>45394</v>
      </c>
      <c r="C1973" s="34" t="n">
        <v>45395</v>
      </c>
      <c r="D1973" s="33" t="n">
        <v>67</v>
      </c>
      <c r="E1973" s="33" t="s">
        <v>139</v>
      </c>
      <c r="F1973" s="33" t="s">
        <v>203</v>
      </c>
      <c r="G1973" s="33" t="s">
        <v>217</v>
      </c>
      <c r="H1973" s="33" t="s">
        <v>205</v>
      </c>
      <c r="I1973" s="33" t="s">
        <v>152</v>
      </c>
      <c r="J1973" s="33" t="s">
        <v>159</v>
      </c>
      <c r="K1973" s="33" t="s">
        <v>145</v>
      </c>
      <c r="L1973" s="35" t="n">
        <v>864.94</v>
      </c>
      <c r="M1973" s="33" t="n">
        <v>3</v>
      </c>
      <c r="N1973" s="33" t="s">
        <v>146</v>
      </c>
      <c r="O1973" s="33" t="s">
        <v>147</v>
      </c>
    </row>
    <row r="1974" customFormat="false" ht="15" hidden="false" customHeight="false" outlineLevel="0" collapsed="false">
      <c r="A1974" s="33" t="s">
        <v>2154</v>
      </c>
      <c r="B1974" s="34" t="n">
        <v>45629</v>
      </c>
      <c r="C1974" s="34" t="n">
        <v>45634</v>
      </c>
      <c r="D1974" s="33" t="n">
        <v>38</v>
      </c>
      <c r="E1974" s="33" t="s">
        <v>139</v>
      </c>
      <c r="F1974" s="33" t="s">
        <v>149</v>
      </c>
      <c r="G1974" s="33" t="s">
        <v>150</v>
      </c>
      <c r="H1974" s="33" t="s">
        <v>151</v>
      </c>
      <c r="I1974" s="33" t="s">
        <v>143</v>
      </c>
      <c r="J1974" s="33" t="s">
        <v>144</v>
      </c>
      <c r="K1974" s="33" t="s">
        <v>184</v>
      </c>
      <c r="L1974" s="35" t="n">
        <v>12072.48</v>
      </c>
      <c r="M1974" s="33" t="n">
        <v>3</v>
      </c>
      <c r="N1974" s="33" t="s">
        <v>146</v>
      </c>
      <c r="O1974" s="33" t="s">
        <v>247</v>
      </c>
    </row>
    <row r="1975" customFormat="false" ht="15" hidden="false" customHeight="false" outlineLevel="0" collapsed="false">
      <c r="A1975" s="33" t="s">
        <v>2155</v>
      </c>
      <c r="B1975" s="34" t="n">
        <v>45310</v>
      </c>
      <c r="C1975" s="34" t="n">
        <v>45314</v>
      </c>
      <c r="D1975" s="33" t="n">
        <v>63</v>
      </c>
      <c r="E1975" s="33" t="s">
        <v>154</v>
      </c>
      <c r="F1975" s="33" t="s">
        <v>173</v>
      </c>
      <c r="G1975" s="33" t="s">
        <v>198</v>
      </c>
      <c r="H1975" s="33" t="s">
        <v>199</v>
      </c>
      <c r="I1975" s="33" t="s">
        <v>143</v>
      </c>
      <c r="J1975" s="33" t="s">
        <v>159</v>
      </c>
      <c r="K1975" s="33" t="s">
        <v>145</v>
      </c>
      <c r="L1975" s="35" t="n">
        <v>10345.59</v>
      </c>
      <c r="M1975" s="33" t="n">
        <v>5</v>
      </c>
      <c r="N1975" s="33" t="s">
        <v>146</v>
      </c>
      <c r="O1975" s="33" t="s">
        <v>147</v>
      </c>
    </row>
    <row r="1976" customFormat="false" ht="15" hidden="false" customHeight="false" outlineLevel="0" collapsed="false">
      <c r="A1976" s="33" t="s">
        <v>2156</v>
      </c>
      <c r="B1976" s="34" t="n">
        <v>45599</v>
      </c>
      <c r="C1976" s="34" t="n">
        <v>45606</v>
      </c>
      <c r="D1976" s="33" t="n">
        <v>76</v>
      </c>
      <c r="E1976" s="33" t="s">
        <v>154</v>
      </c>
      <c r="F1976" s="33" t="s">
        <v>181</v>
      </c>
      <c r="G1976" s="33" t="s">
        <v>237</v>
      </c>
      <c r="H1976" s="33" t="s">
        <v>183</v>
      </c>
      <c r="I1976" s="33" t="s">
        <v>143</v>
      </c>
      <c r="J1976" s="33" t="s">
        <v>159</v>
      </c>
      <c r="K1976" s="33" t="s">
        <v>145</v>
      </c>
      <c r="L1976" s="35" t="n">
        <v>14606.47</v>
      </c>
      <c r="M1976" s="33" t="n">
        <v>3</v>
      </c>
      <c r="N1976" s="33" t="s">
        <v>146</v>
      </c>
      <c r="O1976" s="33" t="s">
        <v>147</v>
      </c>
    </row>
    <row r="1977" customFormat="false" ht="15" hidden="false" customHeight="false" outlineLevel="0" collapsed="false">
      <c r="A1977" s="33" t="s">
        <v>2157</v>
      </c>
      <c r="B1977" s="34" t="n">
        <v>45647</v>
      </c>
      <c r="C1977" s="34" t="n">
        <v>45650</v>
      </c>
      <c r="D1977" s="33" t="n">
        <v>24</v>
      </c>
      <c r="E1977" s="33" t="s">
        <v>216</v>
      </c>
      <c r="F1977" s="33" t="s">
        <v>149</v>
      </c>
      <c r="G1977" s="33" t="s">
        <v>224</v>
      </c>
      <c r="H1977" s="33" t="s">
        <v>186</v>
      </c>
      <c r="I1977" s="33" t="s">
        <v>158</v>
      </c>
      <c r="J1977" s="33" t="s">
        <v>176</v>
      </c>
      <c r="K1977" s="33" t="s">
        <v>184</v>
      </c>
      <c r="L1977" s="35" t="n">
        <v>18196.78</v>
      </c>
      <c r="M1977" s="33" t="n">
        <v>4</v>
      </c>
      <c r="N1977" s="33" t="s">
        <v>146</v>
      </c>
      <c r="O1977" s="33" t="s">
        <v>147</v>
      </c>
    </row>
    <row r="1978" customFormat="false" ht="15" hidden="false" customHeight="false" outlineLevel="0" collapsed="false">
      <c r="A1978" s="33" t="s">
        <v>2158</v>
      </c>
      <c r="B1978" s="34" t="n">
        <v>45535</v>
      </c>
      <c r="C1978" s="34" t="n">
        <v>45536</v>
      </c>
      <c r="D1978" s="33" t="n">
        <v>44</v>
      </c>
      <c r="E1978" s="33" t="s">
        <v>139</v>
      </c>
      <c r="F1978" s="33" t="s">
        <v>203</v>
      </c>
      <c r="G1978" s="33" t="s">
        <v>217</v>
      </c>
      <c r="H1978" s="33" t="s">
        <v>193</v>
      </c>
      <c r="I1978" s="33" t="s">
        <v>143</v>
      </c>
      <c r="J1978" s="33" t="s">
        <v>159</v>
      </c>
      <c r="K1978" s="33" t="s">
        <v>145</v>
      </c>
      <c r="L1978" s="35" t="n">
        <v>780.25</v>
      </c>
      <c r="M1978" s="33" t="n">
        <v>3</v>
      </c>
      <c r="N1978" s="33" t="s">
        <v>146</v>
      </c>
      <c r="O1978" s="33" t="s">
        <v>147</v>
      </c>
    </row>
    <row r="1979" customFormat="false" ht="15" hidden="false" customHeight="false" outlineLevel="0" collapsed="false">
      <c r="A1979" s="33" t="s">
        <v>2159</v>
      </c>
      <c r="B1979" s="34" t="n">
        <v>45492</v>
      </c>
      <c r="C1979" s="34" t="n">
        <v>45497</v>
      </c>
      <c r="D1979" s="33" t="n">
        <v>47</v>
      </c>
      <c r="E1979" s="33" t="s">
        <v>139</v>
      </c>
      <c r="F1979" s="33" t="s">
        <v>169</v>
      </c>
      <c r="G1979" s="33" t="s">
        <v>170</v>
      </c>
      <c r="H1979" s="33" t="s">
        <v>164</v>
      </c>
      <c r="I1979" s="33" t="s">
        <v>143</v>
      </c>
      <c r="J1979" s="33" t="s">
        <v>159</v>
      </c>
      <c r="K1979" s="33" t="s">
        <v>160</v>
      </c>
      <c r="L1979" s="35" t="n">
        <v>6573.48</v>
      </c>
      <c r="M1979" s="33" t="n">
        <v>5</v>
      </c>
      <c r="N1979" s="33" t="s">
        <v>146</v>
      </c>
      <c r="O1979" s="33" t="s">
        <v>147</v>
      </c>
    </row>
    <row r="1980" customFormat="false" ht="15" hidden="false" customHeight="false" outlineLevel="0" collapsed="false">
      <c r="A1980" s="33" t="s">
        <v>2160</v>
      </c>
      <c r="B1980" s="34" t="n">
        <v>45324</v>
      </c>
      <c r="C1980" s="34" t="n">
        <v>45333</v>
      </c>
      <c r="D1980" s="33" t="n">
        <v>42</v>
      </c>
      <c r="E1980" s="33" t="s">
        <v>139</v>
      </c>
      <c r="F1980" s="33" t="s">
        <v>226</v>
      </c>
      <c r="G1980" s="33" t="s">
        <v>386</v>
      </c>
      <c r="H1980" s="33" t="s">
        <v>263</v>
      </c>
      <c r="I1980" s="33" t="s">
        <v>152</v>
      </c>
      <c r="J1980" s="33" t="s">
        <v>144</v>
      </c>
      <c r="K1980" s="33" t="s">
        <v>160</v>
      </c>
      <c r="L1980" s="35" t="n">
        <v>48124.04</v>
      </c>
      <c r="M1980" s="33" t="n">
        <v>5</v>
      </c>
      <c r="N1980" s="33" t="s">
        <v>146</v>
      </c>
      <c r="O1980" s="33" t="s">
        <v>147</v>
      </c>
    </row>
    <row r="1981" customFormat="false" ht="15" hidden="false" customHeight="false" outlineLevel="0" collapsed="false">
      <c r="A1981" s="33" t="s">
        <v>2161</v>
      </c>
      <c r="B1981" s="34" t="n">
        <v>45426</v>
      </c>
      <c r="C1981" s="34" t="n">
        <v>45427</v>
      </c>
      <c r="D1981" s="33" t="n">
        <v>33</v>
      </c>
      <c r="E1981" s="33" t="s">
        <v>139</v>
      </c>
      <c r="F1981" s="33" t="s">
        <v>203</v>
      </c>
      <c r="G1981" s="33" t="s">
        <v>241</v>
      </c>
      <c r="H1981" s="33" t="s">
        <v>233</v>
      </c>
      <c r="I1981" s="33" t="s">
        <v>143</v>
      </c>
      <c r="J1981" s="33" t="s">
        <v>176</v>
      </c>
      <c r="K1981" s="33" t="s">
        <v>184</v>
      </c>
      <c r="L1981" s="35" t="n">
        <v>3213.97</v>
      </c>
      <c r="M1981" s="33" t="n">
        <v>2</v>
      </c>
      <c r="N1981" s="33" t="s">
        <v>146</v>
      </c>
      <c r="O1981" s="33" t="s">
        <v>147</v>
      </c>
    </row>
    <row r="1982" customFormat="false" ht="15" hidden="false" customHeight="false" outlineLevel="0" collapsed="false">
      <c r="A1982" s="33" t="s">
        <v>2162</v>
      </c>
      <c r="B1982" s="34" t="n">
        <v>45490</v>
      </c>
      <c r="C1982" s="34" t="n">
        <v>45495</v>
      </c>
      <c r="D1982" s="33" t="n">
        <v>28</v>
      </c>
      <c r="E1982" s="33" t="s">
        <v>139</v>
      </c>
      <c r="F1982" s="33" t="s">
        <v>173</v>
      </c>
      <c r="G1982" s="33" t="s">
        <v>178</v>
      </c>
      <c r="H1982" s="33" t="s">
        <v>175</v>
      </c>
      <c r="I1982" s="33" t="s">
        <v>143</v>
      </c>
      <c r="J1982" s="33" t="s">
        <v>159</v>
      </c>
      <c r="K1982" s="33" t="s">
        <v>160</v>
      </c>
      <c r="L1982" s="35" t="n">
        <v>14683.43</v>
      </c>
      <c r="M1982" s="33" t="n">
        <v>5</v>
      </c>
      <c r="N1982" s="33" t="s">
        <v>146</v>
      </c>
      <c r="O1982" s="33" t="s">
        <v>147</v>
      </c>
    </row>
    <row r="1983" customFormat="false" ht="15" hidden="false" customHeight="false" outlineLevel="0" collapsed="false">
      <c r="A1983" s="33" t="s">
        <v>2163</v>
      </c>
      <c r="B1983" s="34" t="n">
        <v>45545</v>
      </c>
      <c r="C1983" s="34" t="n">
        <v>45551</v>
      </c>
      <c r="D1983" s="33" t="n">
        <v>32</v>
      </c>
      <c r="E1983" s="33" t="s">
        <v>154</v>
      </c>
      <c r="F1983" s="33" t="s">
        <v>212</v>
      </c>
      <c r="G1983" s="33" t="s">
        <v>230</v>
      </c>
      <c r="H1983" s="33" t="s">
        <v>164</v>
      </c>
      <c r="I1983" s="33" t="s">
        <v>143</v>
      </c>
      <c r="J1983" s="33" t="s">
        <v>159</v>
      </c>
      <c r="K1983" s="33" t="s">
        <v>184</v>
      </c>
      <c r="L1983" s="35" t="n">
        <v>7632.43</v>
      </c>
      <c r="M1983" s="33" t="n">
        <v>5</v>
      </c>
      <c r="N1983" s="33" t="s">
        <v>146</v>
      </c>
      <c r="O1983" s="33" t="s">
        <v>147</v>
      </c>
    </row>
    <row r="1984" customFormat="false" ht="15" hidden="false" customHeight="false" outlineLevel="0" collapsed="false">
      <c r="A1984" s="33" t="s">
        <v>2164</v>
      </c>
      <c r="B1984" s="34" t="n">
        <v>45405</v>
      </c>
      <c r="C1984" s="34" t="n">
        <v>45422</v>
      </c>
      <c r="D1984" s="33" t="n">
        <v>48</v>
      </c>
      <c r="E1984" s="33" t="s">
        <v>154</v>
      </c>
      <c r="F1984" s="33" t="s">
        <v>226</v>
      </c>
      <c r="G1984" s="33" t="s">
        <v>227</v>
      </c>
      <c r="H1984" s="33" t="s">
        <v>228</v>
      </c>
      <c r="I1984" s="33" t="s">
        <v>143</v>
      </c>
      <c r="J1984" s="33" t="s">
        <v>159</v>
      </c>
      <c r="K1984" s="33" t="s">
        <v>184</v>
      </c>
      <c r="L1984" s="35" t="n">
        <v>49953.97</v>
      </c>
      <c r="M1984" s="33" t="n">
        <v>4</v>
      </c>
      <c r="N1984" s="33" t="s">
        <v>210</v>
      </c>
      <c r="O1984" s="33" t="s">
        <v>147</v>
      </c>
    </row>
    <row r="1985" customFormat="false" ht="15" hidden="false" customHeight="false" outlineLevel="0" collapsed="false">
      <c r="A1985" s="33" t="s">
        <v>2165</v>
      </c>
      <c r="B1985" s="34" t="n">
        <v>45340</v>
      </c>
      <c r="C1985" s="34" t="n">
        <v>45341</v>
      </c>
      <c r="D1985" s="33" t="n">
        <v>46</v>
      </c>
      <c r="E1985" s="33" t="s">
        <v>154</v>
      </c>
      <c r="F1985" s="33" t="s">
        <v>334</v>
      </c>
      <c r="G1985" s="33" t="s">
        <v>232</v>
      </c>
      <c r="H1985" s="33" t="s">
        <v>205</v>
      </c>
      <c r="I1985" s="33" t="s">
        <v>143</v>
      </c>
      <c r="J1985" s="33" t="s">
        <v>176</v>
      </c>
      <c r="K1985" s="33" t="s">
        <v>160</v>
      </c>
      <c r="L1985" s="35" t="n">
        <v>2913</v>
      </c>
      <c r="M1985" s="33" t="n">
        <v>5</v>
      </c>
      <c r="N1985" s="33" t="s">
        <v>146</v>
      </c>
      <c r="O1985" s="33" t="s">
        <v>147</v>
      </c>
    </row>
    <row r="1986" customFormat="false" ht="15" hidden="false" customHeight="false" outlineLevel="0" collapsed="false">
      <c r="A1986" s="33" t="s">
        <v>2166</v>
      </c>
      <c r="B1986" s="34" t="n">
        <v>45657</v>
      </c>
      <c r="C1986" s="34" t="n">
        <v>45660</v>
      </c>
      <c r="D1986" s="33" t="n">
        <v>67</v>
      </c>
      <c r="E1986" s="33" t="s">
        <v>154</v>
      </c>
      <c r="F1986" s="33" t="s">
        <v>140</v>
      </c>
      <c r="G1986" s="33" t="s">
        <v>316</v>
      </c>
      <c r="H1986" s="33" t="s">
        <v>290</v>
      </c>
      <c r="I1986" s="33" t="s">
        <v>152</v>
      </c>
      <c r="J1986" s="33" t="s">
        <v>144</v>
      </c>
      <c r="K1986" s="33" t="s">
        <v>160</v>
      </c>
      <c r="L1986" s="35" t="n">
        <v>12994.45</v>
      </c>
      <c r="M1986" s="33" t="n">
        <v>5</v>
      </c>
      <c r="N1986" s="33" t="s">
        <v>146</v>
      </c>
      <c r="O1986" s="33" t="s">
        <v>147</v>
      </c>
    </row>
    <row r="1987" customFormat="false" ht="15" hidden="false" customHeight="false" outlineLevel="0" collapsed="false">
      <c r="A1987" s="33" t="s">
        <v>2167</v>
      </c>
      <c r="B1987" s="34" t="n">
        <v>45292</v>
      </c>
      <c r="C1987" s="34" t="n">
        <v>45295</v>
      </c>
      <c r="D1987" s="33" t="n">
        <v>28</v>
      </c>
      <c r="E1987" s="33" t="s">
        <v>154</v>
      </c>
      <c r="F1987" s="33" t="s">
        <v>169</v>
      </c>
      <c r="G1987" s="33" t="s">
        <v>230</v>
      </c>
      <c r="H1987" s="33" t="s">
        <v>164</v>
      </c>
      <c r="I1987" s="33" t="s">
        <v>152</v>
      </c>
      <c r="J1987" s="33" t="s">
        <v>144</v>
      </c>
      <c r="K1987" s="33" t="s">
        <v>160</v>
      </c>
      <c r="L1987" s="35" t="n">
        <v>5699.39</v>
      </c>
      <c r="M1987" s="33" t="n">
        <v>5</v>
      </c>
      <c r="N1987" s="33" t="s">
        <v>146</v>
      </c>
      <c r="O1987" s="33" t="s">
        <v>147</v>
      </c>
    </row>
    <row r="1988" customFormat="false" ht="15" hidden="false" customHeight="false" outlineLevel="0" collapsed="false">
      <c r="A1988" s="33" t="s">
        <v>2168</v>
      </c>
      <c r="B1988" s="34" t="n">
        <v>45428</v>
      </c>
      <c r="C1988" s="34" t="n">
        <v>45432</v>
      </c>
      <c r="D1988" s="33" t="n">
        <v>51</v>
      </c>
      <c r="E1988" s="33" t="s">
        <v>154</v>
      </c>
      <c r="F1988" s="33" t="s">
        <v>173</v>
      </c>
      <c r="G1988" s="33" t="s">
        <v>178</v>
      </c>
      <c r="H1988" s="33" t="s">
        <v>199</v>
      </c>
      <c r="I1988" s="33" t="s">
        <v>152</v>
      </c>
      <c r="J1988" s="33" t="s">
        <v>159</v>
      </c>
      <c r="K1988" s="33" t="s">
        <v>145</v>
      </c>
      <c r="L1988" s="35" t="n">
        <v>8818.03</v>
      </c>
      <c r="M1988" s="33" t="n">
        <v>2</v>
      </c>
      <c r="N1988" s="33" t="s">
        <v>146</v>
      </c>
      <c r="O1988" s="33" t="s">
        <v>147</v>
      </c>
    </row>
    <row r="1989" customFormat="false" ht="15" hidden="false" customHeight="false" outlineLevel="0" collapsed="false">
      <c r="A1989" s="33" t="s">
        <v>2169</v>
      </c>
      <c r="B1989" s="34" t="n">
        <v>45650</v>
      </c>
      <c r="C1989" s="34" t="n">
        <v>45656</v>
      </c>
      <c r="D1989" s="33" t="n">
        <v>81</v>
      </c>
      <c r="E1989" s="33" t="s">
        <v>139</v>
      </c>
      <c r="F1989" s="33" t="s">
        <v>173</v>
      </c>
      <c r="G1989" s="33" t="s">
        <v>178</v>
      </c>
      <c r="H1989" s="33" t="s">
        <v>175</v>
      </c>
      <c r="I1989" s="33" t="s">
        <v>143</v>
      </c>
      <c r="J1989" s="33" t="s">
        <v>159</v>
      </c>
      <c r="K1989" s="33" t="s">
        <v>145</v>
      </c>
      <c r="L1989" s="35" t="n">
        <v>12939.18</v>
      </c>
      <c r="M1989" s="33" t="n">
        <v>4</v>
      </c>
      <c r="N1989" s="33" t="s">
        <v>146</v>
      </c>
      <c r="O1989" s="33" t="s">
        <v>147</v>
      </c>
    </row>
    <row r="1990" customFormat="false" ht="15" hidden="false" customHeight="false" outlineLevel="0" collapsed="false">
      <c r="A1990" s="33" t="s">
        <v>2170</v>
      </c>
      <c r="B1990" s="34" t="n">
        <v>45441</v>
      </c>
      <c r="C1990" s="34" t="n">
        <v>45447</v>
      </c>
      <c r="D1990" s="33" t="n">
        <v>60</v>
      </c>
      <c r="E1990" s="33" t="s">
        <v>154</v>
      </c>
      <c r="F1990" s="33" t="s">
        <v>169</v>
      </c>
      <c r="G1990" s="33" t="s">
        <v>213</v>
      </c>
      <c r="H1990" s="36"/>
      <c r="I1990" s="33" t="s">
        <v>143</v>
      </c>
      <c r="J1990" s="33" t="s">
        <v>144</v>
      </c>
      <c r="K1990" s="33" t="s">
        <v>160</v>
      </c>
      <c r="L1990" s="35" t="n">
        <v>14529.6</v>
      </c>
      <c r="M1990" s="33" t="n">
        <v>5</v>
      </c>
      <c r="N1990" s="33" t="s">
        <v>146</v>
      </c>
      <c r="O1990" s="33" t="s">
        <v>147</v>
      </c>
    </row>
    <row r="1991" customFormat="false" ht="15" hidden="false" customHeight="false" outlineLevel="0" collapsed="false">
      <c r="A1991" s="33" t="s">
        <v>2171</v>
      </c>
      <c r="B1991" s="34" t="n">
        <v>45557</v>
      </c>
      <c r="C1991" s="34" t="n">
        <v>45563</v>
      </c>
      <c r="D1991" s="33" t="n">
        <v>68</v>
      </c>
      <c r="E1991" s="33" t="s">
        <v>154</v>
      </c>
      <c r="F1991" s="33" t="s">
        <v>212</v>
      </c>
      <c r="G1991" s="33" t="s">
        <v>213</v>
      </c>
      <c r="H1991" s="33" t="s">
        <v>171</v>
      </c>
      <c r="I1991" s="33" t="s">
        <v>152</v>
      </c>
      <c r="J1991" s="33" t="s">
        <v>176</v>
      </c>
      <c r="K1991" s="36"/>
      <c r="L1991" s="35" t="n">
        <v>21625.74</v>
      </c>
      <c r="M1991" s="33" t="n">
        <v>5</v>
      </c>
      <c r="N1991" s="33" t="s">
        <v>146</v>
      </c>
      <c r="O1991" s="33" t="s">
        <v>147</v>
      </c>
    </row>
    <row r="1992" customFormat="false" ht="15" hidden="false" customHeight="false" outlineLevel="0" collapsed="false">
      <c r="A1992" s="33" t="s">
        <v>2172</v>
      </c>
      <c r="B1992" s="34" t="n">
        <v>45359</v>
      </c>
      <c r="C1992" s="34" t="n">
        <v>45360</v>
      </c>
      <c r="D1992" s="33" t="n">
        <v>25</v>
      </c>
      <c r="E1992" s="33" t="s">
        <v>154</v>
      </c>
      <c r="F1992" s="33" t="s">
        <v>169</v>
      </c>
      <c r="G1992" s="33" t="s">
        <v>213</v>
      </c>
      <c r="H1992" s="33" t="s">
        <v>171</v>
      </c>
      <c r="I1992" s="33" t="s">
        <v>152</v>
      </c>
      <c r="J1992" s="33" t="s">
        <v>159</v>
      </c>
      <c r="K1992" s="33" t="s">
        <v>184</v>
      </c>
      <c r="L1992" s="35" t="n">
        <v>958.18</v>
      </c>
      <c r="M1992" s="33" t="n">
        <v>4</v>
      </c>
      <c r="N1992" s="33" t="s">
        <v>146</v>
      </c>
      <c r="O1992" s="33" t="s">
        <v>147</v>
      </c>
    </row>
    <row r="1993" customFormat="false" ht="15" hidden="false" customHeight="false" outlineLevel="0" collapsed="false">
      <c r="A1993" s="33" t="s">
        <v>2173</v>
      </c>
      <c r="B1993" s="34" t="n">
        <v>45529</v>
      </c>
      <c r="C1993" s="34" t="n">
        <v>45533</v>
      </c>
      <c r="D1993" s="33" t="n">
        <v>40</v>
      </c>
      <c r="E1993" s="33" t="s">
        <v>216</v>
      </c>
      <c r="F1993" s="33" t="s">
        <v>149</v>
      </c>
      <c r="G1993" s="33" t="s">
        <v>224</v>
      </c>
      <c r="H1993" s="33" t="s">
        <v>186</v>
      </c>
      <c r="I1993" s="33" t="s">
        <v>152</v>
      </c>
      <c r="J1993" s="33" t="s">
        <v>159</v>
      </c>
      <c r="K1993" s="33" t="s">
        <v>145</v>
      </c>
      <c r="L1993" s="35" t="n">
        <v>4281.79</v>
      </c>
      <c r="M1993" s="33" t="n">
        <v>5</v>
      </c>
      <c r="N1993" s="33" t="s">
        <v>146</v>
      </c>
      <c r="O1993" s="33" t="s">
        <v>147</v>
      </c>
    </row>
    <row r="1994" customFormat="false" ht="15" hidden="false" customHeight="false" outlineLevel="0" collapsed="false">
      <c r="A1994" s="33" t="s">
        <v>2174</v>
      </c>
      <c r="B1994" s="34" t="n">
        <v>45318</v>
      </c>
      <c r="C1994" s="34" t="n">
        <v>45331</v>
      </c>
      <c r="D1994" s="33" t="n">
        <v>43</v>
      </c>
      <c r="E1994" s="33" t="s">
        <v>139</v>
      </c>
      <c r="F1994" s="33" t="s">
        <v>169</v>
      </c>
      <c r="G1994" s="33" t="s">
        <v>163</v>
      </c>
      <c r="H1994" s="33" t="s">
        <v>195</v>
      </c>
      <c r="I1994" s="33" t="s">
        <v>158</v>
      </c>
      <c r="J1994" s="33" t="s">
        <v>159</v>
      </c>
      <c r="K1994" s="33" t="s">
        <v>145</v>
      </c>
      <c r="L1994" s="35" t="n">
        <v>13148.99</v>
      </c>
      <c r="M1994" s="33" t="n">
        <v>4</v>
      </c>
      <c r="N1994" s="33" t="s">
        <v>146</v>
      </c>
      <c r="O1994" s="33" t="s">
        <v>147</v>
      </c>
    </row>
    <row r="1995" customFormat="false" ht="15" hidden="false" customHeight="false" outlineLevel="0" collapsed="false">
      <c r="A1995" s="33" t="s">
        <v>2175</v>
      </c>
      <c r="B1995" s="34" t="n">
        <v>45530</v>
      </c>
      <c r="C1995" s="34" t="n">
        <v>45532</v>
      </c>
      <c r="D1995" s="33" t="n">
        <v>44</v>
      </c>
      <c r="E1995" s="33" t="s">
        <v>216</v>
      </c>
      <c r="F1995" s="33" t="s">
        <v>149</v>
      </c>
      <c r="G1995" s="33" t="s">
        <v>150</v>
      </c>
      <c r="H1995" s="33" t="s">
        <v>151</v>
      </c>
      <c r="I1995" s="33" t="s">
        <v>143</v>
      </c>
      <c r="J1995" s="33" t="s">
        <v>159</v>
      </c>
      <c r="K1995" s="33" t="s">
        <v>184</v>
      </c>
      <c r="L1995" s="35" t="n">
        <v>2967.71</v>
      </c>
      <c r="M1995" s="33" t="n">
        <v>4</v>
      </c>
      <c r="N1995" s="33" t="s">
        <v>210</v>
      </c>
      <c r="O1995" s="33" t="s">
        <v>147</v>
      </c>
    </row>
    <row r="1996" customFormat="false" ht="15" hidden="false" customHeight="false" outlineLevel="0" collapsed="false">
      <c r="A1996" s="33" t="s">
        <v>2176</v>
      </c>
      <c r="B1996" s="34" t="n">
        <v>45339</v>
      </c>
      <c r="C1996" s="34" t="n">
        <v>45341</v>
      </c>
      <c r="D1996" s="33" t="n">
        <v>31</v>
      </c>
      <c r="E1996" s="33" t="s">
        <v>139</v>
      </c>
      <c r="F1996" s="33" t="s">
        <v>140</v>
      </c>
      <c r="G1996" s="33" t="s">
        <v>141</v>
      </c>
      <c r="H1996" s="33" t="s">
        <v>290</v>
      </c>
      <c r="I1996" s="33" t="s">
        <v>152</v>
      </c>
      <c r="J1996" s="33" t="s">
        <v>144</v>
      </c>
      <c r="K1996" s="33" t="s">
        <v>160</v>
      </c>
      <c r="L1996" s="35" t="n">
        <v>7773.08</v>
      </c>
      <c r="M1996" s="33" t="n">
        <v>4</v>
      </c>
      <c r="N1996" s="33" t="s">
        <v>146</v>
      </c>
      <c r="O1996" s="33" t="s">
        <v>147</v>
      </c>
    </row>
    <row r="1997" customFormat="false" ht="15" hidden="false" customHeight="false" outlineLevel="0" collapsed="false">
      <c r="A1997" s="33" t="s">
        <v>2177</v>
      </c>
      <c r="B1997" s="34" t="n">
        <v>45584</v>
      </c>
      <c r="C1997" s="34" t="n">
        <v>45589</v>
      </c>
      <c r="D1997" s="33" t="n">
        <v>69</v>
      </c>
      <c r="E1997" s="33" t="s">
        <v>139</v>
      </c>
      <c r="F1997" s="33" t="s">
        <v>173</v>
      </c>
      <c r="G1997" s="33" t="s">
        <v>178</v>
      </c>
      <c r="H1997" s="33" t="s">
        <v>199</v>
      </c>
      <c r="I1997" s="33" t="s">
        <v>152</v>
      </c>
      <c r="J1997" s="33" t="s">
        <v>159</v>
      </c>
      <c r="K1997" s="33" t="s">
        <v>160</v>
      </c>
      <c r="L1997" s="35" t="n">
        <v>12982.6</v>
      </c>
      <c r="M1997" s="33" t="n">
        <v>4</v>
      </c>
      <c r="N1997" s="33" t="s">
        <v>146</v>
      </c>
      <c r="O1997" s="33" t="s">
        <v>147</v>
      </c>
    </row>
    <row r="1998" customFormat="false" ht="15" hidden="false" customHeight="false" outlineLevel="0" collapsed="false">
      <c r="A1998" s="33" t="s">
        <v>2178</v>
      </c>
      <c r="B1998" s="34" t="n">
        <v>45386</v>
      </c>
      <c r="C1998" s="34" t="n">
        <v>45387</v>
      </c>
      <c r="D1998" s="33" t="n">
        <v>26</v>
      </c>
      <c r="E1998" s="33" t="s">
        <v>139</v>
      </c>
      <c r="F1998" s="33" t="s">
        <v>149</v>
      </c>
      <c r="G1998" s="33" t="s">
        <v>243</v>
      </c>
      <c r="H1998" s="33" t="s">
        <v>186</v>
      </c>
      <c r="I1998" s="33" t="s">
        <v>152</v>
      </c>
      <c r="J1998" s="33" t="s">
        <v>159</v>
      </c>
      <c r="K1998" s="33" t="s">
        <v>145</v>
      </c>
      <c r="L1998" s="35" t="n">
        <v>1609.8</v>
      </c>
      <c r="M1998" s="33" t="n">
        <v>4</v>
      </c>
      <c r="N1998" s="33" t="s">
        <v>146</v>
      </c>
      <c r="O1998" s="33" t="s">
        <v>147</v>
      </c>
    </row>
    <row r="1999" customFormat="false" ht="15" hidden="false" customHeight="false" outlineLevel="0" collapsed="false">
      <c r="A1999" s="33" t="s">
        <v>2179</v>
      </c>
      <c r="B1999" s="34" t="n">
        <v>45486</v>
      </c>
      <c r="C1999" s="34" t="n">
        <v>45489</v>
      </c>
      <c r="D1999" s="33" t="n">
        <v>81</v>
      </c>
      <c r="E1999" s="33" t="s">
        <v>257</v>
      </c>
      <c r="F1999" s="33" t="s">
        <v>226</v>
      </c>
      <c r="G1999" s="33" t="s">
        <v>227</v>
      </c>
      <c r="H1999" s="33" t="s">
        <v>263</v>
      </c>
      <c r="I1999" s="33" t="s">
        <v>152</v>
      </c>
      <c r="J1999" s="33" t="s">
        <v>159</v>
      </c>
      <c r="K1999" s="33" t="s">
        <v>145</v>
      </c>
      <c r="L1999" s="35" t="n">
        <v>9629.99</v>
      </c>
      <c r="M1999" s="33" t="n">
        <v>4</v>
      </c>
      <c r="N1999" s="33" t="s">
        <v>146</v>
      </c>
      <c r="O1999" s="33" t="s">
        <v>147</v>
      </c>
    </row>
    <row r="2000" customFormat="false" ht="15" hidden="false" customHeight="false" outlineLevel="0" collapsed="false">
      <c r="A2000" s="33" t="s">
        <v>2180</v>
      </c>
      <c r="B2000" s="34" t="n">
        <v>45467</v>
      </c>
      <c r="C2000" s="34" t="n">
        <v>45472</v>
      </c>
      <c r="D2000" s="33" t="n">
        <v>69</v>
      </c>
      <c r="E2000" s="33" t="s">
        <v>139</v>
      </c>
      <c r="F2000" s="33" t="s">
        <v>181</v>
      </c>
      <c r="G2000" s="33" t="s">
        <v>237</v>
      </c>
      <c r="H2000" s="33" t="s">
        <v>245</v>
      </c>
      <c r="I2000" s="33" t="s">
        <v>143</v>
      </c>
      <c r="J2000" s="33" t="s">
        <v>159</v>
      </c>
      <c r="K2000" s="33" t="s">
        <v>160</v>
      </c>
      <c r="L2000" s="35" t="n">
        <v>10693.15</v>
      </c>
      <c r="M2000" s="33" t="n">
        <v>5</v>
      </c>
      <c r="N2000" s="33" t="s">
        <v>146</v>
      </c>
      <c r="O2000" s="33" t="s">
        <v>147</v>
      </c>
    </row>
    <row r="2001" customFormat="false" ht="15" hidden="false" customHeight="false" outlineLevel="0" collapsed="false">
      <c r="A2001" s="33" t="s">
        <v>2181</v>
      </c>
      <c r="B2001" s="34" t="n">
        <v>45619</v>
      </c>
      <c r="C2001" s="34" t="n">
        <v>45623</v>
      </c>
      <c r="D2001" s="33" t="n">
        <v>6</v>
      </c>
      <c r="E2001" s="33" t="s">
        <v>257</v>
      </c>
      <c r="F2001" s="33" t="s">
        <v>155</v>
      </c>
      <c r="G2001" s="33" t="s">
        <v>156</v>
      </c>
      <c r="H2001" s="33" t="s">
        <v>157</v>
      </c>
      <c r="I2001" s="33" t="s">
        <v>143</v>
      </c>
      <c r="J2001" s="33" t="s">
        <v>159</v>
      </c>
      <c r="K2001" s="33" t="s">
        <v>160</v>
      </c>
      <c r="L2001" s="35" t="n">
        <v>4501.08</v>
      </c>
      <c r="M2001" s="33" t="n">
        <v>4</v>
      </c>
      <c r="N2001" s="33" t="s">
        <v>146</v>
      </c>
      <c r="O2001" s="33" t="s">
        <v>147</v>
      </c>
    </row>
    <row r="2002" customFormat="false" ht="15" hidden="false" customHeight="false" outlineLevel="0" collapsed="false">
      <c r="A2002" s="33" t="s">
        <v>2182</v>
      </c>
      <c r="B2002" s="34" t="n">
        <v>45611</v>
      </c>
      <c r="C2002" s="34" t="n">
        <v>45613</v>
      </c>
      <c r="D2002" s="33" t="n">
        <v>50</v>
      </c>
      <c r="E2002" s="33" t="s">
        <v>139</v>
      </c>
      <c r="F2002" s="33" t="s">
        <v>240</v>
      </c>
      <c r="G2002" s="33" t="s">
        <v>241</v>
      </c>
      <c r="H2002" s="33" t="s">
        <v>193</v>
      </c>
      <c r="I2002" s="33" t="s">
        <v>143</v>
      </c>
      <c r="J2002" s="33" t="s">
        <v>144</v>
      </c>
      <c r="K2002" s="33" t="s">
        <v>160</v>
      </c>
      <c r="L2002" s="35" t="n">
        <v>3690.83</v>
      </c>
      <c r="M2002" s="33" t="n">
        <v>3</v>
      </c>
      <c r="N2002" s="33" t="s">
        <v>210</v>
      </c>
      <c r="O2002" s="33" t="s">
        <v>147</v>
      </c>
    </row>
    <row r="2003" customFormat="false" ht="15" hidden="false" customHeight="false" outlineLevel="0" collapsed="false">
      <c r="A2003" s="33" t="s">
        <v>2183</v>
      </c>
      <c r="B2003" s="34" t="n">
        <v>45555</v>
      </c>
      <c r="C2003" s="34" t="n">
        <v>45561</v>
      </c>
      <c r="D2003" s="33" t="n">
        <v>61</v>
      </c>
      <c r="E2003" s="33" t="s">
        <v>139</v>
      </c>
      <c r="F2003" s="33" t="s">
        <v>181</v>
      </c>
      <c r="G2003" s="33" t="s">
        <v>188</v>
      </c>
      <c r="H2003" s="33" t="s">
        <v>183</v>
      </c>
      <c r="I2003" s="33" t="s">
        <v>152</v>
      </c>
      <c r="J2003" s="33" t="s">
        <v>144</v>
      </c>
      <c r="K2003" s="33" t="s">
        <v>145</v>
      </c>
      <c r="L2003" s="35" t="n">
        <v>23346.27</v>
      </c>
      <c r="M2003" s="33" t="n">
        <v>4</v>
      </c>
      <c r="N2003" s="33" t="s">
        <v>210</v>
      </c>
      <c r="O2003" s="33" t="s">
        <v>147</v>
      </c>
    </row>
    <row r="2004" customFormat="false" ht="15" hidden="false" customHeight="false" outlineLevel="0" collapsed="false">
      <c r="A2004" s="33" t="s">
        <v>2184</v>
      </c>
      <c r="B2004" s="34" t="n">
        <v>45444</v>
      </c>
      <c r="C2004" s="34" t="n">
        <v>45445</v>
      </c>
      <c r="D2004" s="33" t="n">
        <v>36</v>
      </c>
      <c r="E2004" s="33" t="s">
        <v>139</v>
      </c>
      <c r="F2004" s="33" t="s">
        <v>149</v>
      </c>
      <c r="G2004" s="33" t="s">
        <v>150</v>
      </c>
      <c r="H2004" s="33" t="s">
        <v>186</v>
      </c>
      <c r="I2004" s="33" t="s">
        <v>143</v>
      </c>
      <c r="J2004" s="33" t="s">
        <v>159</v>
      </c>
      <c r="K2004" s="33" t="s">
        <v>145</v>
      </c>
      <c r="L2004" s="35" t="n">
        <v>1569.18</v>
      </c>
      <c r="M2004" s="33" t="n">
        <v>4</v>
      </c>
      <c r="N2004" s="33" t="s">
        <v>146</v>
      </c>
      <c r="O2004" s="33" t="s">
        <v>295</v>
      </c>
    </row>
    <row r="2005" customFormat="false" ht="15" hidden="false" customHeight="false" outlineLevel="0" collapsed="false">
      <c r="A2005" s="33" t="s">
        <v>2185</v>
      </c>
      <c r="B2005" s="34" t="n">
        <v>45601</v>
      </c>
      <c r="C2005" s="34" t="n">
        <v>45605</v>
      </c>
      <c r="D2005" s="36"/>
      <c r="E2005" s="33" t="s">
        <v>154</v>
      </c>
      <c r="F2005" s="33" t="s">
        <v>140</v>
      </c>
      <c r="G2005" s="33" t="s">
        <v>167</v>
      </c>
      <c r="H2005" s="33" t="s">
        <v>142</v>
      </c>
      <c r="I2005" s="33" t="s">
        <v>143</v>
      </c>
      <c r="J2005" s="33" t="s">
        <v>144</v>
      </c>
      <c r="K2005" s="33" t="s">
        <v>160</v>
      </c>
      <c r="L2005" s="35" t="n">
        <v>17118.24</v>
      </c>
      <c r="M2005" s="33" t="n">
        <v>3</v>
      </c>
      <c r="N2005" s="33" t="s">
        <v>146</v>
      </c>
      <c r="O2005" s="33" t="s">
        <v>147</v>
      </c>
    </row>
    <row r="2006" customFormat="false" ht="15" hidden="false" customHeight="false" outlineLevel="0" collapsed="false">
      <c r="A2006" s="33" t="s">
        <v>2186</v>
      </c>
      <c r="B2006" s="34" t="n">
        <v>45482</v>
      </c>
      <c r="C2006" s="34" t="n">
        <v>45483</v>
      </c>
      <c r="D2006" s="33" t="n">
        <v>3</v>
      </c>
      <c r="E2006" s="33" t="s">
        <v>154</v>
      </c>
      <c r="F2006" s="33" t="s">
        <v>155</v>
      </c>
      <c r="G2006" s="33" t="s">
        <v>156</v>
      </c>
      <c r="H2006" s="33" t="s">
        <v>157</v>
      </c>
      <c r="I2006" s="33" t="s">
        <v>143</v>
      </c>
      <c r="J2006" s="33" t="s">
        <v>159</v>
      </c>
      <c r="K2006" s="33" t="s">
        <v>145</v>
      </c>
      <c r="L2006" s="35" t="n">
        <v>743.77</v>
      </c>
      <c r="M2006" s="33" t="n">
        <v>5</v>
      </c>
      <c r="N2006" s="33" t="s">
        <v>146</v>
      </c>
      <c r="O2006" s="33" t="s">
        <v>147</v>
      </c>
    </row>
    <row r="2007" customFormat="false" ht="15" hidden="false" customHeight="false" outlineLevel="0" collapsed="false">
      <c r="A2007" s="33" t="s">
        <v>2187</v>
      </c>
      <c r="B2007" s="34" t="n">
        <v>45601</v>
      </c>
      <c r="C2007" s="34" t="n">
        <v>45603</v>
      </c>
      <c r="D2007" s="33" t="n">
        <v>42</v>
      </c>
      <c r="E2007" s="33" t="s">
        <v>139</v>
      </c>
      <c r="F2007" s="33" t="s">
        <v>203</v>
      </c>
      <c r="G2007" s="33" t="s">
        <v>217</v>
      </c>
      <c r="H2007" s="33" t="s">
        <v>233</v>
      </c>
      <c r="I2007" s="33" t="s">
        <v>143</v>
      </c>
      <c r="J2007" s="33" t="s">
        <v>159</v>
      </c>
      <c r="K2007" s="33" t="s">
        <v>145</v>
      </c>
      <c r="L2007" s="35" t="n">
        <v>1662.79</v>
      </c>
      <c r="M2007" s="33" t="n">
        <v>3</v>
      </c>
      <c r="N2007" s="33" t="s">
        <v>146</v>
      </c>
      <c r="O2007" s="33" t="s">
        <v>147</v>
      </c>
    </row>
    <row r="2008" customFormat="false" ht="15" hidden="false" customHeight="false" outlineLevel="0" collapsed="false">
      <c r="A2008" s="33" t="s">
        <v>2188</v>
      </c>
      <c r="B2008" s="34" t="n">
        <v>45417</v>
      </c>
      <c r="C2008" s="34" t="n">
        <v>45416</v>
      </c>
      <c r="D2008" s="33" t="n">
        <v>29</v>
      </c>
      <c r="E2008" s="33" t="s">
        <v>139</v>
      </c>
      <c r="F2008" s="33" t="s">
        <v>149</v>
      </c>
      <c r="G2008" s="33" t="s">
        <v>150</v>
      </c>
      <c r="H2008" s="33" t="s">
        <v>151</v>
      </c>
      <c r="I2008" s="33" t="s">
        <v>143</v>
      </c>
      <c r="J2008" s="33" t="s">
        <v>144</v>
      </c>
      <c r="K2008" s="33" t="s">
        <v>184</v>
      </c>
      <c r="L2008" s="35" t="n">
        <v>2798.64</v>
      </c>
      <c r="M2008" s="33" t="n">
        <v>4</v>
      </c>
      <c r="N2008" s="33" t="s">
        <v>146</v>
      </c>
      <c r="O2008" s="33" t="s">
        <v>147</v>
      </c>
    </row>
    <row r="2009" customFormat="false" ht="15" hidden="false" customHeight="false" outlineLevel="0" collapsed="false">
      <c r="A2009" s="33" t="s">
        <v>2189</v>
      </c>
      <c r="B2009" s="34" t="n">
        <v>45350</v>
      </c>
      <c r="C2009" s="34" t="n">
        <v>45355</v>
      </c>
      <c r="D2009" s="33" t="n">
        <v>84</v>
      </c>
      <c r="E2009" s="33" t="s">
        <v>154</v>
      </c>
      <c r="F2009" s="33" t="s">
        <v>181</v>
      </c>
      <c r="G2009" s="33" t="s">
        <v>237</v>
      </c>
      <c r="H2009" s="33" t="s">
        <v>245</v>
      </c>
      <c r="I2009" s="33" t="s">
        <v>152</v>
      </c>
      <c r="J2009" s="33" t="s">
        <v>159</v>
      </c>
      <c r="K2009" s="33" t="s">
        <v>145</v>
      </c>
      <c r="L2009" s="35" t="n">
        <v>11759.97</v>
      </c>
      <c r="M2009" s="33" t="n">
        <v>5</v>
      </c>
      <c r="N2009" s="33" t="s">
        <v>146</v>
      </c>
      <c r="O2009" s="33" t="s">
        <v>147</v>
      </c>
    </row>
    <row r="2010" customFormat="false" ht="15" hidden="false" customHeight="false" outlineLevel="0" collapsed="false">
      <c r="A2010" s="33" t="s">
        <v>2190</v>
      </c>
      <c r="B2010" s="34" t="n">
        <v>45548</v>
      </c>
      <c r="C2010" s="34" t="n">
        <v>45549</v>
      </c>
      <c r="D2010" s="33" t="n">
        <v>11</v>
      </c>
      <c r="E2010" s="33" t="s">
        <v>180</v>
      </c>
      <c r="F2010" s="33" t="s">
        <v>155</v>
      </c>
      <c r="G2010" s="33" t="s">
        <v>302</v>
      </c>
      <c r="H2010" s="33" t="s">
        <v>222</v>
      </c>
      <c r="I2010" s="33" t="s">
        <v>152</v>
      </c>
      <c r="J2010" s="33" t="s">
        <v>159</v>
      </c>
      <c r="K2010" s="33" t="s">
        <v>160</v>
      </c>
      <c r="L2010" s="35" t="n">
        <v>900.63</v>
      </c>
      <c r="M2010" s="33" t="n">
        <v>4</v>
      </c>
      <c r="N2010" s="33" t="s">
        <v>146</v>
      </c>
      <c r="O2010" s="33" t="s">
        <v>147</v>
      </c>
    </row>
    <row r="2011" customFormat="false" ht="15" hidden="false" customHeight="false" outlineLevel="0" collapsed="false">
      <c r="A2011" s="33" t="s">
        <v>2191</v>
      </c>
      <c r="B2011" s="34" t="n">
        <v>45633</v>
      </c>
      <c r="C2011" s="34" t="n">
        <v>45634</v>
      </c>
      <c r="D2011" s="33" t="n">
        <v>68</v>
      </c>
      <c r="E2011" s="33" t="s">
        <v>139</v>
      </c>
      <c r="F2011" s="33" t="s">
        <v>173</v>
      </c>
      <c r="G2011" s="33" t="s">
        <v>174</v>
      </c>
      <c r="H2011" s="33" t="s">
        <v>175</v>
      </c>
      <c r="I2011" s="33" t="s">
        <v>152</v>
      </c>
      <c r="J2011" s="33" t="s">
        <v>159</v>
      </c>
      <c r="K2011" s="33" t="s">
        <v>209</v>
      </c>
      <c r="L2011" s="35" t="n">
        <v>2144.25</v>
      </c>
      <c r="M2011" s="33" t="n">
        <v>3</v>
      </c>
      <c r="N2011" s="33" t="s">
        <v>146</v>
      </c>
      <c r="O2011" s="33" t="s">
        <v>147</v>
      </c>
    </row>
    <row r="2012" customFormat="false" ht="15" hidden="false" customHeight="false" outlineLevel="0" collapsed="false">
      <c r="A2012" s="33" t="s">
        <v>2192</v>
      </c>
      <c r="B2012" s="34" t="n">
        <v>45403</v>
      </c>
      <c r="C2012" s="34" t="n">
        <v>45408</v>
      </c>
      <c r="D2012" s="33" t="n">
        <v>21</v>
      </c>
      <c r="E2012" s="33" t="s">
        <v>154</v>
      </c>
      <c r="F2012" s="33" t="s">
        <v>169</v>
      </c>
      <c r="G2012" s="33" t="s">
        <v>170</v>
      </c>
      <c r="H2012" s="33" t="s">
        <v>164</v>
      </c>
      <c r="I2012" s="33" t="s">
        <v>143</v>
      </c>
      <c r="J2012" s="33" t="s">
        <v>159</v>
      </c>
      <c r="K2012" s="33" t="s">
        <v>145</v>
      </c>
      <c r="L2012" s="35" t="n">
        <v>4495.27</v>
      </c>
      <c r="M2012" s="33" t="n">
        <v>3</v>
      </c>
      <c r="N2012" s="33" t="s">
        <v>146</v>
      </c>
      <c r="O2012" s="33" t="s">
        <v>147</v>
      </c>
    </row>
    <row r="2013" customFormat="false" ht="15" hidden="false" customHeight="false" outlineLevel="0" collapsed="false">
      <c r="A2013" s="33" t="s">
        <v>2193</v>
      </c>
      <c r="B2013" s="34" t="n">
        <v>45293</v>
      </c>
      <c r="C2013" s="34" t="n">
        <v>45295</v>
      </c>
      <c r="D2013" s="33" t="n">
        <v>46</v>
      </c>
      <c r="E2013" s="33" t="s">
        <v>139</v>
      </c>
      <c r="F2013" s="33" t="s">
        <v>140</v>
      </c>
      <c r="G2013" s="33" t="s">
        <v>141</v>
      </c>
      <c r="H2013" s="33" t="s">
        <v>290</v>
      </c>
      <c r="I2013" s="33" t="s">
        <v>143</v>
      </c>
      <c r="J2013" s="33" t="s">
        <v>159</v>
      </c>
      <c r="K2013" s="33" t="s">
        <v>145</v>
      </c>
      <c r="L2013" s="35" t="n">
        <v>4652.7</v>
      </c>
      <c r="M2013" s="33" t="n">
        <v>3</v>
      </c>
      <c r="N2013" s="33" t="s">
        <v>146</v>
      </c>
      <c r="O2013" s="33" t="s">
        <v>147</v>
      </c>
    </row>
    <row r="2014" customFormat="false" ht="15" hidden="false" customHeight="false" outlineLevel="0" collapsed="false">
      <c r="A2014" s="33" t="s">
        <v>2194</v>
      </c>
      <c r="B2014" s="34" t="n">
        <v>45601</v>
      </c>
      <c r="C2014" s="34" t="n">
        <v>45605</v>
      </c>
      <c r="D2014" s="33" t="n">
        <v>64</v>
      </c>
      <c r="E2014" s="33" t="s">
        <v>154</v>
      </c>
      <c r="F2014" s="33" t="s">
        <v>162</v>
      </c>
      <c r="G2014" s="33" t="s">
        <v>170</v>
      </c>
      <c r="H2014" s="33" t="s">
        <v>195</v>
      </c>
      <c r="I2014" s="33" t="s">
        <v>152</v>
      </c>
      <c r="J2014" s="33" t="s">
        <v>144</v>
      </c>
      <c r="K2014" s="33" t="s">
        <v>145</v>
      </c>
      <c r="L2014" s="35" t="n">
        <v>8961.08</v>
      </c>
      <c r="M2014" s="33" t="n">
        <v>4</v>
      </c>
      <c r="N2014" s="33" t="s">
        <v>146</v>
      </c>
      <c r="O2014" s="33" t="s">
        <v>147</v>
      </c>
    </row>
    <row r="2015" customFormat="false" ht="15" hidden="false" customHeight="false" outlineLevel="0" collapsed="false">
      <c r="A2015" s="33" t="s">
        <v>2195</v>
      </c>
      <c r="B2015" s="34" t="n">
        <v>45427</v>
      </c>
      <c r="C2015" s="34" t="n">
        <v>45431</v>
      </c>
      <c r="D2015" s="33" t="n">
        <v>6</v>
      </c>
      <c r="E2015" s="33" t="s">
        <v>154</v>
      </c>
      <c r="F2015" s="33" t="s">
        <v>155</v>
      </c>
      <c r="G2015" s="33" t="s">
        <v>302</v>
      </c>
      <c r="H2015" s="33" t="s">
        <v>157</v>
      </c>
      <c r="I2015" s="33" t="s">
        <v>143</v>
      </c>
      <c r="J2015" s="33" t="s">
        <v>144</v>
      </c>
      <c r="K2015" s="33" t="s">
        <v>184</v>
      </c>
      <c r="L2015" s="35" t="n">
        <v>6048.72</v>
      </c>
      <c r="M2015" s="33" t="n">
        <v>5</v>
      </c>
      <c r="N2015" s="33" t="s">
        <v>146</v>
      </c>
      <c r="O2015" s="33" t="s">
        <v>147</v>
      </c>
    </row>
    <row r="2016" customFormat="false" ht="15" hidden="false" customHeight="false" outlineLevel="0" collapsed="false">
      <c r="A2016" s="33" t="s">
        <v>2196</v>
      </c>
      <c r="B2016" s="34" t="n">
        <v>45569</v>
      </c>
      <c r="C2016" s="34" t="n">
        <v>45571</v>
      </c>
      <c r="D2016" s="33" t="n">
        <v>64</v>
      </c>
      <c r="E2016" s="33" t="s">
        <v>154</v>
      </c>
      <c r="F2016" s="33" t="s">
        <v>240</v>
      </c>
      <c r="G2016" s="33" t="s">
        <v>217</v>
      </c>
      <c r="H2016" s="33" t="s">
        <v>205</v>
      </c>
      <c r="I2016" s="33" t="s">
        <v>143</v>
      </c>
      <c r="J2016" s="33" t="s">
        <v>159</v>
      </c>
      <c r="K2016" s="33" t="s">
        <v>160</v>
      </c>
      <c r="L2016" s="35" t="n">
        <v>1901.45</v>
      </c>
      <c r="M2016" s="33" t="n">
        <v>4</v>
      </c>
      <c r="N2016" s="33" t="s">
        <v>146</v>
      </c>
      <c r="O2016" s="33" t="s">
        <v>147</v>
      </c>
    </row>
    <row r="2017" customFormat="false" ht="15" hidden="false" customHeight="false" outlineLevel="0" collapsed="false">
      <c r="A2017" s="33" t="s">
        <v>2197</v>
      </c>
      <c r="B2017" s="34" t="n">
        <v>45598</v>
      </c>
      <c r="C2017" s="34" t="n">
        <v>45599</v>
      </c>
      <c r="D2017" s="33" t="n">
        <v>6</v>
      </c>
      <c r="E2017" s="33" t="s">
        <v>154</v>
      </c>
      <c r="F2017" s="33" t="s">
        <v>155</v>
      </c>
      <c r="G2017" s="33" t="s">
        <v>156</v>
      </c>
      <c r="H2017" s="33" t="s">
        <v>157</v>
      </c>
      <c r="I2017" s="33" t="s">
        <v>158</v>
      </c>
      <c r="J2017" s="33" t="s">
        <v>159</v>
      </c>
      <c r="K2017" s="33" t="s">
        <v>160</v>
      </c>
      <c r="L2017" s="35" t="n">
        <v>1008.21</v>
      </c>
      <c r="M2017" s="33" t="n">
        <v>4</v>
      </c>
      <c r="N2017" s="33" t="s">
        <v>146</v>
      </c>
      <c r="O2017" s="33" t="s">
        <v>147</v>
      </c>
    </row>
    <row r="2018" customFormat="false" ht="15" hidden="false" customHeight="false" outlineLevel="0" collapsed="false">
      <c r="A2018" s="33" t="s">
        <v>2198</v>
      </c>
      <c r="B2018" s="34" t="n">
        <v>45579</v>
      </c>
      <c r="C2018" s="34" t="n">
        <v>45580</v>
      </c>
      <c r="D2018" s="33" t="n">
        <v>30</v>
      </c>
      <c r="E2018" s="33" t="s">
        <v>139</v>
      </c>
      <c r="F2018" s="33" t="s">
        <v>149</v>
      </c>
      <c r="G2018" s="33" t="s">
        <v>150</v>
      </c>
      <c r="H2018" s="33" t="s">
        <v>151</v>
      </c>
      <c r="I2018" s="33" t="s">
        <v>152</v>
      </c>
      <c r="J2018" s="33" t="s">
        <v>144</v>
      </c>
      <c r="K2018" s="33" t="s">
        <v>160</v>
      </c>
      <c r="L2018" s="35" t="n">
        <v>1961.7</v>
      </c>
      <c r="M2018" s="33" t="n">
        <v>4</v>
      </c>
      <c r="N2018" s="33" t="s">
        <v>146</v>
      </c>
      <c r="O2018" s="33" t="s">
        <v>147</v>
      </c>
    </row>
    <row r="2019" customFormat="false" ht="15" hidden="false" customHeight="false" outlineLevel="0" collapsed="false">
      <c r="A2019" s="33" t="s">
        <v>2199</v>
      </c>
      <c r="B2019" s="34" t="n">
        <v>45431</v>
      </c>
      <c r="C2019" s="34" t="n">
        <v>45433</v>
      </c>
      <c r="D2019" s="33" t="n">
        <v>52</v>
      </c>
      <c r="E2019" s="33" t="s">
        <v>139</v>
      </c>
      <c r="F2019" s="33" t="s">
        <v>203</v>
      </c>
      <c r="G2019" s="33" t="s">
        <v>241</v>
      </c>
      <c r="H2019" s="33" t="s">
        <v>233</v>
      </c>
      <c r="I2019" s="33" t="s">
        <v>143</v>
      </c>
      <c r="J2019" s="33" t="s">
        <v>159</v>
      </c>
      <c r="K2019" s="33" t="s">
        <v>184</v>
      </c>
      <c r="L2019" s="35" t="n">
        <v>1586.32</v>
      </c>
      <c r="M2019" s="33" t="n">
        <v>4</v>
      </c>
      <c r="N2019" s="33" t="s">
        <v>146</v>
      </c>
      <c r="O2019" s="33" t="s">
        <v>147</v>
      </c>
    </row>
    <row r="2020" customFormat="false" ht="15" hidden="false" customHeight="false" outlineLevel="0" collapsed="false">
      <c r="A2020" s="33" t="s">
        <v>398</v>
      </c>
      <c r="B2020" s="34" t="n">
        <v>45498</v>
      </c>
      <c r="C2020" s="34" t="n">
        <v>45499</v>
      </c>
      <c r="D2020" s="33" t="n">
        <v>6</v>
      </c>
      <c r="E2020" s="33" t="s">
        <v>216</v>
      </c>
      <c r="F2020" s="33" t="s">
        <v>155</v>
      </c>
      <c r="G2020" s="33" t="s">
        <v>156</v>
      </c>
      <c r="H2020" s="33" t="s">
        <v>222</v>
      </c>
      <c r="I2020" s="33" t="s">
        <v>143</v>
      </c>
      <c r="J2020" s="33" t="s">
        <v>176</v>
      </c>
      <c r="K2020" s="33" t="s">
        <v>145</v>
      </c>
      <c r="L2020" s="35" t="n">
        <v>3034.95</v>
      </c>
      <c r="M2020" s="33" t="n">
        <v>4</v>
      </c>
      <c r="N2020" s="33" t="s">
        <v>146</v>
      </c>
      <c r="O2020" s="33" t="s">
        <v>247</v>
      </c>
    </row>
    <row r="2021" customFormat="false" ht="15" hidden="false" customHeight="false" outlineLevel="0" collapsed="false">
      <c r="A2021" s="33" t="s">
        <v>2200</v>
      </c>
      <c r="B2021" s="34" t="n">
        <v>45527</v>
      </c>
      <c r="C2021" s="34" t="n">
        <v>45529</v>
      </c>
      <c r="D2021" s="33" t="n">
        <v>51</v>
      </c>
      <c r="E2021" s="33" t="s">
        <v>154</v>
      </c>
      <c r="F2021" s="33" t="s">
        <v>203</v>
      </c>
      <c r="G2021" s="33" t="s">
        <v>232</v>
      </c>
      <c r="H2021" s="33" t="s">
        <v>233</v>
      </c>
      <c r="I2021" s="33" t="s">
        <v>143</v>
      </c>
      <c r="J2021" s="33" t="s">
        <v>144</v>
      </c>
      <c r="K2021" s="33" t="s">
        <v>184</v>
      </c>
      <c r="L2021" s="35" t="n">
        <v>3203.28</v>
      </c>
      <c r="M2021" s="33" t="n">
        <v>4</v>
      </c>
      <c r="N2021" s="33" t="s">
        <v>146</v>
      </c>
      <c r="O2021" s="33" t="s">
        <v>147</v>
      </c>
    </row>
    <row r="2022" customFormat="false" ht="15" hidden="false" customHeight="false" outlineLevel="0" collapsed="false">
      <c r="A2022" s="33" t="s">
        <v>2201</v>
      </c>
      <c r="B2022" s="34" t="n">
        <v>45525</v>
      </c>
      <c r="C2022" s="34" t="n">
        <v>45526</v>
      </c>
      <c r="D2022" s="33" t="n">
        <v>60</v>
      </c>
      <c r="E2022" s="33" t="s">
        <v>190</v>
      </c>
      <c r="F2022" s="33" t="s">
        <v>203</v>
      </c>
      <c r="G2022" s="33" t="s">
        <v>232</v>
      </c>
      <c r="H2022" s="33" t="s">
        <v>205</v>
      </c>
      <c r="I2022" s="33" t="s">
        <v>143</v>
      </c>
      <c r="J2022" s="33" t="s">
        <v>144</v>
      </c>
      <c r="K2022" s="33" t="s">
        <v>184</v>
      </c>
      <c r="L2022" s="35" t="n">
        <v>1501.81</v>
      </c>
      <c r="M2022" s="33" t="n">
        <v>3</v>
      </c>
      <c r="N2022" s="33" t="s">
        <v>146</v>
      </c>
      <c r="O2022" s="33" t="s">
        <v>206</v>
      </c>
    </row>
    <row r="2023" customFormat="false" ht="15" hidden="false" customHeight="false" outlineLevel="0" collapsed="false">
      <c r="A2023" s="33" t="s">
        <v>2202</v>
      </c>
      <c r="B2023" s="34" t="n">
        <v>45546</v>
      </c>
      <c r="C2023" s="34" t="n">
        <v>45552</v>
      </c>
      <c r="D2023" s="33" t="n">
        <v>36</v>
      </c>
      <c r="E2023" s="33" t="s">
        <v>139</v>
      </c>
      <c r="F2023" s="33" t="s">
        <v>169</v>
      </c>
      <c r="G2023" s="33" t="s">
        <v>230</v>
      </c>
      <c r="H2023" s="33" t="s">
        <v>164</v>
      </c>
      <c r="I2023" s="33" t="s">
        <v>143</v>
      </c>
      <c r="J2023" s="33" t="s">
        <v>159</v>
      </c>
      <c r="K2023" s="33" t="s">
        <v>145</v>
      </c>
      <c r="L2023" s="35" t="n">
        <v>8242.97</v>
      </c>
      <c r="M2023" s="33" t="n">
        <v>3</v>
      </c>
      <c r="N2023" s="33" t="s">
        <v>210</v>
      </c>
      <c r="O2023" s="33" t="s">
        <v>147</v>
      </c>
    </row>
    <row r="2024" customFormat="false" ht="15" hidden="false" customHeight="false" outlineLevel="0" collapsed="false">
      <c r="A2024" s="33" t="s">
        <v>2203</v>
      </c>
      <c r="B2024" s="34" t="n">
        <v>45463</v>
      </c>
      <c r="C2024" s="34" t="n">
        <v>45464</v>
      </c>
      <c r="D2024" s="33" t="n">
        <v>56</v>
      </c>
      <c r="E2024" s="33" t="s">
        <v>279</v>
      </c>
      <c r="F2024" s="33" t="s">
        <v>203</v>
      </c>
      <c r="G2024" s="33" t="s">
        <v>204</v>
      </c>
      <c r="H2024" s="33" t="s">
        <v>233</v>
      </c>
      <c r="I2024" s="33" t="s">
        <v>143</v>
      </c>
      <c r="J2024" s="33" t="s">
        <v>159</v>
      </c>
      <c r="K2024" s="33" t="s">
        <v>145</v>
      </c>
      <c r="L2024" s="35" t="n">
        <v>894.63</v>
      </c>
      <c r="M2024" s="33" t="n">
        <v>4</v>
      </c>
      <c r="N2024" s="33" t="s">
        <v>146</v>
      </c>
      <c r="O2024" s="33" t="s">
        <v>147</v>
      </c>
    </row>
    <row r="2025" customFormat="false" ht="15" hidden="false" customHeight="false" outlineLevel="0" collapsed="false">
      <c r="A2025" s="33" t="s">
        <v>2204</v>
      </c>
      <c r="B2025" s="34" t="n">
        <v>45474</v>
      </c>
      <c r="C2025" s="34" t="n">
        <v>45478</v>
      </c>
      <c r="D2025" s="33" t="n">
        <v>39</v>
      </c>
      <c r="E2025" s="33" t="s">
        <v>139</v>
      </c>
      <c r="F2025" s="33" t="s">
        <v>169</v>
      </c>
      <c r="G2025" s="33" t="s">
        <v>163</v>
      </c>
      <c r="H2025" s="33" t="s">
        <v>171</v>
      </c>
      <c r="I2025" s="33" t="s">
        <v>143</v>
      </c>
      <c r="J2025" s="33" t="s">
        <v>159</v>
      </c>
      <c r="K2025" s="33" t="s">
        <v>209</v>
      </c>
      <c r="L2025" s="35" t="n">
        <v>4434.29</v>
      </c>
      <c r="M2025" s="33" t="n">
        <v>4</v>
      </c>
      <c r="N2025" s="33" t="s">
        <v>146</v>
      </c>
      <c r="O2025" s="33" t="s">
        <v>147</v>
      </c>
    </row>
    <row r="2026" customFormat="false" ht="15" hidden="false" customHeight="false" outlineLevel="0" collapsed="false">
      <c r="A2026" s="33" t="s">
        <v>2205</v>
      </c>
      <c r="B2026" s="34" t="n">
        <v>45382</v>
      </c>
      <c r="C2026" s="34" t="n">
        <v>45383</v>
      </c>
      <c r="D2026" s="33" t="n">
        <v>34</v>
      </c>
      <c r="E2026" s="33" t="s">
        <v>216</v>
      </c>
      <c r="F2026" s="33" t="s">
        <v>149</v>
      </c>
      <c r="G2026" s="33" t="s">
        <v>243</v>
      </c>
      <c r="H2026" s="33" t="s">
        <v>151</v>
      </c>
      <c r="I2026" s="33" t="s">
        <v>152</v>
      </c>
      <c r="J2026" s="33" t="s">
        <v>144</v>
      </c>
      <c r="K2026" s="33" t="s">
        <v>209</v>
      </c>
      <c r="L2026" s="35" t="n">
        <v>2792.67</v>
      </c>
      <c r="M2026" s="33" t="n">
        <v>5</v>
      </c>
      <c r="N2026" s="33" t="s">
        <v>146</v>
      </c>
      <c r="O2026" s="33" t="s">
        <v>147</v>
      </c>
    </row>
    <row r="2027" customFormat="false" ht="15" hidden="false" customHeight="false" outlineLevel="0" collapsed="false">
      <c r="A2027" s="33" t="s">
        <v>2206</v>
      </c>
      <c r="B2027" s="34" t="n">
        <v>45587</v>
      </c>
      <c r="C2027" s="34" t="n">
        <v>45589</v>
      </c>
      <c r="D2027" s="33" t="n">
        <v>96</v>
      </c>
      <c r="E2027" s="33" t="s">
        <v>154</v>
      </c>
      <c r="F2027" s="33" t="s">
        <v>140</v>
      </c>
      <c r="G2027" s="33" t="s">
        <v>316</v>
      </c>
      <c r="H2027" s="33" t="s">
        <v>142</v>
      </c>
      <c r="I2027" s="33" t="s">
        <v>143</v>
      </c>
      <c r="J2027" s="33" t="s">
        <v>159</v>
      </c>
      <c r="K2027" s="33" t="s">
        <v>145</v>
      </c>
      <c r="L2027" s="35" t="n">
        <v>3980.88</v>
      </c>
      <c r="M2027" s="33" t="n">
        <v>4</v>
      </c>
      <c r="N2027" s="33" t="s">
        <v>146</v>
      </c>
      <c r="O2027" s="33" t="s">
        <v>147</v>
      </c>
    </row>
    <row r="2028" customFormat="false" ht="15" hidden="false" customHeight="false" outlineLevel="0" collapsed="false">
      <c r="A2028" s="33" t="s">
        <v>1877</v>
      </c>
      <c r="B2028" s="34" t="n">
        <v>45310</v>
      </c>
      <c r="C2028" s="34" t="n">
        <v>45314</v>
      </c>
      <c r="D2028" s="33" t="n">
        <v>58</v>
      </c>
      <c r="E2028" s="33" t="s">
        <v>139</v>
      </c>
      <c r="F2028" s="33" t="s">
        <v>181</v>
      </c>
      <c r="G2028" s="33" t="s">
        <v>237</v>
      </c>
      <c r="H2028" s="33" t="s">
        <v>245</v>
      </c>
      <c r="I2028" s="33" t="s">
        <v>152</v>
      </c>
      <c r="J2028" s="33" t="s">
        <v>144</v>
      </c>
      <c r="K2028" s="33" t="s">
        <v>145</v>
      </c>
      <c r="L2028" s="35" t="n">
        <v>13173.12</v>
      </c>
      <c r="M2028" s="33" t="n">
        <v>5</v>
      </c>
      <c r="N2028" s="33" t="s">
        <v>146</v>
      </c>
      <c r="O2028" s="36"/>
    </row>
    <row r="2029" customFormat="false" ht="15" hidden="false" customHeight="false" outlineLevel="0" collapsed="false">
      <c r="A2029" s="33" t="s">
        <v>2207</v>
      </c>
      <c r="B2029" s="34" t="n">
        <v>45417</v>
      </c>
      <c r="C2029" s="34" t="n">
        <v>45420</v>
      </c>
      <c r="D2029" s="33" t="n">
        <v>42</v>
      </c>
      <c r="E2029" s="33" t="s">
        <v>139</v>
      </c>
      <c r="F2029" s="33" t="s">
        <v>203</v>
      </c>
      <c r="G2029" s="33" t="s">
        <v>192</v>
      </c>
      <c r="H2029" s="33" t="s">
        <v>193</v>
      </c>
      <c r="I2029" s="33" t="s">
        <v>143</v>
      </c>
      <c r="J2029" s="33" t="s">
        <v>159</v>
      </c>
      <c r="K2029" s="33" t="s">
        <v>160</v>
      </c>
      <c r="L2029" s="35" t="n">
        <v>3122.81</v>
      </c>
      <c r="M2029" s="33" t="n">
        <v>3</v>
      </c>
      <c r="N2029" s="33" t="s">
        <v>146</v>
      </c>
      <c r="O2029" s="33" t="s">
        <v>147</v>
      </c>
    </row>
    <row r="2030" customFormat="false" ht="15" hidden="false" customHeight="false" outlineLevel="0" collapsed="false">
      <c r="A2030" s="33" t="s">
        <v>2208</v>
      </c>
      <c r="B2030" s="34" t="n">
        <v>45309</v>
      </c>
      <c r="C2030" s="34" t="n">
        <v>45312</v>
      </c>
      <c r="D2030" s="33" t="n">
        <v>20</v>
      </c>
      <c r="E2030" s="33" t="s">
        <v>139</v>
      </c>
      <c r="F2030" s="33" t="s">
        <v>173</v>
      </c>
      <c r="G2030" s="33" t="s">
        <v>174</v>
      </c>
      <c r="H2030" s="33" t="s">
        <v>175</v>
      </c>
      <c r="I2030" s="33" t="s">
        <v>152</v>
      </c>
      <c r="J2030" s="33" t="s">
        <v>159</v>
      </c>
      <c r="K2030" s="33" t="s">
        <v>160</v>
      </c>
      <c r="L2030" s="35" t="n">
        <v>8804.16</v>
      </c>
      <c r="M2030" s="33" t="n">
        <v>4</v>
      </c>
      <c r="N2030" s="33" t="s">
        <v>146</v>
      </c>
      <c r="O2030" s="33" t="s">
        <v>147</v>
      </c>
    </row>
    <row r="2031" customFormat="false" ht="15" hidden="false" customHeight="false" outlineLevel="0" collapsed="false">
      <c r="A2031" s="33" t="s">
        <v>2209</v>
      </c>
      <c r="B2031" s="34" t="n">
        <v>45576</v>
      </c>
      <c r="C2031" s="34" t="n">
        <v>45578</v>
      </c>
      <c r="D2031" s="33" t="n">
        <v>8</v>
      </c>
      <c r="E2031" s="33" t="s">
        <v>139</v>
      </c>
      <c r="F2031" s="33" t="s">
        <v>155</v>
      </c>
      <c r="G2031" s="33" t="s">
        <v>156</v>
      </c>
      <c r="H2031" s="33" t="s">
        <v>222</v>
      </c>
      <c r="I2031" s="33" t="s">
        <v>143</v>
      </c>
      <c r="J2031" s="33" t="s">
        <v>159</v>
      </c>
      <c r="K2031" s="33" t="s">
        <v>209</v>
      </c>
      <c r="L2031" s="35" t="n">
        <v>1558.4</v>
      </c>
      <c r="M2031" s="33" t="n">
        <v>5</v>
      </c>
      <c r="N2031" s="33" t="s">
        <v>146</v>
      </c>
      <c r="O2031" s="33" t="s">
        <v>147</v>
      </c>
    </row>
    <row r="2032" customFormat="false" ht="15" hidden="false" customHeight="false" outlineLevel="0" collapsed="false">
      <c r="A2032" s="33" t="s">
        <v>2210</v>
      </c>
      <c r="B2032" s="34" t="n">
        <v>45310</v>
      </c>
      <c r="C2032" s="34" t="n">
        <v>45313</v>
      </c>
      <c r="D2032" s="33" t="n">
        <v>4</v>
      </c>
      <c r="E2032" s="33" t="s">
        <v>154</v>
      </c>
      <c r="F2032" s="33" t="s">
        <v>155</v>
      </c>
      <c r="G2032" s="33" t="s">
        <v>156</v>
      </c>
      <c r="H2032" s="33" t="s">
        <v>222</v>
      </c>
      <c r="I2032" s="33" t="s">
        <v>152</v>
      </c>
      <c r="J2032" s="33" t="s">
        <v>159</v>
      </c>
      <c r="K2032" s="33" t="s">
        <v>209</v>
      </c>
      <c r="L2032" s="35" t="n">
        <v>2597.82</v>
      </c>
      <c r="M2032" s="33" t="n">
        <v>3</v>
      </c>
      <c r="N2032" s="33" t="s">
        <v>146</v>
      </c>
      <c r="O2032" s="33" t="s">
        <v>147</v>
      </c>
    </row>
    <row r="2033" customFormat="false" ht="15" hidden="false" customHeight="false" outlineLevel="0" collapsed="false">
      <c r="A2033" s="33" t="s">
        <v>2211</v>
      </c>
      <c r="B2033" s="34" t="n">
        <v>45414</v>
      </c>
      <c r="C2033" s="34" t="n">
        <v>45420</v>
      </c>
      <c r="D2033" s="33" t="n">
        <v>25</v>
      </c>
      <c r="E2033" s="33" t="s">
        <v>154</v>
      </c>
      <c r="F2033" s="33" t="s">
        <v>181</v>
      </c>
      <c r="G2033" s="33" t="s">
        <v>237</v>
      </c>
      <c r="H2033" s="33" t="s">
        <v>245</v>
      </c>
      <c r="I2033" s="33" t="s">
        <v>143</v>
      </c>
      <c r="J2033" s="33" t="s">
        <v>176</v>
      </c>
      <c r="K2033" s="33" t="s">
        <v>184</v>
      </c>
      <c r="L2033" s="35" t="n">
        <v>37663.39</v>
      </c>
      <c r="M2033" s="36"/>
      <c r="N2033" s="33" t="s">
        <v>146</v>
      </c>
      <c r="O2033" s="33" t="s">
        <v>147</v>
      </c>
    </row>
    <row r="2034" customFormat="false" ht="15" hidden="false" customHeight="false" outlineLevel="0" collapsed="false">
      <c r="A2034" s="33" t="s">
        <v>2212</v>
      </c>
      <c r="B2034" s="34" t="n">
        <v>45629</v>
      </c>
      <c r="C2034" s="34" t="n">
        <v>45630</v>
      </c>
      <c r="D2034" s="33" t="n">
        <v>17</v>
      </c>
      <c r="E2034" s="33" t="s">
        <v>139</v>
      </c>
      <c r="F2034" s="33" t="s">
        <v>149</v>
      </c>
      <c r="G2034" s="33" t="s">
        <v>224</v>
      </c>
      <c r="H2034" s="33" t="s">
        <v>186</v>
      </c>
      <c r="I2034" s="33" t="s">
        <v>152</v>
      </c>
      <c r="J2034" s="33" t="s">
        <v>159</v>
      </c>
      <c r="K2034" s="33" t="s">
        <v>145</v>
      </c>
      <c r="L2034" s="35" t="n">
        <v>1755.12</v>
      </c>
      <c r="M2034" s="33" t="n">
        <v>5</v>
      </c>
      <c r="N2034" s="33" t="s">
        <v>146</v>
      </c>
      <c r="O2034" s="33" t="s">
        <v>147</v>
      </c>
    </row>
    <row r="2035" customFormat="false" ht="15" hidden="false" customHeight="false" outlineLevel="0" collapsed="false">
      <c r="A2035" s="33" t="s">
        <v>2213</v>
      </c>
      <c r="B2035" s="34" t="n">
        <v>45489</v>
      </c>
      <c r="C2035" s="34" t="n">
        <v>45491</v>
      </c>
      <c r="D2035" s="33" t="n">
        <v>3</v>
      </c>
      <c r="E2035" s="33" t="s">
        <v>154</v>
      </c>
      <c r="F2035" s="33" t="s">
        <v>155</v>
      </c>
      <c r="G2035" s="33" t="s">
        <v>302</v>
      </c>
      <c r="H2035" s="33" t="s">
        <v>222</v>
      </c>
      <c r="I2035" s="33" t="s">
        <v>143</v>
      </c>
      <c r="J2035" s="33" t="s">
        <v>144</v>
      </c>
      <c r="K2035" s="33" t="s">
        <v>145</v>
      </c>
      <c r="L2035" s="35" t="n">
        <v>3747.99</v>
      </c>
      <c r="M2035" s="33" t="n">
        <v>5</v>
      </c>
      <c r="N2035" s="33" t="s">
        <v>146</v>
      </c>
      <c r="O2035" s="33" t="s">
        <v>147</v>
      </c>
    </row>
    <row r="2036" customFormat="false" ht="15" hidden="false" customHeight="false" outlineLevel="0" collapsed="false">
      <c r="A2036" s="33" t="s">
        <v>2214</v>
      </c>
      <c r="B2036" s="34" t="n">
        <v>45414</v>
      </c>
      <c r="C2036" s="34" t="n">
        <v>45418</v>
      </c>
      <c r="D2036" s="33" t="n">
        <v>45</v>
      </c>
      <c r="E2036" s="33" t="s">
        <v>154</v>
      </c>
      <c r="F2036" s="33" t="s">
        <v>173</v>
      </c>
      <c r="G2036" s="33" t="s">
        <v>198</v>
      </c>
      <c r="H2036" s="33" t="s">
        <v>175</v>
      </c>
      <c r="I2036" s="33" t="s">
        <v>143</v>
      </c>
      <c r="J2036" s="33" t="s">
        <v>159</v>
      </c>
      <c r="K2036" s="33" t="s">
        <v>184</v>
      </c>
      <c r="L2036" s="35" t="n">
        <v>8554.04</v>
      </c>
      <c r="M2036" s="33" t="n">
        <v>4</v>
      </c>
      <c r="N2036" s="33" t="s">
        <v>146</v>
      </c>
      <c r="O2036" s="33" t="s">
        <v>147</v>
      </c>
    </row>
    <row r="2037" customFormat="false" ht="15" hidden="false" customHeight="false" outlineLevel="0" collapsed="false">
      <c r="A2037" s="33" t="s">
        <v>1382</v>
      </c>
      <c r="B2037" s="34" t="n">
        <v>45410</v>
      </c>
      <c r="C2037" s="34" t="n">
        <v>45412</v>
      </c>
      <c r="D2037" s="33" t="n">
        <v>28</v>
      </c>
      <c r="E2037" s="33" t="s">
        <v>139</v>
      </c>
      <c r="F2037" s="33" t="s">
        <v>173</v>
      </c>
      <c r="G2037" s="33" t="s">
        <v>174</v>
      </c>
      <c r="H2037" s="33" t="s">
        <v>199</v>
      </c>
      <c r="I2037" s="33" t="s">
        <v>152</v>
      </c>
      <c r="J2037" s="33" t="s">
        <v>159</v>
      </c>
      <c r="K2037" s="33" t="s">
        <v>209</v>
      </c>
      <c r="L2037" s="35" t="n">
        <v>5042.97</v>
      </c>
      <c r="M2037" s="33" t="n">
        <v>4</v>
      </c>
      <c r="N2037" s="33" t="s">
        <v>146</v>
      </c>
      <c r="O2037" s="33" t="s">
        <v>147</v>
      </c>
    </row>
    <row r="2038" customFormat="false" ht="15" hidden="false" customHeight="false" outlineLevel="0" collapsed="false">
      <c r="A2038" s="33" t="s">
        <v>2215</v>
      </c>
      <c r="B2038" s="34" t="n">
        <v>45428</v>
      </c>
      <c r="C2038" s="34" t="n">
        <v>45436</v>
      </c>
      <c r="D2038" s="33" t="n">
        <v>56</v>
      </c>
      <c r="E2038" s="33" t="s">
        <v>154</v>
      </c>
      <c r="F2038" s="33" t="s">
        <v>140</v>
      </c>
      <c r="G2038" s="33" t="s">
        <v>167</v>
      </c>
      <c r="H2038" s="33" t="s">
        <v>142</v>
      </c>
      <c r="I2038" s="33" t="s">
        <v>143</v>
      </c>
      <c r="J2038" s="33" t="s">
        <v>144</v>
      </c>
      <c r="K2038" s="33" t="s">
        <v>145</v>
      </c>
      <c r="L2038" s="35" t="n">
        <v>31897.18</v>
      </c>
      <c r="M2038" s="33" t="n">
        <v>3</v>
      </c>
      <c r="N2038" s="33" t="s">
        <v>146</v>
      </c>
      <c r="O2038" s="33" t="s">
        <v>147</v>
      </c>
    </row>
    <row r="2039" customFormat="false" ht="15" hidden="false" customHeight="false" outlineLevel="0" collapsed="false">
      <c r="A2039" s="33" t="s">
        <v>2216</v>
      </c>
      <c r="B2039" s="34" t="n">
        <v>45305</v>
      </c>
      <c r="C2039" s="34" t="n">
        <v>45311</v>
      </c>
      <c r="D2039" s="33" t="n">
        <v>72</v>
      </c>
      <c r="E2039" s="33" t="s">
        <v>154</v>
      </c>
      <c r="F2039" s="33" t="s">
        <v>181</v>
      </c>
      <c r="G2039" s="33" t="s">
        <v>188</v>
      </c>
      <c r="H2039" s="33" t="s">
        <v>183</v>
      </c>
      <c r="I2039" s="33" t="s">
        <v>143</v>
      </c>
      <c r="J2039" s="33" t="s">
        <v>159</v>
      </c>
      <c r="K2039" s="33" t="s">
        <v>145</v>
      </c>
      <c r="L2039" s="35" t="n">
        <v>13650.77</v>
      </c>
      <c r="M2039" s="33" t="n">
        <v>5</v>
      </c>
      <c r="N2039" s="33" t="s">
        <v>146</v>
      </c>
      <c r="O2039" s="33" t="s">
        <v>147</v>
      </c>
    </row>
    <row r="2040" customFormat="false" ht="15" hidden="false" customHeight="false" outlineLevel="0" collapsed="false">
      <c r="A2040" s="33" t="s">
        <v>2217</v>
      </c>
      <c r="B2040" s="34" t="n">
        <v>45417</v>
      </c>
      <c r="C2040" s="34" t="n">
        <v>45425</v>
      </c>
      <c r="D2040" s="33" t="n">
        <v>37</v>
      </c>
      <c r="E2040" s="33" t="s">
        <v>139</v>
      </c>
      <c r="F2040" s="33" t="s">
        <v>173</v>
      </c>
      <c r="G2040" s="33" t="s">
        <v>174</v>
      </c>
      <c r="H2040" s="36"/>
      <c r="I2040" s="33" t="s">
        <v>143</v>
      </c>
      <c r="J2040" s="33" t="s">
        <v>159</v>
      </c>
      <c r="K2040" s="33" t="s">
        <v>160</v>
      </c>
      <c r="L2040" s="35" t="n">
        <v>24251.5</v>
      </c>
      <c r="M2040" s="33" t="n">
        <v>4</v>
      </c>
      <c r="N2040" s="33" t="s">
        <v>146</v>
      </c>
      <c r="O2040" s="33" t="s">
        <v>147</v>
      </c>
    </row>
    <row r="2041" customFormat="false" ht="15" hidden="false" customHeight="false" outlineLevel="0" collapsed="false">
      <c r="A2041" s="33" t="s">
        <v>2218</v>
      </c>
      <c r="B2041" s="34" t="n">
        <v>45577</v>
      </c>
      <c r="C2041" s="34" t="n">
        <v>45580</v>
      </c>
      <c r="D2041" s="33" t="n">
        <v>54</v>
      </c>
      <c r="E2041" s="33" t="s">
        <v>139</v>
      </c>
      <c r="F2041" s="33" t="s">
        <v>181</v>
      </c>
      <c r="G2041" s="33" t="s">
        <v>182</v>
      </c>
      <c r="H2041" s="33" t="s">
        <v>183</v>
      </c>
      <c r="I2041" s="33" t="s">
        <v>152</v>
      </c>
      <c r="J2041" s="33" t="s">
        <v>159</v>
      </c>
      <c r="K2041" s="33" t="s">
        <v>184</v>
      </c>
      <c r="L2041" s="35" t="n">
        <v>8170.35</v>
      </c>
      <c r="M2041" s="33" t="n">
        <v>3</v>
      </c>
      <c r="N2041" s="33" t="s">
        <v>210</v>
      </c>
      <c r="O2041" s="33" t="s">
        <v>147</v>
      </c>
    </row>
    <row r="2042" customFormat="false" ht="15" hidden="false" customHeight="false" outlineLevel="0" collapsed="false">
      <c r="A2042" s="33" t="s">
        <v>2219</v>
      </c>
      <c r="B2042" s="34" t="n">
        <v>45470</v>
      </c>
      <c r="C2042" s="34" t="n">
        <v>45477</v>
      </c>
      <c r="D2042" s="33" t="n">
        <v>29</v>
      </c>
      <c r="E2042" s="33" t="s">
        <v>154</v>
      </c>
      <c r="F2042" s="33" t="s">
        <v>169</v>
      </c>
      <c r="G2042" s="33" t="s">
        <v>230</v>
      </c>
      <c r="H2042" s="33" t="s">
        <v>195</v>
      </c>
      <c r="I2042" s="33" t="s">
        <v>143</v>
      </c>
      <c r="J2042" s="33" t="s">
        <v>176</v>
      </c>
      <c r="K2042" s="33" t="s">
        <v>184</v>
      </c>
      <c r="L2042" s="35" t="n">
        <v>25639.06</v>
      </c>
      <c r="M2042" s="33" t="n">
        <v>3</v>
      </c>
      <c r="N2042" s="33" t="s">
        <v>146</v>
      </c>
      <c r="O2042" s="33" t="s">
        <v>147</v>
      </c>
    </row>
    <row r="2043" customFormat="false" ht="15" hidden="false" customHeight="false" outlineLevel="0" collapsed="false">
      <c r="A2043" s="33" t="s">
        <v>2220</v>
      </c>
      <c r="B2043" s="34" t="n">
        <v>45647</v>
      </c>
      <c r="C2043" s="34" t="n">
        <v>45665</v>
      </c>
      <c r="D2043" s="33" t="n">
        <v>76</v>
      </c>
      <c r="E2043" s="33" t="s">
        <v>279</v>
      </c>
      <c r="F2043" s="33" t="s">
        <v>181</v>
      </c>
      <c r="G2043" s="33" t="s">
        <v>188</v>
      </c>
      <c r="H2043" s="33" t="s">
        <v>245</v>
      </c>
      <c r="I2043" s="33" t="s">
        <v>152</v>
      </c>
      <c r="J2043" s="33" t="s">
        <v>159</v>
      </c>
      <c r="K2043" s="33" t="s">
        <v>145</v>
      </c>
      <c r="L2043" s="35" t="n">
        <v>43403.28</v>
      </c>
      <c r="M2043" s="33" t="n">
        <v>5</v>
      </c>
      <c r="N2043" s="33" t="s">
        <v>146</v>
      </c>
      <c r="O2043" s="33" t="s">
        <v>147</v>
      </c>
    </row>
    <row r="2044" customFormat="false" ht="15" hidden="false" customHeight="false" outlineLevel="0" collapsed="false">
      <c r="A2044" s="33" t="s">
        <v>2221</v>
      </c>
      <c r="B2044" s="34" t="n">
        <v>45564</v>
      </c>
      <c r="C2044" s="34" t="n">
        <v>45566</v>
      </c>
      <c r="D2044" s="33" t="n">
        <v>39</v>
      </c>
      <c r="E2044" s="33" t="s">
        <v>154</v>
      </c>
      <c r="F2044" s="33" t="s">
        <v>140</v>
      </c>
      <c r="G2044" s="33" t="s">
        <v>141</v>
      </c>
      <c r="H2044" s="33" t="s">
        <v>142</v>
      </c>
      <c r="I2044" s="33" t="s">
        <v>158</v>
      </c>
      <c r="J2044" s="33" t="s">
        <v>159</v>
      </c>
      <c r="K2044" s="33" t="s">
        <v>160</v>
      </c>
      <c r="L2044" s="35" t="n">
        <v>5595.76</v>
      </c>
      <c r="M2044" s="33" t="n">
        <v>3</v>
      </c>
      <c r="N2044" s="33" t="s">
        <v>210</v>
      </c>
      <c r="O2044" s="33" t="s">
        <v>147</v>
      </c>
    </row>
    <row r="2045" customFormat="false" ht="15" hidden="false" customHeight="false" outlineLevel="0" collapsed="false">
      <c r="A2045" s="33" t="s">
        <v>2222</v>
      </c>
      <c r="B2045" s="34" t="n">
        <v>45460</v>
      </c>
      <c r="C2045" s="34" t="n">
        <v>45461</v>
      </c>
      <c r="D2045" s="33" t="n">
        <v>0</v>
      </c>
      <c r="E2045" s="33" t="s">
        <v>279</v>
      </c>
      <c r="F2045" s="33" t="s">
        <v>155</v>
      </c>
      <c r="G2045" s="33" t="s">
        <v>220</v>
      </c>
      <c r="H2045" s="33" t="s">
        <v>157</v>
      </c>
      <c r="I2045" s="33" t="s">
        <v>143</v>
      </c>
      <c r="J2045" s="33" t="s">
        <v>144</v>
      </c>
      <c r="K2045" s="33" t="s">
        <v>160</v>
      </c>
      <c r="L2045" s="35" t="n">
        <v>1522.88</v>
      </c>
      <c r="M2045" s="33" t="n">
        <v>4</v>
      </c>
      <c r="N2045" s="33" t="s">
        <v>146</v>
      </c>
      <c r="O2045" s="33" t="s">
        <v>147</v>
      </c>
    </row>
    <row r="2046" customFormat="false" ht="15" hidden="false" customHeight="false" outlineLevel="0" collapsed="false">
      <c r="A2046" s="33" t="s">
        <v>2223</v>
      </c>
      <c r="B2046" s="34" t="n">
        <v>45622</v>
      </c>
      <c r="C2046" s="34" t="n">
        <v>45625</v>
      </c>
      <c r="D2046" s="33" t="n">
        <v>47</v>
      </c>
      <c r="E2046" s="33" t="s">
        <v>139</v>
      </c>
      <c r="F2046" s="33" t="s">
        <v>169</v>
      </c>
      <c r="G2046" s="33" t="s">
        <v>213</v>
      </c>
      <c r="H2046" s="33" t="s">
        <v>195</v>
      </c>
      <c r="I2046" s="33" t="s">
        <v>143</v>
      </c>
      <c r="J2046" s="33" t="s">
        <v>144</v>
      </c>
      <c r="K2046" s="33" t="s">
        <v>145</v>
      </c>
      <c r="L2046" s="35" t="n">
        <v>5683.66</v>
      </c>
      <c r="M2046" s="33" t="n">
        <v>4</v>
      </c>
      <c r="N2046" s="33" t="s">
        <v>146</v>
      </c>
      <c r="O2046" s="33" t="s">
        <v>147</v>
      </c>
    </row>
    <row r="2047" customFormat="false" ht="15" hidden="false" customHeight="false" outlineLevel="0" collapsed="false">
      <c r="A2047" s="33" t="s">
        <v>2224</v>
      </c>
      <c r="B2047" s="34" t="n">
        <v>45295</v>
      </c>
      <c r="C2047" s="34" t="n">
        <v>45300</v>
      </c>
      <c r="D2047" s="33" t="n">
        <v>70</v>
      </c>
      <c r="E2047" s="33" t="s">
        <v>154</v>
      </c>
      <c r="F2047" s="33" t="s">
        <v>226</v>
      </c>
      <c r="G2047" s="33" t="s">
        <v>258</v>
      </c>
      <c r="H2047" s="33" t="s">
        <v>228</v>
      </c>
      <c r="I2047" s="33" t="s">
        <v>143</v>
      </c>
      <c r="J2047" s="33" t="s">
        <v>144</v>
      </c>
      <c r="K2047" s="33" t="s">
        <v>209</v>
      </c>
      <c r="L2047" s="35" t="n">
        <v>24347.43</v>
      </c>
      <c r="M2047" s="33" t="n">
        <v>5</v>
      </c>
      <c r="N2047" s="33" t="s">
        <v>210</v>
      </c>
      <c r="O2047" s="33" t="s">
        <v>147</v>
      </c>
    </row>
    <row r="2048" customFormat="false" ht="15" hidden="false" customHeight="false" outlineLevel="0" collapsed="false">
      <c r="A2048" s="33" t="s">
        <v>2225</v>
      </c>
      <c r="B2048" s="34" t="n">
        <v>45555</v>
      </c>
      <c r="C2048" s="34" t="n">
        <v>45567</v>
      </c>
      <c r="D2048" s="33" t="n">
        <v>76</v>
      </c>
      <c r="E2048" s="33" t="s">
        <v>180</v>
      </c>
      <c r="F2048" s="33" t="s">
        <v>226</v>
      </c>
      <c r="G2048" s="33" t="s">
        <v>258</v>
      </c>
      <c r="H2048" s="33" t="s">
        <v>263</v>
      </c>
      <c r="I2048" s="33" t="s">
        <v>143</v>
      </c>
      <c r="J2048" s="33" t="s">
        <v>159</v>
      </c>
      <c r="K2048" s="33" t="s">
        <v>145</v>
      </c>
      <c r="L2048" s="35" t="n">
        <v>36601.23</v>
      </c>
      <c r="M2048" s="33" t="n">
        <v>4</v>
      </c>
      <c r="N2048" s="33" t="s">
        <v>146</v>
      </c>
      <c r="O2048" s="33" t="s">
        <v>147</v>
      </c>
    </row>
    <row r="2049" customFormat="false" ht="15" hidden="false" customHeight="false" outlineLevel="0" collapsed="false">
      <c r="A2049" s="33" t="s">
        <v>2226</v>
      </c>
      <c r="B2049" s="34" t="n">
        <v>45542</v>
      </c>
      <c r="C2049" s="34" t="n">
        <v>45548</v>
      </c>
      <c r="D2049" s="33" t="n">
        <v>69</v>
      </c>
      <c r="E2049" s="33" t="s">
        <v>139</v>
      </c>
      <c r="F2049" s="33" t="s">
        <v>140</v>
      </c>
      <c r="G2049" s="33" t="s">
        <v>167</v>
      </c>
      <c r="H2049" s="33" t="s">
        <v>142</v>
      </c>
      <c r="I2049" s="33" t="s">
        <v>152</v>
      </c>
      <c r="J2049" s="33" t="s">
        <v>159</v>
      </c>
      <c r="K2049" s="33" t="s">
        <v>145</v>
      </c>
      <c r="L2049" s="35" t="n">
        <v>10695.2</v>
      </c>
      <c r="M2049" s="33" t="n">
        <v>5</v>
      </c>
      <c r="N2049" s="33" t="s">
        <v>146</v>
      </c>
      <c r="O2049" s="33" t="s">
        <v>147</v>
      </c>
    </row>
    <row r="2050" customFormat="false" ht="15" hidden="false" customHeight="false" outlineLevel="0" collapsed="false">
      <c r="A2050" s="33" t="s">
        <v>2227</v>
      </c>
      <c r="B2050" s="34" t="n">
        <v>45465</v>
      </c>
      <c r="C2050" s="34" t="n">
        <v>45467</v>
      </c>
      <c r="D2050" s="33" t="n">
        <v>20</v>
      </c>
      <c r="E2050" s="33" t="s">
        <v>139</v>
      </c>
      <c r="F2050" s="33" t="s">
        <v>203</v>
      </c>
      <c r="G2050" s="33" t="s">
        <v>232</v>
      </c>
      <c r="H2050" s="33" t="s">
        <v>205</v>
      </c>
      <c r="I2050" s="33" t="s">
        <v>143</v>
      </c>
      <c r="J2050" s="33" t="s">
        <v>159</v>
      </c>
      <c r="K2050" s="33" t="s">
        <v>209</v>
      </c>
      <c r="L2050" s="35" t="n">
        <v>1734.89</v>
      </c>
      <c r="M2050" s="33" t="n">
        <v>4</v>
      </c>
      <c r="N2050" s="33" t="s">
        <v>146</v>
      </c>
      <c r="O2050" s="33" t="s">
        <v>147</v>
      </c>
    </row>
    <row r="2051" customFormat="false" ht="15" hidden="false" customHeight="false" outlineLevel="0" collapsed="false">
      <c r="A2051" s="33" t="s">
        <v>2228</v>
      </c>
      <c r="B2051" s="34" t="n">
        <v>45429</v>
      </c>
      <c r="C2051" s="34" t="n">
        <v>45444</v>
      </c>
      <c r="D2051" s="33" t="n">
        <v>51</v>
      </c>
      <c r="E2051" s="33" t="s">
        <v>180</v>
      </c>
      <c r="F2051" s="33" t="s">
        <v>169</v>
      </c>
      <c r="G2051" s="33" t="s">
        <v>213</v>
      </c>
      <c r="H2051" s="33" t="s">
        <v>195</v>
      </c>
      <c r="I2051" s="33" t="s">
        <v>143</v>
      </c>
      <c r="J2051" s="33" t="s">
        <v>144</v>
      </c>
      <c r="K2051" s="33" t="s">
        <v>184</v>
      </c>
      <c r="L2051" s="35" t="n">
        <v>28532.79</v>
      </c>
      <c r="M2051" s="33" t="n">
        <v>3</v>
      </c>
      <c r="N2051" s="33" t="s">
        <v>146</v>
      </c>
      <c r="O2051" s="33" t="s">
        <v>147</v>
      </c>
    </row>
    <row r="2052" customFormat="false" ht="15" hidden="false" customHeight="false" outlineLevel="0" collapsed="false">
      <c r="A2052" s="33" t="s">
        <v>2229</v>
      </c>
      <c r="B2052" s="34" t="n">
        <v>45537</v>
      </c>
      <c r="C2052" s="34" t="n">
        <v>45546</v>
      </c>
      <c r="D2052" s="33" t="n">
        <v>15</v>
      </c>
      <c r="E2052" s="33" t="s">
        <v>139</v>
      </c>
      <c r="F2052" s="33" t="s">
        <v>149</v>
      </c>
      <c r="G2052" s="33" t="s">
        <v>224</v>
      </c>
      <c r="H2052" s="33" t="s">
        <v>186</v>
      </c>
      <c r="I2052" s="33" t="s">
        <v>158</v>
      </c>
      <c r="J2052" s="33" t="s">
        <v>159</v>
      </c>
      <c r="K2052" s="33" t="s">
        <v>160</v>
      </c>
      <c r="L2052" s="35" t="n">
        <v>13432.09</v>
      </c>
      <c r="M2052" s="36"/>
      <c r="N2052" s="33" t="s">
        <v>146</v>
      </c>
      <c r="O2052" s="33" t="s">
        <v>147</v>
      </c>
    </row>
    <row r="2053" customFormat="false" ht="15" hidden="false" customHeight="false" outlineLevel="0" collapsed="false">
      <c r="A2053" s="33" t="s">
        <v>2230</v>
      </c>
      <c r="B2053" s="34" t="n">
        <v>45454</v>
      </c>
      <c r="C2053" s="34" t="n">
        <v>45456</v>
      </c>
      <c r="D2053" s="33" t="n">
        <v>72</v>
      </c>
      <c r="E2053" s="33" t="s">
        <v>139</v>
      </c>
      <c r="F2053" s="33" t="s">
        <v>140</v>
      </c>
      <c r="G2053" s="33" t="s">
        <v>316</v>
      </c>
      <c r="H2053" s="33" t="s">
        <v>142</v>
      </c>
      <c r="I2053" s="33" t="s">
        <v>152</v>
      </c>
      <c r="J2053" s="33" t="s">
        <v>159</v>
      </c>
      <c r="K2053" s="33" t="s">
        <v>145</v>
      </c>
      <c r="L2053" s="35" t="n">
        <v>4113.53</v>
      </c>
      <c r="M2053" s="33" t="n">
        <v>3</v>
      </c>
      <c r="N2053" s="33" t="s">
        <v>146</v>
      </c>
      <c r="O2053" s="33" t="s">
        <v>147</v>
      </c>
    </row>
    <row r="2054" customFormat="false" ht="15" hidden="false" customHeight="false" outlineLevel="0" collapsed="false">
      <c r="A2054" s="33" t="s">
        <v>2231</v>
      </c>
      <c r="B2054" s="34" t="n">
        <v>45300</v>
      </c>
      <c r="C2054" s="34" t="n">
        <v>45301</v>
      </c>
      <c r="D2054" s="33" t="n">
        <v>53</v>
      </c>
      <c r="E2054" s="33" t="s">
        <v>154</v>
      </c>
      <c r="F2054" s="33" t="s">
        <v>140</v>
      </c>
      <c r="G2054" s="33" t="s">
        <v>316</v>
      </c>
      <c r="H2054" s="33" t="s">
        <v>290</v>
      </c>
      <c r="I2054" s="33" t="s">
        <v>152</v>
      </c>
      <c r="J2054" s="33" t="s">
        <v>159</v>
      </c>
      <c r="K2054" s="33" t="s">
        <v>145</v>
      </c>
      <c r="L2054" s="35" t="n">
        <v>2382.18</v>
      </c>
      <c r="M2054" s="33" t="n">
        <v>3</v>
      </c>
      <c r="N2054" s="33" t="s">
        <v>210</v>
      </c>
      <c r="O2054" s="33" t="s">
        <v>147</v>
      </c>
    </row>
    <row r="2055" customFormat="false" ht="15" hidden="false" customHeight="false" outlineLevel="0" collapsed="false">
      <c r="A2055" s="33" t="s">
        <v>2232</v>
      </c>
      <c r="B2055" s="34" t="n">
        <v>45561</v>
      </c>
      <c r="C2055" s="34" t="n">
        <v>45567</v>
      </c>
      <c r="D2055" s="33" t="n">
        <v>48</v>
      </c>
      <c r="E2055" s="33" t="s">
        <v>139</v>
      </c>
      <c r="F2055" s="33" t="s">
        <v>181</v>
      </c>
      <c r="G2055" s="33" t="s">
        <v>182</v>
      </c>
      <c r="H2055" s="33" t="s">
        <v>245</v>
      </c>
      <c r="I2055" s="33" t="s">
        <v>152</v>
      </c>
      <c r="J2055" s="33" t="s">
        <v>144</v>
      </c>
      <c r="K2055" s="33" t="s">
        <v>184</v>
      </c>
      <c r="L2055" s="35" t="n">
        <v>27634.37</v>
      </c>
      <c r="M2055" s="33" t="n">
        <v>5</v>
      </c>
      <c r="N2055" s="33" t="s">
        <v>146</v>
      </c>
      <c r="O2055" s="33" t="s">
        <v>147</v>
      </c>
    </row>
    <row r="2056" customFormat="false" ht="15" hidden="false" customHeight="false" outlineLevel="0" collapsed="false">
      <c r="A2056" s="33" t="s">
        <v>2233</v>
      </c>
      <c r="B2056" s="34" t="n">
        <v>45335</v>
      </c>
      <c r="C2056" s="34" t="n">
        <v>45341</v>
      </c>
      <c r="D2056" s="33" t="n">
        <v>53</v>
      </c>
      <c r="E2056" s="33" t="s">
        <v>139</v>
      </c>
      <c r="F2056" s="33" t="s">
        <v>226</v>
      </c>
      <c r="G2056" s="33" t="s">
        <v>258</v>
      </c>
      <c r="H2056" s="33" t="s">
        <v>263</v>
      </c>
      <c r="I2056" s="33" t="s">
        <v>152</v>
      </c>
      <c r="J2056" s="33" t="s">
        <v>176</v>
      </c>
      <c r="K2056" s="36"/>
      <c r="L2056" s="35" t="n">
        <v>68449.05</v>
      </c>
      <c r="M2056" s="33" t="n">
        <v>4</v>
      </c>
      <c r="N2056" s="33" t="s">
        <v>210</v>
      </c>
      <c r="O2056" s="36"/>
    </row>
    <row r="2057" customFormat="false" ht="15" hidden="false" customHeight="false" outlineLevel="0" collapsed="false">
      <c r="A2057" s="33" t="s">
        <v>980</v>
      </c>
      <c r="B2057" s="34" t="n">
        <v>45443</v>
      </c>
      <c r="C2057" s="34" t="n">
        <v>45448</v>
      </c>
      <c r="D2057" s="33" t="n">
        <v>11</v>
      </c>
      <c r="E2057" s="33" t="s">
        <v>139</v>
      </c>
      <c r="F2057" s="33" t="s">
        <v>155</v>
      </c>
      <c r="G2057" s="33" t="s">
        <v>302</v>
      </c>
      <c r="H2057" s="33" t="s">
        <v>222</v>
      </c>
      <c r="I2057" s="33" t="s">
        <v>152</v>
      </c>
      <c r="J2057" s="33" t="s">
        <v>159</v>
      </c>
      <c r="K2057" s="33" t="s">
        <v>160</v>
      </c>
      <c r="L2057" s="35" t="n">
        <v>4019.04</v>
      </c>
      <c r="M2057" s="36"/>
      <c r="N2057" s="33" t="s">
        <v>146</v>
      </c>
      <c r="O2057" s="33" t="s">
        <v>147</v>
      </c>
    </row>
    <row r="2058" customFormat="false" ht="15" hidden="false" customHeight="false" outlineLevel="0" collapsed="false">
      <c r="A2058" s="33" t="s">
        <v>2234</v>
      </c>
      <c r="B2058" s="34" t="n">
        <v>45516</v>
      </c>
      <c r="C2058" s="34" t="n">
        <v>45520</v>
      </c>
      <c r="D2058" s="33" t="n">
        <v>29</v>
      </c>
      <c r="E2058" s="33" t="s">
        <v>180</v>
      </c>
      <c r="F2058" s="33" t="s">
        <v>169</v>
      </c>
      <c r="G2058" s="33" t="s">
        <v>230</v>
      </c>
      <c r="H2058" s="33" t="s">
        <v>171</v>
      </c>
      <c r="I2058" s="33" t="s">
        <v>143</v>
      </c>
      <c r="J2058" s="33" t="s">
        <v>176</v>
      </c>
      <c r="K2058" s="33" t="s">
        <v>160</v>
      </c>
      <c r="L2058" s="35" t="n">
        <v>18114.79</v>
      </c>
      <c r="M2058" s="33" t="n">
        <v>4</v>
      </c>
      <c r="N2058" s="33" t="s">
        <v>146</v>
      </c>
      <c r="O2058" s="33" t="s">
        <v>147</v>
      </c>
    </row>
    <row r="2059" customFormat="false" ht="15" hidden="false" customHeight="false" outlineLevel="0" collapsed="false">
      <c r="A2059" s="33" t="s">
        <v>2235</v>
      </c>
      <c r="B2059" s="34" t="n">
        <v>45487</v>
      </c>
      <c r="C2059" s="34" t="n">
        <v>45492</v>
      </c>
      <c r="D2059" s="33" t="n">
        <v>44</v>
      </c>
      <c r="E2059" s="33" t="s">
        <v>154</v>
      </c>
      <c r="F2059" s="33" t="s">
        <v>226</v>
      </c>
      <c r="G2059" s="33" t="s">
        <v>386</v>
      </c>
      <c r="H2059" s="33" t="s">
        <v>263</v>
      </c>
      <c r="I2059" s="33" t="s">
        <v>143</v>
      </c>
      <c r="J2059" s="33" t="s">
        <v>159</v>
      </c>
      <c r="K2059" s="33" t="s">
        <v>145</v>
      </c>
      <c r="L2059" s="35" t="n">
        <v>17012.72</v>
      </c>
      <c r="M2059" s="33" t="n">
        <v>5</v>
      </c>
      <c r="N2059" s="33" t="s">
        <v>146</v>
      </c>
      <c r="O2059" s="33" t="s">
        <v>147</v>
      </c>
    </row>
    <row r="2060" customFormat="false" ht="15" hidden="false" customHeight="false" outlineLevel="0" collapsed="false">
      <c r="A2060" s="33" t="s">
        <v>2236</v>
      </c>
      <c r="B2060" s="34" t="n">
        <v>45316</v>
      </c>
      <c r="C2060" s="34" t="n">
        <v>45324</v>
      </c>
      <c r="D2060" s="33" t="n">
        <v>74</v>
      </c>
      <c r="E2060" s="33" t="s">
        <v>139</v>
      </c>
      <c r="F2060" s="33" t="s">
        <v>226</v>
      </c>
      <c r="G2060" s="33" t="s">
        <v>258</v>
      </c>
      <c r="H2060" s="33" t="s">
        <v>263</v>
      </c>
      <c r="I2060" s="33" t="s">
        <v>143</v>
      </c>
      <c r="J2060" s="33" t="s">
        <v>159</v>
      </c>
      <c r="K2060" s="33" t="s">
        <v>145</v>
      </c>
      <c r="L2060" s="35" t="n">
        <v>20620.55</v>
      </c>
      <c r="M2060" s="33" t="n">
        <v>5</v>
      </c>
      <c r="N2060" s="33" t="s">
        <v>146</v>
      </c>
      <c r="O2060" s="33" t="s">
        <v>147</v>
      </c>
    </row>
    <row r="2061" customFormat="false" ht="15" hidden="false" customHeight="false" outlineLevel="0" collapsed="false">
      <c r="A2061" s="33" t="s">
        <v>2237</v>
      </c>
      <c r="B2061" s="34" t="n">
        <v>45428</v>
      </c>
      <c r="C2061" s="34" t="n">
        <v>45429</v>
      </c>
      <c r="D2061" s="33" t="n">
        <v>73</v>
      </c>
      <c r="E2061" s="33" t="s">
        <v>139</v>
      </c>
      <c r="F2061" s="33" t="s">
        <v>212</v>
      </c>
      <c r="G2061" s="33" t="s">
        <v>213</v>
      </c>
      <c r="H2061" s="33" t="s">
        <v>171</v>
      </c>
      <c r="I2061" s="33" t="s">
        <v>152</v>
      </c>
      <c r="J2061" s="33" t="s">
        <v>159</v>
      </c>
      <c r="K2061" s="33" t="s">
        <v>184</v>
      </c>
      <c r="L2061" s="35" t="n">
        <v>1092.62</v>
      </c>
      <c r="M2061" s="33" t="n">
        <v>5</v>
      </c>
      <c r="N2061" s="33" t="s">
        <v>146</v>
      </c>
      <c r="O2061" s="33" t="s">
        <v>147</v>
      </c>
    </row>
    <row r="2062" customFormat="false" ht="15" hidden="false" customHeight="false" outlineLevel="0" collapsed="false">
      <c r="A2062" s="33" t="s">
        <v>2238</v>
      </c>
      <c r="B2062" s="34" t="n">
        <v>45483</v>
      </c>
      <c r="C2062" s="34" t="n">
        <v>45486</v>
      </c>
      <c r="D2062" s="33" t="n">
        <v>95</v>
      </c>
      <c r="E2062" s="33" t="s">
        <v>154</v>
      </c>
      <c r="F2062" s="33" t="s">
        <v>181</v>
      </c>
      <c r="G2062" s="33" t="s">
        <v>237</v>
      </c>
      <c r="H2062" s="33" t="s">
        <v>183</v>
      </c>
      <c r="I2062" s="33" t="s">
        <v>152</v>
      </c>
      <c r="J2062" s="33" t="s">
        <v>159</v>
      </c>
      <c r="K2062" s="33" t="s">
        <v>145</v>
      </c>
      <c r="L2062" s="35" t="n">
        <v>6017.71</v>
      </c>
      <c r="M2062" s="33" t="n">
        <v>4</v>
      </c>
      <c r="N2062" s="33" t="s">
        <v>146</v>
      </c>
      <c r="O2062" s="33" t="s">
        <v>147</v>
      </c>
    </row>
    <row r="2063" customFormat="false" ht="15" hidden="false" customHeight="false" outlineLevel="0" collapsed="false">
      <c r="A2063" s="33" t="s">
        <v>2239</v>
      </c>
      <c r="B2063" s="34" t="n">
        <v>45375</v>
      </c>
      <c r="C2063" s="34" t="n">
        <v>45376</v>
      </c>
      <c r="D2063" s="33" t="n">
        <v>42</v>
      </c>
      <c r="E2063" s="33" t="s">
        <v>180</v>
      </c>
      <c r="F2063" s="33" t="s">
        <v>334</v>
      </c>
      <c r="G2063" s="33" t="s">
        <v>241</v>
      </c>
      <c r="H2063" s="33" t="s">
        <v>205</v>
      </c>
      <c r="I2063" s="33" t="s">
        <v>143</v>
      </c>
      <c r="J2063" s="33" t="s">
        <v>144</v>
      </c>
      <c r="K2063" s="33" t="s">
        <v>145</v>
      </c>
      <c r="L2063" s="35" t="n">
        <v>1665.09</v>
      </c>
      <c r="M2063" s="33" t="n">
        <v>4</v>
      </c>
      <c r="N2063" s="33" t="s">
        <v>146</v>
      </c>
      <c r="O2063" s="33" t="s">
        <v>147</v>
      </c>
    </row>
    <row r="2064" customFormat="false" ht="15" hidden="false" customHeight="false" outlineLevel="0" collapsed="false">
      <c r="A2064" s="33" t="s">
        <v>2240</v>
      </c>
      <c r="B2064" s="34" t="n">
        <v>45556</v>
      </c>
      <c r="C2064" s="34" t="n">
        <v>45557</v>
      </c>
      <c r="D2064" s="33" t="n">
        <v>34</v>
      </c>
      <c r="E2064" s="33" t="s">
        <v>154</v>
      </c>
      <c r="F2064" s="33" t="s">
        <v>169</v>
      </c>
      <c r="G2064" s="33" t="s">
        <v>230</v>
      </c>
      <c r="H2064" s="33" t="s">
        <v>164</v>
      </c>
      <c r="I2064" s="33" t="s">
        <v>143</v>
      </c>
      <c r="J2064" s="33" t="s">
        <v>159</v>
      </c>
      <c r="K2064" s="33" t="s">
        <v>145</v>
      </c>
      <c r="L2064" s="35" t="n">
        <v>1050.06</v>
      </c>
      <c r="M2064" s="33" t="n">
        <v>4</v>
      </c>
      <c r="N2064" s="33" t="s">
        <v>146</v>
      </c>
      <c r="O2064" s="33" t="s">
        <v>147</v>
      </c>
    </row>
    <row r="2065" customFormat="false" ht="15" hidden="false" customHeight="false" outlineLevel="0" collapsed="false">
      <c r="A2065" s="33" t="s">
        <v>2241</v>
      </c>
      <c r="B2065" s="34" t="n">
        <v>45597</v>
      </c>
      <c r="C2065" s="34" t="n">
        <v>45599</v>
      </c>
      <c r="D2065" s="33" t="n">
        <v>43</v>
      </c>
      <c r="E2065" s="33" t="s">
        <v>154</v>
      </c>
      <c r="F2065" s="33" t="s">
        <v>212</v>
      </c>
      <c r="G2065" s="33" t="s">
        <v>213</v>
      </c>
      <c r="H2065" s="33" t="s">
        <v>195</v>
      </c>
      <c r="I2065" s="33" t="s">
        <v>143</v>
      </c>
      <c r="J2065" s="33" t="s">
        <v>159</v>
      </c>
      <c r="K2065" s="33" t="s">
        <v>145</v>
      </c>
      <c r="L2065" s="35" t="n">
        <v>1985.05</v>
      </c>
      <c r="M2065" s="33" t="n">
        <v>3</v>
      </c>
      <c r="N2065" s="33" t="s">
        <v>146</v>
      </c>
      <c r="O2065" s="33" t="s">
        <v>147</v>
      </c>
    </row>
    <row r="2066" customFormat="false" ht="15" hidden="false" customHeight="false" outlineLevel="0" collapsed="false">
      <c r="A2066" s="33" t="s">
        <v>2242</v>
      </c>
      <c r="B2066" s="34" t="n">
        <v>45506</v>
      </c>
      <c r="C2066" s="34" t="n">
        <v>45507</v>
      </c>
      <c r="D2066" s="33" t="n">
        <v>69</v>
      </c>
      <c r="E2066" s="33" t="s">
        <v>154</v>
      </c>
      <c r="F2066" s="33" t="s">
        <v>191</v>
      </c>
      <c r="G2066" s="33" t="s">
        <v>217</v>
      </c>
      <c r="H2066" s="33" t="s">
        <v>233</v>
      </c>
      <c r="I2066" s="33" t="s">
        <v>143</v>
      </c>
      <c r="J2066" s="33" t="s">
        <v>159</v>
      </c>
      <c r="K2066" s="36"/>
      <c r="L2066" s="35" t="n">
        <v>1141.29</v>
      </c>
      <c r="M2066" s="33" t="n">
        <v>3</v>
      </c>
      <c r="N2066" s="33" t="s">
        <v>146</v>
      </c>
      <c r="O2066" s="33" t="s">
        <v>147</v>
      </c>
    </row>
    <row r="2067" customFormat="false" ht="15" hidden="false" customHeight="false" outlineLevel="0" collapsed="false">
      <c r="A2067" s="33" t="s">
        <v>2243</v>
      </c>
      <c r="B2067" s="34" t="n">
        <v>45523</v>
      </c>
      <c r="C2067" s="34" t="n">
        <v>45532</v>
      </c>
      <c r="D2067" s="33" t="n">
        <v>49</v>
      </c>
      <c r="E2067" s="33" t="s">
        <v>154</v>
      </c>
      <c r="F2067" s="33" t="s">
        <v>169</v>
      </c>
      <c r="G2067" s="33" t="s">
        <v>230</v>
      </c>
      <c r="H2067" s="33" t="s">
        <v>195</v>
      </c>
      <c r="I2067" s="33" t="s">
        <v>158</v>
      </c>
      <c r="J2067" s="33" t="s">
        <v>144</v>
      </c>
      <c r="K2067" s="33" t="s">
        <v>160</v>
      </c>
      <c r="L2067" s="35" t="n">
        <v>15108.48</v>
      </c>
      <c r="M2067" s="33" t="n">
        <v>4</v>
      </c>
      <c r="N2067" s="33" t="s">
        <v>146</v>
      </c>
      <c r="O2067" s="33" t="s">
        <v>147</v>
      </c>
    </row>
    <row r="2068" customFormat="false" ht="15" hidden="false" customHeight="false" outlineLevel="0" collapsed="false">
      <c r="A2068" s="33" t="s">
        <v>2244</v>
      </c>
      <c r="B2068" s="34" t="n">
        <v>45465</v>
      </c>
      <c r="C2068" s="34" t="n">
        <v>45468</v>
      </c>
      <c r="D2068" s="33" t="n">
        <v>32</v>
      </c>
      <c r="E2068" s="33" t="s">
        <v>139</v>
      </c>
      <c r="F2068" s="33" t="s">
        <v>149</v>
      </c>
      <c r="G2068" s="33" t="s">
        <v>243</v>
      </c>
      <c r="H2068" s="33" t="s">
        <v>186</v>
      </c>
      <c r="I2068" s="33" t="s">
        <v>152</v>
      </c>
      <c r="J2068" s="33" t="s">
        <v>159</v>
      </c>
      <c r="K2068" s="33" t="s">
        <v>160</v>
      </c>
      <c r="L2068" s="35" t="n">
        <v>4720.42</v>
      </c>
      <c r="M2068" s="33" t="n">
        <v>4</v>
      </c>
      <c r="N2068" s="33" t="s">
        <v>146</v>
      </c>
      <c r="O2068" s="33" t="s">
        <v>147</v>
      </c>
    </row>
    <row r="2069" customFormat="false" ht="15" hidden="false" customHeight="false" outlineLevel="0" collapsed="false">
      <c r="A2069" s="33" t="s">
        <v>2245</v>
      </c>
      <c r="B2069" s="34" t="n">
        <v>45364</v>
      </c>
      <c r="C2069" s="34" t="n">
        <v>45365</v>
      </c>
      <c r="D2069" s="33" t="n">
        <v>50</v>
      </c>
      <c r="E2069" s="33" t="s">
        <v>154</v>
      </c>
      <c r="F2069" s="33" t="s">
        <v>203</v>
      </c>
      <c r="G2069" s="33" t="s">
        <v>192</v>
      </c>
      <c r="H2069" s="33" t="s">
        <v>193</v>
      </c>
      <c r="I2069" s="33" t="s">
        <v>143</v>
      </c>
      <c r="J2069" s="33" t="s">
        <v>159</v>
      </c>
      <c r="K2069" s="36"/>
      <c r="L2069" s="35" t="n">
        <v>863.58</v>
      </c>
      <c r="M2069" s="33" t="n">
        <v>4</v>
      </c>
      <c r="N2069" s="33" t="s">
        <v>146</v>
      </c>
      <c r="O2069" s="33" t="s">
        <v>147</v>
      </c>
    </row>
    <row r="2070" customFormat="false" ht="15" hidden="false" customHeight="false" outlineLevel="0" collapsed="false">
      <c r="A2070" s="33" t="s">
        <v>2246</v>
      </c>
      <c r="B2070" s="34" t="n">
        <v>45463</v>
      </c>
      <c r="C2070" s="34" t="n">
        <v>45469</v>
      </c>
      <c r="D2070" s="33" t="n">
        <v>55</v>
      </c>
      <c r="E2070" s="33" t="s">
        <v>139</v>
      </c>
      <c r="F2070" s="33" t="s">
        <v>140</v>
      </c>
      <c r="G2070" s="33" t="s">
        <v>167</v>
      </c>
      <c r="H2070" s="33" t="s">
        <v>290</v>
      </c>
      <c r="I2070" s="33" t="s">
        <v>143</v>
      </c>
      <c r="J2070" s="33" t="s">
        <v>159</v>
      </c>
      <c r="K2070" s="33" t="s">
        <v>160</v>
      </c>
      <c r="L2070" s="35" t="n">
        <v>11271.65</v>
      </c>
      <c r="M2070" s="33" t="n">
        <v>4</v>
      </c>
      <c r="N2070" s="33" t="s">
        <v>210</v>
      </c>
      <c r="O2070" s="33" t="s">
        <v>247</v>
      </c>
    </row>
    <row r="2071" customFormat="false" ht="15" hidden="false" customHeight="false" outlineLevel="0" collapsed="false">
      <c r="A2071" s="33" t="s">
        <v>2247</v>
      </c>
      <c r="B2071" s="34" t="n">
        <v>45342</v>
      </c>
      <c r="C2071" s="34" t="n">
        <v>45344</v>
      </c>
      <c r="D2071" s="33" t="n">
        <v>33</v>
      </c>
      <c r="E2071" s="33" t="s">
        <v>154</v>
      </c>
      <c r="F2071" s="33" t="s">
        <v>173</v>
      </c>
      <c r="G2071" s="33" t="s">
        <v>178</v>
      </c>
      <c r="H2071" s="33" t="s">
        <v>199</v>
      </c>
      <c r="I2071" s="33" t="s">
        <v>158</v>
      </c>
      <c r="J2071" s="33" t="s">
        <v>159</v>
      </c>
      <c r="K2071" s="33" t="s">
        <v>184</v>
      </c>
      <c r="L2071" s="35" t="n">
        <v>4902.23</v>
      </c>
      <c r="M2071" s="33" t="n">
        <v>3</v>
      </c>
      <c r="N2071" s="33" t="s">
        <v>146</v>
      </c>
      <c r="O2071" s="33" t="s">
        <v>147</v>
      </c>
    </row>
    <row r="2072" customFormat="false" ht="15" hidden="false" customHeight="false" outlineLevel="0" collapsed="false">
      <c r="A2072" s="33" t="s">
        <v>2248</v>
      </c>
      <c r="B2072" s="34" t="n">
        <v>45447</v>
      </c>
      <c r="C2072" s="34" t="n">
        <v>45449</v>
      </c>
      <c r="D2072" s="33" t="n">
        <v>89</v>
      </c>
      <c r="E2072" s="33" t="s">
        <v>257</v>
      </c>
      <c r="F2072" s="33" t="s">
        <v>203</v>
      </c>
      <c r="G2072" s="33" t="s">
        <v>192</v>
      </c>
      <c r="H2072" s="33" t="s">
        <v>205</v>
      </c>
      <c r="I2072" s="33" t="s">
        <v>143</v>
      </c>
      <c r="J2072" s="33" t="s">
        <v>176</v>
      </c>
      <c r="K2072" s="33" t="s">
        <v>145</v>
      </c>
      <c r="L2072" s="35" t="n">
        <v>5481.89</v>
      </c>
      <c r="M2072" s="33" t="n">
        <v>4</v>
      </c>
      <c r="N2072" s="33" t="s">
        <v>146</v>
      </c>
      <c r="O2072" s="33" t="s">
        <v>147</v>
      </c>
    </row>
    <row r="2073" customFormat="false" ht="15" hidden="false" customHeight="false" outlineLevel="0" collapsed="false">
      <c r="A2073" s="33" t="s">
        <v>2249</v>
      </c>
      <c r="B2073" s="34" t="n">
        <v>45620</v>
      </c>
      <c r="C2073" s="34" t="n">
        <v>45631</v>
      </c>
      <c r="D2073" s="33" t="n">
        <v>54</v>
      </c>
      <c r="E2073" s="33" t="s">
        <v>154</v>
      </c>
      <c r="F2073" s="33" t="s">
        <v>169</v>
      </c>
      <c r="G2073" s="33" t="s">
        <v>163</v>
      </c>
      <c r="H2073" s="33" t="s">
        <v>171</v>
      </c>
      <c r="I2073" s="33" t="s">
        <v>143</v>
      </c>
      <c r="J2073" s="33" t="s">
        <v>159</v>
      </c>
      <c r="K2073" s="33" t="s">
        <v>160</v>
      </c>
      <c r="L2073" s="35" t="n">
        <v>9578.4</v>
      </c>
      <c r="M2073" s="33" t="n">
        <v>5</v>
      </c>
      <c r="N2073" s="33" t="s">
        <v>146</v>
      </c>
      <c r="O2073" s="33" t="s">
        <v>147</v>
      </c>
    </row>
    <row r="2074" customFormat="false" ht="15" hidden="false" customHeight="false" outlineLevel="0" collapsed="false">
      <c r="A2074" s="33" t="s">
        <v>2250</v>
      </c>
      <c r="B2074" s="34" t="n">
        <v>45351</v>
      </c>
      <c r="C2074" s="34" t="n">
        <v>45353</v>
      </c>
      <c r="D2074" s="33" t="n">
        <v>31</v>
      </c>
      <c r="E2074" s="33" t="s">
        <v>139</v>
      </c>
      <c r="F2074" s="33" t="s">
        <v>149</v>
      </c>
      <c r="G2074" s="33" t="s">
        <v>243</v>
      </c>
      <c r="H2074" s="33" t="s">
        <v>186</v>
      </c>
      <c r="I2074" s="33" t="s">
        <v>143</v>
      </c>
      <c r="J2074" s="33" t="s">
        <v>144</v>
      </c>
      <c r="K2074" s="33" t="s">
        <v>209</v>
      </c>
      <c r="L2074" s="35" t="n">
        <v>6073.01</v>
      </c>
      <c r="M2074" s="33" t="n">
        <v>4</v>
      </c>
      <c r="N2074" s="33" t="s">
        <v>146</v>
      </c>
      <c r="O2074" s="33" t="s">
        <v>147</v>
      </c>
    </row>
    <row r="2075" customFormat="false" ht="15" hidden="false" customHeight="false" outlineLevel="0" collapsed="false">
      <c r="A2075" s="33" t="s">
        <v>2251</v>
      </c>
      <c r="B2075" s="34" t="n">
        <v>45393</v>
      </c>
      <c r="C2075" s="34" t="n">
        <v>45394</v>
      </c>
      <c r="D2075" s="33" t="n">
        <v>25</v>
      </c>
      <c r="E2075" s="33" t="s">
        <v>139</v>
      </c>
      <c r="F2075" s="33" t="s">
        <v>149</v>
      </c>
      <c r="G2075" s="33" t="s">
        <v>150</v>
      </c>
      <c r="H2075" s="33" t="s">
        <v>151</v>
      </c>
      <c r="I2075" s="33" t="s">
        <v>158</v>
      </c>
      <c r="J2075" s="33" t="s">
        <v>159</v>
      </c>
      <c r="K2075" s="36"/>
      <c r="L2075" s="35" t="n">
        <v>1439.86</v>
      </c>
      <c r="M2075" s="33" t="n">
        <v>4</v>
      </c>
      <c r="N2075" s="33" t="s">
        <v>146</v>
      </c>
      <c r="O2075" s="33" t="s">
        <v>147</v>
      </c>
    </row>
    <row r="2076" customFormat="false" ht="15" hidden="false" customHeight="false" outlineLevel="0" collapsed="false">
      <c r="A2076" s="33" t="s">
        <v>2252</v>
      </c>
      <c r="B2076" s="34" t="n">
        <v>45331</v>
      </c>
      <c r="C2076" s="34" t="n">
        <v>45332</v>
      </c>
      <c r="D2076" s="33" t="n">
        <v>30</v>
      </c>
      <c r="E2076" s="33" t="s">
        <v>180</v>
      </c>
      <c r="F2076" s="33" t="s">
        <v>203</v>
      </c>
      <c r="G2076" s="33" t="s">
        <v>217</v>
      </c>
      <c r="H2076" s="33" t="s">
        <v>205</v>
      </c>
      <c r="I2076" s="33" t="s">
        <v>143</v>
      </c>
      <c r="J2076" s="33" t="s">
        <v>144</v>
      </c>
      <c r="K2076" s="33" t="s">
        <v>209</v>
      </c>
      <c r="L2076" s="35" t="n">
        <v>1540.4</v>
      </c>
      <c r="M2076" s="33" t="n">
        <v>3</v>
      </c>
      <c r="N2076" s="33" t="s">
        <v>146</v>
      </c>
      <c r="O2076" s="33" t="s">
        <v>147</v>
      </c>
    </row>
    <row r="2077" customFormat="false" ht="15" hidden="false" customHeight="false" outlineLevel="0" collapsed="false">
      <c r="A2077" s="33" t="s">
        <v>2253</v>
      </c>
      <c r="B2077" s="34" t="n">
        <v>45462</v>
      </c>
      <c r="C2077" s="34" t="n">
        <v>45463</v>
      </c>
      <c r="D2077" s="33" t="n">
        <v>0</v>
      </c>
      <c r="E2077" s="33" t="s">
        <v>139</v>
      </c>
      <c r="F2077" s="33" t="s">
        <v>155</v>
      </c>
      <c r="G2077" s="33" t="s">
        <v>156</v>
      </c>
      <c r="H2077" s="33" t="s">
        <v>157</v>
      </c>
      <c r="I2077" s="33" t="s">
        <v>152</v>
      </c>
      <c r="J2077" s="33" t="s">
        <v>159</v>
      </c>
      <c r="K2077" s="33" t="s">
        <v>209</v>
      </c>
      <c r="L2077" s="35" t="n">
        <v>779.78</v>
      </c>
      <c r="M2077" s="33" t="n">
        <v>5</v>
      </c>
      <c r="N2077" s="33" t="s">
        <v>210</v>
      </c>
      <c r="O2077" s="33" t="s">
        <v>147</v>
      </c>
    </row>
    <row r="2078" customFormat="false" ht="15" hidden="false" customHeight="false" outlineLevel="0" collapsed="false">
      <c r="A2078" s="33" t="s">
        <v>2254</v>
      </c>
      <c r="B2078" s="34" t="n">
        <v>45378</v>
      </c>
      <c r="C2078" s="34" t="n">
        <v>45382</v>
      </c>
      <c r="D2078" s="36"/>
      <c r="E2078" s="33" t="s">
        <v>154</v>
      </c>
      <c r="F2078" s="33" t="s">
        <v>181</v>
      </c>
      <c r="G2078" s="33" t="s">
        <v>237</v>
      </c>
      <c r="H2078" s="33" t="s">
        <v>183</v>
      </c>
      <c r="I2078" s="33" t="s">
        <v>152</v>
      </c>
      <c r="J2078" s="33" t="s">
        <v>159</v>
      </c>
      <c r="K2078" s="33" t="s">
        <v>184</v>
      </c>
      <c r="L2078" s="35" t="n">
        <v>8437.31</v>
      </c>
      <c r="M2078" s="33" t="n">
        <v>5</v>
      </c>
      <c r="N2078" s="33" t="s">
        <v>146</v>
      </c>
      <c r="O2078" s="33" t="s">
        <v>295</v>
      </c>
    </row>
    <row r="2079" customFormat="false" ht="15" hidden="false" customHeight="false" outlineLevel="0" collapsed="false">
      <c r="A2079" s="33" t="s">
        <v>2255</v>
      </c>
      <c r="B2079" s="34" t="n">
        <v>45494</v>
      </c>
      <c r="C2079" s="34" t="n">
        <v>45505</v>
      </c>
      <c r="D2079" s="33" t="n">
        <v>70</v>
      </c>
      <c r="E2079" s="33" t="s">
        <v>139</v>
      </c>
      <c r="F2079" s="33" t="s">
        <v>181</v>
      </c>
      <c r="G2079" s="33" t="s">
        <v>237</v>
      </c>
      <c r="H2079" s="33" t="s">
        <v>183</v>
      </c>
      <c r="I2079" s="33" t="s">
        <v>152</v>
      </c>
      <c r="J2079" s="33" t="s">
        <v>159</v>
      </c>
      <c r="K2079" s="33" t="s">
        <v>145</v>
      </c>
      <c r="L2079" s="35" t="n">
        <v>25574.91</v>
      </c>
      <c r="M2079" s="33" t="n">
        <v>4</v>
      </c>
      <c r="N2079" s="33" t="s">
        <v>210</v>
      </c>
      <c r="O2079" s="33" t="s">
        <v>206</v>
      </c>
    </row>
    <row r="2080" customFormat="false" ht="15" hidden="false" customHeight="false" outlineLevel="0" collapsed="false">
      <c r="A2080" s="33" t="s">
        <v>2256</v>
      </c>
      <c r="B2080" s="34" t="n">
        <v>45352</v>
      </c>
      <c r="C2080" s="34" t="n">
        <v>45354</v>
      </c>
      <c r="D2080" s="33" t="n">
        <v>56</v>
      </c>
      <c r="E2080" s="33" t="s">
        <v>139</v>
      </c>
      <c r="F2080" s="33" t="s">
        <v>140</v>
      </c>
      <c r="G2080" s="33" t="s">
        <v>141</v>
      </c>
      <c r="H2080" s="33" t="s">
        <v>290</v>
      </c>
      <c r="I2080" s="33" t="s">
        <v>143</v>
      </c>
      <c r="J2080" s="33" t="s">
        <v>159</v>
      </c>
      <c r="K2080" s="36"/>
      <c r="L2080" s="35" t="n">
        <v>3721.42</v>
      </c>
      <c r="M2080" s="33" t="n">
        <v>4</v>
      </c>
      <c r="N2080" s="33" t="s">
        <v>146</v>
      </c>
      <c r="O2080" s="33" t="s">
        <v>295</v>
      </c>
    </row>
    <row r="2081" customFormat="false" ht="15" hidden="false" customHeight="false" outlineLevel="0" collapsed="false">
      <c r="A2081" s="33" t="s">
        <v>2257</v>
      </c>
      <c r="B2081" s="34" t="n">
        <v>45561</v>
      </c>
      <c r="C2081" s="34" t="n">
        <v>45565</v>
      </c>
      <c r="D2081" s="33" t="n">
        <v>55</v>
      </c>
      <c r="E2081" s="33" t="s">
        <v>139</v>
      </c>
      <c r="F2081" s="33" t="s">
        <v>226</v>
      </c>
      <c r="G2081" s="33" t="s">
        <v>227</v>
      </c>
      <c r="H2081" s="33" t="s">
        <v>228</v>
      </c>
      <c r="I2081" s="33" t="s">
        <v>143</v>
      </c>
      <c r="J2081" s="33" t="s">
        <v>159</v>
      </c>
      <c r="K2081" s="33" t="s">
        <v>145</v>
      </c>
      <c r="L2081" s="35" t="n">
        <v>12284.95</v>
      </c>
      <c r="M2081" s="33" t="n">
        <v>4</v>
      </c>
      <c r="N2081" s="33" t="s">
        <v>210</v>
      </c>
      <c r="O2081" s="33" t="s">
        <v>147</v>
      </c>
    </row>
    <row r="2082" customFormat="false" ht="15" hidden="false" customHeight="false" outlineLevel="0" collapsed="false">
      <c r="A2082" s="33" t="s">
        <v>2258</v>
      </c>
      <c r="B2082" s="34" t="n">
        <v>45294</v>
      </c>
      <c r="C2082" s="34" t="n">
        <v>45300</v>
      </c>
      <c r="D2082" s="33" t="n">
        <v>34</v>
      </c>
      <c r="E2082" s="33" t="s">
        <v>154</v>
      </c>
      <c r="F2082" s="33" t="s">
        <v>162</v>
      </c>
      <c r="G2082" s="33" t="s">
        <v>163</v>
      </c>
      <c r="H2082" s="33" t="s">
        <v>171</v>
      </c>
      <c r="I2082" s="33" t="s">
        <v>158</v>
      </c>
      <c r="J2082" s="33" t="s">
        <v>159</v>
      </c>
      <c r="K2082" s="33" t="s">
        <v>209</v>
      </c>
      <c r="L2082" s="35" t="n">
        <v>6357.93</v>
      </c>
      <c r="M2082" s="33" t="n">
        <v>4</v>
      </c>
      <c r="N2082" s="33" t="s">
        <v>146</v>
      </c>
      <c r="O2082" s="33" t="s">
        <v>147</v>
      </c>
    </row>
    <row r="2083" customFormat="false" ht="15" hidden="false" customHeight="false" outlineLevel="0" collapsed="false">
      <c r="A2083" s="33" t="s">
        <v>2259</v>
      </c>
      <c r="B2083" s="34" t="n">
        <v>45511</v>
      </c>
      <c r="C2083" s="34" t="n">
        <v>45516</v>
      </c>
      <c r="D2083" s="33" t="n">
        <v>38</v>
      </c>
      <c r="E2083" s="33" t="s">
        <v>139</v>
      </c>
      <c r="F2083" s="33" t="s">
        <v>140</v>
      </c>
      <c r="G2083" s="33" t="s">
        <v>141</v>
      </c>
      <c r="H2083" s="33" t="s">
        <v>290</v>
      </c>
      <c r="I2083" s="33" t="s">
        <v>152</v>
      </c>
      <c r="J2083" s="33" t="s">
        <v>144</v>
      </c>
      <c r="K2083" s="33" t="s">
        <v>145</v>
      </c>
      <c r="L2083" s="35" t="n">
        <v>24868.39</v>
      </c>
      <c r="M2083" s="33" t="n">
        <v>3</v>
      </c>
      <c r="N2083" s="33" t="s">
        <v>146</v>
      </c>
      <c r="O2083" s="33" t="s">
        <v>147</v>
      </c>
    </row>
    <row r="2084" customFormat="false" ht="15" hidden="false" customHeight="false" outlineLevel="0" collapsed="false">
      <c r="A2084" s="33" t="s">
        <v>2107</v>
      </c>
      <c r="B2084" s="34" t="n">
        <v>45352</v>
      </c>
      <c r="C2084" s="34" t="n">
        <v>45354</v>
      </c>
      <c r="D2084" s="33" t="n">
        <v>65</v>
      </c>
      <c r="E2084" s="33" t="s">
        <v>154</v>
      </c>
      <c r="F2084" s="33" t="s">
        <v>173</v>
      </c>
      <c r="G2084" s="33" t="s">
        <v>174</v>
      </c>
      <c r="H2084" s="33" t="s">
        <v>175</v>
      </c>
      <c r="I2084" s="33" t="s">
        <v>152</v>
      </c>
      <c r="J2084" s="33" t="s">
        <v>159</v>
      </c>
      <c r="K2084" s="33" t="s">
        <v>160</v>
      </c>
      <c r="L2084" s="35" t="n">
        <v>5367.97</v>
      </c>
      <c r="M2084" s="33" t="n">
        <v>3</v>
      </c>
      <c r="N2084" s="33" t="s">
        <v>146</v>
      </c>
      <c r="O2084" s="33" t="s">
        <v>147</v>
      </c>
    </row>
    <row r="2085" customFormat="false" ht="15" hidden="false" customHeight="false" outlineLevel="0" collapsed="false">
      <c r="A2085" s="33" t="s">
        <v>2260</v>
      </c>
      <c r="B2085" s="34" t="n">
        <v>45467</v>
      </c>
      <c r="C2085" s="34" t="n">
        <v>45477</v>
      </c>
      <c r="D2085" s="33" t="n">
        <v>8</v>
      </c>
      <c r="E2085" s="33" t="s">
        <v>154</v>
      </c>
      <c r="F2085" s="33" t="s">
        <v>155</v>
      </c>
      <c r="G2085" s="33" t="s">
        <v>302</v>
      </c>
      <c r="H2085" s="33" t="s">
        <v>157</v>
      </c>
      <c r="I2085" s="33" t="s">
        <v>152</v>
      </c>
      <c r="J2085" s="33" t="s">
        <v>144</v>
      </c>
      <c r="K2085" s="33" t="s">
        <v>184</v>
      </c>
      <c r="L2085" s="35" t="n">
        <v>15331.85</v>
      </c>
      <c r="M2085" s="33" t="n">
        <v>4</v>
      </c>
      <c r="N2085" s="33" t="s">
        <v>146</v>
      </c>
      <c r="O2085" s="36"/>
    </row>
    <row r="2086" customFormat="false" ht="15" hidden="false" customHeight="false" outlineLevel="0" collapsed="false">
      <c r="A2086" s="33" t="s">
        <v>2261</v>
      </c>
      <c r="B2086" s="34" t="n">
        <v>45618</v>
      </c>
      <c r="C2086" s="34" t="n">
        <v>45620</v>
      </c>
      <c r="D2086" s="33" t="n">
        <v>24</v>
      </c>
      <c r="E2086" s="33" t="s">
        <v>216</v>
      </c>
      <c r="F2086" s="33" t="s">
        <v>149</v>
      </c>
      <c r="G2086" s="33" t="s">
        <v>150</v>
      </c>
      <c r="H2086" s="33" t="s">
        <v>186</v>
      </c>
      <c r="I2086" s="33" t="s">
        <v>143</v>
      </c>
      <c r="J2086" s="33" t="s">
        <v>159</v>
      </c>
      <c r="K2086" s="33" t="s">
        <v>184</v>
      </c>
      <c r="L2086" s="35" t="n">
        <v>3069.27</v>
      </c>
      <c r="M2086" s="33" t="n">
        <v>2</v>
      </c>
      <c r="N2086" s="33" t="s">
        <v>146</v>
      </c>
      <c r="O2086" s="33" t="s">
        <v>147</v>
      </c>
    </row>
    <row r="2087" customFormat="false" ht="15" hidden="false" customHeight="false" outlineLevel="0" collapsed="false">
      <c r="A2087" s="33" t="s">
        <v>2262</v>
      </c>
      <c r="B2087" s="34" t="n">
        <v>45312</v>
      </c>
      <c r="C2087" s="34" t="n">
        <v>45315</v>
      </c>
      <c r="D2087" s="33" t="n">
        <v>22</v>
      </c>
      <c r="E2087" s="33" t="s">
        <v>139</v>
      </c>
      <c r="F2087" s="33" t="s">
        <v>149</v>
      </c>
      <c r="G2087" s="33" t="s">
        <v>243</v>
      </c>
      <c r="H2087" s="33" t="s">
        <v>186</v>
      </c>
      <c r="I2087" s="33" t="s">
        <v>143</v>
      </c>
      <c r="J2087" s="33" t="s">
        <v>144</v>
      </c>
      <c r="K2087" s="33" t="s">
        <v>184</v>
      </c>
      <c r="L2087" s="35" t="n">
        <v>8754.17</v>
      </c>
      <c r="M2087" s="33" t="n">
        <v>4</v>
      </c>
      <c r="N2087" s="33" t="s">
        <v>146</v>
      </c>
      <c r="O2087" s="33" t="s">
        <v>147</v>
      </c>
    </row>
    <row r="2088" customFormat="false" ht="15" hidden="false" customHeight="false" outlineLevel="0" collapsed="false">
      <c r="A2088" s="33" t="s">
        <v>2263</v>
      </c>
      <c r="B2088" s="34" t="n">
        <v>45376</v>
      </c>
      <c r="C2088" s="34" t="n">
        <v>45377</v>
      </c>
      <c r="D2088" s="33" t="n">
        <v>70</v>
      </c>
      <c r="E2088" s="33" t="s">
        <v>139</v>
      </c>
      <c r="F2088" s="33" t="s">
        <v>173</v>
      </c>
      <c r="G2088" s="33" t="s">
        <v>198</v>
      </c>
      <c r="H2088" s="33" t="s">
        <v>199</v>
      </c>
      <c r="I2088" s="33" t="s">
        <v>143</v>
      </c>
      <c r="J2088" s="33" t="s">
        <v>159</v>
      </c>
      <c r="K2088" s="33" t="s">
        <v>160</v>
      </c>
      <c r="L2088" s="35" t="n">
        <v>1849.79</v>
      </c>
      <c r="M2088" s="33" t="n">
        <v>4</v>
      </c>
      <c r="N2088" s="33" t="s">
        <v>146</v>
      </c>
      <c r="O2088" s="33" t="s">
        <v>147</v>
      </c>
    </row>
    <row r="2089" customFormat="false" ht="15" hidden="false" customHeight="false" outlineLevel="0" collapsed="false">
      <c r="A2089" s="33" t="s">
        <v>2264</v>
      </c>
      <c r="B2089" s="34" t="n">
        <v>45445</v>
      </c>
      <c r="C2089" s="34" t="n">
        <v>45447</v>
      </c>
      <c r="D2089" s="33" t="n">
        <v>27</v>
      </c>
      <c r="E2089" s="33" t="s">
        <v>139</v>
      </c>
      <c r="F2089" s="33" t="s">
        <v>149</v>
      </c>
      <c r="G2089" s="33" t="s">
        <v>243</v>
      </c>
      <c r="H2089" s="33" t="s">
        <v>186</v>
      </c>
      <c r="I2089" s="33" t="s">
        <v>152</v>
      </c>
      <c r="J2089" s="33" t="s">
        <v>159</v>
      </c>
      <c r="K2089" s="33" t="s">
        <v>184</v>
      </c>
      <c r="L2089" s="35" t="n">
        <v>3139.66</v>
      </c>
      <c r="M2089" s="33" t="n">
        <v>4</v>
      </c>
      <c r="N2089" s="33" t="s">
        <v>146</v>
      </c>
      <c r="O2089" s="33" t="s">
        <v>206</v>
      </c>
    </row>
    <row r="2090" customFormat="false" ht="15" hidden="false" customHeight="false" outlineLevel="0" collapsed="false">
      <c r="A2090" s="33" t="s">
        <v>2265</v>
      </c>
      <c r="B2090" s="34" t="n">
        <v>45409</v>
      </c>
      <c r="C2090" s="34" t="n">
        <v>45414</v>
      </c>
      <c r="D2090" s="33" t="n">
        <v>3</v>
      </c>
      <c r="E2090" s="33" t="s">
        <v>139</v>
      </c>
      <c r="F2090" s="33" t="s">
        <v>155</v>
      </c>
      <c r="G2090" s="33" t="s">
        <v>220</v>
      </c>
      <c r="H2090" s="33" t="s">
        <v>222</v>
      </c>
      <c r="I2090" s="33" t="s">
        <v>158</v>
      </c>
      <c r="J2090" s="33" t="s">
        <v>159</v>
      </c>
      <c r="K2090" s="33" t="s">
        <v>184</v>
      </c>
      <c r="L2090" s="35" t="n">
        <v>3922.77</v>
      </c>
      <c r="M2090" s="33" t="n">
        <v>3</v>
      </c>
      <c r="N2090" s="33" t="s">
        <v>146</v>
      </c>
      <c r="O2090" s="33" t="s">
        <v>147</v>
      </c>
    </row>
    <row r="2091" customFormat="false" ht="15" hidden="false" customHeight="false" outlineLevel="0" collapsed="false">
      <c r="A2091" s="33" t="s">
        <v>2266</v>
      </c>
      <c r="B2091" s="34" t="n">
        <v>45623</v>
      </c>
      <c r="C2091" s="34" t="n">
        <v>45625</v>
      </c>
      <c r="D2091" s="33" t="n">
        <v>42</v>
      </c>
      <c r="E2091" s="33" t="s">
        <v>154</v>
      </c>
      <c r="F2091" s="33" t="s">
        <v>203</v>
      </c>
      <c r="G2091" s="33" t="s">
        <v>232</v>
      </c>
      <c r="H2091" s="33" t="s">
        <v>193</v>
      </c>
      <c r="I2091" s="33" t="s">
        <v>143</v>
      </c>
      <c r="J2091" s="33" t="s">
        <v>159</v>
      </c>
      <c r="K2091" s="33" t="s">
        <v>209</v>
      </c>
      <c r="L2091" s="35" t="n">
        <v>1877.39</v>
      </c>
      <c r="M2091" s="33" t="n">
        <v>3</v>
      </c>
      <c r="N2091" s="33" t="s">
        <v>210</v>
      </c>
      <c r="O2091" s="33" t="s">
        <v>247</v>
      </c>
    </row>
    <row r="2092" customFormat="false" ht="15" hidden="false" customHeight="false" outlineLevel="0" collapsed="false">
      <c r="A2092" s="33" t="s">
        <v>2267</v>
      </c>
      <c r="B2092" s="34" t="n">
        <v>45403</v>
      </c>
      <c r="C2092" s="34" t="n">
        <v>45408</v>
      </c>
      <c r="D2092" s="33" t="n">
        <v>79</v>
      </c>
      <c r="E2092" s="33" t="s">
        <v>154</v>
      </c>
      <c r="F2092" s="33" t="s">
        <v>140</v>
      </c>
      <c r="G2092" s="33" t="s">
        <v>167</v>
      </c>
      <c r="H2092" s="33" t="s">
        <v>290</v>
      </c>
      <c r="I2092" s="33" t="s">
        <v>143</v>
      </c>
      <c r="J2092" s="33" t="s">
        <v>159</v>
      </c>
      <c r="K2092" s="33" t="s">
        <v>145</v>
      </c>
      <c r="L2092" s="35" t="n">
        <v>12090.34</v>
      </c>
      <c r="M2092" s="33" t="n">
        <v>3</v>
      </c>
      <c r="N2092" s="33" t="s">
        <v>146</v>
      </c>
      <c r="O2092" s="33" t="s">
        <v>147</v>
      </c>
    </row>
    <row r="2093" customFormat="false" ht="15" hidden="false" customHeight="false" outlineLevel="0" collapsed="false">
      <c r="A2093" s="33" t="s">
        <v>2268</v>
      </c>
      <c r="B2093" s="34" t="n">
        <v>45641</v>
      </c>
      <c r="C2093" s="34" t="n">
        <v>45648</v>
      </c>
      <c r="D2093" s="33" t="n">
        <v>50</v>
      </c>
      <c r="E2093" s="33" t="s">
        <v>154</v>
      </c>
      <c r="F2093" s="33" t="s">
        <v>226</v>
      </c>
      <c r="G2093" s="33" t="s">
        <v>258</v>
      </c>
      <c r="H2093" s="33" t="s">
        <v>228</v>
      </c>
      <c r="I2093" s="33" t="s">
        <v>143</v>
      </c>
      <c r="J2093" s="33" t="s">
        <v>144</v>
      </c>
      <c r="K2093" s="33" t="s">
        <v>160</v>
      </c>
      <c r="L2093" s="35" t="n">
        <v>34019.11</v>
      </c>
      <c r="M2093" s="36"/>
      <c r="N2093" s="33" t="s">
        <v>146</v>
      </c>
      <c r="O2093" s="33" t="s">
        <v>147</v>
      </c>
    </row>
    <row r="2094" customFormat="false" ht="15" hidden="false" customHeight="false" outlineLevel="0" collapsed="false">
      <c r="A2094" s="33" t="s">
        <v>1157</v>
      </c>
      <c r="B2094" s="34" t="n">
        <v>45644</v>
      </c>
      <c r="C2094" s="34" t="n">
        <v>45646</v>
      </c>
      <c r="D2094" s="33" t="n">
        <v>50</v>
      </c>
      <c r="E2094" s="33" t="s">
        <v>139</v>
      </c>
      <c r="F2094" s="33" t="s">
        <v>226</v>
      </c>
      <c r="G2094" s="33" t="s">
        <v>386</v>
      </c>
      <c r="H2094" s="33" t="s">
        <v>228</v>
      </c>
      <c r="I2094" s="33" t="s">
        <v>143</v>
      </c>
      <c r="J2094" s="33" t="s">
        <v>159</v>
      </c>
      <c r="K2094" s="33" t="s">
        <v>160</v>
      </c>
      <c r="L2094" s="35" t="n">
        <v>6619.42</v>
      </c>
      <c r="M2094" s="33" t="n">
        <v>4</v>
      </c>
      <c r="N2094" s="33" t="s">
        <v>146</v>
      </c>
      <c r="O2094" s="33" t="s">
        <v>147</v>
      </c>
    </row>
    <row r="2095" customFormat="false" ht="15" hidden="false" customHeight="false" outlineLevel="0" collapsed="false">
      <c r="A2095" s="33" t="s">
        <v>2269</v>
      </c>
      <c r="B2095" s="34" t="n">
        <v>45314</v>
      </c>
      <c r="C2095" s="34" t="n">
        <v>45315</v>
      </c>
      <c r="D2095" s="33" t="n">
        <v>93</v>
      </c>
      <c r="E2095" s="33" t="s">
        <v>190</v>
      </c>
      <c r="F2095" s="33" t="s">
        <v>203</v>
      </c>
      <c r="G2095" s="33" t="s">
        <v>204</v>
      </c>
      <c r="H2095" s="33" t="s">
        <v>205</v>
      </c>
      <c r="I2095" s="33" t="s">
        <v>143</v>
      </c>
      <c r="J2095" s="33" t="s">
        <v>159</v>
      </c>
      <c r="K2095" s="33" t="s">
        <v>145</v>
      </c>
      <c r="L2095" s="35" t="n">
        <v>885.77</v>
      </c>
      <c r="M2095" s="33" t="n">
        <v>3</v>
      </c>
      <c r="N2095" s="33" t="s">
        <v>146</v>
      </c>
      <c r="O2095" s="33" t="s">
        <v>147</v>
      </c>
    </row>
    <row r="2096" customFormat="false" ht="15" hidden="false" customHeight="false" outlineLevel="0" collapsed="false">
      <c r="A2096" s="33" t="s">
        <v>2270</v>
      </c>
      <c r="B2096" s="34" t="n">
        <v>45580</v>
      </c>
      <c r="C2096" s="34" t="n">
        <v>45583</v>
      </c>
      <c r="D2096" s="33" t="n">
        <v>72</v>
      </c>
      <c r="E2096" s="33" t="s">
        <v>190</v>
      </c>
      <c r="F2096" s="33" t="s">
        <v>226</v>
      </c>
      <c r="G2096" s="33" t="s">
        <v>227</v>
      </c>
      <c r="H2096" s="33" t="s">
        <v>263</v>
      </c>
      <c r="I2096" s="33" t="s">
        <v>143</v>
      </c>
      <c r="J2096" s="33" t="s">
        <v>159</v>
      </c>
      <c r="K2096" s="33" t="s">
        <v>160</v>
      </c>
      <c r="L2096" s="35" t="n">
        <v>9399.55</v>
      </c>
      <c r="M2096" s="33" t="n">
        <v>4</v>
      </c>
      <c r="N2096" s="33" t="s">
        <v>146</v>
      </c>
      <c r="O2096" s="33" t="s">
        <v>147</v>
      </c>
    </row>
    <row r="2097" customFormat="false" ht="15" hidden="false" customHeight="false" outlineLevel="0" collapsed="false">
      <c r="A2097" s="33" t="s">
        <v>2271</v>
      </c>
      <c r="B2097" s="34" t="n">
        <v>45440</v>
      </c>
      <c r="C2097" s="34" t="n">
        <v>45441</v>
      </c>
      <c r="D2097" s="33" t="n">
        <v>68</v>
      </c>
      <c r="E2097" s="33" t="s">
        <v>154</v>
      </c>
      <c r="F2097" s="33" t="s">
        <v>181</v>
      </c>
      <c r="G2097" s="33" t="s">
        <v>182</v>
      </c>
      <c r="H2097" s="33" t="s">
        <v>183</v>
      </c>
      <c r="I2097" s="33" t="s">
        <v>152</v>
      </c>
      <c r="J2097" s="33" t="s">
        <v>159</v>
      </c>
      <c r="K2097" s="33" t="s">
        <v>160</v>
      </c>
      <c r="L2097" s="35" t="n">
        <v>2845.11</v>
      </c>
      <c r="M2097" s="33" t="n">
        <v>5</v>
      </c>
      <c r="N2097" s="33" t="s">
        <v>146</v>
      </c>
      <c r="O2097" s="33" t="s">
        <v>147</v>
      </c>
    </row>
    <row r="2098" customFormat="false" ht="15" hidden="false" customHeight="false" outlineLevel="0" collapsed="false">
      <c r="A2098" s="33" t="s">
        <v>2272</v>
      </c>
      <c r="B2098" s="34" t="n">
        <v>45483</v>
      </c>
      <c r="C2098" s="34" t="n">
        <v>45485</v>
      </c>
      <c r="D2098" s="33" t="n">
        <v>5</v>
      </c>
      <c r="E2098" s="33" t="s">
        <v>139</v>
      </c>
      <c r="F2098" s="33" t="s">
        <v>376</v>
      </c>
      <c r="G2098" s="33" t="s">
        <v>302</v>
      </c>
      <c r="H2098" s="33" t="s">
        <v>157</v>
      </c>
      <c r="I2098" s="33" t="s">
        <v>158</v>
      </c>
      <c r="J2098" s="33" t="s">
        <v>159</v>
      </c>
      <c r="K2098" s="33" t="s">
        <v>184</v>
      </c>
      <c r="L2098" s="35" t="n">
        <v>1356.93</v>
      </c>
      <c r="M2098" s="33" t="n">
        <v>3</v>
      </c>
      <c r="N2098" s="33" t="s">
        <v>146</v>
      </c>
      <c r="O2098" s="33" t="s">
        <v>147</v>
      </c>
    </row>
    <row r="2099" customFormat="false" ht="15" hidden="false" customHeight="false" outlineLevel="0" collapsed="false">
      <c r="A2099" s="33" t="s">
        <v>2273</v>
      </c>
      <c r="B2099" s="34" t="n">
        <v>45494</v>
      </c>
      <c r="C2099" s="34" t="n">
        <v>45501</v>
      </c>
      <c r="D2099" s="33" t="n">
        <v>73</v>
      </c>
      <c r="E2099" s="33" t="s">
        <v>154</v>
      </c>
      <c r="F2099" s="33" t="s">
        <v>226</v>
      </c>
      <c r="G2099" s="33" t="s">
        <v>258</v>
      </c>
      <c r="H2099" s="33" t="s">
        <v>263</v>
      </c>
      <c r="I2099" s="33" t="s">
        <v>143</v>
      </c>
      <c r="J2099" s="33" t="s">
        <v>159</v>
      </c>
      <c r="K2099" s="33" t="s">
        <v>145</v>
      </c>
      <c r="L2099" s="35" t="n">
        <v>22012.85</v>
      </c>
      <c r="M2099" s="33" t="n">
        <v>5</v>
      </c>
      <c r="N2099" s="33" t="s">
        <v>146</v>
      </c>
      <c r="O2099" s="33" t="s">
        <v>147</v>
      </c>
    </row>
    <row r="2100" customFormat="false" ht="15" hidden="false" customHeight="false" outlineLevel="0" collapsed="false">
      <c r="A2100" s="33" t="s">
        <v>2274</v>
      </c>
      <c r="B2100" s="34" t="n">
        <v>45543</v>
      </c>
      <c r="C2100" s="34" t="n">
        <v>45546</v>
      </c>
      <c r="D2100" s="33" t="n">
        <v>52</v>
      </c>
      <c r="E2100" s="33" t="s">
        <v>139</v>
      </c>
      <c r="F2100" s="33" t="s">
        <v>173</v>
      </c>
      <c r="G2100" s="33" t="s">
        <v>178</v>
      </c>
      <c r="H2100" s="33" t="s">
        <v>175</v>
      </c>
      <c r="I2100" s="33" t="s">
        <v>143</v>
      </c>
      <c r="J2100" s="33" t="s">
        <v>159</v>
      </c>
      <c r="K2100" s="33" t="s">
        <v>160</v>
      </c>
      <c r="L2100" s="35" t="n">
        <v>4914.49</v>
      </c>
      <c r="M2100" s="33" t="n">
        <v>4</v>
      </c>
      <c r="N2100" s="33" t="s">
        <v>146</v>
      </c>
      <c r="O2100" s="33" t="s">
        <v>147</v>
      </c>
    </row>
    <row r="2101" customFormat="false" ht="15" hidden="false" customHeight="false" outlineLevel="0" collapsed="false">
      <c r="A2101" s="33" t="s">
        <v>2275</v>
      </c>
      <c r="B2101" s="34" t="n">
        <v>45428</v>
      </c>
      <c r="C2101" s="34" t="n">
        <v>45430</v>
      </c>
      <c r="D2101" s="33" t="n">
        <v>42</v>
      </c>
      <c r="E2101" s="33" t="s">
        <v>139</v>
      </c>
      <c r="F2101" s="33" t="s">
        <v>191</v>
      </c>
      <c r="G2101" s="33" t="s">
        <v>241</v>
      </c>
      <c r="H2101" s="33" t="s">
        <v>193</v>
      </c>
      <c r="I2101" s="33" t="s">
        <v>143</v>
      </c>
      <c r="J2101" s="33" t="s">
        <v>159</v>
      </c>
      <c r="K2101" s="33" t="s">
        <v>145</v>
      </c>
      <c r="L2101" s="35" t="n">
        <v>1930.91</v>
      </c>
      <c r="M2101" s="33" t="n">
        <v>3</v>
      </c>
      <c r="N2101" s="33" t="s">
        <v>146</v>
      </c>
      <c r="O2101" s="33" t="s">
        <v>147</v>
      </c>
    </row>
    <row r="2102" customFormat="false" ht="15" hidden="false" customHeight="false" outlineLevel="0" collapsed="false">
      <c r="A2102" s="33" t="s">
        <v>2276</v>
      </c>
      <c r="B2102" s="34" t="n">
        <v>45595</v>
      </c>
      <c r="C2102" s="34" t="n">
        <v>45601</v>
      </c>
      <c r="D2102" s="33" t="n">
        <v>35</v>
      </c>
      <c r="E2102" s="33" t="s">
        <v>139</v>
      </c>
      <c r="F2102" s="33" t="s">
        <v>140</v>
      </c>
      <c r="G2102" s="33" t="s">
        <v>316</v>
      </c>
      <c r="H2102" s="33" t="s">
        <v>290</v>
      </c>
      <c r="I2102" s="33" t="s">
        <v>143</v>
      </c>
      <c r="J2102" s="33" t="s">
        <v>159</v>
      </c>
      <c r="K2102" s="33" t="s">
        <v>145</v>
      </c>
      <c r="L2102" s="35" t="n">
        <v>14168.39</v>
      </c>
      <c r="M2102" s="33" t="n">
        <v>4</v>
      </c>
      <c r="N2102" s="33" t="s">
        <v>146</v>
      </c>
      <c r="O2102" s="33" t="s">
        <v>147</v>
      </c>
    </row>
    <row r="2103" customFormat="false" ht="15" hidden="false" customHeight="false" outlineLevel="0" collapsed="false">
      <c r="A2103" s="33" t="s">
        <v>2277</v>
      </c>
      <c r="B2103" s="34" t="n">
        <v>45471</v>
      </c>
      <c r="C2103" s="34" t="n">
        <v>45475</v>
      </c>
      <c r="D2103" s="33" t="n">
        <v>64</v>
      </c>
      <c r="E2103" s="33" t="s">
        <v>154</v>
      </c>
      <c r="F2103" s="33" t="s">
        <v>226</v>
      </c>
      <c r="G2103" s="33" t="s">
        <v>258</v>
      </c>
      <c r="H2103" s="33" t="s">
        <v>263</v>
      </c>
      <c r="I2103" s="33" t="s">
        <v>143</v>
      </c>
      <c r="J2103" s="33" t="s">
        <v>144</v>
      </c>
      <c r="K2103" s="33" t="s">
        <v>184</v>
      </c>
      <c r="L2103" s="35" t="n">
        <v>26112.94</v>
      </c>
      <c r="M2103" s="33" t="n">
        <v>4</v>
      </c>
      <c r="N2103" s="33" t="s">
        <v>146</v>
      </c>
      <c r="O2103" s="33" t="s">
        <v>247</v>
      </c>
    </row>
    <row r="2104" customFormat="false" ht="15" hidden="false" customHeight="false" outlineLevel="0" collapsed="false">
      <c r="A2104" s="33" t="s">
        <v>2278</v>
      </c>
      <c r="B2104" s="34" t="n">
        <v>45548</v>
      </c>
      <c r="C2104" s="34" t="n">
        <v>45552</v>
      </c>
      <c r="D2104" s="33" t="n">
        <v>45</v>
      </c>
      <c r="E2104" s="33" t="s">
        <v>139</v>
      </c>
      <c r="F2104" s="33" t="s">
        <v>169</v>
      </c>
      <c r="G2104" s="33" t="s">
        <v>163</v>
      </c>
      <c r="H2104" s="33" t="s">
        <v>171</v>
      </c>
      <c r="I2104" s="33" t="s">
        <v>152</v>
      </c>
      <c r="J2104" s="33" t="s">
        <v>144</v>
      </c>
      <c r="K2104" s="33" t="s">
        <v>160</v>
      </c>
      <c r="L2104" s="35" t="n">
        <v>7921.66</v>
      </c>
      <c r="M2104" s="33" t="n">
        <v>4</v>
      </c>
      <c r="N2104" s="33" t="s">
        <v>146</v>
      </c>
      <c r="O2104" s="33" t="s">
        <v>147</v>
      </c>
    </row>
    <row r="2105" customFormat="false" ht="15" hidden="false" customHeight="false" outlineLevel="0" collapsed="false">
      <c r="A2105" s="33" t="s">
        <v>2279</v>
      </c>
      <c r="B2105" s="34" t="n">
        <v>45482</v>
      </c>
      <c r="C2105" s="34" t="n">
        <v>45484</v>
      </c>
      <c r="D2105" s="33" t="n">
        <v>8</v>
      </c>
      <c r="E2105" s="33" t="s">
        <v>139</v>
      </c>
      <c r="F2105" s="33" t="s">
        <v>155</v>
      </c>
      <c r="G2105" s="33" t="s">
        <v>156</v>
      </c>
      <c r="H2105" s="33" t="s">
        <v>222</v>
      </c>
      <c r="I2105" s="33" t="s">
        <v>152</v>
      </c>
      <c r="J2105" s="33" t="s">
        <v>159</v>
      </c>
      <c r="K2105" s="33" t="s">
        <v>160</v>
      </c>
      <c r="L2105" s="35" t="n">
        <v>1840.68</v>
      </c>
      <c r="M2105" s="33" t="n">
        <v>4</v>
      </c>
      <c r="N2105" s="33" t="s">
        <v>146</v>
      </c>
      <c r="O2105" s="33" t="s">
        <v>147</v>
      </c>
    </row>
    <row r="2106" customFormat="false" ht="15" hidden="false" customHeight="false" outlineLevel="0" collapsed="false">
      <c r="A2106" s="33" t="s">
        <v>2280</v>
      </c>
      <c r="B2106" s="34" t="n">
        <v>45411</v>
      </c>
      <c r="C2106" s="34" t="n">
        <v>45412</v>
      </c>
      <c r="D2106" s="33" t="n">
        <v>75</v>
      </c>
      <c r="E2106" s="33" t="s">
        <v>139</v>
      </c>
      <c r="F2106" s="33" t="s">
        <v>240</v>
      </c>
      <c r="G2106" s="33" t="s">
        <v>217</v>
      </c>
      <c r="H2106" s="33" t="s">
        <v>233</v>
      </c>
      <c r="I2106" s="33" t="s">
        <v>143</v>
      </c>
      <c r="J2106" s="33" t="s">
        <v>159</v>
      </c>
      <c r="K2106" s="33" t="s">
        <v>145</v>
      </c>
      <c r="L2106" s="35" t="n">
        <v>814.76</v>
      </c>
      <c r="M2106" s="36"/>
      <c r="N2106" s="33" t="s">
        <v>146</v>
      </c>
      <c r="O2106" s="33" t="s">
        <v>147</v>
      </c>
    </row>
    <row r="2107" customFormat="false" ht="15" hidden="false" customHeight="false" outlineLevel="0" collapsed="false">
      <c r="A2107" s="33" t="s">
        <v>2281</v>
      </c>
      <c r="B2107" s="34" t="n">
        <v>45559</v>
      </c>
      <c r="C2107" s="34" t="n">
        <v>45568</v>
      </c>
      <c r="D2107" s="33" t="n">
        <v>60</v>
      </c>
      <c r="E2107" s="33" t="s">
        <v>139</v>
      </c>
      <c r="F2107" s="33" t="s">
        <v>181</v>
      </c>
      <c r="G2107" s="33" t="s">
        <v>188</v>
      </c>
      <c r="H2107" s="33" t="s">
        <v>183</v>
      </c>
      <c r="I2107" s="33" t="s">
        <v>158</v>
      </c>
      <c r="J2107" s="33" t="s">
        <v>159</v>
      </c>
      <c r="K2107" s="33" t="s">
        <v>209</v>
      </c>
      <c r="L2107" s="35" t="n">
        <v>22012.3</v>
      </c>
      <c r="M2107" s="33" t="n">
        <v>4</v>
      </c>
      <c r="N2107" s="33" t="s">
        <v>146</v>
      </c>
      <c r="O2107" s="33" t="s">
        <v>147</v>
      </c>
    </row>
    <row r="2108" customFormat="false" ht="15" hidden="false" customHeight="false" outlineLevel="0" collapsed="false">
      <c r="A2108" s="33" t="s">
        <v>2282</v>
      </c>
      <c r="B2108" s="34" t="n">
        <v>45600</v>
      </c>
      <c r="C2108" s="34" t="n">
        <v>45605</v>
      </c>
      <c r="D2108" s="33" t="n">
        <v>50</v>
      </c>
      <c r="E2108" s="33" t="s">
        <v>139</v>
      </c>
      <c r="F2108" s="33" t="s">
        <v>181</v>
      </c>
      <c r="G2108" s="33" t="s">
        <v>188</v>
      </c>
      <c r="H2108" s="33" t="s">
        <v>183</v>
      </c>
      <c r="I2108" s="33" t="s">
        <v>152</v>
      </c>
      <c r="J2108" s="33" t="s">
        <v>176</v>
      </c>
      <c r="K2108" s="33" t="s">
        <v>209</v>
      </c>
      <c r="L2108" s="35" t="n">
        <v>39358.87</v>
      </c>
      <c r="M2108" s="33" t="n">
        <v>4</v>
      </c>
      <c r="N2108" s="33" t="s">
        <v>210</v>
      </c>
      <c r="O2108" s="33" t="s">
        <v>147</v>
      </c>
    </row>
    <row r="2109" customFormat="false" ht="15" hidden="false" customHeight="false" outlineLevel="0" collapsed="false">
      <c r="A2109" s="33" t="s">
        <v>2283</v>
      </c>
      <c r="B2109" s="34" t="n">
        <v>45416</v>
      </c>
      <c r="C2109" s="34" t="n">
        <v>45420</v>
      </c>
      <c r="D2109" s="33" t="n">
        <v>35</v>
      </c>
      <c r="E2109" s="33" t="s">
        <v>139</v>
      </c>
      <c r="F2109" s="33" t="s">
        <v>140</v>
      </c>
      <c r="G2109" s="33" t="s">
        <v>316</v>
      </c>
      <c r="H2109" s="33" t="s">
        <v>290</v>
      </c>
      <c r="I2109" s="33" t="s">
        <v>143</v>
      </c>
      <c r="J2109" s="33" t="s">
        <v>159</v>
      </c>
      <c r="K2109" s="33" t="s">
        <v>184</v>
      </c>
      <c r="L2109" s="35" t="n">
        <v>8585</v>
      </c>
      <c r="M2109" s="33" t="n">
        <v>4</v>
      </c>
      <c r="N2109" s="33" t="s">
        <v>146</v>
      </c>
      <c r="O2109" s="33" t="s">
        <v>147</v>
      </c>
    </row>
    <row r="2110" customFormat="false" ht="15" hidden="false" customHeight="false" outlineLevel="0" collapsed="false">
      <c r="A2110" s="33" t="s">
        <v>2284</v>
      </c>
      <c r="B2110" s="34" t="n">
        <v>45578</v>
      </c>
      <c r="C2110" s="34" t="n">
        <v>45579</v>
      </c>
      <c r="D2110" s="33" t="n">
        <v>7</v>
      </c>
      <c r="E2110" s="33" t="s">
        <v>190</v>
      </c>
      <c r="F2110" s="33" t="s">
        <v>203</v>
      </c>
      <c r="G2110" s="33" t="s">
        <v>204</v>
      </c>
      <c r="H2110" s="33" t="s">
        <v>205</v>
      </c>
      <c r="I2110" s="33" t="s">
        <v>143</v>
      </c>
      <c r="J2110" s="33" t="s">
        <v>159</v>
      </c>
      <c r="K2110" s="33" t="s">
        <v>209</v>
      </c>
      <c r="L2110" s="35" t="n">
        <v>1064.53</v>
      </c>
      <c r="M2110" s="33" t="n">
        <v>2</v>
      </c>
      <c r="N2110" s="33" t="s">
        <v>146</v>
      </c>
      <c r="O2110" s="33" t="s">
        <v>147</v>
      </c>
    </row>
    <row r="2111" customFormat="false" ht="15" hidden="false" customHeight="false" outlineLevel="0" collapsed="false">
      <c r="A2111" s="33" t="s">
        <v>2285</v>
      </c>
      <c r="B2111" s="34" t="n">
        <v>45342</v>
      </c>
      <c r="C2111" s="34" t="n">
        <v>45347</v>
      </c>
      <c r="D2111" s="33" t="n">
        <v>41</v>
      </c>
      <c r="E2111" s="33" t="s">
        <v>154</v>
      </c>
      <c r="F2111" s="33" t="s">
        <v>173</v>
      </c>
      <c r="G2111" s="33" t="s">
        <v>178</v>
      </c>
      <c r="H2111" s="33" t="s">
        <v>199</v>
      </c>
      <c r="I2111" s="33" t="s">
        <v>143</v>
      </c>
      <c r="J2111" s="33" t="s">
        <v>159</v>
      </c>
      <c r="K2111" s="33" t="s">
        <v>145</v>
      </c>
      <c r="L2111" s="35" t="n">
        <v>12548.52</v>
      </c>
      <c r="M2111" s="33" t="n">
        <v>5</v>
      </c>
      <c r="N2111" s="33" t="s">
        <v>146</v>
      </c>
      <c r="O2111" s="33" t="s">
        <v>147</v>
      </c>
    </row>
    <row r="2112" customFormat="false" ht="15" hidden="false" customHeight="false" outlineLevel="0" collapsed="false">
      <c r="A2112" s="33" t="s">
        <v>2286</v>
      </c>
      <c r="B2112" s="34" t="n">
        <v>45456</v>
      </c>
      <c r="C2112" s="34" t="n">
        <v>45457</v>
      </c>
      <c r="D2112" s="33" t="n">
        <v>2</v>
      </c>
      <c r="E2112" s="33" t="s">
        <v>257</v>
      </c>
      <c r="F2112" s="33" t="s">
        <v>155</v>
      </c>
      <c r="G2112" s="33" t="s">
        <v>302</v>
      </c>
      <c r="H2112" s="33" t="s">
        <v>157</v>
      </c>
      <c r="I2112" s="33" t="s">
        <v>143</v>
      </c>
      <c r="J2112" s="33" t="s">
        <v>159</v>
      </c>
      <c r="K2112" s="33" t="s">
        <v>160</v>
      </c>
      <c r="L2112" s="35" t="n">
        <v>800.76</v>
      </c>
      <c r="M2112" s="33" t="n">
        <v>5</v>
      </c>
      <c r="N2112" s="33" t="s">
        <v>146</v>
      </c>
      <c r="O2112" s="33" t="s">
        <v>147</v>
      </c>
    </row>
    <row r="2113" customFormat="false" ht="15" hidden="false" customHeight="false" outlineLevel="0" collapsed="false">
      <c r="A2113" s="33" t="s">
        <v>2287</v>
      </c>
      <c r="B2113" s="34" t="n">
        <v>45509</v>
      </c>
      <c r="C2113" s="34" t="n">
        <v>45511</v>
      </c>
      <c r="D2113" s="36"/>
      <c r="E2113" s="33" t="s">
        <v>154</v>
      </c>
      <c r="F2113" s="33" t="s">
        <v>140</v>
      </c>
      <c r="G2113" s="33" t="s">
        <v>316</v>
      </c>
      <c r="H2113" s="33" t="s">
        <v>290</v>
      </c>
      <c r="I2113" s="33" t="s">
        <v>143</v>
      </c>
      <c r="J2113" s="33" t="s">
        <v>159</v>
      </c>
      <c r="K2113" s="33" t="s">
        <v>145</v>
      </c>
      <c r="L2113" s="35" t="n">
        <v>4147.44</v>
      </c>
      <c r="M2113" s="33" t="n">
        <v>3</v>
      </c>
      <c r="N2113" s="33" t="s">
        <v>210</v>
      </c>
      <c r="O2113" s="33" t="s">
        <v>147</v>
      </c>
    </row>
    <row r="2114" customFormat="false" ht="15" hidden="false" customHeight="false" outlineLevel="0" collapsed="false">
      <c r="A2114" s="33" t="s">
        <v>2288</v>
      </c>
      <c r="B2114" s="34" t="n">
        <v>45424</v>
      </c>
      <c r="C2114" s="34" t="n">
        <v>45428</v>
      </c>
      <c r="D2114" s="33" t="n">
        <v>77</v>
      </c>
      <c r="E2114" s="33" t="s">
        <v>216</v>
      </c>
      <c r="F2114" s="33" t="s">
        <v>140</v>
      </c>
      <c r="G2114" s="33" t="s">
        <v>167</v>
      </c>
      <c r="H2114" s="33" t="s">
        <v>142</v>
      </c>
      <c r="I2114" s="33" t="s">
        <v>143</v>
      </c>
      <c r="J2114" s="33" t="s">
        <v>159</v>
      </c>
      <c r="K2114" s="33" t="s">
        <v>209</v>
      </c>
      <c r="L2114" s="35" t="n">
        <v>7389.96</v>
      </c>
      <c r="M2114" s="33" t="n">
        <v>3</v>
      </c>
      <c r="N2114" s="33" t="s">
        <v>146</v>
      </c>
      <c r="O2114" s="33" t="s">
        <v>147</v>
      </c>
    </row>
    <row r="2115" customFormat="false" ht="15" hidden="false" customHeight="false" outlineLevel="0" collapsed="false">
      <c r="A2115" s="33" t="s">
        <v>2289</v>
      </c>
      <c r="B2115" s="34" t="n">
        <v>45445</v>
      </c>
      <c r="C2115" s="34" t="n">
        <v>45447</v>
      </c>
      <c r="D2115" s="33" t="n">
        <v>61</v>
      </c>
      <c r="E2115" s="33" t="s">
        <v>154</v>
      </c>
      <c r="F2115" s="33" t="s">
        <v>203</v>
      </c>
      <c r="G2115" s="33" t="s">
        <v>241</v>
      </c>
      <c r="H2115" s="33" t="s">
        <v>193</v>
      </c>
      <c r="I2115" s="33" t="s">
        <v>143</v>
      </c>
      <c r="J2115" s="33" t="s">
        <v>159</v>
      </c>
      <c r="K2115" s="33" t="s">
        <v>160</v>
      </c>
      <c r="L2115" s="35" t="n">
        <v>1839.09</v>
      </c>
      <c r="M2115" s="33" t="n">
        <v>4</v>
      </c>
      <c r="N2115" s="33" t="s">
        <v>146</v>
      </c>
      <c r="O2115" s="33" t="s">
        <v>147</v>
      </c>
    </row>
    <row r="2116" customFormat="false" ht="15" hidden="false" customHeight="false" outlineLevel="0" collapsed="false">
      <c r="A2116" s="33" t="s">
        <v>2290</v>
      </c>
      <c r="B2116" s="34" t="n">
        <v>45514</v>
      </c>
      <c r="C2116" s="34" t="n">
        <v>45517</v>
      </c>
      <c r="D2116" s="33" t="n">
        <v>2</v>
      </c>
      <c r="E2116" s="33" t="s">
        <v>139</v>
      </c>
      <c r="F2116" s="33" t="s">
        <v>288</v>
      </c>
      <c r="G2116" s="33" t="s">
        <v>220</v>
      </c>
      <c r="H2116" s="33" t="s">
        <v>157</v>
      </c>
      <c r="I2116" s="33" t="s">
        <v>152</v>
      </c>
      <c r="J2116" s="33" t="s">
        <v>159</v>
      </c>
      <c r="K2116" s="33" t="s">
        <v>160</v>
      </c>
      <c r="L2116" s="35" t="n">
        <v>2608.68</v>
      </c>
      <c r="M2116" s="33" t="n">
        <v>4</v>
      </c>
      <c r="N2116" s="33" t="s">
        <v>146</v>
      </c>
      <c r="O2116" s="33" t="s">
        <v>147</v>
      </c>
    </row>
    <row r="2117" customFormat="false" ht="15" hidden="false" customHeight="false" outlineLevel="0" collapsed="false">
      <c r="A2117" s="33" t="s">
        <v>2291</v>
      </c>
      <c r="B2117" s="34" t="n">
        <v>45454</v>
      </c>
      <c r="C2117" s="34" t="n">
        <v>45455</v>
      </c>
      <c r="D2117" s="33" t="n">
        <v>66</v>
      </c>
      <c r="E2117" s="33" t="s">
        <v>139</v>
      </c>
      <c r="F2117" s="33" t="s">
        <v>203</v>
      </c>
      <c r="G2117" s="33" t="s">
        <v>192</v>
      </c>
      <c r="H2117" s="33" t="s">
        <v>205</v>
      </c>
      <c r="I2117" s="33" t="s">
        <v>143</v>
      </c>
      <c r="J2117" s="33" t="s">
        <v>176</v>
      </c>
      <c r="K2117" s="33" t="s">
        <v>184</v>
      </c>
      <c r="L2117" s="35" t="n">
        <v>3651.46</v>
      </c>
      <c r="M2117" s="33" t="n">
        <v>3</v>
      </c>
      <c r="N2117" s="33" t="s">
        <v>146</v>
      </c>
      <c r="O2117" s="33" t="s">
        <v>147</v>
      </c>
    </row>
    <row r="2118" customFormat="false" ht="15" hidden="false" customHeight="false" outlineLevel="0" collapsed="false">
      <c r="A2118" s="33" t="s">
        <v>2292</v>
      </c>
      <c r="B2118" s="34" t="n">
        <v>45329</v>
      </c>
      <c r="C2118" s="34" t="n">
        <v>45333</v>
      </c>
      <c r="D2118" s="33" t="n">
        <v>31</v>
      </c>
      <c r="E2118" s="33" t="s">
        <v>154</v>
      </c>
      <c r="F2118" s="33" t="s">
        <v>173</v>
      </c>
      <c r="G2118" s="33" t="s">
        <v>198</v>
      </c>
      <c r="H2118" s="33" t="s">
        <v>199</v>
      </c>
      <c r="I2118" s="33" t="s">
        <v>143</v>
      </c>
      <c r="J2118" s="33" t="s">
        <v>159</v>
      </c>
      <c r="K2118" s="33" t="s">
        <v>184</v>
      </c>
      <c r="L2118" s="35" t="n">
        <v>10819.64</v>
      </c>
      <c r="M2118" s="33" t="n">
        <v>4</v>
      </c>
      <c r="N2118" s="33" t="s">
        <v>146</v>
      </c>
      <c r="O2118" s="33" t="s">
        <v>147</v>
      </c>
    </row>
    <row r="2119" customFormat="false" ht="15" hidden="false" customHeight="false" outlineLevel="0" collapsed="false">
      <c r="A2119" s="33" t="s">
        <v>2293</v>
      </c>
      <c r="B2119" s="34" t="n">
        <v>45339</v>
      </c>
      <c r="C2119" s="34" t="n">
        <v>45341</v>
      </c>
      <c r="D2119" s="36"/>
      <c r="E2119" s="33" t="s">
        <v>139</v>
      </c>
      <c r="F2119" s="33" t="s">
        <v>169</v>
      </c>
      <c r="G2119" s="33" t="s">
        <v>170</v>
      </c>
      <c r="H2119" s="33" t="s">
        <v>171</v>
      </c>
      <c r="I2119" s="33" t="s">
        <v>143</v>
      </c>
      <c r="J2119" s="33" t="s">
        <v>159</v>
      </c>
      <c r="K2119" s="33" t="s">
        <v>145</v>
      </c>
      <c r="L2119" s="35" t="n">
        <v>2141.97</v>
      </c>
      <c r="M2119" s="33" t="n">
        <v>3</v>
      </c>
      <c r="N2119" s="33" t="s">
        <v>146</v>
      </c>
      <c r="O2119" s="33" t="s">
        <v>147</v>
      </c>
    </row>
    <row r="2120" customFormat="false" ht="15" hidden="false" customHeight="false" outlineLevel="0" collapsed="false">
      <c r="A2120" s="33" t="s">
        <v>2294</v>
      </c>
      <c r="B2120" s="34" t="n">
        <v>45453</v>
      </c>
      <c r="C2120" s="34" t="n">
        <v>45455</v>
      </c>
      <c r="D2120" s="33" t="n">
        <v>68</v>
      </c>
      <c r="E2120" s="33" t="s">
        <v>139</v>
      </c>
      <c r="F2120" s="33" t="s">
        <v>226</v>
      </c>
      <c r="G2120" s="33" t="s">
        <v>386</v>
      </c>
      <c r="H2120" s="33" t="s">
        <v>228</v>
      </c>
      <c r="I2120" s="33" t="s">
        <v>143</v>
      </c>
      <c r="J2120" s="33" t="s">
        <v>144</v>
      </c>
      <c r="K2120" s="33" t="s">
        <v>160</v>
      </c>
      <c r="L2120" s="35" t="n">
        <v>10464.57</v>
      </c>
      <c r="M2120" s="33" t="n">
        <v>3</v>
      </c>
      <c r="N2120" s="33" t="s">
        <v>146</v>
      </c>
      <c r="O2120" s="33" t="s">
        <v>147</v>
      </c>
    </row>
    <row r="2121" customFormat="false" ht="15" hidden="false" customHeight="false" outlineLevel="0" collapsed="false">
      <c r="A2121" s="33" t="s">
        <v>2295</v>
      </c>
      <c r="B2121" s="34" t="n">
        <v>45474</v>
      </c>
      <c r="C2121" s="34" t="n">
        <v>45477</v>
      </c>
      <c r="D2121" s="33" t="n">
        <v>60</v>
      </c>
      <c r="E2121" s="33" t="s">
        <v>139</v>
      </c>
      <c r="F2121" s="33" t="s">
        <v>140</v>
      </c>
      <c r="G2121" s="33" t="s">
        <v>141</v>
      </c>
      <c r="H2121" s="33" t="s">
        <v>290</v>
      </c>
      <c r="I2121" s="33" t="s">
        <v>158</v>
      </c>
      <c r="J2121" s="33" t="s">
        <v>176</v>
      </c>
      <c r="K2121" s="33" t="s">
        <v>184</v>
      </c>
      <c r="L2121" s="35" t="n">
        <v>21812.23</v>
      </c>
      <c r="M2121" s="33" t="n">
        <v>5</v>
      </c>
      <c r="N2121" s="33" t="s">
        <v>146</v>
      </c>
      <c r="O2121" s="33" t="s">
        <v>247</v>
      </c>
    </row>
    <row r="2122" customFormat="false" ht="15" hidden="false" customHeight="false" outlineLevel="0" collapsed="false">
      <c r="A2122" s="33" t="s">
        <v>2296</v>
      </c>
      <c r="B2122" s="34" t="n">
        <v>45293</v>
      </c>
      <c r="C2122" s="34" t="n">
        <v>45300</v>
      </c>
      <c r="D2122" s="33" t="n">
        <v>50</v>
      </c>
      <c r="E2122" s="33" t="s">
        <v>154</v>
      </c>
      <c r="F2122" s="33" t="s">
        <v>226</v>
      </c>
      <c r="G2122" s="33" t="s">
        <v>227</v>
      </c>
      <c r="H2122" s="33" t="s">
        <v>263</v>
      </c>
      <c r="I2122" s="33" t="s">
        <v>152</v>
      </c>
      <c r="J2122" s="33" t="s">
        <v>159</v>
      </c>
      <c r="K2122" s="33" t="s">
        <v>145</v>
      </c>
      <c r="L2122" s="35" t="n">
        <v>26582.81</v>
      </c>
      <c r="M2122" s="33" t="n">
        <v>3</v>
      </c>
      <c r="N2122" s="33" t="s">
        <v>210</v>
      </c>
      <c r="O2122" s="33" t="s">
        <v>147</v>
      </c>
    </row>
    <row r="2123" customFormat="false" ht="15" hidden="false" customHeight="false" outlineLevel="0" collapsed="false">
      <c r="A2123" s="33" t="s">
        <v>2297</v>
      </c>
      <c r="B2123" s="34" t="n">
        <v>45351</v>
      </c>
      <c r="C2123" s="34" t="n">
        <v>45354</v>
      </c>
      <c r="D2123" s="33" t="n">
        <v>0</v>
      </c>
      <c r="E2123" s="33" t="s">
        <v>190</v>
      </c>
      <c r="F2123" s="33" t="s">
        <v>155</v>
      </c>
      <c r="G2123" s="33" t="s">
        <v>302</v>
      </c>
      <c r="H2123" s="33" t="s">
        <v>157</v>
      </c>
      <c r="I2123" s="33" t="s">
        <v>143</v>
      </c>
      <c r="J2123" s="33" t="s">
        <v>144</v>
      </c>
      <c r="K2123" s="33" t="s">
        <v>209</v>
      </c>
      <c r="L2123" s="35" t="n">
        <v>5379.42</v>
      </c>
      <c r="M2123" s="33" t="n">
        <v>4</v>
      </c>
      <c r="N2123" s="33" t="s">
        <v>146</v>
      </c>
      <c r="O2123" s="33" t="s">
        <v>247</v>
      </c>
    </row>
    <row r="2124" customFormat="false" ht="15" hidden="false" customHeight="false" outlineLevel="0" collapsed="false">
      <c r="A2124" s="33" t="s">
        <v>2298</v>
      </c>
      <c r="B2124" s="34" t="n">
        <v>45335</v>
      </c>
      <c r="C2124" s="34" t="n">
        <v>45336</v>
      </c>
      <c r="D2124" s="33" t="n">
        <v>46</v>
      </c>
      <c r="E2124" s="33" t="s">
        <v>139</v>
      </c>
      <c r="F2124" s="33" t="s">
        <v>203</v>
      </c>
      <c r="G2124" s="33" t="s">
        <v>217</v>
      </c>
      <c r="H2124" s="33" t="s">
        <v>205</v>
      </c>
      <c r="I2124" s="33" t="s">
        <v>143</v>
      </c>
      <c r="J2124" s="33" t="s">
        <v>159</v>
      </c>
      <c r="K2124" s="33" t="s">
        <v>145</v>
      </c>
      <c r="L2124" s="35" t="n">
        <v>946.28</v>
      </c>
      <c r="M2124" s="33" t="n">
        <v>2</v>
      </c>
      <c r="N2124" s="33" t="s">
        <v>146</v>
      </c>
      <c r="O2124" s="33" t="s">
        <v>147</v>
      </c>
    </row>
    <row r="2125" customFormat="false" ht="15" hidden="false" customHeight="false" outlineLevel="0" collapsed="false">
      <c r="A2125" s="33" t="s">
        <v>2299</v>
      </c>
      <c r="B2125" s="34" t="n">
        <v>45587</v>
      </c>
      <c r="C2125" s="34" t="n">
        <v>45588</v>
      </c>
      <c r="D2125" s="36"/>
      <c r="E2125" s="33" t="s">
        <v>139</v>
      </c>
      <c r="F2125" s="33" t="s">
        <v>334</v>
      </c>
      <c r="G2125" s="33" t="s">
        <v>232</v>
      </c>
      <c r="H2125" s="33" t="s">
        <v>233</v>
      </c>
      <c r="I2125" s="33" t="s">
        <v>143</v>
      </c>
      <c r="J2125" s="33" t="s">
        <v>159</v>
      </c>
      <c r="K2125" s="33" t="s">
        <v>160</v>
      </c>
      <c r="L2125" s="35" t="n">
        <v>926.69</v>
      </c>
      <c r="M2125" s="33" t="n">
        <v>3</v>
      </c>
      <c r="N2125" s="33" t="s">
        <v>146</v>
      </c>
      <c r="O2125" s="33" t="s">
        <v>147</v>
      </c>
    </row>
    <row r="2126" customFormat="false" ht="15" hidden="false" customHeight="false" outlineLevel="0" collapsed="false">
      <c r="A2126" s="33" t="s">
        <v>2300</v>
      </c>
      <c r="B2126" s="34" t="n">
        <v>45634</v>
      </c>
      <c r="C2126" s="34" t="n">
        <v>45639</v>
      </c>
      <c r="D2126" s="33" t="n">
        <v>46</v>
      </c>
      <c r="E2126" s="33" t="s">
        <v>139</v>
      </c>
      <c r="F2126" s="33" t="s">
        <v>173</v>
      </c>
      <c r="G2126" s="33" t="s">
        <v>174</v>
      </c>
      <c r="H2126" s="33" t="s">
        <v>175</v>
      </c>
      <c r="I2126" s="33" t="s">
        <v>143</v>
      </c>
      <c r="J2126" s="33" t="s">
        <v>176</v>
      </c>
      <c r="K2126" s="33" t="s">
        <v>184</v>
      </c>
      <c r="L2126" s="35" t="n">
        <v>41621.39</v>
      </c>
      <c r="M2126" s="33" t="n">
        <v>5</v>
      </c>
      <c r="N2126" s="33" t="s">
        <v>146</v>
      </c>
      <c r="O2126" s="33" t="s">
        <v>147</v>
      </c>
    </row>
    <row r="2127" customFormat="false" ht="15" hidden="false" customHeight="false" outlineLevel="0" collapsed="false">
      <c r="A2127" s="33" t="s">
        <v>2301</v>
      </c>
      <c r="B2127" s="34" t="n">
        <v>45546</v>
      </c>
      <c r="C2127" s="34" t="n">
        <v>45550</v>
      </c>
      <c r="D2127" s="33" t="n">
        <v>72</v>
      </c>
      <c r="E2127" s="33" t="s">
        <v>154</v>
      </c>
      <c r="F2127" s="33" t="s">
        <v>169</v>
      </c>
      <c r="G2127" s="33" t="s">
        <v>170</v>
      </c>
      <c r="H2127" s="33" t="s">
        <v>195</v>
      </c>
      <c r="I2127" s="33" t="s">
        <v>143</v>
      </c>
      <c r="J2127" s="33" t="s">
        <v>159</v>
      </c>
      <c r="K2127" s="36"/>
      <c r="L2127" s="35" t="n">
        <v>4513.79</v>
      </c>
      <c r="M2127" s="33" t="n">
        <v>4</v>
      </c>
      <c r="N2127" s="33" t="s">
        <v>146</v>
      </c>
      <c r="O2127" s="33" t="s">
        <v>147</v>
      </c>
    </row>
    <row r="2128" customFormat="false" ht="15" hidden="false" customHeight="false" outlineLevel="0" collapsed="false">
      <c r="A2128" s="33" t="s">
        <v>2302</v>
      </c>
      <c r="B2128" s="34" t="n">
        <v>45407</v>
      </c>
      <c r="C2128" s="34" t="n">
        <v>45420</v>
      </c>
      <c r="D2128" s="33" t="n">
        <v>69</v>
      </c>
      <c r="E2128" s="33" t="s">
        <v>139</v>
      </c>
      <c r="F2128" s="33" t="s">
        <v>140</v>
      </c>
      <c r="G2128" s="33" t="s">
        <v>141</v>
      </c>
      <c r="H2128" s="33" t="s">
        <v>142</v>
      </c>
      <c r="I2128" s="33" t="s">
        <v>143</v>
      </c>
      <c r="J2128" s="33" t="s">
        <v>159</v>
      </c>
      <c r="K2128" s="36"/>
      <c r="L2128" s="35" t="n">
        <v>26753.16</v>
      </c>
      <c r="M2128" s="33" t="n">
        <v>4</v>
      </c>
      <c r="N2128" s="33" t="s">
        <v>146</v>
      </c>
      <c r="O2128" s="33" t="s">
        <v>147</v>
      </c>
    </row>
    <row r="2129" customFormat="false" ht="15" hidden="false" customHeight="false" outlineLevel="0" collapsed="false">
      <c r="A2129" s="33" t="s">
        <v>2303</v>
      </c>
      <c r="B2129" s="34" t="n">
        <v>45509</v>
      </c>
      <c r="C2129" s="34" t="n">
        <v>45512</v>
      </c>
      <c r="D2129" s="33" t="n">
        <v>54</v>
      </c>
      <c r="E2129" s="33" t="s">
        <v>139</v>
      </c>
      <c r="F2129" s="33" t="s">
        <v>181</v>
      </c>
      <c r="G2129" s="33" t="s">
        <v>237</v>
      </c>
      <c r="H2129" s="33" t="s">
        <v>183</v>
      </c>
      <c r="I2129" s="33" t="s">
        <v>158</v>
      </c>
      <c r="J2129" s="33" t="s">
        <v>159</v>
      </c>
      <c r="K2129" s="33" t="s">
        <v>145</v>
      </c>
      <c r="L2129" s="35" t="n">
        <v>7509.63</v>
      </c>
      <c r="M2129" s="33" t="n">
        <v>3</v>
      </c>
      <c r="N2129" s="33" t="s">
        <v>146</v>
      </c>
      <c r="O2129" s="33" t="s">
        <v>147</v>
      </c>
    </row>
    <row r="2130" customFormat="false" ht="15" hidden="false" customHeight="false" outlineLevel="0" collapsed="false">
      <c r="A2130" s="33" t="s">
        <v>2304</v>
      </c>
      <c r="B2130" s="34" t="n">
        <v>45450</v>
      </c>
      <c r="C2130" s="34" t="n">
        <v>45452</v>
      </c>
      <c r="D2130" s="33" t="n">
        <v>45</v>
      </c>
      <c r="E2130" s="33" t="s">
        <v>190</v>
      </c>
      <c r="F2130" s="33" t="s">
        <v>212</v>
      </c>
      <c r="G2130" s="33" t="s">
        <v>170</v>
      </c>
      <c r="H2130" s="33" t="s">
        <v>195</v>
      </c>
      <c r="I2130" s="33" t="s">
        <v>143</v>
      </c>
      <c r="J2130" s="33" t="s">
        <v>159</v>
      </c>
      <c r="K2130" s="33" t="s">
        <v>184</v>
      </c>
      <c r="L2130" s="35" t="n">
        <v>2165.31</v>
      </c>
      <c r="M2130" s="33" t="n">
        <v>3</v>
      </c>
      <c r="N2130" s="33" t="s">
        <v>210</v>
      </c>
      <c r="O2130" s="33" t="s">
        <v>147</v>
      </c>
    </row>
    <row r="2131" customFormat="false" ht="15" hidden="false" customHeight="false" outlineLevel="0" collapsed="false">
      <c r="A2131" s="33" t="s">
        <v>2305</v>
      </c>
      <c r="B2131" s="34" t="n">
        <v>45357</v>
      </c>
      <c r="C2131" s="34" t="n">
        <v>45363</v>
      </c>
      <c r="D2131" s="33" t="n">
        <v>40</v>
      </c>
      <c r="E2131" s="33" t="s">
        <v>139</v>
      </c>
      <c r="F2131" s="33" t="s">
        <v>169</v>
      </c>
      <c r="G2131" s="33" t="s">
        <v>230</v>
      </c>
      <c r="H2131" s="33" t="s">
        <v>195</v>
      </c>
      <c r="I2131" s="33" t="s">
        <v>143</v>
      </c>
      <c r="J2131" s="33" t="s">
        <v>159</v>
      </c>
      <c r="K2131" s="33" t="s">
        <v>160</v>
      </c>
      <c r="L2131" s="35" t="n">
        <v>5912.84</v>
      </c>
      <c r="M2131" s="33" t="n">
        <v>5</v>
      </c>
      <c r="N2131" s="33" t="s">
        <v>146</v>
      </c>
      <c r="O2131" s="33" t="s">
        <v>147</v>
      </c>
    </row>
    <row r="2132" customFormat="false" ht="15" hidden="false" customHeight="false" outlineLevel="0" collapsed="false">
      <c r="A2132" s="33" t="s">
        <v>2306</v>
      </c>
      <c r="B2132" s="34" t="n">
        <v>45485</v>
      </c>
      <c r="C2132" s="34" t="n">
        <v>45489</v>
      </c>
      <c r="D2132" s="33" t="n">
        <v>75</v>
      </c>
      <c r="E2132" s="33" t="s">
        <v>154</v>
      </c>
      <c r="F2132" s="33" t="s">
        <v>162</v>
      </c>
      <c r="G2132" s="33" t="s">
        <v>163</v>
      </c>
      <c r="H2132" s="33" t="s">
        <v>195</v>
      </c>
      <c r="I2132" s="33" t="s">
        <v>143</v>
      </c>
      <c r="J2132" s="33" t="s">
        <v>159</v>
      </c>
      <c r="K2132" s="33" t="s">
        <v>145</v>
      </c>
      <c r="L2132" s="35" t="n">
        <v>4167.23</v>
      </c>
      <c r="M2132" s="33" t="n">
        <v>3</v>
      </c>
      <c r="N2132" s="33" t="s">
        <v>146</v>
      </c>
      <c r="O2132" s="33" t="s">
        <v>147</v>
      </c>
    </row>
    <row r="2133" customFormat="false" ht="15" hidden="false" customHeight="false" outlineLevel="0" collapsed="false">
      <c r="A2133" s="33" t="s">
        <v>2307</v>
      </c>
      <c r="B2133" s="34" t="n">
        <v>45652</v>
      </c>
      <c r="C2133" s="34" t="n">
        <v>45658</v>
      </c>
      <c r="D2133" s="33" t="n">
        <v>59</v>
      </c>
      <c r="E2133" s="33" t="s">
        <v>139</v>
      </c>
      <c r="F2133" s="33" t="s">
        <v>140</v>
      </c>
      <c r="G2133" s="33" t="s">
        <v>316</v>
      </c>
      <c r="H2133" s="33" t="s">
        <v>290</v>
      </c>
      <c r="I2133" s="33" t="s">
        <v>143</v>
      </c>
      <c r="J2133" s="33" t="s">
        <v>176</v>
      </c>
      <c r="K2133" s="33" t="s">
        <v>145</v>
      </c>
      <c r="L2133" s="35" t="n">
        <v>55951.26</v>
      </c>
      <c r="M2133" s="33" t="n">
        <v>4</v>
      </c>
      <c r="N2133" s="33" t="s">
        <v>146</v>
      </c>
      <c r="O2133" s="33" t="s">
        <v>147</v>
      </c>
    </row>
    <row r="2134" customFormat="false" ht="15" hidden="false" customHeight="false" outlineLevel="0" collapsed="false">
      <c r="A2134" s="33" t="s">
        <v>2308</v>
      </c>
      <c r="B2134" s="34" t="n">
        <v>45600</v>
      </c>
      <c r="C2134" s="34" t="n">
        <v>45602</v>
      </c>
      <c r="D2134" s="33" t="n">
        <v>68</v>
      </c>
      <c r="E2134" s="33" t="s">
        <v>154</v>
      </c>
      <c r="F2134" s="33" t="s">
        <v>169</v>
      </c>
      <c r="G2134" s="33" t="s">
        <v>170</v>
      </c>
      <c r="H2134" s="33" t="s">
        <v>171</v>
      </c>
      <c r="I2134" s="33" t="s">
        <v>143</v>
      </c>
      <c r="J2134" s="33" t="s">
        <v>159</v>
      </c>
      <c r="K2134" s="33" t="s">
        <v>145</v>
      </c>
      <c r="L2134" s="35" t="n">
        <v>2657.49</v>
      </c>
      <c r="M2134" s="33" t="n">
        <v>4</v>
      </c>
      <c r="N2134" s="33" t="s">
        <v>146</v>
      </c>
      <c r="O2134" s="33" t="s">
        <v>147</v>
      </c>
    </row>
    <row r="2135" customFormat="false" ht="15" hidden="false" customHeight="false" outlineLevel="0" collapsed="false">
      <c r="A2135" s="33" t="s">
        <v>2309</v>
      </c>
      <c r="B2135" s="34" t="n">
        <v>45532</v>
      </c>
      <c r="C2135" s="34" t="n">
        <v>45540</v>
      </c>
      <c r="D2135" s="33" t="n">
        <v>42</v>
      </c>
      <c r="E2135" s="33" t="s">
        <v>257</v>
      </c>
      <c r="F2135" s="33" t="s">
        <v>169</v>
      </c>
      <c r="G2135" s="33" t="s">
        <v>163</v>
      </c>
      <c r="H2135" s="33" t="s">
        <v>171</v>
      </c>
      <c r="I2135" s="33" t="s">
        <v>143</v>
      </c>
      <c r="J2135" s="33" t="s">
        <v>176</v>
      </c>
      <c r="K2135" s="33" t="s">
        <v>184</v>
      </c>
      <c r="L2135" s="35" t="n">
        <v>31164.42</v>
      </c>
      <c r="M2135" s="33" t="n">
        <v>5</v>
      </c>
      <c r="N2135" s="33" t="s">
        <v>146</v>
      </c>
      <c r="O2135" s="33" t="s">
        <v>147</v>
      </c>
    </row>
    <row r="2136" customFormat="false" ht="15" hidden="false" customHeight="false" outlineLevel="0" collapsed="false">
      <c r="A2136" s="33" t="s">
        <v>2310</v>
      </c>
      <c r="B2136" s="34" t="n">
        <v>45459</v>
      </c>
      <c r="C2136" s="34" t="n">
        <v>45464</v>
      </c>
      <c r="D2136" s="33" t="n">
        <v>28</v>
      </c>
      <c r="E2136" s="33" t="s">
        <v>154</v>
      </c>
      <c r="F2136" s="33" t="s">
        <v>173</v>
      </c>
      <c r="G2136" s="33" t="s">
        <v>174</v>
      </c>
      <c r="H2136" s="33" t="s">
        <v>199</v>
      </c>
      <c r="I2136" s="33" t="s">
        <v>152</v>
      </c>
      <c r="J2136" s="33" t="s">
        <v>144</v>
      </c>
      <c r="K2136" s="33" t="s">
        <v>145</v>
      </c>
      <c r="L2136" s="35" t="n">
        <v>26552.26</v>
      </c>
      <c r="M2136" s="36"/>
      <c r="N2136" s="33" t="s">
        <v>210</v>
      </c>
      <c r="O2136" s="33" t="s">
        <v>147</v>
      </c>
    </row>
    <row r="2137" customFormat="false" ht="15" hidden="false" customHeight="false" outlineLevel="0" collapsed="false">
      <c r="A2137" s="33" t="s">
        <v>2311</v>
      </c>
      <c r="B2137" s="34" t="n">
        <v>45463</v>
      </c>
      <c r="C2137" s="34" t="n">
        <v>45470</v>
      </c>
      <c r="D2137" s="36"/>
      <c r="E2137" s="33" t="s">
        <v>154</v>
      </c>
      <c r="F2137" s="33" t="s">
        <v>376</v>
      </c>
      <c r="G2137" s="33" t="s">
        <v>156</v>
      </c>
      <c r="H2137" s="33" t="s">
        <v>222</v>
      </c>
      <c r="I2137" s="33" t="s">
        <v>152</v>
      </c>
      <c r="J2137" s="33" t="s">
        <v>144</v>
      </c>
      <c r="K2137" s="33" t="s">
        <v>145</v>
      </c>
      <c r="L2137" s="35" t="n">
        <v>12557.17</v>
      </c>
      <c r="M2137" s="33" t="n">
        <v>5</v>
      </c>
      <c r="N2137" s="33" t="s">
        <v>146</v>
      </c>
      <c r="O2137" s="33" t="s">
        <v>147</v>
      </c>
    </row>
    <row r="2138" customFormat="false" ht="15" hidden="false" customHeight="false" outlineLevel="0" collapsed="false">
      <c r="A2138" s="33" t="s">
        <v>2312</v>
      </c>
      <c r="B2138" s="34" t="n">
        <v>45385</v>
      </c>
      <c r="C2138" s="34" t="n">
        <v>45394</v>
      </c>
      <c r="D2138" s="33" t="n">
        <v>57</v>
      </c>
      <c r="E2138" s="33" t="s">
        <v>139</v>
      </c>
      <c r="F2138" s="33" t="s">
        <v>181</v>
      </c>
      <c r="G2138" s="33" t="s">
        <v>188</v>
      </c>
      <c r="H2138" s="33" t="s">
        <v>245</v>
      </c>
      <c r="I2138" s="33" t="s">
        <v>143</v>
      </c>
      <c r="J2138" s="33" t="s">
        <v>159</v>
      </c>
      <c r="K2138" s="33" t="s">
        <v>145</v>
      </c>
      <c r="L2138" s="35" t="n">
        <v>21496</v>
      </c>
      <c r="M2138" s="33" t="n">
        <v>4</v>
      </c>
      <c r="N2138" s="33" t="s">
        <v>146</v>
      </c>
      <c r="O2138" s="33" t="s">
        <v>147</v>
      </c>
    </row>
    <row r="2139" customFormat="false" ht="15" hidden="false" customHeight="false" outlineLevel="0" collapsed="false">
      <c r="A2139" s="33" t="s">
        <v>2313</v>
      </c>
      <c r="B2139" s="34" t="n">
        <v>45456</v>
      </c>
      <c r="C2139" s="34" t="n">
        <v>45457</v>
      </c>
      <c r="D2139" s="33" t="n">
        <v>23</v>
      </c>
      <c r="E2139" s="33" t="s">
        <v>139</v>
      </c>
      <c r="F2139" s="33" t="s">
        <v>203</v>
      </c>
      <c r="G2139" s="33" t="s">
        <v>241</v>
      </c>
      <c r="H2139" s="36"/>
      <c r="I2139" s="33" t="s">
        <v>143</v>
      </c>
      <c r="J2139" s="33" t="s">
        <v>159</v>
      </c>
      <c r="K2139" s="33" t="s">
        <v>184</v>
      </c>
      <c r="L2139" s="35" t="n">
        <v>878.9</v>
      </c>
      <c r="M2139" s="33" t="n">
        <v>4</v>
      </c>
      <c r="N2139" s="33" t="s">
        <v>146</v>
      </c>
      <c r="O2139" s="33" t="s">
        <v>147</v>
      </c>
    </row>
    <row r="2140" customFormat="false" ht="15" hidden="false" customHeight="false" outlineLevel="0" collapsed="false">
      <c r="A2140" s="33" t="s">
        <v>2314</v>
      </c>
      <c r="B2140" s="34" t="n">
        <v>45391</v>
      </c>
      <c r="C2140" s="34" t="n">
        <v>45395</v>
      </c>
      <c r="D2140" s="33" t="n">
        <v>44</v>
      </c>
      <c r="E2140" s="33" t="s">
        <v>154</v>
      </c>
      <c r="F2140" s="33" t="s">
        <v>162</v>
      </c>
      <c r="G2140" s="33" t="s">
        <v>213</v>
      </c>
      <c r="H2140" s="33" t="s">
        <v>171</v>
      </c>
      <c r="I2140" s="33" t="s">
        <v>143</v>
      </c>
      <c r="J2140" s="33" t="s">
        <v>159</v>
      </c>
      <c r="K2140" s="33" t="s">
        <v>145</v>
      </c>
      <c r="L2140" s="35" t="n">
        <v>4396.2</v>
      </c>
      <c r="M2140" s="33" t="n">
        <v>2</v>
      </c>
      <c r="N2140" s="33" t="s">
        <v>146</v>
      </c>
      <c r="O2140" s="33" t="s">
        <v>147</v>
      </c>
    </row>
    <row r="2141" customFormat="false" ht="15" hidden="false" customHeight="false" outlineLevel="0" collapsed="false">
      <c r="A2141" s="33" t="s">
        <v>2315</v>
      </c>
      <c r="B2141" s="34" t="n">
        <v>45524</v>
      </c>
      <c r="C2141" s="34" t="n">
        <v>45528</v>
      </c>
      <c r="D2141" s="33" t="n">
        <v>85</v>
      </c>
      <c r="E2141" s="33" t="s">
        <v>139</v>
      </c>
      <c r="F2141" s="33" t="s">
        <v>226</v>
      </c>
      <c r="G2141" s="33" t="s">
        <v>386</v>
      </c>
      <c r="H2141" s="33" t="s">
        <v>228</v>
      </c>
      <c r="I2141" s="33" t="s">
        <v>158</v>
      </c>
      <c r="J2141" s="33" t="s">
        <v>144</v>
      </c>
      <c r="K2141" s="33" t="s">
        <v>145</v>
      </c>
      <c r="L2141" s="35" t="n">
        <v>26915.88</v>
      </c>
      <c r="M2141" s="33" t="n">
        <v>4</v>
      </c>
      <c r="N2141" s="33" t="s">
        <v>146</v>
      </c>
      <c r="O2141" s="33" t="s">
        <v>147</v>
      </c>
    </row>
    <row r="2142" customFormat="false" ht="15" hidden="false" customHeight="false" outlineLevel="0" collapsed="false">
      <c r="A2142" s="33" t="s">
        <v>2316</v>
      </c>
      <c r="B2142" s="34" t="n">
        <v>45554</v>
      </c>
      <c r="C2142" s="34" t="n">
        <v>45556</v>
      </c>
      <c r="D2142" s="33" t="n">
        <v>27</v>
      </c>
      <c r="E2142" s="33" t="s">
        <v>154</v>
      </c>
      <c r="F2142" s="33" t="s">
        <v>203</v>
      </c>
      <c r="G2142" s="33" t="s">
        <v>204</v>
      </c>
      <c r="H2142" s="33" t="s">
        <v>193</v>
      </c>
      <c r="I2142" s="33" t="s">
        <v>143</v>
      </c>
      <c r="J2142" s="33" t="s">
        <v>159</v>
      </c>
      <c r="K2142" s="33" t="s">
        <v>160</v>
      </c>
      <c r="L2142" s="35" t="n">
        <v>1860.66</v>
      </c>
      <c r="M2142" s="33" t="n">
        <v>4</v>
      </c>
      <c r="N2142" s="33" t="s">
        <v>146</v>
      </c>
      <c r="O2142" s="33" t="s">
        <v>147</v>
      </c>
    </row>
    <row r="2143" customFormat="false" ht="15" hidden="false" customHeight="false" outlineLevel="0" collapsed="false">
      <c r="A2143" s="33" t="s">
        <v>2317</v>
      </c>
      <c r="B2143" s="34" t="n">
        <v>45408</v>
      </c>
      <c r="C2143" s="34" t="n">
        <v>45409</v>
      </c>
      <c r="D2143" s="33" t="n">
        <v>36</v>
      </c>
      <c r="E2143" s="33" t="s">
        <v>154</v>
      </c>
      <c r="F2143" s="33" t="s">
        <v>240</v>
      </c>
      <c r="G2143" s="33" t="s">
        <v>192</v>
      </c>
      <c r="H2143" s="33" t="s">
        <v>193</v>
      </c>
      <c r="I2143" s="33" t="s">
        <v>143</v>
      </c>
      <c r="J2143" s="33" t="s">
        <v>159</v>
      </c>
      <c r="K2143" s="33" t="s">
        <v>160</v>
      </c>
      <c r="L2143" s="35" t="n">
        <v>971.53</v>
      </c>
      <c r="M2143" s="33" t="n">
        <v>4</v>
      </c>
      <c r="N2143" s="33" t="s">
        <v>146</v>
      </c>
      <c r="O2143" s="33" t="s">
        <v>147</v>
      </c>
    </row>
    <row r="2144" customFormat="false" ht="15" hidden="false" customHeight="false" outlineLevel="0" collapsed="false">
      <c r="A2144" s="33" t="s">
        <v>2318</v>
      </c>
      <c r="B2144" s="34" t="n">
        <v>45334</v>
      </c>
      <c r="C2144" s="34" t="n">
        <v>45336</v>
      </c>
      <c r="D2144" s="33" t="n">
        <v>43</v>
      </c>
      <c r="E2144" s="33" t="s">
        <v>139</v>
      </c>
      <c r="F2144" s="33" t="s">
        <v>212</v>
      </c>
      <c r="G2144" s="33" t="s">
        <v>163</v>
      </c>
      <c r="H2144" s="33" t="s">
        <v>164</v>
      </c>
      <c r="I2144" s="33" t="s">
        <v>152</v>
      </c>
      <c r="J2144" s="33" t="s">
        <v>144</v>
      </c>
      <c r="K2144" s="33" t="s">
        <v>145</v>
      </c>
      <c r="L2144" s="35" t="n">
        <v>4464.97</v>
      </c>
      <c r="M2144" s="33" t="n">
        <v>4</v>
      </c>
      <c r="N2144" s="33" t="s">
        <v>146</v>
      </c>
      <c r="O2144" s="33" t="s">
        <v>147</v>
      </c>
    </row>
    <row r="2145" customFormat="false" ht="15" hidden="false" customHeight="false" outlineLevel="0" collapsed="false">
      <c r="A2145" s="33" t="s">
        <v>2319</v>
      </c>
      <c r="B2145" s="34" t="n">
        <v>45529</v>
      </c>
      <c r="C2145" s="34" t="n">
        <v>45534</v>
      </c>
      <c r="D2145" s="33" t="n">
        <v>66</v>
      </c>
      <c r="E2145" s="33" t="s">
        <v>139</v>
      </c>
      <c r="F2145" s="33" t="s">
        <v>181</v>
      </c>
      <c r="G2145" s="33" t="s">
        <v>182</v>
      </c>
      <c r="H2145" s="33" t="s">
        <v>245</v>
      </c>
      <c r="I2145" s="33" t="s">
        <v>158</v>
      </c>
      <c r="J2145" s="33" t="s">
        <v>159</v>
      </c>
      <c r="K2145" s="33" t="s">
        <v>145</v>
      </c>
      <c r="L2145" s="35" t="n">
        <v>13190.74</v>
      </c>
      <c r="M2145" s="33" t="n">
        <v>4</v>
      </c>
      <c r="N2145" s="33" t="s">
        <v>146</v>
      </c>
      <c r="O2145" s="33" t="s">
        <v>147</v>
      </c>
    </row>
    <row r="2146" customFormat="false" ht="15" hidden="false" customHeight="false" outlineLevel="0" collapsed="false">
      <c r="A2146" s="33" t="s">
        <v>2320</v>
      </c>
      <c r="B2146" s="34" t="n">
        <v>45461</v>
      </c>
      <c r="C2146" s="34" t="n">
        <v>45476</v>
      </c>
      <c r="D2146" s="33" t="n">
        <v>62</v>
      </c>
      <c r="E2146" s="33" t="s">
        <v>180</v>
      </c>
      <c r="F2146" s="33" t="s">
        <v>226</v>
      </c>
      <c r="G2146" s="33" t="s">
        <v>386</v>
      </c>
      <c r="H2146" s="33" t="s">
        <v>263</v>
      </c>
      <c r="I2146" s="33" t="s">
        <v>143</v>
      </c>
      <c r="J2146" s="33" t="s">
        <v>144</v>
      </c>
      <c r="K2146" s="33" t="s">
        <v>145</v>
      </c>
      <c r="L2146" s="35" t="n">
        <v>87514.03</v>
      </c>
      <c r="M2146" s="33" t="n">
        <v>4</v>
      </c>
      <c r="N2146" s="33" t="s">
        <v>146</v>
      </c>
      <c r="O2146" s="33" t="s">
        <v>147</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88157"/>
    <pageSetUpPr fitToPage="false"/>
  </sheetPr>
  <dimension ref="A1:T210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7"/>
    <col collapsed="false" customWidth="true" hidden="false" outlineLevel="0" max="5" min="5" style="0" width="8"/>
    <col collapsed="false" customWidth="true" hidden="false" outlineLevel="0" max="6" min="6" style="0" width="13"/>
    <col collapsed="false" customWidth="true" hidden="false" outlineLevel="0" max="7" min="7" style="0" width="20"/>
    <col collapsed="false" customWidth="true" hidden="false" outlineLevel="0" max="8" min="8" style="0" width="16"/>
    <col collapsed="false" customWidth="true" hidden="false" outlineLevel="0" max="9" min="9" style="0" width="13"/>
    <col collapsed="false" customWidth="true" hidden="false" outlineLevel="0" max="10" min="10" style="0" width="11"/>
    <col collapsed="false" customWidth="true" hidden="false" outlineLevel="0" max="11" min="11" style="0" width="16"/>
    <col collapsed="false" customWidth="true" hidden="false" outlineLevel="0" max="12" min="12" style="0" width="13"/>
    <col collapsed="false" customWidth="true" hidden="false" outlineLevel="0" max="13" min="13" style="0" width="9"/>
    <col collapsed="false" customWidth="true" hidden="false" outlineLevel="0" max="14" min="14" style="0" width="12"/>
    <col collapsed="false" customWidth="true" hidden="false" outlineLevel="0" max="15" min="15" style="0" width="14"/>
    <col collapsed="false" customWidth="true" hidden="false" outlineLevel="0" max="16" min="16" style="0" width="11"/>
    <col collapsed="false" customWidth="true" hidden="false" outlineLevel="0" max="17" min="17" style="0" width="10"/>
    <col collapsed="false" customWidth="true" hidden="false" outlineLevel="0" max="18" min="18" style="0" width="9"/>
    <col collapsed="false" customWidth="true" hidden="false" outlineLevel="0" max="19" min="19" style="0" width="16"/>
    <col collapsed="false" customWidth="true" hidden="false" outlineLevel="0" max="20" min="20" style="0" width="12"/>
  </cols>
  <sheetData>
    <row r="1" customFormat="false" ht="33.75" hidden="false" customHeight="true" outlineLevel="0" collapsed="false">
      <c r="A1" s="30" t="s">
        <v>2321</v>
      </c>
      <c r="B1" s="30"/>
      <c r="C1" s="30"/>
      <c r="D1" s="30"/>
      <c r="E1" s="30"/>
      <c r="F1" s="30"/>
      <c r="G1" s="30"/>
      <c r="H1" s="30"/>
      <c r="I1" s="30"/>
      <c r="J1" s="30"/>
      <c r="K1" s="30"/>
      <c r="L1" s="30"/>
      <c r="M1" s="30"/>
      <c r="N1" s="30"/>
      <c r="O1" s="30"/>
      <c r="P1" s="30"/>
      <c r="Q1" s="30"/>
      <c r="R1" s="30"/>
      <c r="S1" s="30"/>
      <c r="T1" s="30"/>
    </row>
    <row r="2" customFormat="false" ht="19.5" hidden="false" customHeight="true" outlineLevel="0" collapsed="false">
      <c r="A2" s="38" t="s">
        <v>38</v>
      </c>
      <c r="B2" s="38" t="s">
        <v>42</v>
      </c>
      <c r="C2" s="38" t="s">
        <v>46</v>
      </c>
      <c r="D2" s="38" t="s">
        <v>48</v>
      </c>
      <c r="E2" s="38" t="s">
        <v>52</v>
      </c>
      <c r="F2" s="38" t="s">
        <v>55</v>
      </c>
      <c r="G2" s="38" t="s">
        <v>58</v>
      </c>
      <c r="H2" s="38" t="s">
        <v>61</v>
      </c>
      <c r="I2" s="38" t="s">
        <v>64</v>
      </c>
      <c r="J2" s="38" t="s">
        <v>67</v>
      </c>
      <c r="K2" s="38" t="s">
        <v>69</v>
      </c>
      <c r="L2" s="38" t="s">
        <v>72</v>
      </c>
      <c r="M2" s="38" t="s">
        <v>75</v>
      </c>
      <c r="N2" s="38" t="s">
        <v>79</v>
      </c>
      <c r="O2" s="38" t="s">
        <v>83</v>
      </c>
      <c r="P2" s="38" t="s">
        <v>86</v>
      </c>
      <c r="Q2" s="38" t="s">
        <v>90</v>
      </c>
      <c r="R2" s="38" t="s">
        <v>93</v>
      </c>
      <c r="S2" s="38" t="s">
        <v>95</v>
      </c>
      <c r="T2" s="38" t="s">
        <v>97</v>
      </c>
    </row>
    <row r="3" customFormat="false" ht="15" hidden="false" customHeight="false" outlineLevel="0" collapsed="false">
      <c r="A3" s="33" t="s">
        <v>939</v>
      </c>
      <c r="B3" s="34" t="n">
        <v>45292</v>
      </c>
      <c r="C3" s="34" t="n">
        <v>45293</v>
      </c>
      <c r="D3" s="33" t="n">
        <v>9</v>
      </c>
      <c r="E3" s="33" t="s">
        <v>139</v>
      </c>
      <c r="F3" s="33" t="s">
        <v>155</v>
      </c>
      <c r="G3" s="33" t="s">
        <v>220</v>
      </c>
      <c r="H3" s="33" t="s">
        <v>222</v>
      </c>
      <c r="I3" s="33" t="s">
        <v>143</v>
      </c>
      <c r="J3" s="33" t="s">
        <v>176</v>
      </c>
      <c r="K3" s="33" t="s">
        <v>145</v>
      </c>
      <c r="L3" s="35" t="n">
        <v>2923.08</v>
      </c>
      <c r="M3" s="33" t="n">
        <v>3</v>
      </c>
      <c r="N3" s="33" t="s">
        <v>146</v>
      </c>
      <c r="O3" s="33" t="s">
        <v>147</v>
      </c>
      <c r="P3" s="39" t="n">
        <f aca="false">C3-B3</f>
        <v>1</v>
      </c>
      <c r="Q3" s="40" t="str">
        <f aca="false">CHOOSE(MONTH(B3),"يناير","فبراير","مارس","أبريل","مايو","يونيو","يوليو","أغسطس","سبتمبر","أكتوبر","نوفمبر","ديسمبر")</f>
        <v>يناير</v>
      </c>
      <c r="R3" s="40" t="str">
        <f aca="false">"الربع "&amp;ROUNDUP(MONTH(B3)/3,0)</f>
        <v>الربع 1</v>
      </c>
      <c r="S3" s="40" t="str">
        <f aca="false">IF(D3&lt;=12,"أطفال (0-12)",IF(D3&lt;=24,"شباب (13-24)",IF(D3&lt;=44,"بالغون (25-44)",IF(D3&lt;=64,"متوسطو العمر (45-64)","كبار السن (+65)"))))</f>
        <v>أطفال (0-12)</v>
      </c>
      <c r="T3" s="41" t="n">
        <f aca="false">IFERROR(L3/P3,0)</f>
        <v>2923.08</v>
      </c>
    </row>
    <row r="4" customFormat="false" ht="15" hidden="false" customHeight="false" outlineLevel="0" collapsed="false">
      <c r="A4" s="42" t="s">
        <v>490</v>
      </c>
      <c r="B4" s="43" t="n">
        <v>45292</v>
      </c>
      <c r="C4" s="43" t="n">
        <v>45295</v>
      </c>
      <c r="D4" s="42" t="n">
        <v>10</v>
      </c>
      <c r="E4" s="42" t="s">
        <v>139</v>
      </c>
      <c r="F4" s="42" t="s">
        <v>155</v>
      </c>
      <c r="G4" s="42" t="s">
        <v>156</v>
      </c>
      <c r="H4" s="42" t="s">
        <v>157</v>
      </c>
      <c r="I4" s="42" t="s">
        <v>158</v>
      </c>
      <c r="J4" s="42" t="s">
        <v>159</v>
      </c>
      <c r="K4" s="42" t="s">
        <v>145</v>
      </c>
      <c r="L4" s="44" t="n">
        <v>2663.31</v>
      </c>
      <c r="M4" s="42" t="n">
        <v>3</v>
      </c>
      <c r="N4" s="42" t="s">
        <v>210</v>
      </c>
      <c r="O4" s="42" t="s">
        <v>147</v>
      </c>
      <c r="P4" s="39" t="n">
        <f aca="false">C4-B4</f>
        <v>3</v>
      </c>
      <c r="Q4" s="40" t="str">
        <f aca="false">CHOOSE(MONTH(B4),"يناير","فبراير","مارس","أبريل","مايو","يونيو","يوليو","أغسطس","سبتمبر","أكتوبر","نوفمبر","ديسمبر")</f>
        <v>يناير</v>
      </c>
      <c r="R4" s="40" t="str">
        <f aca="false">"الربع "&amp;ROUNDUP(MONTH(B4)/3,0)</f>
        <v>الربع 1</v>
      </c>
      <c r="S4" s="40" t="str">
        <f aca="false">IF(D4&lt;=12,"أطفال (0-12)",IF(D4&lt;=24,"شباب (13-24)",IF(D4&lt;=44,"بالغون (25-44)",IF(D4&lt;=64,"متوسطو العمر (45-64)","كبار السن (+65)"))))</f>
        <v>أطفال (0-12)</v>
      </c>
      <c r="T4" s="41" t="n">
        <f aca="false">IFERROR(L4/P4,0)</f>
        <v>887.77</v>
      </c>
    </row>
    <row r="5" customFormat="false" ht="15" hidden="false" customHeight="false" outlineLevel="0" collapsed="false">
      <c r="A5" s="33" t="s">
        <v>2167</v>
      </c>
      <c r="B5" s="34" t="n">
        <v>45292</v>
      </c>
      <c r="C5" s="34" t="n">
        <v>45295</v>
      </c>
      <c r="D5" s="33" t="n">
        <v>28</v>
      </c>
      <c r="E5" s="33" t="s">
        <v>154</v>
      </c>
      <c r="F5" s="33" t="s">
        <v>169</v>
      </c>
      <c r="G5" s="33" t="s">
        <v>230</v>
      </c>
      <c r="H5" s="33" t="s">
        <v>164</v>
      </c>
      <c r="I5" s="33" t="s">
        <v>152</v>
      </c>
      <c r="J5" s="33" t="s">
        <v>144</v>
      </c>
      <c r="K5" s="33" t="s">
        <v>160</v>
      </c>
      <c r="L5" s="35" t="n">
        <v>5699.39</v>
      </c>
      <c r="M5" s="33" t="n">
        <v>5</v>
      </c>
      <c r="N5" s="33" t="s">
        <v>146</v>
      </c>
      <c r="O5" s="33" t="s">
        <v>147</v>
      </c>
      <c r="P5" s="39" t="n">
        <f aca="false">C5-B5</f>
        <v>3</v>
      </c>
      <c r="Q5" s="40" t="str">
        <f aca="false">CHOOSE(MONTH(B5),"يناير","فبراير","مارس","أبريل","مايو","يونيو","يوليو","أغسطس","سبتمبر","أكتوبر","نوفمبر","ديسمبر")</f>
        <v>يناير</v>
      </c>
      <c r="R5" s="40" t="str">
        <f aca="false">"الربع "&amp;ROUNDUP(MONTH(B5)/3,0)</f>
        <v>الربع 1</v>
      </c>
      <c r="S5" s="40" t="str">
        <f aca="false">IF(D5&lt;=12,"أطفال (0-12)",IF(D5&lt;=24,"شباب (13-24)",IF(D5&lt;=44,"بالغون (25-44)",IF(D5&lt;=64,"متوسطو العمر (45-64)","كبار السن (+65)"))))</f>
        <v>بالغون (25-44)</v>
      </c>
      <c r="T5" s="41" t="n">
        <f aca="false">IFERROR(L5/P5,0)</f>
        <v>1899.79666666667</v>
      </c>
    </row>
    <row r="6" customFormat="false" ht="15" hidden="false" customHeight="false" outlineLevel="0" collapsed="false">
      <c r="A6" s="42" t="s">
        <v>359</v>
      </c>
      <c r="B6" s="43" t="n">
        <v>45292</v>
      </c>
      <c r="C6" s="43" t="n">
        <v>45294</v>
      </c>
      <c r="D6" s="42" t="n">
        <v>12</v>
      </c>
      <c r="E6" s="42" t="s">
        <v>139</v>
      </c>
      <c r="F6" s="42" t="s">
        <v>155</v>
      </c>
      <c r="G6" s="42" t="s">
        <v>302</v>
      </c>
      <c r="H6" s="42" t="s">
        <v>222</v>
      </c>
      <c r="I6" s="42" t="s">
        <v>143</v>
      </c>
      <c r="J6" s="42" t="s">
        <v>159</v>
      </c>
      <c r="K6" s="42" t="s">
        <v>145</v>
      </c>
      <c r="L6" s="44" t="n">
        <v>1749.01</v>
      </c>
      <c r="M6" s="42" t="n">
        <v>4</v>
      </c>
      <c r="N6" s="42" t="s">
        <v>146</v>
      </c>
      <c r="O6" s="42" t="s">
        <v>147</v>
      </c>
      <c r="P6" s="39" t="n">
        <f aca="false">C6-B6</f>
        <v>2</v>
      </c>
      <c r="Q6" s="40" t="str">
        <f aca="false">CHOOSE(MONTH(B6),"يناير","فبراير","مارس","أبريل","مايو","يونيو","يوليو","أغسطس","سبتمبر","أكتوبر","نوفمبر","ديسمبر")</f>
        <v>يناير</v>
      </c>
      <c r="R6" s="40" t="str">
        <f aca="false">"الربع "&amp;ROUNDUP(MONTH(B6)/3,0)</f>
        <v>الربع 1</v>
      </c>
      <c r="S6" s="40" t="str">
        <f aca="false">IF(D6&lt;=12,"أطفال (0-12)",IF(D6&lt;=24,"شباب (13-24)",IF(D6&lt;=44,"بالغون (25-44)",IF(D6&lt;=64,"متوسطو العمر (45-64)","كبار السن (+65)"))))</f>
        <v>أطفال (0-12)</v>
      </c>
      <c r="T6" s="41" t="n">
        <f aca="false">IFERROR(L6/P6,0)</f>
        <v>874.505</v>
      </c>
    </row>
    <row r="7" customFormat="false" ht="15" hidden="false" customHeight="false" outlineLevel="0" collapsed="false">
      <c r="A7" s="33" t="s">
        <v>1646</v>
      </c>
      <c r="B7" s="34" t="n">
        <v>45292</v>
      </c>
      <c r="C7" s="34" t="n">
        <v>45295</v>
      </c>
      <c r="D7" s="33" t="n">
        <v>23</v>
      </c>
      <c r="E7" s="33" t="s">
        <v>139</v>
      </c>
      <c r="F7" s="33" t="s">
        <v>149</v>
      </c>
      <c r="G7" s="33" t="s">
        <v>224</v>
      </c>
      <c r="H7" s="33" t="s">
        <v>186</v>
      </c>
      <c r="I7" s="33" t="s">
        <v>158</v>
      </c>
      <c r="J7" s="33" t="s">
        <v>159</v>
      </c>
      <c r="K7" s="33" t="s">
        <v>145</v>
      </c>
      <c r="L7" s="35" t="n">
        <v>4939.21</v>
      </c>
      <c r="M7" s="33" t="n">
        <v>5</v>
      </c>
      <c r="N7" s="33" t="s">
        <v>146</v>
      </c>
      <c r="O7" s="33" t="s">
        <v>147</v>
      </c>
      <c r="P7" s="39" t="n">
        <f aca="false">C7-B7</f>
        <v>3</v>
      </c>
      <c r="Q7" s="40" t="str">
        <f aca="false">CHOOSE(MONTH(B7),"يناير","فبراير","مارس","أبريل","مايو","يونيو","يوليو","أغسطس","سبتمبر","أكتوبر","نوفمبر","ديسمبر")</f>
        <v>يناير</v>
      </c>
      <c r="R7" s="40" t="str">
        <f aca="false">"الربع "&amp;ROUNDUP(MONTH(B7)/3,0)</f>
        <v>الربع 1</v>
      </c>
      <c r="S7" s="40" t="str">
        <f aca="false">IF(D7&lt;=12,"أطفال (0-12)",IF(D7&lt;=24,"شباب (13-24)",IF(D7&lt;=44,"بالغون (25-44)",IF(D7&lt;=64,"متوسطو العمر (45-64)","كبار السن (+65)"))))</f>
        <v>شباب (13-24)</v>
      </c>
      <c r="T7" s="41" t="n">
        <f aca="false">IFERROR(L7/P7,0)</f>
        <v>1646.40333333333</v>
      </c>
    </row>
    <row r="8" customFormat="false" ht="15" hidden="false" customHeight="false" outlineLevel="0" collapsed="false">
      <c r="A8" s="42" t="s">
        <v>2296</v>
      </c>
      <c r="B8" s="43" t="n">
        <v>45293</v>
      </c>
      <c r="C8" s="43" t="n">
        <v>45300</v>
      </c>
      <c r="D8" s="42" t="n">
        <v>50</v>
      </c>
      <c r="E8" s="42" t="s">
        <v>154</v>
      </c>
      <c r="F8" s="42" t="s">
        <v>226</v>
      </c>
      <c r="G8" s="42" t="s">
        <v>227</v>
      </c>
      <c r="H8" s="42" t="s">
        <v>263</v>
      </c>
      <c r="I8" s="42" t="s">
        <v>152</v>
      </c>
      <c r="J8" s="42" t="s">
        <v>159</v>
      </c>
      <c r="K8" s="42" t="s">
        <v>145</v>
      </c>
      <c r="L8" s="44" t="n">
        <v>26582.81</v>
      </c>
      <c r="M8" s="42" t="n">
        <v>3</v>
      </c>
      <c r="N8" s="42" t="s">
        <v>210</v>
      </c>
      <c r="O8" s="42" t="s">
        <v>147</v>
      </c>
      <c r="P8" s="39" t="n">
        <f aca="false">C8-B8</f>
        <v>7</v>
      </c>
      <c r="Q8" s="40" t="str">
        <f aca="false">CHOOSE(MONTH(B8),"يناير","فبراير","مارس","أبريل","مايو","يونيو","يوليو","أغسطس","سبتمبر","أكتوبر","نوفمبر","ديسمبر")</f>
        <v>يناير</v>
      </c>
      <c r="R8" s="40" t="str">
        <f aca="false">"الربع "&amp;ROUNDUP(MONTH(B8)/3,0)</f>
        <v>الربع 1</v>
      </c>
      <c r="S8" s="40" t="str">
        <f aca="false">IF(D8&lt;=12,"أطفال (0-12)",IF(D8&lt;=24,"شباب (13-24)",IF(D8&lt;=44,"بالغون (25-44)",IF(D8&lt;=64,"متوسطو العمر (45-64)","كبار السن (+65)"))))</f>
        <v>متوسطو العمر (45-64)</v>
      </c>
      <c r="T8" s="41" t="n">
        <f aca="false">IFERROR(L8/P8,0)</f>
        <v>3797.54428571429</v>
      </c>
    </row>
    <row r="9" customFormat="false" ht="15" hidden="false" customHeight="false" outlineLevel="0" collapsed="false">
      <c r="A9" s="33" t="s">
        <v>2193</v>
      </c>
      <c r="B9" s="34" t="n">
        <v>45293</v>
      </c>
      <c r="C9" s="34" t="n">
        <v>45295</v>
      </c>
      <c r="D9" s="33" t="n">
        <v>46</v>
      </c>
      <c r="E9" s="33" t="s">
        <v>139</v>
      </c>
      <c r="F9" s="33" t="s">
        <v>140</v>
      </c>
      <c r="G9" s="33" t="s">
        <v>141</v>
      </c>
      <c r="H9" s="33" t="s">
        <v>290</v>
      </c>
      <c r="I9" s="33" t="s">
        <v>143</v>
      </c>
      <c r="J9" s="33" t="s">
        <v>159</v>
      </c>
      <c r="K9" s="33" t="s">
        <v>145</v>
      </c>
      <c r="L9" s="35" t="n">
        <v>4652.7</v>
      </c>
      <c r="M9" s="33" t="n">
        <v>3</v>
      </c>
      <c r="N9" s="33" t="s">
        <v>146</v>
      </c>
      <c r="O9" s="33" t="s">
        <v>147</v>
      </c>
      <c r="P9" s="39" t="n">
        <f aca="false">C9-B9</f>
        <v>2</v>
      </c>
      <c r="Q9" s="40" t="str">
        <f aca="false">CHOOSE(MONTH(B9),"يناير","فبراير","مارس","أبريل","مايو","يونيو","يوليو","أغسطس","سبتمبر","أكتوبر","نوفمبر","ديسمبر")</f>
        <v>يناير</v>
      </c>
      <c r="R9" s="40" t="str">
        <f aca="false">"الربع "&amp;ROUNDUP(MONTH(B9)/3,0)</f>
        <v>الربع 1</v>
      </c>
      <c r="S9" s="40" t="str">
        <f aca="false">IF(D9&lt;=12,"أطفال (0-12)",IF(D9&lt;=24,"شباب (13-24)",IF(D9&lt;=44,"بالغون (25-44)",IF(D9&lt;=64,"متوسطو العمر (45-64)","كبار السن (+65)"))))</f>
        <v>متوسطو العمر (45-64)</v>
      </c>
      <c r="T9" s="41" t="n">
        <f aca="false">IFERROR(L9/P9,0)</f>
        <v>2326.35</v>
      </c>
    </row>
    <row r="10" customFormat="false" ht="15" hidden="false" customHeight="false" outlineLevel="0" collapsed="false">
      <c r="A10" s="42" t="s">
        <v>330</v>
      </c>
      <c r="B10" s="43" t="n">
        <v>45293</v>
      </c>
      <c r="C10" s="43" t="n">
        <v>45295</v>
      </c>
      <c r="D10" s="42" t="n">
        <v>15</v>
      </c>
      <c r="E10" s="42" t="s">
        <v>154</v>
      </c>
      <c r="F10" s="42" t="s">
        <v>203</v>
      </c>
      <c r="G10" s="42" t="s">
        <v>241</v>
      </c>
      <c r="H10" s="42" t="s">
        <v>205</v>
      </c>
      <c r="I10" s="42" t="s">
        <v>143</v>
      </c>
      <c r="J10" s="42" t="s">
        <v>144</v>
      </c>
      <c r="K10" s="42" t="s">
        <v>184</v>
      </c>
      <c r="L10" s="44" t="n">
        <v>3402</v>
      </c>
      <c r="M10" s="42" t="n">
        <v>4</v>
      </c>
      <c r="N10" s="42" t="s">
        <v>146</v>
      </c>
      <c r="O10" s="42" t="s">
        <v>147</v>
      </c>
      <c r="P10" s="39" t="n">
        <f aca="false">C10-B10</f>
        <v>2</v>
      </c>
      <c r="Q10" s="40" t="str">
        <f aca="false">CHOOSE(MONTH(B10),"يناير","فبراير","مارس","أبريل","مايو","يونيو","يوليو","أغسطس","سبتمبر","أكتوبر","نوفمبر","ديسمبر")</f>
        <v>يناير</v>
      </c>
      <c r="R10" s="40" t="str">
        <f aca="false">"الربع "&amp;ROUNDUP(MONTH(B10)/3,0)</f>
        <v>الربع 1</v>
      </c>
      <c r="S10" s="40" t="str">
        <f aca="false">IF(D10&lt;=12,"أطفال (0-12)",IF(D10&lt;=24,"شباب (13-24)",IF(D10&lt;=44,"بالغون (25-44)",IF(D10&lt;=64,"متوسطو العمر (45-64)","كبار السن (+65)"))))</f>
        <v>شباب (13-24)</v>
      </c>
      <c r="T10" s="41" t="n">
        <f aca="false">IFERROR(L10/P10,0)</f>
        <v>1701</v>
      </c>
    </row>
    <row r="11" customFormat="false" ht="15" hidden="false" customHeight="false" outlineLevel="0" collapsed="false">
      <c r="A11" s="33" t="s">
        <v>990</v>
      </c>
      <c r="B11" s="34" t="n">
        <v>45293</v>
      </c>
      <c r="C11" s="34" t="n">
        <v>45305</v>
      </c>
      <c r="D11" s="33" t="n">
        <v>43</v>
      </c>
      <c r="E11" s="33" t="s">
        <v>154</v>
      </c>
      <c r="F11" s="33" t="s">
        <v>226</v>
      </c>
      <c r="G11" s="33" t="s">
        <v>258</v>
      </c>
      <c r="H11" s="33" t="s">
        <v>263</v>
      </c>
      <c r="I11" s="33" t="s">
        <v>158</v>
      </c>
      <c r="J11" s="33" t="s">
        <v>176</v>
      </c>
      <c r="K11" s="33" t="s">
        <v>160</v>
      </c>
      <c r="L11" s="35" t="n">
        <v>136069.86</v>
      </c>
      <c r="M11" s="33" t="n">
        <v>4</v>
      </c>
      <c r="N11" s="33" t="s">
        <v>146</v>
      </c>
      <c r="O11" s="33" t="s">
        <v>147</v>
      </c>
      <c r="P11" s="39" t="n">
        <f aca="false">C11-B11</f>
        <v>12</v>
      </c>
      <c r="Q11" s="40" t="str">
        <f aca="false">CHOOSE(MONTH(B11),"يناير","فبراير","مارس","أبريل","مايو","يونيو","يوليو","أغسطس","سبتمبر","أكتوبر","نوفمبر","ديسمبر")</f>
        <v>يناير</v>
      </c>
      <c r="R11" s="40" t="str">
        <f aca="false">"الربع "&amp;ROUNDUP(MONTH(B11)/3,0)</f>
        <v>الربع 1</v>
      </c>
      <c r="S11" s="40" t="str">
        <f aca="false">IF(D11&lt;=12,"أطفال (0-12)",IF(D11&lt;=24,"شباب (13-24)",IF(D11&lt;=44,"بالغون (25-44)",IF(D11&lt;=64,"متوسطو العمر (45-64)","كبار السن (+65)"))))</f>
        <v>بالغون (25-44)</v>
      </c>
      <c r="T11" s="41" t="n">
        <f aca="false">IFERROR(L11/P11,0)</f>
        <v>11339.155</v>
      </c>
    </row>
    <row r="12" customFormat="false" ht="15" hidden="false" customHeight="false" outlineLevel="0" collapsed="false">
      <c r="A12" s="42" t="s">
        <v>762</v>
      </c>
      <c r="B12" s="43" t="n">
        <v>45293</v>
      </c>
      <c r="C12" s="43" t="n">
        <v>45294</v>
      </c>
      <c r="D12" s="42" t="n">
        <v>34</v>
      </c>
      <c r="E12" s="42" t="s">
        <v>139</v>
      </c>
      <c r="F12" s="42" t="s">
        <v>203</v>
      </c>
      <c r="G12" s="42" t="s">
        <v>241</v>
      </c>
      <c r="H12" s="42" t="s">
        <v>233</v>
      </c>
      <c r="I12" s="42" t="s">
        <v>143</v>
      </c>
      <c r="J12" s="42" t="s">
        <v>144</v>
      </c>
      <c r="K12" s="42" t="s">
        <v>145</v>
      </c>
      <c r="L12" s="44" t="n">
        <v>1312.42</v>
      </c>
      <c r="M12" s="42" t="n">
        <v>4</v>
      </c>
      <c r="N12" s="42" t="s">
        <v>146</v>
      </c>
      <c r="O12" s="42" t="s">
        <v>147</v>
      </c>
      <c r="P12" s="39" t="n">
        <f aca="false">C12-B12</f>
        <v>1</v>
      </c>
      <c r="Q12" s="40" t="str">
        <f aca="false">CHOOSE(MONTH(B12),"يناير","فبراير","مارس","أبريل","مايو","يونيو","يوليو","أغسطس","سبتمبر","أكتوبر","نوفمبر","ديسمبر")</f>
        <v>يناير</v>
      </c>
      <c r="R12" s="40" t="str">
        <f aca="false">"الربع "&amp;ROUNDUP(MONTH(B12)/3,0)</f>
        <v>الربع 1</v>
      </c>
      <c r="S12" s="40" t="str">
        <f aca="false">IF(D12&lt;=12,"أطفال (0-12)",IF(D12&lt;=24,"شباب (13-24)",IF(D12&lt;=44,"بالغون (25-44)",IF(D12&lt;=64,"متوسطو العمر (45-64)","كبار السن (+65)"))))</f>
        <v>بالغون (25-44)</v>
      </c>
      <c r="T12" s="41" t="n">
        <f aca="false">IFERROR(L12/P12,0)</f>
        <v>1312.42</v>
      </c>
    </row>
    <row r="13" customFormat="false" ht="15" hidden="false" customHeight="false" outlineLevel="0" collapsed="false">
      <c r="A13" s="33" t="s">
        <v>1655</v>
      </c>
      <c r="B13" s="34" t="n">
        <v>45293</v>
      </c>
      <c r="C13" s="34" t="n">
        <v>45295</v>
      </c>
      <c r="D13" s="33" t="n">
        <v>46</v>
      </c>
      <c r="E13" s="33" t="s">
        <v>139</v>
      </c>
      <c r="F13" s="33" t="s">
        <v>203</v>
      </c>
      <c r="G13" s="33" t="s">
        <v>192</v>
      </c>
      <c r="H13" s="33" t="s">
        <v>193</v>
      </c>
      <c r="I13" s="33" t="s">
        <v>143</v>
      </c>
      <c r="J13" s="33" t="s">
        <v>176</v>
      </c>
      <c r="K13" s="33" t="s">
        <v>145</v>
      </c>
      <c r="L13" s="35" t="n">
        <v>5762.89</v>
      </c>
      <c r="M13" s="33" t="n">
        <v>3</v>
      </c>
      <c r="N13" s="33" t="s">
        <v>146</v>
      </c>
      <c r="O13" s="33" t="s">
        <v>147</v>
      </c>
      <c r="P13" s="39" t="n">
        <f aca="false">C13-B13</f>
        <v>2</v>
      </c>
      <c r="Q13" s="40" t="str">
        <f aca="false">CHOOSE(MONTH(B13),"يناير","فبراير","مارس","أبريل","مايو","يونيو","يوليو","أغسطس","سبتمبر","أكتوبر","نوفمبر","ديسمبر")</f>
        <v>يناير</v>
      </c>
      <c r="R13" s="40" t="str">
        <f aca="false">"الربع "&amp;ROUNDUP(MONTH(B13)/3,0)</f>
        <v>الربع 1</v>
      </c>
      <c r="S13" s="40" t="str">
        <f aca="false">IF(D13&lt;=12,"أطفال (0-12)",IF(D13&lt;=24,"شباب (13-24)",IF(D13&lt;=44,"بالغون (25-44)",IF(D13&lt;=64,"متوسطو العمر (45-64)","كبار السن (+65)"))))</f>
        <v>متوسطو العمر (45-64)</v>
      </c>
      <c r="T13" s="41" t="n">
        <f aca="false">IFERROR(L13/P13,0)</f>
        <v>2881.445</v>
      </c>
    </row>
    <row r="14" customFormat="false" ht="15" hidden="false" customHeight="false" outlineLevel="0" collapsed="false">
      <c r="A14" s="42" t="s">
        <v>460</v>
      </c>
      <c r="B14" s="43" t="n">
        <v>45293</v>
      </c>
      <c r="C14" s="43" t="n">
        <v>45294</v>
      </c>
      <c r="D14" s="42" t="n">
        <v>4</v>
      </c>
      <c r="E14" s="42" t="s">
        <v>139</v>
      </c>
      <c r="F14" s="42" t="s">
        <v>155</v>
      </c>
      <c r="G14" s="42" t="s">
        <v>220</v>
      </c>
      <c r="H14" s="42" t="s">
        <v>157</v>
      </c>
      <c r="I14" s="42" t="s">
        <v>143</v>
      </c>
      <c r="J14" s="42" t="s">
        <v>144</v>
      </c>
      <c r="K14" s="42" t="s">
        <v>160</v>
      </c>
      <c r="L14" s="44" t="n">
        <v>1867.3</v>
      </c>
      <c r="M14" s="42" t="n">
        <v>4</v>
      </c>
      <c r="N14" s="42" t="s">
        <v>146</v>
      </c>
      <c r="O14" s="42" t="s">
        <v>147</v>
      </c>
      <c r="P14" s="39" t="n">
        <f aca="false">C14-B14</f>
        <v>1</v>
      </c>
      <c r="Q14" s="40" t="str">
        <f aca="false">CHOOSE(MONTH(B14),"يناير","فبراير","مارس","أبريل","مايو","يونيو","يوليو","أغسطس","سبتمبر","أكتوبر","نوفمبر","ديسمبر")</f>
        <v>يناير</v>
      </c>
      <c r="R14" s="40" t="str">
        <f aca="false">"الربع "&amp;ROUNDUP(MONTH(B14)/3,0)</f>
        <v>الربع 1</v>
      </c>
      <c r="S14" s="40" t="str">
        <f aca="false">IF(D14&lt;=12,"أطفال (0-12)",IF(D14&lt;=24,"شباب (13-24)",IF(D14&lt;=44,"بالغون (25-44)",IF(D14&lt;=64,"متوسطو العمر (45-64)","كبار السن (+65)"))))</f>
        <v>أطفال (0-12)</v>
      </c>
      <c r="T14" s="41" t="n">
        <f aca="false">IFERROR(L14/P14,0)</f>
        <v>1867.3</v>
      </c>
    </row>
    <row r="15" customFormat="false" ht="15" hidden="false" customHeight="false" outlineLevel="0" collapsed="false">
      <c r="A15" s="33" t="s">
        <v>757</v>
      </c>
      <c r="B15" s="34" t="n">
        <v>45293</v>
      </c>
      <c r="C15" s="34" t="n">
        <v>45300</v>
      </c>
      <c r="D15" s="33" t="n">
        <v>58</v>
      </c>
      <c r="E15" s="33" t="s">
        <v>154</v>
      </c>
      <c r="F15" s="33" t="s">
        <v>181</v>
      </c>
      <c r="G15" s="33" t="s">
        <v>182</v>
      </c>
      <c r="H15" s="33" t="s">
        <v>245</v>
      </c>
      <c r="I15" s="33" t="s">
        <v>143</v>
      </c>
      <c r="J15" s="33" t="s">
        <v>159</v>
      </c>
      <c r="K15" s="33" t="s">
        <v>145</v>
      </c>
      <c r="L15" s="35" t="n">
        <v>15218.68</v>
      </c>
      <c r="M15" s="33" t="n">
        <v>4</v>
      </c>
      <c r="N15" s="33" t="s">
        <v>210</v>
      </c>
      <c r="O15" s="33" t="s">
        <v>147</v>
      </c>
      <c r="P15" s="39" t="n">
        <f aca="false">C15-B15</f>
        <v>7</v>
      </c>
      <c r="Q15" s="40" t="str">
        <f aca="false">CHOOSE(MONTH(B15),"يناير","فبراير","مارس","أبريل","مايو","يونيو","يوليو","أغسطس","سبتمبر","أكتوبر","نوفمبر","ديسمبر")</f>
        <v>يناير</v>
      </c>
      <c r="R15" s="40" t="str">
        <f aca="false">"الربع "&amp;ROUNDUP(MONTH(B15)/3,0)</f>
        <v>الربع 1</v>
      </c>
      <c r="S15" s="40" t="str">
        <f aca="false">IF(D15&lt;=12,"أطفال (0-12)",IF(D15&lt;=24,"شباب (13-24)",IF(D15&lt;=44,"بالغون (25-44)",IF(D15&lt;=64,"متوسطو العمر (45-64)","كبار السن (+65)"))))</f>
        <v>متوسطو العمر (45-64)</v>
      </c>
      <c r="T15" s="41" t="n">
        <f aca="false">IFERROR(L15/P15,0)</f>
        <v>2174.09714285714</v>
      </c>
    </row>
    <row r="16" customFormat="false" ht="15" hidden="false" customHeight="false" outlineLevel="0" collapsed="false">
      <c r="A16" s="42" t="s">
        <v>612</v>
      </c>
      <c r="B16" s="43" t="n">
        <v>45293</v>
      </c>
      <c r="C16" s="43" t="n">
        <v>45302</v>
      </c>
      <c r="D16" s="42" t="n">
        <v>0</v>
      </c>
      <c r="E16" s="42" t="s">
        <v>139</v>
      </c>
      <c r="F16" s="42" t="s">
        <v>155</v>
      </c>
      <c r="G16" s="42" t="s">
        <v>220</v>
      </c>
      <c r="H16" s="42" t="s">
        <v>157</v>
      </c>
      <c r="I16" s="42" t="s">
        <v>143</v>
      </c>
      <c r="J16" s="42" t="s">
        <v>159</v>
      </c>
      <c r="K16" s="42" t="s">
        <v>145</v>
      </c>
      <c r="L16" s="44" t="n">
        <v>10247.22</v>
      </c>
      <c r="M16" s="42" t="n">
        <v>4</v>
      </c>
      <c r="N16" s="42" t="s">
        <v>146</v>
      </c>
      <c r="O16" s="42" t="s">
        <v>147</v>
      </c>
      <c r="P16" s="39" t="n">
        <f aca="false">C16-B16</f>
        <v>9</v>
      </c>
      <c r="Q16" s="40" t="str">
        <f aca="false">CHOOSE(MONTH(B16),"يناير","فبراير","مارس","أبريل","مايو","يونيو","يوليو","أغسطس","سبتمبر","أكتوبر","نوفمبر","ديسمبر")</f>
        <v>يناير</v>
      </c>
      <c r="R16" s="40" t="str">
        <f aca="false">"الربع "&amp;ROUNDUP(MONTH(B16)/3,0)</f>
        <v>الربع 1</v>
      </c>
      <c r="S16" s="40" t="str">
        <f aca="false">IF(D16&lt;=12,"أطفال (0-12)",IF(D16&lt;=24,"شباب (13-24)",IF(D16&lt;=44,"بالغون (25-44)",IF(D16&lt;=64,"متوسطو العمر (45-64)","كبار السن (+65)"))))</f>
        <v>أطفال (0-12)</v>
      </c>
      <c r="T16" s="41" t="n">
        <f aca="false">IFERROR(L16/P16,0)</f>
        <v>1138.58</v>
      </c>
    </row>
    <row r="17" customFormat="false" ht="15" hidden="false" customHeight="false" outlineLevel="0" collapsed="false">
      <c r="A17" s="33" t="s">
        <v>2050</v>
      </c>
      <c r="B17" s="34" t="n">
        <v>45293</v>
      </c>
      <c r="C17" s="34" t="n">
        <v>45298</v>
      </c>
      <c r="D17" s="33" t="n">
        <v>66</v>
      </c>
      <c r="E17" s="33" t="s">
        <v>154</v>
      </c>
      <c r="F17" s="33" t="s">
        <v>181</v>
      </c>
      <c r="G17" s="33" t="s">
        <v>188</v>
      </c>
      <c r="H17" s="33" t="s">
        <v>183</v>
      </c>
      <c r="I17" s="33" t="s">
        <v>152</v>
      </c>
      <c r="J17" s="33" t="s">
        <v>159</v>
      </c>
      <c r="K17" s="33" t="s">
        <v>145</v>
      </c>
      <c r="L17" s="35" t="n">
        <v>12032.37</v>
      </c>
      <c r="M17" s="33" t="n">
        <v>5</v>
      </c>
      <c r="N17" s="33" t="s">
        <v>210</v>
      </c>
      <c r="O17" s="33" t="s">
        <v>147</v>
      </c>
      <c r="P17" s="39" t="n">
        <f aca="false">C17-B17</f>
        <v>5</v>
      </c>
      <c r="Q17" s="40" t="str">
        <f aca="false">CHOOSE(MONTH(B17),"يناير","فبراير","مارس","أبريل","مايو","يونيو","يوليو","أغسطس","سبتمبر","أكتوبر","نوفمبر","ديسمبر")</f>
        <v>يناير</v>
      </c>
      <c r="R17" s="40" t="str">
        <f aca="false">"الربع "&amp;ROUNDUP(MONTH(B17)/3,0)</f>
        <v>الربع 1</v>
      </c>
      <c r="S17" s="40" t="str">
        <f aca="false">IF(D17&lt;=12,"أطفال (0-12)",IF(D17&lt;=24,"شباب (13-24)",IF(D17&lt;=44,"بالغون (25-44)",IF(D17&lt;=64,"متوسطو العمر (45-64)","كبار السن (+65)"))))</f>
        <v>كبار السن (+65)</v>
      </c>
      <c r="T17" s="41" t="n">
        <f aca="false">IFERROR(L17/P17,0)</f>
        <v>2406.474</v>
      </c>
    </row>
    <row r="18" customFormat="false" ht="15" hidden="false" customHeight="false" outlineLevel="0" collapsed="false">
      <c r="A18" s="42" t="s">
        <v>667</v>
      </c>
      <c r="B18" s="43" t="n">
        <v>45294</v>
      </c>
      <c r="C18" s="43" t="n">
        <v>45295</v>
      </c>
      <c r="D18" s="42" t="n">
        <v>43</v>
      </c>
      <c r="E18" s="42" t="s">
        <v>139</v>
      </c>
      <c r="F18" s="42" t="s">
        <v>203</v>
      </c>
      <c r="G18" s="42" t="s">
        <v>232</v>
      </c>
      <c r="H18" s="42" t="s">
        <v>193</v>
      </c>
      <c r="I18" s="42" t="s">
        <v>143</v>
      </c>
      <c r="J18" s="42" t="s">
        <v>176</v>
      </c>
      <c r="K18" s="42" t="s">
        <v>160</v>
      </c>
      <c r="L18" s="44" t="n">
        <v>3474.5</v>
      </c>
      <c r="M18" s="42" t="n">
        <v>2</v>
      </c>
      <c r="N18" s="42" t="s">
        <v>146</v>
      </c>
      <c r="O18" s="42" t="s">
        <v>147</v>
      </c>
      <c r="P18" s="39" t="n">
        <f aca="false">C18-B18</f>
        <v>1</v>
      </c>
      <c r="Q18" s="40" t="str">
        <f aca="false">CHOOSE(MONTH(B18),"يناير","فبراير","مارس","أبريل","مايو","يونيو","يوليو","أغسطس","سبتمبر","أكتوبر","نوفمبر","ديسمبر")</f>
        <v>يناير</v>
      </c>
      <c r="R18" s="40" t="str">
        <f aca="false">"الربع "&amp;ROUNDUP(MONTH(B18)/3,0)</f>
        <v>الربع 1</v>
      </c>
      <c r="S18" s="40" t="str">
        <f aca="false">IF(D18&lt;=12,"أطفال (0-12)",IF(D18&lt;=24,"شباب (13-24)",IF(D18&lt;=44,"بالغون (25-44)",IF(D18&lt;=64,"متوسطو العمر (45-64)","كبار السن (+65)"))))</f>
        <v>بالغون (25-44)</v>
      </c>
      <c r="T18" s="41" t="n">
        <f aca="false">IFERROR(L18/P18,0)</f>
        <v>3474.5</v>
      </c>
    </row>
    <row r="19" customFormat="false" ht="15" hidden="false" customHeight="false" outlineLevel="0" collapsed="false">
      <c r="A19" s="33" t="s">
        <v>943</v>
      </c>
      <c r="B19" s="34" t="n">
        <v>45294</v>
      </c>
      <c r="C19" s="34" t="n">
        <v>45306</v>
      </c>
      <c r="D19" s="33" t="n">
        <v>71</v>
      </c>
      <c r="E19" s="33" t="s">
        <v>154</v>
      </c>
      <c r="F19" s="33" t="s">
        <v>181</v>
      </c>
      <c r="G19" s="33" t="s">
        <v>237</v>
      </c>
      <c r="H19" s="33" t="s">
        <v>245</v>
      </c>
      <c r="I19" s="33" t="s">
        <v>158</v>
      </c>
      <c r="J19" s="33" t="s">
        <v>159</v>
      </c>
      <c r="K19" s="33" t="s">
        <v>184</v>
      </c>
      <c r="L19" s="35" t="n">
        <v>26906.93</v>
      </c>
      <c r="M19" s="33" t="n">
        <v>4</v>
      </c>
      <c r="N19" s="33" t="s">
        <v>146</v>
      </c>
      <c r="O19" s="33" t="s">
        <v>147</v>
      </c>
      <c r="P19" s="39" t="n">
        <f aca="false">C19-B19</f>
        <v>12</v>
      </c>
      <c r="Q19" s="40" t="str">
        <f aca="false">CHOOSE(MONTH(B19),"يناير","فبراير","مارس","أبريل","مايو","يونيو","يوليو","أغسطس","سبتمبر","أكتوبر","نوفمبر","ديسمبر")</f>
        <v>يناير</v>
      </c>
      <c r="R19" s="40" t="str">
        <f aca="false">"الربع "&amp;ROUNDUP(MONTH(B19)/3,0)</f>
        <v>الربع 1</v>
      </c>
      <c r="S19" s="40" t="str">
        <f aca="false">IF(D19&lt;=12,"أطفال (0-12)",IF(D19&lt;=24,"شباب (13-24)",IF(D19&lt;=44,"بالغون (25-44)",IF(D19&lt;=64,"متوسطو العمر (45-64)","كبار السن (+65)"))))</f>
        <v>كبار السن (+65)</v>
      </c>
      <c r="T19" s="41" t="n">
        <f aca="false">IFERROR(L19/P19,0)</f>
        <v>2242.24416666667</v>
      </c>
    </row>
    <row r="20" customFormat="false" ht="15" hidden="false" customHeight="false" outlineLevel="0" collapsed="false">
      <c r="A20" s="42" t="s">
        <v>1952</v>
      </c>
      <c r="B20" s="43" t="n">
        <v>45294</v>
      </c>
      <c r="C20" s="43" t="n">
        <v>45296</v>
      </c>
      <c r="D20" s="42" t="n">
        <v>62</v>
      </c>
      <c r="E20" s="42" t="s">
        <v>154</v>
      </c>
      <c r="F20" s="42" t="s">
        <v>169</v>
      </c>
      <c r="G20" s="42" t="s">
        <v>170</v>
      </c>
      <c r="H20" s="42" t="s">
        <v>171</v>
      </c>
      <c r="I20" s="42" t="s">
        <v>143</v>
      </c>
      <c r="J20" s="42" t="s">
        <v>159</v>
      </c>
      <c r="K20" s="42" t="s">
        <v>184</v>
      </c>
      <c r="L20" s="44" t="n">
        <v>2372.01</v>
      </c>
      <c r="M20" s="42" t="n">
        <v>4</v>
      </c>
      <c r="N20" s="42" t="s">
        <v>146</v>
      </c>
      <c r="O20" s="42" t="s">
        <v>147</v>
      </c>
      <c r="P20" s="39" t="n">
        <f aca="false">C20-B20</f>
        <v>2</v>
      </c>
      <c r="Q20" s="40" t="str">
        <f aca="false">CHOOSE(MONTH(B20),"يناير","فبراير","مارس","أبريل","مايو","يونيو","يوليو","أغسطس","سبتمبر","أكتوبر","نوفمبر","ديسمبر")</f>
        <v>يناير</v>
      </c>
      <c r="R20" s="40" t="str">
        <f aca="false">"الربع "&amp;ROUNDUP(MONTH(B20)/3,0)</f>
        <v>الربع 1</v>
      </c>
      <c r="S20" s="40" t="str">
        <f aca="false">IF(D20&lt;=12,"أطفال (0-12)",IF(D20&lt;=24,"شباب (13-24)",IF(D20&lt;=44,"بالغون (25-44)",IF(D20&lt;=64,"متوسطو العمر (45-64)","كبار السن (+65)"))))</f>
        <v>متوسطو العمر (45-64)</v>
      </c>
      <c r="T20" s="41" t="n">
        <f aca="false">IFERROR(L20/P20,0)</f>
        <v>1186.005</v>
      </c>
    </row>
    <row r="21" customFormat="false" ht="15" hidden="false" customHeight="false" outlineLevel="0" collapsed="false">
      <c r="A21" s="33" t="s">
        <v>783</v>
      </c>
      <c r="B21" s="34" t="n">
        <v>45294</v>
      </c>
      <c r="C21" s="34" t="n">
        <v>45295</v>
      </c>
      <c r="D21" s="33" t="n">
        <v>36</v>
      </c>
      <c r="E21" s="33" t="s">
        <v>154</v>
      </c>
      <c r="F21" s="33" t="s">
        <v>140</v>
      </c>
      <c r="G21" s="33" t="s">
        <v>141</v>
      </c>
      <c r="H21" s="33" t="s">
        <v>142</v>
      </c>
      <c r="I21" s="33" t="s">
        <v>152</v>
      </c>
      <c r="J21" s="33" t="s">
        <v>159</v>
      </c>
      <c r="K21" s="33" t="s">
        <v>209</v>
      </c>
      <c r="L21" s="35" t="n">
        <v>2210.48</v>
      </c>
      <c r="M21" s="33" t="n">
        <v>4</v>
      </c>
      <c r="N21" s="33" t="s">
        <v>146</v>
      </c>
      <c r="O21" s="33" t="s">
        <v>147</v>
      </c>
      <c r="P21" s="39" t="n">
        <f aca="false">C21-B21</f>
        <v>1</v>
      </c>
      <c r="Q21" s="40" t="str">
        <f aca="false">CHOOSE(MONTH(B21),"يناير","فبراير","مارس","أبريل","مايو","يونيو","يوليو","أغسطس","سبتمبر","أكتوبر","نوفمبر","ديسمبر")</f>
        <v>يناير</v>
      </c>
      <c r="R21" s="40" t="str">
        <f aca="false">"الربع "&amp;ROUNDUP(MONTH(B21)/3,0)</f>
        <v>الربع 1</v>
      </c>
      <c r="S21" s="40" t="str">
        <f aca="false">IF(D21&lt;=12,"أطفال (0-12)",IF(D21&lt;=24,"شباب (13-24)",IF(D21&lt;=44,"بالغون (25-44)",IF(D21&lt;=64,"متوسطو العمر (45-64)","كبار السن (+65)"))))</f>
        <v>بالغون (25-44)</v>
      </c>
      <c r="T21" s="41" t="n">
        <f aca="false">IFERROR(L21/P21,0)</f>
        <v>2210.48</v>
      </c>
    </row>
    <row r="22" customFormat="false" ht="15" hidden="false" customHeight="false" outlineLevel="0" collapsed="false">
      <c r="A22" s="42" t="s">
        <v>903</v>
      </c>
      <c r="B22" s="43" t="n">
        <v>45294</v>
      </c>
      <c r="C22" s="43" t="n">
        <v>45296</v>
      </c>
      <c r="D22" s="42" t="n">
        <v>25</v>
      </c>
      <c r="E22" s="42" t="s">
        <v>139</v>
      </c>
      <c r="F22" s="42" t="s">
        <v>149</v>
      </c>
      <c r="G22" s="42" t="s">
        <v>224</v>
      </c>
      <c r="H22" s="42" t="s">
        <v>151</v>
      </c>
      <c r="I22" s="42" t="s">
        <v>143</v>
      </c>
      <c r="J22" s="42" t="s">
        <v>159</v>
      </c>
      <c r="K22" s="42" t="s">
        <v>184</v>
      </c>
      <c r="L22" s="44" t="n">
        <v>3367.5</v>
      </c>
      <c r="M22" s="42" t="n">
        <v>5</v>
      </c>
      <c r="N22" s="42" t="s">
        <v>146</v>
      </c>
      <c r="O22" s="42" t="s">
        <v>147</v>
      </c>
      <c r="P22" s="39" t="n">
        <f aca="false">C22-B22</f>
        <v>2</v>
      </c>
      <c r="Q22" s="40" t="str">
        <f aca="false">CHOOSE(MONTH(B22),"يناير","فبراير","مارس","أبريل","مايو","يونيو","يوليو","أغسطس","سبتمبر","أكتوبر","نوفمبر","ديسمبر")</f>
        <v>يناير</v>
      </c>
      <c r="R22" s="40" t="str">
        <f aca="false">"الربع "&amp;ROUNDUP(MONTH(B22)/3,0)</f>
        <v>الربع 1</v>
      </c>
      <c r="S22" s="40" t="str">
        <f aca="false">IF(D22&lt;=12,"أطفال (0-12)",IF(D22&lt;=24,"شباب (13-24)",IF(D22&lt;=44,"بالغون (25-44)",IF(D22&lt;=64,"متوسطو العمر (45-64)","كبار السن (+65)"))))</f>
        <v>بالغون (25-44)</v>
      </c>
      <c r="T22" s="41" t="n">
        <f aca="false">IFERROR(L22/P22,0)</f>
        <v>1683.75</v>
      </c>
    </row>
    <row r="23" customFormat="false" ht="15" hidden="false" customHeight="false" outlineLevel="0" collapsed="false">
      <c r="A23" s="33" t="s">
        <v>2258</v>
      </c>
      <c r="B23" s="34" t="n">
        <v>45294</v>
      </c>
      <c r="C23" s="34" t="n">
        <v>45300</v>
      </c>
      <c r="D23" s="33" t="n">
        <v>34</v>
      </c>
      <c r="E23" s="33" t="s">
        <v>154</v>
      </c>
      <c r="F23" s="33" t="s">
        <v>169</v>
      </c>
      <c r="G23" s="33" t="s">
        <v>163</v>
      </c>
      <c r="H23" s="33" t="s">
        <v>171</v>
      </c>
      <c r="I23" s="33" t="s">
        <v>158</v>
      </c>
      <c r="J23" s="33" t="s">
        <v>159</v>
      </c>
      <c r="K23" s="33" t="s">
        <v>209</v>
      </c>
      <c r="L23" s="35" t="n">
        <v>6357.93</v>
      </c>
      <c r="M23" s="33" t="n">
        <v>4</v>
      </c>
      <c r="N23" s="33" t="s">
        <v>146</v>
      </c>
      <c r="O23" s="33" t="s">
        <v>147</v>
      </c>
      <c r="P23" s="39" t="n">
        <f aca="false">C23-B23</f>
        <v>6</v>
      </c>
      <c r="Q23" s="40" t="str">
        <f aca="false">CHOOSE(MONTH(B23),"يناير","فبراير","مارس","أبريل","مايو","يونيو","يوليو","أغسطس","سبتمبر","أكتوبر","نوفمبر","ديسمبر")</f>
        <v>يناير</v>
      </c>
      <c r="R23" s="40" t="str">
        <f aca="false">"الربع "&amp;ROUNDUP(MONTH(B23)/3,0)</f>
        <v>الربع 1</v>
      </c>
      <c r="S23" s="40" t="str">
        <f aca="false">IF(D23&lt;=12,"أطفال (0-12)",IF(D23&lt;=24,"شباب (13-24)",IF(D23&lt;=44,"بالغون (25-44)",IF(D23&lt;=64,"متوسطو العمر (45-64)","كبار السن (+65)"))))</f>
        <v>بالغون (25-44)</v>
      </c>
      <c r="T23" s="41" t="n">
        <f aca="false">IFERROR(L23/P23,0)</f>
        <v>1059.655</v>
      </c>
    </row>
    <row r="24" customFormat="false" ht="15" hidden="false" customHeight="false" outlineLevel="0" collapsed="false">
      <c r="A24" s="42" t="s">
        <v>1602</v>
      </c>
      <c r="B24" s="43" t="n">
        <v>45294</v>
      </c>
      <c r="C24" s="43" t="n">
        <v>45300</v>
      </c>
      <c r="D24" s="42" t="n">
        <v>56</v>
      </c>
      <c r="E24" s="42" t="s">
        <v>154</v>
      </c>
      <c r="F24" s="42" t="s">
        <v>169</v>
      </c>
      <c r="G24" s="42" t="s">
        <v>170</v>
      </c>
      <c r="H24" s="42" t="s">
        <v>195</v>
      </c>
      <c r="I24" s="42" t="s">
        <v>143</v>
      </c>
      <c r="J24" s="42" t="s">
        <v>144</v>
      </c>
      <c r="K24" s="42" t="s">
        <v>160</v>
      </c>
      <c r="L24" s="44" t="n">
        <v>9571.35</v>
      </c>
      <c r="M24" s="42" t="n">
        <v>4</v>
      </c>
      <c r="N24" s="42" t="s">
        <v>146</v>
      </c>
      <c r="O24" s="42" t="s">
        <v>147</v>
      </c>
      <c r="P24" s="39" t="n">
        <f aca="false">C24-B24</f>
        <v>6</v>
      </c>
      <c r="Q24" s="40" t="str">
        <f aca="false">CHOOSE(MONTH(B24),"يناير","فبراير","مارس","أبريل","مايو","يونيو","يوليو","أغسطس","سبتمبر","أكتوبر","نوفمبر","ديسمبر")</f>
        <v>يناير</v>
      </c>
      <c r="R24" s="40" t="str">
        <f aca="false">"الربع "&amp;ROUNDUP(MONTH(B24)/3,0)</f>
        <v>الربع 1</v>
      </c>
      <c r="S24" s="40" t="str">
        <f aca="false">IF(D24&lt;=12,"أطفال (0-12)",IF(D24&lt;=24,"شباب (13-24)",IF(D24&lt;=44,"بالغون (25-44)",IF(D24&lt;=64,"متوسطو العمر (45-64)","كبار السن (+65)"))))</f>
        <v>متوسطو العمر (45-64)</v>
      </c>
      <c r="T24" s="41" t="n">
        <f aca="false">IFERROR(L24/P24,0)</f>
        <v>1595.225</v>
      </c>
    </row>
    <row r="25" customFormat="false" ht="15" hidden="false" customHeight="false" outlineLevel="0" collapsed="false">
      <c r="A25" s="33" t="s">
        <v>1473</v>
      </c>
      <c r="B25" s="34" t="n">
        <v>45295</v>
      </c>
      <c r="C25" s="34" t="n">
        <v>45297</v>
      </c>
      <c r="D25" s="33" t="n">
        <v>23</v>
      </c>
      <c r="E25" s="33" t="s">
        <v>139</v>
      </c>
      <c r="F25" s="33" t="s">
        <v>203</v>
      </c>
      <c r="G25" s="33" t="s">
        <v>204</v>
      </c>
      <c r="H25" s="33" t="s">
        <v>233</v>
      </c>
      <c r="I25" s="33" t="s">
        <v>143</v>
      </c>
      <c r="J25" s="33" t="s">
        <v>159</v>
      </c>
      <c r="K25" s="33" t="s">
        <v>145</v>
      </c>
      <c r="L25" s="35" t="n">
        <v>1634.94</v>
      </c>
      <c r="M25" s="33" t="n">
        <v>3</v>
      </c>
      <c r="N25" s="33" t="s">
        <v>146</v>
      </c>
      <c r="O25" s="33" t="s">
        <v>147</v>
      </c>
      <c r="P25" s="39" t="n">
        <f aca="false">C25-B25</f>
        <v>2</v>
      </c>
      <c r="Q25" s="40" t="str">
        <f aca="false">CHOOSE(MONTH(B25),"يناير","فبراير","مارس","أبريل","مايو","يونيو","يوليو","أغسطس","سبتمبر","أكتوبر","نوفمبر","ديسمبر")</f>
        <v>يناير</v>
      </c>
      <c r="R25" s="40" t="str">
        <f aca="false">"الربع "&amp;ROUNDUP(MONTH(B25)/3,0)</f>
        <v>الربع 1</v>
      </c>
      <c r="S25" s="40" t="str">
        <f aca="false">IF(D25&lt;=12,"أطفال (0-12)",IF(D25&lt;=24,"شباب (13-24)",IF(D25&lt;=44,"بالغون (25-44)",IF(D25&lt;=64,"متوسطو العمر (45-64)","كبار السن (+65)"))))</f>
        <v>شباب (13-24)</v>
      </c>
      <c r="T25" s="41" t="n">
        <f aca="false">IFERROR(L25/P25,0)</f>
        <v>817.47</v>
      </c>
    </row>
    <row r="26" customFormat="false" ht="15" hidden="false" customHeight="false" outlineLevel="0" collapsed="false">
      <c r="A26" s="42" t="s">
        <v>1101</v>
      </c>
      <c r="B26" s="43" t="n">
        <v>45295</v>
      </c>
      <c r="C26" s="43" t="n">
        <v>45296</v>
      </c>
      <c r="D26" s="42" t="n">
        <v>20</v>
      </c>
      <c r="E26" s="42" t="s">
        <v>139</v>
      </c>
      <c r="F26" s="42" t="s">
        <v>149</v>
      </c>
      <c r="G26" s="42" t="s">
        <v>224</v>
      </c>
      <c r="H26" s="42" t="s">
        <v>151</v>
      </c>
      <c r="I26" s="42" t="s">
        <v>152</v>
      </c>
      <c r="J26" s="42" t="s">
        <v>159</v>
      </c>
      <c r="K26" s="42" t="s">
        <v>160</v>
      </c>
      <c r="L26" s="44" t="n">
        <v>1604.11</v>
      </c>
      <c r="M26" s="42" t="n">
        <v>3</v>
      </c>
      <c r="N26" s="42" t="s">
        <v>146</v>
      </c>
      <c r="O26" s="42" t="s">
        <v>147</v>
      </c>
      <c r="P26" s="39" t="n">
        <f aca="false">C26-B26</f>
        <v>1</v>
      </c>
      <c r="Q26" s="40" t="str">
        <f aca="false">CHOOSE(MONTH(B26),"يناير","فبراير","مارس","أبريل","مايو","يونيو","يوليو","أغسطس","سبتمبر","أكتوبر","نوفمبر","ديسمبر")</f>
        <v>يناير</v>
      </c>
      <c r="R26" s="40" t="str">
        <f aca="false">"الربع "&amp;ROUNDUP(MONTH(B26)/3,0)</f>
        <v>الربع 1</v>
      </c>
      <c r="S26" s="40" t="str">
        <f aca="false">IF(D26&lt;=12,"أطفال (0-12)",IF(D26&lt;=24,"شباب (13-24)",IF(D26&lt;=44,"بالغون (25-44)",IF(D26&lt;=64,"متوسطو العمر (45-64)","كبار السن (+65)"))))</f>
        <v>شباب (13-24)</v>
      </c>
      <c r="T26" s="41" t="n">
        <f aca="false">IFERROR(L26/P26,0)</f>
        <v>1604.11</v>
      </c>
    </row>
    <row r="27" customFormat="false" ht="15" hidden="false" customHeight="false" outlineLevel="0" collapsed="false">
      <c r="A27" s="33" t="s">
        <v>2224</v>
      </c>
      <c r="B27" s="34" t="n">
        <v>45295</v>
      </c>
      <c r="C27" s="34" t="n">
        <v>45300</v>
      </c>
      <c r="D27" s="33" t="n">
        <v>70</v>
      </c>
      <c r="E27" s="33" t="s">
        <v>154</v>
      </c>
      <c r="F27" s="33" t="s">
        <v>226</v>
      </c>
      <c r="G27" s="33" t="s">
        <v>258</v>
      </c>
      <c r="H27" s="33" t="s">
        <v>228</v>
      </c>
      <c r="I27" s="33" t="s">
        <v>143</v>
      </c>
      <c r="J27" s="33" t="s">
        <v>144</v>
      </c>
      <c r="K27" s="33" t="s">
        <v>209</v>
      </c>
      <c r="L27" s="35" t="n">
        <v>24347.43</v>
      </c>
      <c r="M27" s="33" t="n">
        <v>5</v>
      </c>
      <c r="N27" s="33" t="s">
        <v>210</v>
      </c>
      <c r="O27" s="33" t="s">
        <v>147</v>
      </c>
      <c r="P27" s="39" t="n">
        <f aca="false">C27-B27</f>
        <v>5</v>
      </c>
      <c r="Q27" s="40" t="str">
        <f aca="false">CHOOSE(MONTH(B27),"يناير","فبراير","مارس","أبريل","مايو","يونيو","يوليو","أغسطس","سبتمبر","أكتوبر","نوفمبر","ديسمبر")</f>
        <v>يناير</v>
      </c>
      <c r="R27" s="40" t="str">
        <f aca="false">"الربع "&amp;ROUNDUP(MONTH(B27)/3,0)</f>
        <v>الربع 1</v>
      </c>
      <c r="S27" s="40" t="str">
        <f aca="false">IF(D27&lt;=12,"أطفال (0-12)",IF(D27&lt;=24,"شباب (13-24)",IF(D27&lt;=44,"بالغون (25-44)",IF(D27&lt;=64,"متوسطو العمر (45-64)","كبار السن (+65)"))))</f>
        <v>كبار السن (+65)</v>
      </c>
      <c r="T27" s="41" t="n">
        <f aca="false">IFERROR(L27/P27,0)</f>
        <v>4869.486</v>
      </c>
    </row>
    <row r="28" customFormat="false" ht="15" hidden="false" customHeight="false" outlineLevel="0" collapsed="false">
      <c r="A28" s="42" t="s">
        <v>1527</v>
      </c>
      <c r="B28" s="43" t="n">
        <v>45295</v>
      </c>
      <c r="C28" s="43" t="n">
        <v>45297</v>
      </c>
      <c r="D28" s="42" t="n">
        <v>52</v>
      </c>
      <c r="E28" s="42" t="s">
        <v>154</v>
      </c>
      <c r="F28" s="42" t="s">
        <v>169</v>
      </c>
      <c r="G28" s="42" t="s">
        <v>163</v>
      </c>
      <c r="H28" s="42" t="s">
        <v>195</v>
      </c>
      <c r="I28" s="42" t="s">
        <v>152</v>
      </c>
      <c r="J28" s="42" t="s">
        <v>159</v>
      </c>
      <c r="K28" s="42" t="s">
        <v>145</v>
      </c>
      <c r="L28" s="44" t="n">
        <v>2601.72</v>
      </c>
      <c r="M28" s="42" t="n">
        <v>3</v>
      </c>
      <c r="N28" s="42" t="s">
        <v>210</v>
      </c>
      <c r="O28" s="42" t="s">
        <v>147</v>
      </c>
      <c r="P28" s="39" t="n">
        <f aca="false">C28-B28</f>
        <v>2</v>
      </c>
      <c r="Q28" s="40" t="str">
        <f aca="false">CHOOSE(MONTH(B28),"يناير","فبراير","مارس","أبريل","مايو","يونيو","يوليو","أغسطس","سبتمبر","أكتوبر","نوفمبر","ديسمبر")</f>
        <v>يناير</v>
      </c>
      <c r="R28" s="40" t="str">
        <f aca="false">"الربع "&amp;ROUNDUP(MONTH(B28)/3,0)</f>
        <v>الربع 1</v>
      </c>
      <c r="S28" s="40" t="str">
        <f aca="false">IF(D28&lt;=12,"أطفال (0-12)",IF(D28&lt;=24,"شباب (13-24)",IF(D28&lt;=44,"بالغون (25-44)",IF(D28&lt;=64,"متوسطو العمر (45-64)","كبار السن (+65)"))))</f>
        <v>متوسطو العمر (45-64)</v>
      </c>
      <c r="T28" s="41" t="n">
        <f aca="false">IFERROR(L28/P28,0)</f>
        <v>1300.86</v>
      </c>
    </row>
    <row r="29" customFormat="false" ht="15" hidden="false" customHeight="false" outlineLevel="0" collapsed="false">
      <c r="A29" s="33" t="s">
        <v>1854</v>
      </c>
      <c r="B29" s="34" t="n">
        <v>45295</v>
      </c>
      <c r="C29" s="34" t="n">
        <v>45296</v>
      </c>
      <c r="D29" s="33" t="n">
        <v>21</v>
      </c>
      <c r="E29" s="33" t="s">
        <v>139</v>
      </c>
      <c r="F29" s="33" t="s">
        <v>149</v>
      </c>
      <c r="G29" s="33" t="s">
        <v>224</v>
      </c>
      <c r="H29" s="33" t="s">
        <v>151</v>
      </c>
      <c r="I29" s="33" t="s">
        <v>143</v>
      </c>
      <c r="J29" s="33" t="s">
        <v>159</v>
      </c>
      <c r="K29" s="33" t="s">
        <v>160</v>
      </c>
      <c r="L29" s="35" t="n">
        <v>1551.04</v>
      </c>
      <c r="M29" s="33" t="n">
        <v>4</v>
      </c>
      <c r="N29" s="33" t="s">
        <v>146</v>
      </c>
      <c r="O29" s="33" t="s">
        <v>147</v>
      </c>
      <c r="P29" s="39" t="n">
        <f aca="false">C29-B29</f>
        <v>1</v>
      </c>
      <c r="Q29" s="40" t="str">
        <f aca="false">CHOOSE(MONTH(B29),"يناير","فبراير","مارس","أبريل","مايو","يونيو","يوليو","أغسطس","سبتمبر","أكتوبر","نوفمبر","ديسمبر")</f>
        <v>يناير</v>
      </c>
      <c r="R29" s="40" t="str">
        <f aca="false">"الربع "&amp;ROUNDUP(MONTH(B29)/3,0)</f>
        <v>الربع 1</v>
      </c>
      <c r="S29" s="40" t="str">
        <f aca="false">IF(D29&lt;=12,"أطفال (0-12)",IF(D29&lt;=24,"شباب (13-24)",IF(D29&lt;=44,"بالغون (25-44)",IF(D29&lt;=64,"متوسطو العمر (45-64)","كبار السن (+65)"))))</f>
        <v>شباب (13-24)</v>
      </c>
      <c r="T29" s="41" t="n">
        <f aca="false">IFERROR(L29/P29,0)</f>
        <v>1551.04</v>
      </c>
    </row>
    <row r="30" customFormat="false" ht="15" hidden="false" customHeight="false" outlineLevel="0" collapsed="false">
      <c r="A30" s="42" t="s">
        <v>1007</v>
      </c>
      <c r="B30" s="43" t="n">
        <v>45295</v>
      </c>
      <c r="C30" s="43" t="n">
        <v>45297</v>
      </c>
      <c r="D30" s="42" t="n">
        <v>11</v>
      </c>
      <c r="E30" s="42" t="s">
        <v>139</v>
      </c>
      <c r="F30" s="42" t="s">
        <v>169</v>
      </c>
      <c r="G30" s="42" t="s">
        <v>163</v>
      </c>
      <c r="H30" s="42" t="s">
        <v>164</v>
      </c>
      <c r="I30" s="42" t="s">
        <v>143</v>
      </c>
      <c r="J30" s="42" t="s">
        <v>159</v>
      </c>
      <c r="K30" s="42" t="s">
        <v>184</v>
      </c>
      <c r="L30" s="44" t="n">
        <v>2125.19</v>
      </c>
      <c r="M30" s="42" t="n">
        <v>3</v>
      </c>
      <c r="N30" s="42" t="s">
        <v>146</v>
      </c>
      <c r="O30" s="42" t="s">
        <v>147</v>
      </c>
      <c r="P30" s="39" t="n">
        <f aca="false">C30-B30</f>
        <v>2</v>
      </c>
      <c r="Q30" s="40" t="str">
        <f aca="false">CHOOSE(MONTH(B30),"يناير","فبراير","مارس","أبريل","مايو","يونيو","يوليو","أغسطس","سبتمبر","أكتوبر","نوفمبر","ديسمبر")</f>
        <v>يناير</v>
      </c>
      <c r="R30" s="40" t="str">
        <f aca="false">"الربع "&amp;ROUNDUP(MONTH(B30)/3,0)</f>
        <v>الربع 1</v>
      </c>
      <c r="S30" s="40" t="str">
        <f aca="false">IF(D30&lt;=12,"أطفال (0-12)",IF(D30&lt;=24,"شباب (13-24)",IF(D30&lt;=44,"بالغون (25-44)",IF(D30&lt;=64,"متوسطو العمر (45-64)","كبار السن (+65)"))))</f>
        <v>أطفال (0-12)</v>
      </c>
      <c r="T30" s="41" t="n">
        <f aca="false">IFERROR(L30/P30,0)</f>
        <v>1062.595</v>
      </c>
    </row>
    <row r="31" customFormat="false" ht="15" hidden="false" customHeight="false" outlineLevel="0" collapsed="false">
      <c r="A31" s="33" t="s">
        <v>1500</v>
      </c>
      <c r="B31" s="34" t="n">
        <v>45296</v>
      </c>
      <c r="C31" s="34" t="n">
        <v>45300</v>
      </c>
      <c r="D31" s="33" t="n">
        <v>42</v>
      </c>
      <c r="E31" s="33" t="s">
        <v>139</v>
      </c>
      <c r="F31" s="33" t="s">
        <v>169</v>
      </c>
      <c r="G31" s="33" t="s">
        <v>213</v>
      </c>
      <c r="H31" s="33" t="s">
        <v>171</v>
      </c>
      <c r="I31" s="33" t="s">
        <v>143</v>
      </c>
      <c r="J31" s="33" t="s">
        <v>159</v>
      </c>
      <c r="K31" s="33" t="s">
        <v>184</v>
      </c>
      <c r="L31" s="35" t="n">
        <v>5473.85</v>
      </c>
      <c r="M31" s="33" t="n">
        <v>5</v>
      </c>
      <c r="N31" s="33" t="s">
        <v>146</v>
      </c>
      <c r="O31" s="33" t="s">
        <v>147</v>
      </c>
      <c r="P31" s="39" t="n">
        <f aca="false">C31-B31</f>
        <v>4</v>
      </c>
      <c r="Q31" s="40" t="str">
        <f aca="false">CHOOSE(MONTH(B31),"يناير","فبراير","مارس","أبريل","مايو","يونيو","يوليو","أغسطس","سبتمبر","أكتوبر","نوفمبر","ديسمبر")</f>
        <v>يناير</v>
      </c>
      <c r="R31" s="40" t="str">
        <f aca="false">"الربع "&amp;ROUNDUP(MONTH(B31)/3,0)</f>
        <v>الربع 1</v>
      </c>
      <c r="S31" s="40" t="str">
        <f aca="false">IF(D31&lt;=12,"أطفال (0-12)",IF(D31&lt;=24,"شباب (13-24)",IF(D31&lt;=44,"بالغون (25-44)",IF(D31&lt;=64,"متوسطو العمر (45-64)","كبار السن (+65)"))))</f>
        <v>بالغون (25-44)</v>
      </c>
      <c r="T31" s="41" t="n">
        <f aca="false">IFERROR(L31/P31,0)</f>
        <v>1368.4625</v>
      </c>
    </row>
    <row r="32" customFormat="false" ht="15" hidden="false" customHeight="false" outlineLevel="0" collapsed="false">
      <c r="A32" s="42" t="s">
        <v>1037</v>
      </c>
      <c r="B32" s="43" t="n">
        <v>45296</v>
      </c>
      <c r="C32" s="43" t="n">
        <v>45300</v>
      </c>
      <c r="D32" s="42" t="n">
        <v>32</v>
      </c>
      <c r="E32" s="42" t="s">
        <v>139</v>
      </c>
      <c r="F32" s="42" t="s">
        <v>173</v>
      </c>
      <c r="G32" s="42" t="s">
        <v>174</v>
      </c>
      <c r="H32" s="42" t="s">
        <v>175</v>
      </c>
      <c r="I32" s="42" t="s">
        <v>152</v>
      </c>
      <c r="J32" s="42" t="s">
        <v>159</v>
      </c>
      <c r="K32" s="42" t="s">
        <v>184</v>
      </c>
      <c r="L32" s="44" t="n">
        <v>10478.04</v>
      </c>
      <c r="M32" s="42" t="n">
        <v>5</v>
      </c>
      <c r="N32" s="42" t="s">
        <v>146</v>
      </c>
      <c r="O32" s="42" t="s">
        <v>295</v>
      </c>
      <c r="P32" s="39" t="n">
        <f aca="false">C32-B32</f>
        <v>4</v>
      </c>
      <c r="Q32" s="40" t="str">
        <f aca="false">CHOOSE(MONTH(B32),"يناير","فبراير","مارس","أبريل","مايو","يونيو","يوليو","أغسطس","سبتمبر","أكتوبر","نوفمبر","ديسمبر")</f>
        <v>يناير</v>
      </c>
      <c r="R32" s="40" t="str">
        <f aca="false">"الربع "&amp;ROUNDUP(MONTH(B32)/3,0)</f>
        <v>الربع 1</v>
      </c>
      <c r="S32" s="40" t="str">
        <f aca="false">IF(D32&lt;=12,"أطفال (0-12)",IF(D32&lt;=24,"شباب (13-24)",IF(D32&lt;=44,"بالغون (25-44)",IF(D32&lt;=64,"متوسطو العمر (45-64)","كبار السن (+65)"))))</f>
        <v>بالغون (25-44)</v>
      </c>
      <c r="T32" s="41" t="n">
        <f aca="false">IFERROR(L32/P32,0)</f>
        <v>2619.51</v>
      </c>
    </row>
    <row r="33" customFormat="false" ht="15" hidden="false" customHeight="false" outlineLevel="0" collapsed="false">
      <c r="A33" s="33" t="s">
        <v>202</v>
      </c>
      <c r="B33" s="34" t="n">
        <v>45296</v>
      </c>
      <c r="C33" s="34" t="n">
        <v>45298</v>
      </c>
      <c r="D33" s="33" t="n">
        <v>50</v>
      </c>
      <c r="E33" s="33" t="s">
        <v>154</v>
      </c>
      <c r="F33" s="33" t="s">
        <v>203</v>
      </c>
      <c r="G33" s="33" t="s">
        <v>204</v>
      </c>
      <c r="H33" s="33" t="s">
        <v>205</v>
      </c>
      <c r="I33" s="33" t="s">
        <v>152</v>
      </c>
      <c r="J33" s="33" t="s">
        <v>144</v>
      </c>
      <c r="K33" s="33" t="s">
        <v>184</v>
      </c>
      <c r="L33" s="35" t="n">
        <v>3595.62</v>
      </c>
      <c r="M33" s="33" t="n">
        <v>3</v>
      </c>
      <c r="N33" s="33" t="s">
        <v>146</v>
      </c>
      <c r="O33" s="33" t="s">
        <v>206</v>
      </c>
      <c r="P33" s="39" t="n">
        <f aca="false">C33-B33</f>
        <v>2</v>
      </c>
      <c r="Q33" s="40" t="str">
        <f aca="false">CHOOSE(MONTH(B33),"يناير","فبراير","مارس","أبريل","مايو","يونيو","يوليو","أغسطس","سبتمبر","أكتوبر","نوفمبر","ديسمبر")</f>
        <v>يناير</v>
      </c>
      <c r="R33" s="40" t="str">
        <f aca="false">"الربع "&amp;ROUNDUP(MONTH(B33)/3,0)</f>
        <v>الربع 1</v>
      </c>
      <c r="S33" s="40" t="str">
        <f aca="false">IF(D33&lt;=12,"أطفال (0-12)",IF(D33&lt;=24,"شباب (13-24)",IF(D33&lt;=44,"بالغون (25-44)",IF(D33&lt;=64,"متوسطو العمر (45-64)","كبار السن (+65)"))))</f>
        <v>متوسطو العمر (45-64)</v>
      </c>
      <c r="T33" s="41" t="n">
        <f aca="false">IFERROR(L33/P33,0)</f>
        <v>1797.81</v>
      </c>
    </row>
    <row r="34" customFormat="false" ht="15" hidden="false" customHeight="false" outlineLevel="0" collapsed="false">
      <c r="A34" s="42" t="s">
        <v>561</v>
      </c>
      <c r="B34" s="43" t="n">
        <v>45297</v>
      </c>
      <c r="C34" s="43" t="n">
        <v>45303</v>
      </c>
      <c r="D34" s="42" t="n">
        <v>63</v>
      </c>
      <c r="E34" s="42" t="s">
        <v>139</v>
      </c>
      <c r="F34" s="42" t="s">
        <v>226</v>
      </c>
      <c r="G34" s="42" t="s">
        <v>227</v>
      </c>
      <c r="H34" s="42" t="s">
        <v>263</v>
      </c>
      <c r="I34" s="42" t="s">
        <v>152</v>
      </c>
      <c r="J34" s="42" t="s">
        <v>176</v>
      </c>
      <c r="K34" s="42" t="s">
        <v>160</v>
      </c>
      <c r="L34" s="44" t="n">
        <v>65817.81</v>
      </c>
      <c r="M34" s="42" t="n">
        <v>4</v>
      </c>
      <c r="N34" s="42" t="s">
        <v>146</v>
      </c>
      <c r="O34" s="42" t="s">
        <v>247</v>
      </c>
      <c r="P34" s="39" t="n">
        <f aca="false">C34-B34</f>
        <v>6</v>
      </c>
      <c r="Q34" s="40" t="str">
        <f aca="false">CHOOSE(MONTH(B34),"يناير","فبراير","مارس","أبريل","مايو","يونيو","يوليو","أغسطس","سبتمبر","أكتوبر","نوفمبر","ديسمبر")</f>
        <v>يناير</v>
      </c>
      <c r="R34" s="40" t="str">
        <f aca="false">"الربع "&amp;ROUNDUP(MONTH(B34)/3,0)</f>
        <v>الربع 1</v>
      </c>
      <c r="S34" s="40" t="str">
        <f aca="false">IF(D34&lt;=12,"أطفال (0-12)",IF(D34&lt;=24,"شباب (13-24)",IF(D34&lt;=44,"بالغون (25-44)",IF(D34&lt;=64,"متوسطو العمر (45-64)","كبار السن (+65)"))))</f>
        <v>متوسطو العمر (45-64)</v>
      </c>
      <c r="T34" s="41" t="n">
        <f aca="false">IFERROR(L34/P34,0)</f>
        <v>10969.635</v>
      </c>
    </row>
    <row r="35" customFormat="false" ht="15" hidden="false" customHeight="false" outlineLevel="0" collapsed="false">
      <c r="A35" s="33" t="s">
        <v>989</v>
      </c>
      <c r="B35" s="34" t="n">
        <v>45297</v>
      </c>
      <c r="C35" s="34" t="n">
        <v>45300</v>
      </c>
      <c r="D35" s="33" t="n">
        <v>55</v>
      </c>
      <c r="E35" s="33" t="s">
        <v>139</v>
      </c>
      <c r="F35" s="33" t="s">
        <v>203</v>
      </c>
      <c r="G35" s="33" t="s">
        <v>241</v>
      </c>
      <c r="H35" s="33" t="s">
        <v>233</v>
      </c>
      <c r="I35" s="33" t="s">
        <v>143</v>
      </c>
      <c r="J35" s="33" t="s">
        <v>159</v>
      </c>
      <c r="K35" s="33" t="s">
        <v>145</v>
      </c>
      <c r="L35" s="35" t="n">
        <v>2307.47</v>
      </c>
      <c r="M35" s="33" t="n">
        <v>3</v>
      </c>
      <c r="N35" s="33" t="s">
        <v>146</v>
      </c>
      <c r="O35" s="33" t="s">
        <v>147</v>
      </c>
      <c r="P35" s="39" t="n">
        <f aca="false">C35-B35</f>
        <v>3</v>
      </c>
      <c r="Q35" s="40" t="str">
        <f aca="false">CHOOSE(MONTH(B35),"يناير","فبراير","مارس","أبريل","مايو","يونيو","يوليو","أغسطس","سبتمبر","أكتوبر","نوفمبر","ديسمبر")</f>
        <v>يناير</v>
      </c>
      <c r="R35" s="40" t="str">
        <f aca="false">"الربع "&amp;ROUNDUP(MONTH(B35)/3,0)</f>
        <v>الربع 1</v>
      </c>
      <c r="S35" s="40" t="str">
        <f aca="false">IF(D35&lt;=12,"أطفال (0-12)",IF(D35&lt;=24,"شباب (13-24)",IF(D35&lt;=44,"بالغون (25-44)",IF(D35&lt;=64,"متوسطو العمر (45-64)","كبار السن (+65)"))))</f>
        <v>متوسطو العمر (45-64)</v>
      </c>
      <c r="T35" s="41" t="n">
        <f aca="false">IFERROR(L35/P35,0)</f>
        <v>769.156666666667</v>
      </c>
    </row>
    <row r="36" customFormat="false" ht="15" hidden="false" customHeight="false" outlineLevel="0" collapsed="false">
      <c r="A36" s="42" t="s">
        <v>1042</v>
      </c>
      <c r="B36" s="43" t="n">
        <v>45297</v>
      </c>
      <c r="C36" s="43" t="n">
        <v>45298</v>
      </c>
      <c r="D36" s="42" t="n">
        <v>42</v>
      </c>
      <c r="E36" s="42" t="s">
        <v>139</v>
      </c>
      <c r="F36" s="42" t="s">
        <v>203</v>
      </c>
      <c r="G36" s="42" t="s">
        <v>192</v>
      </c>
      <c r="H36" s="42" t="s">
        <v>205</v>
      </c>
      <c r="I36" s="42" t="s">
        <v>143</v>
      </c>
      <c r="J36" s="42" t="s">
        <v>144</v>
      </c>
      <c r="K36" s="42" t="s">
        <v>145</v>
      </c>
      <c r="L36" s="44" t="n">
        <v>1573.79</v>
      </c>
      <c r="M36" s="42" t="n">
        <v>2</v>
      </c>
      <c r="N36" s="42" t="s">
        <v>146</v>
      </c>
      <c r="O36" s="42" t="s">
        <v>147</v>
      </c>
      <c r="P36" s="39" t="n">
        <f aca="false">C36-B36</f>
        <v>1</v>
      </c>
      <c r="Q36" s="40" t="str">
        <f aca="false">CHOOSE(MONTH(B36),"يناير","فبراير","مارس","أبريل","مايو","يونيو","يوليو","أغسطس","سبتمبر","أكتوبر","نوفمبر","ديسمبر")</f>
        <v>يناير</v>
      </c>
      <c r="R36" s="40" t="str">
        <f aca="false">"الربع "&amp;ROUNDUP(MONTH(B36)/3,0)</f>
        <v>الربع 1</v>
      </c>
      <c r="S36" s="40" t="str">
        <f aca="false">IF(D36&lt;=12,"أطفال (0-12)",IF(D36&lt;=24,"شباب (13-24)",IF(D36&lt;=44,"بالغون (25-44)",IF(D36&lt;=64,"متوسطو العمر (45-64)","كبار السن (+65)"))))</f>
        <v>بالغون (25-44)</v>
      </c>
      <c r="T36" s="41" t="n">
        <f aca="false">IFERROR(L36/P36,0)</f>
        <v>1573.79</v>
      </c>
    </row>
    <row r="37" customFormat="false" ht="15" hidden="false" customHeight="false" outlineLevel="0" collapsed="false">
      <c r="A37" s="33" t="s">
        <v>841</v>
      </c>
      <c r="B37" s="34" t="n">
        <v>45297</v>
      </c>
      <c r="C37" s="34" t="n">
        <v>45298</v>
      </c>
      <c r="D37" s="33" t="n">
        <v>18</v>
      </c>
      <c r="E37" s="33" t="s">
        <v>139</v>
      </c>
      <c r="F37" s="33" t="s">
        <v>140</v>
      </c>
      <c r="G37" s="33" t="s">
        <v>141</v>
      </c>
      <c r="H37" s="33" t="s">
        <v>142</v>
      </c>
      <c r="I37" s="33" t="s">
        <v>143</v>
      </c>
      <c r="J37" s="33" t="s">
        <v>159</v>
      </c>
      <c r="K37" s="33" t="s">
        <v>145</v>
      </c>
      <c r="L37" s="35" t="n">
        <v>2248.85</v>
      </c>
      <c r="M37" s="33" t="n">
        <v>4</v>
      </c>
      <c r="N37" s="33" t="s">
        <v>146</v>
      </c>
      <c r="O37" s="33" t="s">
        <v>147</v>
      </c>
      <c r="P37" s="39" t="n">
        <f aca="false">C37-B37</f>
        <v>1</v>
      </c>
      <c r="Q37" s="40" t="str">
        <f aca="false">CHOOSE(MONTH(B37),"يناير","فبراير","مارس","أبريل","مايو","يونيو","يوليو","أغسطس","سبتمبر","أكتوبر","نوفمبر","ديسمبر")</f>
        <v>يناير</v>
      </c>
      <c r="R37" s="40" t="str">
        <f aca="false">"الربع "&amp;ROUNDUP(MONTH(B37)/3,0)</f>
        <v>الربع 1</v>
      </c>
      <c r="S37" s="40" t="str">
        <f aca="false">IF(D37&lt;=12,"أطفال (0-12)",IF(D37&lt;=24,"شباب (13-24)",IF(D37&lt;=44,"بالغون (25-44)",IF(D37&lt;=64,"متوسطو العمر (45-64)","كبار السن (+65)"))))</f>
        <v>شباب (13-24)</v>
      </c>
      <c r="T37" s="41" t="n">
        <f aca="false">IFERROR(L37/P37,0)</f>
        <v>2248.85</v>
      </c>
    </row>
    <row r="38" customFormat="false" ht="15" hidden="false" customHeight="false" outlineLevel="0" collapsed="false">
      <c r="A38" s="42" t="s">
        <v>893</v>
      </c>
      <c r="B38" s="43" t="n">
        <v>45297</v>
      </c>
      <c r="C38" s="43" t="n">
        <v>45298</v>
      </c>
      <c r="D38" s="42" t="n">
        <v>2</v>
      </c>
      <c r="E38" s="42" t="s">
        <v>154</v>
      </c>
      <c r="F38" s="42" t="s">
        <v>155</v>
      </c>
      <c r="G38" s="42" t="s">
        <v>302</v>
      </c>
      <c r="H38" s="42" t="s">
        <v>157</v>
      </c>
      <c r="I38" s="42" t="s">
        <v>152</v>
      </c>
      <c r="J38" s="42" t="s">
        <v>159</v>
      </c>
      <c r="K38" s="42" t="s">
        <v>209</v>
      </c>
      <c r="L38" s="44" t="n">
        <v>1015.42</v>
      </c>
      <c r="M38" s="42" t="n">
        <v>4</v>
      </c>
      <c r="N38" s="42" t="s">
        <v>146</v>
      </c>
      <c r="O38" s="42" t="s">
        <v>147</v>
      </c>
      <c r="P38" s="39" t="n">
        <f aca="false">C38-B38</f>
        <v>1</v>
      </c>
      <c r="Q38" s="40" t="str">
        <f aca="false">CHOOSE(MONTH(B38),"يناير","فبراير","مارس","أبريل","مايو","يونيو","يوليو","أغسطس","سبتمبر","أكتوبر","نوفمبر","ديسمبر")</f>
        <v>يناير</v>
      </c>
      <c r="R38" s="40" t="str">
        <f aca="false">"الربع "&amp;ROUNDUP(MONTH(B38)/3,0)</f>
        <v>الربع 1</v>
      </c>
      <c r="S38" s="40" t="str">
        <f aca="false">IF(D38&lt;=12,"أطفال (0-12)",IF(D38&lt;=24,"شباب (13-24)",IF(D38&lt;=44,"بالغون (25-44)",IF(D38&lt;=64,"متوسطو العمر (45-64)","كبار السن (+65)"))))</f>
        <v>أطفال (0-12)</v>
      </c>
      <c r="T38" s="41" t="n">
        <f aca="false">IFERROR(L38/P38,0)</f>
        <v>1015.42</v>
      </c>
    </row>
    <row r="39" customFormat="false" ht="15" hidden="false" customHeight="false" outlineLevel="0" collapsed="false">
      <c r="A39" s="33" t="s">
        <v>2143</v>
      </c>
      <c r="B39" s="34" t="n">
        <v>45298</v>
      </c>
      <c r="C39" s="34" t="n">
        <v>45300</v>
      </c>
      <c r="D39" s="33" t="n">
        <v>43</v>
      </c>
      <c r="E39" s="33" t="s">
        <v>139</v>
      </c>
      <c r="F39" s="33" t="s">
        <v>169</v>
      </c>
      <c r="G39" s="33" t="s">
        <v>230</v>
      </c>
      <c r="H39" s="33" t="s">
        <v>195</v>
      </c>
      <c r="I39" s="33" t="s">
        <v>143</v>
      </c>
      <c r="J39" s="33" t="s">
        <v>159</v>
      </c>
      <c r="K39" s="33" t="s">
        <v>145</v>
      </c>
      <c r="L39" s="35" t="n">
        <v>1958.01</v>
      </c>
      <c r="M39" s="33" t="n">
        <v>3</v>
      </c>
      <c r="N39" s="33" t="s">
        <v>146</v>
      </c>
      <c r="O39" s="33" t="s">
        <v>147</v>
      </c>
      <c r="P39" s="39" t="n">
        <f aca="false">C39-B39</f>
        <v>2</v>
      </c>
      <c r="Q39" s="40" t="str">
        <f aca="false">CHOOSE(MONTH(B39),"يناير","فبراير","مارس","أبريل","مايو","يونيو","يوليو","أغسطس","سبتمبر","أكتوبر","نوفمبر","ديسمبر")</f>
        <v>يناير</v>
      </c>
      <c r="R39" s="40" t="str">
        <f aca="false">"الربع "&amp;ROUNDUP(MONTH(B39)/3,0)</f>
        <v>الربع 1</v>
      </c>
      <c r="S39" s="40" t="str">
        <f aca="false">IF(D39&lt;=12,"أطفال (0-12)",IF(D39&lt;=24,"شباب (13-24)",IF(D39&lt;=44,"بالغون (25-44)",IF(D39&lt;=64,"متوسطو العمر (45-64)","كبار السن (+65)"))))</f>
        <v>بالغون (25-44)</v>
      </c>
      <c r="T39" s="41" t="n">
        <f aca="false">IFERROR(L39/P39,0)</f>
        <v>979.005</v>
      </c>
    </row>
    <row r="40" customFormat="false" ht="15" hidden="false" customHeight="false" outlineLevel="0" collapsed="false">
      <c r="A40" s="42" t="s">
        <v>153</v>
      </c>
      <c r="B40" s="43" t="n">
        <v>45298</v>
      </c>
      <c r="C40" s="43" t="n">
        <v>45301</v>
      </c>
      <c r="D40" s="42" t="n">
        <v>6</v>
      </c>
      <c r="E40" s="42" t="s">
        <v>154</v>
      </c>
      <c r="F40" s="42" t="s">
        <v>155</v>
      </c>
      <c r="G40" s="42" t="s">
        <v>156</v>
      </c>
      <c r="H40" s="42" t="s">
        <v>157</v>
      </c>
      <c r="I40" s="42" t="s">
        <v>158</v>
      </c>
      <c r="J40" s="42" t="s">
        <v>159</v>
      </c>
      <c r="K40" s="42" t="s">
        <v>160</v>
      </c>
      <c r="L40" s="44" t="n">
        <v>2677.91</v>
      </c>
      <c r="M40" s="42" t="n">
        <v>4</v>
      </c>
      <c r="N40" s="42" t="s">
        <v>146</v>
      </c>
      <c r="O40" s="42" t="s">
        <v>147</v>
      </c>
      <c r="P40" s="39" t="n">
        <f aca="false">C40-B40</f>
        <v>3</v>
      </c>
      <c r="Q40" s="40" t="str">
        <f aca="false">CHOOSE(MONTH(B40),"يناير","فبراير","مارس","أبريل","مايو","يونيو","يوليو","أغسطس","سبتمبر","أكتوبر","نوفمبر","ديسمبر")</f>
        <v>يناير</v>
      </c>
      <c r="R40" s="40" t="str">
        <f aca="false">"الربع "&amp;ROUNDUP(MONTH(B40)/3,0)</f>
        <v>الربع 1</v>
      </c>
      <c r="S40" s="40" t="str">
        <f aca="false">IF(D40&lt;=12,"أطفال (0-12)",IF(D40&lt;=24,"شباب (13-24)",IF(D40&lt;=44,"بالغون (25-44)",IF(D40&lt;=64,"متوسطو العمر (45-64)","كبار السن (+65)"))))</f>
        <v>أطفال (0-12)</v>
      </c>
      <c r="T40" s="41" t="n">
        <f aca="false">IFERROR(L40/P40,0)</f>
        <v>892.636666666667</v>
      </c>
    </row>
    <row r="41" customFormat="false" ht="15" hidden="false" customHeight="false" outlineLevel="0" collapsed="false">
      <c r="A41" s="33" t="s">
        <v>1085</v>
      </c>
      <c r="B41" s="34" t="n">
        <v>45298</v>
      </c>
      <c r="C41" s="34" t="n">
        <v>45299</v>
      </c>
      <c r="D41" s="33" t="n">
        <v>34</v>
      </c>
      <c r="E41" s="33" t="s">
        <v>139</v>
      </c>
      <c r="F41" s="33" t="s">
        <v>203</v>
      </c>
      <c r="G41" s="33" t="s">
        <v>241</v>
      </c>
      <c r="H41" s="33" t="s">
        <v>205</v>
      </c>
      <c r="I41" s="33" t="s">
        <v>143</v>
      </c>
      <c r="J41" s="33" t="s">
        <v>159</v>
      </c>
      <c r="K41" s="33" t="s">
        <v>184</v>
      </c>
      <c r="L41" s="35" t="n">
        <v>1161.6</v>
      </c>
      <c r="M41" s="33" t="n">
        <v>4</v>
      </c>
      <c r="N41" s="33" t="s">
        <v>146</v>
      </c>
      <c r="O41" s="33" t="s">
        <v>147</v>
      </c>
      <c r="P41" s="39" t="n">
        <f aca="false">C41-B41</f>
        <v>1</v>
      </c>
      <c r="Q41" s="40" t="str">
        <f aca="false">CHOOSE(MONTH(B41),"يناير","فبراير","مارس","أبريل","مايو","يونيو","يوليو","أغسطس","سبتمبر","أكتوبر","نوفمبر","ديسمبر")</f>
        <v>يناير</v>
      </c>
      <c r="R41" s="40" t="str">
        <f aca="false">"الربع "&amp;ROUNDUP(MONTH(B41)/3,0)</f>
        <v>الربع 1</v>
      </c>
      <c r="S41" s="40" t="str">
        <f aca="false">IF(D41&lt;=12,"أطفال (0-12)",IF(D41&lt;=24,"شباب (13-24)",IF(D41&lt;=44,"بالغون (25-44)",IF(D41&lt;=64,"متوسطو العمر (45-64)","كبار السن (+65)"))))</f>
        <v>بالغون (25-44)</v>
      </c>
      <c r="T41" s="41" t="n">
        <f aca="false">IFERROR(L41/P41,0)</f>
        <v>1161.6</v>
      </c>
    </row>
    <row r="42" customFormat="false" ht="15" hidden="false" customHeight="false" outlineLevel="0" collapsed="false">
      <c r="A42" s="42" t="s">
        <v>927</v>
      </c>
      <c r="B42" s="43" t="n">
        <v>45298</v>
      </c>
      <c r="C42" s="43" t="n">
        <v>45299</v>
      </c>
      <c r="D42" s="42" t="n">
        <v>47</v>
      </c>
      <c r="E42" s="42" t="s">
        <v>154</v>
      </c>
      <c r="F42" s="42" t="s">
        <v>140</v>
      </c>
      <c r="G42" s="42" t="s">
        <v>141</v>
      </c>
      <c r="H42" s="42" t="s">
        <v>290</v>
      </c>
      <c r="I42" s="42" t="s">
        <v>152</v>
      </c>
      <c r="J42" s="42" t="s">
        <v>144</v>
      </c>
      <c r="K42" s="42" t="s">
        <v>184</v>
      </c>
      <c r="L42" s="44" t="n">
        <v>4013.2</v>
      </c>
      <c r="M42" s="42" t="n">
        <v>4</v>
      </c>
      <c r="N42" s="42" t="s">
        <v>146</v>
      </c>
      <c r="O42" s="42" t="s">
        <v>147</v>
      </c>
      <c r="P42" s="39" t="n">
        <f aca="false">C42-B42</f>
        <v>1</v>
      </c>
      <c r="Q42" s="40" t="str">
        <f aca="false">CHOOSE(MONTH(B42),"يناير","فبراير","مارس","أبريل","مايو","يونيو","يوليو","أغسطس","سبتمبر","أكتوبر","نوفمبر","ديسمبر")</f>
        <v>يناير</v>
      </c>
      <c r="R42" s="40" t="str">
        <f aca="false">"الربع "&amp;ROUNDUP(MONTH(B42)/3,0)</f>
        <v>الربع 1</v>
      </c>
      <c r="S42" s="40" t="str">
        <f aca="false">IF(D42&lt;=12,"أطفال (0-12)",IF(D42&lt;=24,"شباب (13-24)",IF(D42&lt;=44,"بالغون (25-44)",IF(D42&lt;=64,"متوسطو العمر (45-64)","كبار السن (+65)"))))</f>
        <v>متوسطو العمر (45-64)</v>
      </c>
      <c r="T42" s="41" t="n">
        <f aca="false">IFERROR(L42/P42,0)</f>
        <v>4013.2</v>
      </c>
    </row>
    <row r="43" customFormat="false" ht="15" hidden="false" customHeight="false" outlineLevel="0" collapsed="false">
      <c r="A43" s="33" t="s">
        <v>1145</v>
      </c>
      <c r="B43" s="34" t="n">
        <v>45298</v>
      </c>
      <c r="C43" s="34" t="n">
        <v>45300</v>
      </c>
      <c r="D43" s="33" t="n">
        <v>36</v>
      </c>
      <c r="E43" s="33" t="s">
        <v>139</v>
      </c>
      <c r="F43" s="33" t="s">
        <v>149</v>
      </c>
      <c r="G43" s="33" t="s">
        <v>224</v>
      </c>
      <c r="H43" s="33" t="s">
        <v>151</v>
      </c>
      <c r="I43" s="33" t="s">
        <v>152</v>
      </c>
      <c r="J43" s="33" t="s">
        <v>159</v>
      </c>
      <c r="K43" s="33" t="s">
        <v>184</v>
      </c>
      <c r="L43" s="35" t="n">
        <v>3446.1</v>
      </c>
      <c r="M43" s="33" t="n">
        <v>5</v>
      </c>
      <c r="N43" s="33" t="s">
        <v>146</v>
      </c>
      <c r="O43" s="33" t="s">
        <v>147</v>
      </c>
      <c r="P43" s="39" t="n">
        <f aca="false">C43-B43</f>
        <v>2</v>
      </c>
      <c r="Q43" s="40" t="str">
        <f aca="false">CHOOSE(MONTH(B43),"يناير","فبراير","مارس","أبريل","مايو","يونيو","يوليو","أغسطس","سبتمبر","أكتوبر","نوفمبر","ديسمبر")</f>
        <v>يناير</v>
      </c>
      <c r="R43" s="40" t="str">
        <f aca="false">"الربع "&amp;ROUNDUP(MONTH(B43)/3,0)</f>
        <v>الربع 1</v>
      </c>
      <c r="S43" s="40" t="str">
        <f aca="false">IF(D43&lt;=12,"أطفال (0-12)",IF(D43&lt;=24,"شباب (13-24)",IF(D43&lt;=44,"بالغون (25-44)",IF(D43&lt;=64,"متوسطو العمر (45-64)","كبار السن (+65)"))))</f>
        <v>بالغون (25-44)</v>
      </c>
      <c r="T43" s="41" t="n">
        <f aca="false">IFERROR(L43/P43,0)</f>
        <v>1723.05</v>
      </c>
    </row>
    <row r="44" customFormat="false" ht="15" hidden="false" customHeight="false" outlineLevel="0" collapsed="false">
      <c r="A44" s="42" t="s">
        <v>889</v>
      </c>
      <c r="B44" s="43" t="n">
        <v>45298</v>
      </c>
      <c r="C44" s="43" t="n">
        <v>45299</v>
      </c>
      <c r="D44" s="42" t="n">
        <v>30</v>
      </c>
      <c r="E44" s="42" t="s">
        <v>139</v>
      </c>
      <c r="F44" s="42" t="s">
        <v>203</v>
      </c>
      <c r="G44" s="42" t="s">
        <v>217</v>
      </c>
      <c r="H44" s="42" t="s">
        <v>193</v>
      </c>
      <c r="I44" s="42" t="s">
        <v>143</v>
      </c>
      <c r="J44" s="42" t="s">
        <v>159</v>
      </c>
      <c r="K44" s="42" t="s">
        <v>160</v>
      </c>
      <c r="L44" s="44" t="n">
        <v>742.67</v>
      </c>
      <c r="M44" s="42" t="n">
        <v>4</v>
      </c>
      <c r="N44" s="42" t="s">
        <v>146</v>
      </c>
      <c r="O44" s="42" t="s">
        <v>147</v>
      </c>
      <c r="P44" s="39" t="n">
        <f aca="false">C44-B44</f>
        <v>1</v>
      </c>
      <c r="Q44" s="40" t="str">
        <f aca="false">CHOOSE(MONTH(B44),"يناير","فبراير","مارس","أبريل","مايو","يونيو","يوليو","أغسطس","سبتمبر","أكتوبر","نوفمبر","ديسمبر")</f>
        <v>يناير</v>
      </c>
      <c r="R44" s="40" t="str">
        <f aca="false">"الربع "&amp;ROUNDUP(MONTH(B44)/3,0)</f>
        <v>الربع 1</v>
      </c>
      <c r="S44" s="40" t="str">
        <f aca="false">IF(D44&lt;=12,"أطفال (0-12)",IF(D44&lt;=24,"شباب (13-24)",IF(D44&lt;=44,"بالغون (25-44)",IF(D44&lt;=64,"متوسطو العمر (45-64)","كبار السن (+65)"))))</f>
        <v>بالغون (25-44)</v>
      </c>
      <c r="T44" s="41" t="n">
        <f aca="false">IFERROR(L44/P44,0)</f>
        <v>742.67</v>
      </c>
    </row>
    <row r="45" customFormat="false" ht="15" hidden="false" customHeight="false" outlineLevel="0" collapsed="false">
      <c r="A45" s="33" t="s">
        <v>339</v>
      </c>
      <c r="B45" s="34" t="n">
        <v>45299</v>
      </c>
      <c r="C45" s="34" t="n">
        <v>45301</v>
      </c>
      <c r="D45" s="33" t="n">
        <v>27</v>
      </c>
      <c r="E45" s="33" t="s">
        <v>139</v>
      </c>
      <c r="F45" s="33" t="s">
        <v>169</v>
      </c>
      <c r="G45" s="33" t="s">
        <v>170</v>
      </c>
      <c r="H45" s="33" t="s">
        <v>164</v>
      </c>
      <c r="I45" s="33" t="s">
        <v>143</v>
      </c>
      <c r="J45" s="33" t="s">
        <v>159</v>
      </c>
      <c r="K45" s="33" t="s">
        <v>145</v>
      </c>
      <c r="L45" s="35" t="n">
        <v>2516.91</v>
      </c>
      <c r="M45" s="33" t="n">
        <v>4</v>
      </c>
      <c r="N45" s="33" t="s">
        <v>146</v>
      </c>
      <c r="O45" s="33" t="s">
        <v>147</v>
      </c>
      <c r="P45" s="39" t="n">
        <f aca="false">C45-B45</f>
        <v>2</v>
      </c>
      <c r="Q45" s="40" t="str">
        <f aca="false">CHOOSE(MONTH(B45),"يناير","فبراير","مارس","أبريل","مايو","يونيو","يوليو","أغسطس","سبتمبر","أكتوبر","نوفمبر","ديسمبر")</f>
        <v>يناير</v>
      </c>
      <c r="R45" s="40" t="str">
        <f aca="false">"الربع "&amp;ROUNDUP(MONTH(B45)/3,0)</f>
        <v>الربع 1</v>
      </c>
      <c r="S45" s="40" t="str">
        <f aca="false">IF(D45&lt;=12,"أطفال (0-12)",IF(D45&lt;=24,"شباب (13-24)",IF(D45&lt;=44,"بالغون (25-44)",IF(D45&lt;=64,"متوسطو العمر (45-64)","كبار السن (+65)"))))</f>
        <v>بالغون (25-44)</v>
      </c>
      <c r="T45" s="41" t="n">
        <f aca="false">IFERROR(L45/P45,0)</f>
        <v>1258.455</v>
      </c>
    </row>
    <row r="46" customFormat="false" ht="15" hidden="false" customHeight="false" outlineLevel="0" collapsed="false">
      <c r="A46" s="42" t="s">
        <v>1384</v>
      </c>
      <c r="B46" s="43" t="n">
        <v>45299</v>
      </c>
      <c r="C46" s="43" t="n">
        <v>45300</v>
      </c>
      <c r="D46" s="42" t="n">
        <v>21</v>
      </c>
      <c r="E46" s="42" t="s">
        <v>154</v>
      </c>
      <c r="F46" s="42" t="s">
        <v>203</v>
      </c>
      <c r="G46" s="42" t="s">
        <v>217</v>
      </c>
      <c r="H46" s="42" t="s">
        <v>193</v>
      </c>
      <c r="I46" s="42" t="s">
        <v>143</v>
      </c>
      <c r="J46" s="42" t="s">
        <v>159</v>
      </c>
      <c r="K46" s="42" t="s">
        <v>145</v>
      </c>
      <c r="L46" s="44" t="n">
        <v>950.39</v>
      </c>
      <c r="M46" s="42" t="n">
        <v>3</v>
      </c>
      <c r="N46" s="42" t="s">
        <v>146</v>
      </c>
      <c r="O46" s="42" t="s">
        <v>147</v>
      </c>
      <c r="P46" s="39" t="n">
        <f aca="false">C46-B46</f>
        <v>1</v>
      </c>
      <c r="Q46" s="40" t="str">
        <f aca="false">CHOOSE(MONTH(B46),"يناير","فبراير","مارس","أبريل","مايو","يونيو","يوليو","أغسطس","سبتمبر","أكتوبر","نوفمبر","ديسمبر")</f>
        <v>يناير</v>
      </c>
      <c r="R46" s="40" t="str">
        <f aca="false">"الربع "&amp;ROUNDUP(MONTH(B46)/3,0)</f>
        <v>الربع 1</v>
      </c>
      <c r="S46" s="40" t="str">
        <f aca="false">IF(D46&lt;=12,"أطفال (0-12)",IF(D46&lt;=24,"شباب (13-24)",IF(D46&lt;=44,"بالغون (25-44)",IF(D46&lt;=64,"متوسطو العمر (45-64)","كبار السن (+65)"))))</f>
        <v>شباب (13-24)</v>
      </c>
      <c r="T46" s="41" t="n">
        <f aca="false">IFERROR(L46/P46,0)</f>
        <v>950.39</v>
      </c>
    </row>
    <row r="47" customFormat="false" ht="15" hidden="false" customHeight="false" outlineLevel="0" collapsed="false">
      <c r="A47" s="33" t="s">
        <v>274</v>
      </c>
      <c r="B47" s="34" t="n">
        <v>45299</v>
      </c>
      <c r="C47" s="34" t="n">
        <v>45301</v>
      </c>
      <c r="D47" s="33" t="n">
        <v>25</v>
      </c>
      <c r="E47" s="33" t="s">
        <v>154</v>
      </c>
      <c r="F47" s="33" t="s">
        <v>169</v>
      </c>
      <c r="G47" s="33" t="s">
        <v>170</v>
      </c>
      <c r="H47" s="33" t="s">
        <v>195</v>
      </c>
      <c r="I47" s="33" t="s">
        <v>143</v>
      </c>
      <c r="J47" s="33" t="s">
        <v>159</v>
      </c>
      <c r="K47" s="33" t="s">
        <v>145</v>
      </c>
      <c r="L47" s="35" t="n">
        <v>2358.9</v>
      </c>
      <c r="M47" s="33" t="n">
        <v>5</v>
      </c>
      <c r="N47" s="33" t="s">
        <v>146</v>
      </c>
      <c r="O47" s="33" t="s">
        <v>147</v>
      </c>
      <c r="P47" s="39" t="n">
        <f aca="false">C47-B47</f>
        <v>2</v>
      </c>
      <c r="Q47" s="40" t="str">
        <f aca="false">CHOOSE(MONTH(B47),"يناير","فبراير","مارس","أبريل","مايو","يونيو","يوليو","أغسطس","سبتمبر","أكتوبر","نوفمبر","ديسمبر")</f>
        <v>يناير</v>
      </c>
      <c r="R47" s="40" t="str">
        <f aca="false">"الربع "&amp;ROUNDUP(MONTH(B47)/3,0)</f>
        <v>الربع 1</v>
      </c>
      <c r="S47" s="40" t="str">
        <f aca="false">IF(D47&lt;=12,"أطفال (0-12)",IF(D47&lt;=24,"شباب (13-24)",IF(D47&lt;=44,"بالغون (25-44)",IF(D47&lt;=64,"متوسطو العمر (45-64)","كبار السن (+65)"))))</f>
        <v>بالغون (25-44)</v>
      </c>
      <c r="T47" s="41" t="n">
        <f aca="false">IFERROR(L47/P47,0)</f>
        <v>1179.45</v>
      </c>
    </row>
    <row r="48" customFormat="false" ht="15" hidden="false" customHeight="false" outlineLevel="0" collapsed="false">
      <c r="A48" s="42" t="s">
        <v>2124</v>
      </c>
      <c r="B48" s="43" t="n">
        <v>45299</v>
      </c>
      <c r="C48" s="43" t="n">
        <v>45302</v>
      </c>
      <c r="D48" s="42" t="n">
        <v>44</v>
      </c>
      <c r="E48" s="42" t="s">
        <v>154</v>
      </c>
      <c r="F48" s="42" t="s">
        <v>173</v>
      </c>
      <c r="G48" s="42" t="s">
        <v>178</v>
      </c>
      <c r="H48" s="42" t="s">
        <v>175</v>
      </c>
      <c r="I48" s="42" t="s">
        <v>152</v>
      </c>
      <c r="J48" s="42" t="s">
        <v>159</v>
      </c>
      <c r="K48" s="42" t="s">
        <v>145</v>
      </c>
      <c r="L48" s="44" t="n">
        <v>7111.57</v>
      </c>
      <c r="M48" s="42" t="n">
        <v>5</v>
      </c>
      <c r="N48" s="42" t="s">
        <v>146</v>
      </c>
      <c r="O48" s="42" t="s">
        <v>247</v>
      </c>
      <c r="P48" s="39" t="n">
        <f aca="false">C48-B48</f>
        <v>3</v>
      </c>
      <c r="Q48" s="40" t="str">
        <f aca="false">CHOOSE(MONTH(B48),"يناير","فبراير","مارس","أبريل","مايو","يونيو","يوليو","أغسطس","سبتمبر","أكتوبر","نوفمبر","ديسمبر")</f>
        <v>يناير</v>
      </c>
      <c r="R48" s="40" t="str">
        <f aca="false">"الربع "&amp;ROUNDUP(MONTH(B48)/3,0)</f>
        <v>الربع 1</v>
      </c>
      <c r="S48" s="40" t="str">
        <f aca="false">IF(D48&lt;=12,"أطفال (0-12)",IF(D48&lt;=24,"شباب (13-24)",IF(D48&lt;=44,"بالغون (25-44)",IF(D48&lt;=64,"متوسطو العمر (45-64)","كبار السن (+65)"))))</f>
        <v>بالغون (25-44)</v>
      </c>
      <c r="T48" s="41" t="n">
        <f aca="false">IFERROR(L48/P48,0)</f>
        <v>2370.52333333333</v>
      </c>
    </row>
    <row r="49" customFormat="false" ht="15" hidden="false" customHeight="false" outlineLevel="0" collapsed="false">
      <c r="A49" s="33" t="s">
        <v>1517</v>
      </c>
      <c r="B49" s="34" t="n">
        <v>45299</v>
      </c>
      <c r="C49" s="34" t="n">
        <v>45301</v>
      </c>
      <c r="D49" s="33" t="n">
        <v>43</v>
      </c>
      <c r="E49" s="33" t="s">
        <v>139</v>
      </c>
      <c r="F49" s="33" t="s">
        <v>173</v>
      </c>
      <c r="G49" s="33" t="s">
        <v>198</v>
      </c>
      <c r="H49" s="33" t="s">
        <v>199</v>
      </c>
      <c r="I49" s="33" t="s">
        <v>158</v>
      </c>
      <c r="J49" s="33" t="s">
        <v>176</v>
      </c>
      <c r="K49" s="33" t="s">
        <v>160</v>
      </c>
      <c r="L49" s="35" t="n">
        <v>19053.89</v>
      </c>
      <c r="M49" s="33" t="n">
        <v>2</v>
      </c>
      <c r="N49" s="33" t="s">
        <v>146</v>
      </c>
      <c r="O49" s="33" t="s">
        <v>147</v>
      </c>
      <c r="P49" s="39" t="n">
        <f aca="false">C49-B49</f>
        <v>2</v>
      </c>
      <c r="Q49" s="40" t="str">
        <f aca="false">CHOOSE(MONTH(B49),"يناير","فبراير","مارس","أبريل","مايو","يونيو","يوليو","أغسطس","سبتمبر","أكتوبر","نوفمبر","ديسمبر")</f>
        <v>يناير</v>
      </c>
      <c r="R49" s="40" t="str">
        <f aca="false">"الربع "&amp;ROUNDUP(MONTH(B49)/3,0)</f>
        <v>الربع 1</v>
      </c>
      <c r="S49" s="40" t="str">
        <f aca="false">IF(D49&lt;=12,"أطفال (0-12)",IF(D49&lt;=24,"شباب (13-24)",IF(D49&lt;=44,"بالغون (25-44)",IF(D49&lt;=64,"متوسطو العمر (45-64)","كبار السن (+65)"))))</f>
        <v>بالغون (25-44)</v>
      </c>
      <c r="T49" s="41" t="n">
        <f aca="false">IFERROR(L49/P49,0)</f>
        <v>9526.945</v>
      </c>
    </row>
    <row r="50" customFormat="false" ht="15" hidden="false" customHeight="false" outlineLevel="0" collapsed="false">
      <c r="A50" s="42" t="s">
        <v>1159</v>
      </c>
      <c r="B50" s="43" t="n">
        <v>45300</v>
      </c>
      <c r="C50" s="43" t="n">
        <v>45302</v>
      </c>
      <c r="D50" s="42" t="n">
        <v>5</v>
      </c>
      <c r="E50" s="42" t="s">
        <v>154</v>
      </c>
      <c r="F50" s="42" t="s">
        <v>155</v>
      </c>
      <c r="G50" s="42" t="s">
        <v>220</v>
      </c>
      <c r="H50" s="42" t="s">
        <v>222</v>
      </c>
      <c r="I50" s="42" t="s">
        <v>143</v>
      </c>
      <c r="J50" s="42" t="s">
        <v>159</v>
      </c>
      <c r="K50" s="42" t="s">
        <v>160</v>
      </c>
      <c r="L50" s="44" t="n">
        <v>1731.07</v>
      </c>
      <c r="M50" s="42" t="n">
        <v>4</v>
      </c>
      <c r="N50" s="42" t="s">
        <v>146</v>
      </c>
      <c r="O50" s="42" t="s">
        <v>147</v>
      </c>
      <c r="P50" s="39" t="n">
        <f aca="false">C50-B50</f>
        <v>2</v>
      </c>
      <c r="Q50" s="40" t="str">
        <f aca="false">CHOOSE(MONTH(B50),"يناير","فبراير","مارس","أبريل","مايو","يونيو","يوليو","أغسطس","سبتمبر","أكتوبر","نوفمبر","ديسمبر")</f>
        <v>يناير</v>
      </c>
      <c r="R50" s="40" t="str">
        <f aca="false">"الربع "&amp;ROUNDUP(MONTH(B50)/3,0)</f>
        <v>الربع 1</v>
      </c>
      <c r="S50" s="40" t="str">
        <f aca="false">IF(D50&lt;=12,"أطفال (0-12)",IF(D50&lt;=24,"شباب (13-24)",IF(D50&lt;=44,"بالغون (25-44)",IF(D50&lt;=64,"متوسطو العمر (45-64)","كبار السن (+65)"))))</f>
        <v>أطفال (0-12)</v>
      </c>
      <c r="T50" s="41" t="n">
        <f aca="false">IFERROR(L50/P50,0)</f>
        <v>865.535</v>
      </c>
    </row>
    <row r="51" customFormat="false" ht="15" hidden="false" customHeight="false" outlineLevel="0" collapsed="false">
      <c r="A51" s="33" t="s">
        <v>687</v>
      </c>
      <c r="B51" s="34" t="n">
        <v>45300</v>
      </c>
      <c r="C51" s="34" t="n">
        <v>45304</v>
      </c>
      <c r="D51" s="33" t="n">
        <v>56</v>
      </c>
      <c r="E51" s="33" t="s">
        <v>139</v>
      </c>
      <c r="F51" s="33" t="s">
        <v>169</v>
      </c>
      <c r="G51" s="33" t="s">
        <v>170</v>
      </c>
      <c r="H51" s="33" t="s">
        <v>195</v>
      </c>
      <c r="I51" s="33" t="s">
        <v>143</v>
      </c>
      <c r="J51" s="33" t="s">
        <v>159</v>
      </c>
      <c r="K51" s="33" t="s">
        <v>184</v>
      </c>
      <c r="L51" s="35" t="n">
        <v>4941.14</v>
      </c>
      <c r="M51" s="33" t="n">
        <v>4</v>
      </c>
      <c r="N51" s="33" t="s">
        <v>146</v>
      </c>
      <c r="O51" s="33" t="s">
        <v>147</v>
      </c>
      <c r="P51" s="39" t="n">
        <f aca="false">C51-B51</f>
        <v>4</v>
      </c>
      <c r="Q51" s="40" t="str">
        <f aca="false">CHOOSE(MONTH(B51),"يناير","فبراير","مارس","أبريل","مايو","يونيو","يوليو","أغسطس","سبتمبر","أكتوبر","نوفمبر","ديسمبر")</f>
        <v>يناير</v>
      </c>
      <c r="R51" s="40" t="str">
        <f aca="false">"الربع "&amp;ROUNDUP(MONTH(B51)/3,0)</f>
        <v>الربع 1</v>
      </c>
      <c r="S51" s="40" t="str">
        <f aca="false">IF(D51&lt;=12,"أطفال (0-12)",IF(D51&lt;=24,"شباب (13-24)",IF(D51&lt;=44,"بالغون (25-44)",IF(D51&lt;=64,"متوسطو العمر (45-64)","كبار السن (+65)"))))</f>
        <v>متوسطو العمر (45-64)</v>
      </c>
      <c r="T51" s="41" t="n">
        <f aca="false">IFERROR(L51/P51,0)</f>
        <v>1235.285</v>
      </c>
    </row>
    <row r="52" customFormat="false" ht="15" hidden="false" customHeight="false" outlineLevel="0" collapsed="false">
      <c r="A52" s="42" t="s">
        <v>1337</v>
      </c>
      <c r="B52" s="43" t="n">
        <v>45300</v>
      </c>
      <c r="C52" s="43" t="n">
        <v>45305</v>
      </c>
      <c r="D52" s="42" t="n">
        <v>29</v>
      </c>
      <c r="E52" s="42" t="s">
        <v>139</v>
      </c>
      <c r="F52" s="42" t="s">
        <v>149</v>
      </c>
      <c r="G52" s="42" t="s">
        <v>224</v>
      </c>
      <c r="H52" s="42" t="s">
        <v>151</v>
      </c>
      <c r="I52" s="42" t="s">
        <v>143</v>
      </c>
      <c r="J52" s="42" t="s">
        <v>159</v>
      </c>
      <c r="K52" s="42" t="s">
        <v>209</v>
      </c>
      <c r="L52" s="44" t="n">
        <v>7211.78</v>
      </c>
      <c r="M52" s="42" t="n">
        <v>3</v>
      </c>
      <c r="N52" s="42" t="s">
        <v>146</v>
      </c>
      <c r="O52" s="42" t="s">
        <v>147</v>
      </c>
      <c r="P52" s="39" t="n">
        <f aca="false">C52-B52</f>
        <v>5</v>
      </c>
      <c r="Q52" s="40" t="str">
        <f aca="false">CHOOSE(MONTH(B52),"يناير","فبراير","مارس","أبريل","مايو","يونيو","يوليو","أغسطس","سبتمبر","أكتوبر","نوفمبر","ديسمبر")</f>
        <v>يناير</v>
      </c>
      <c r="R52" s="40" t="str">
        <f aca="false">"الربع "&amp;ROUNDUP(MONTH(B52)/3,0)</f>
        <v>الربع 1</v>
      </c>
      <c r="S52" s="40" t="str">
        <f aca="false">IF(D52&lt;=12,"أطفال (0-12)",IF(D52&lt;=24,"شباب (13-24)",IF(D52&lt;=44,"بالغون (25-44)",IF(D52&lt;=64,"متوسطو العمر (45-64)","كبار السن (+65)"))))</f>
        <v>بالغون (25-44)</v>
      </c>
      <c r="T52" s="41" t="n">
        <f aca="false">IFERROR(L52/P52,0)</f>
        <v>1442.356</v>
      </c>
    </row>
    <row r="53" customFormat="false" ht="15" hidden="false" customHeight="false" outlineLevel="0" collapsed="false">
      <c r="A53" s="33" t="s">
        <v>325</v>
      </c>
      <c r="B53" s="34" t="n">
        <v>45300</v>
      </c>
      <c r="C53" s="34" t="n">
        <v>45308</v>
      </c>
      <c r="D53" s="33" t="n">
        <v>24</v>
      </c>
      <c r="E53" s="33" t="s">
        <v>139</v>
      </c>
      <c r="F53" s="33" t="s">
        <v>149</v>
      </c>
      <c r="G53" s="33" t="s">
        <v>243</v>
      </c>
      <c r="H53" s="33" t="s">
        <v>186</v>
      </c>
      <c r="I53" s="33" t="s">
        <v>152</v>
      </c>
      <c r="J53" s="33" t="s">
        <v>159</v>
      </c>
      <c r="K53" s="33" t="s">
        <v>184</v>
      </c>
      <c r="L53" s="35" t="n">
        <v>11128.92</v>
      </c>
      <c r="M53" s="33" t="n">
        <v>4</v>
      </c>
      <c r="N53" s="33" t="s">
        <v>146</v>
      </c>
      <c r="O53" s="33" t="s">
        <v>147</v>
      </c>
      <c r="P53" s="39" t="n">
        <f aca="false">C53-B53</f>
        <v>8</v>
      </c>
      <c r="Q53" s="40" t="str">
        <f aca="false">CHOOSE(MONTH(B53),"يناير","فبراير","مارس","أبريل","مايو","يونيو","يوليو","أغسطس","سبتمبر","أكتوبر","نوفمبر","ديسمبر")</f>
        <v>يناير</v>
      </c>
      <c r="R53" s="40" t="str">
        <f aca="false">"الربع "&amp;ROUNDUP(MONTH(B53)/3,0)</f>
        <v>الربع 1</v>
      </c>
      <c r="S53" s="40" t="str">
        <f aca="false">IF(D53&lt;=12,"أطفال (0-12)",IF(D53&lt;=24,"شباب (13-24)",IF(D53&lt;=44,"بالغون (25-44)",IF(D53&lt;=64,"متوسطو العمر (45-64)","كبار السن (+65)"))))</f>
        <v>شباب (13-24)</v>
      </c>
      <c r="T53" s="41" t="n">
        <f aca="false">IFERROR(L53/P53,0)</f>
        <v>1391.115</v>
      </c>
    </row>
    <row r="54" customFormat="false" ht="15" hidden="false" customHeight="false" outlineLevel="0" collapsed="false">
      <c r="A54" s="42" t="s">
        <v>2231</v>
      </c>
      <c r="B54" s="43" t="n">
        <v>45300</v>
      </c>
      <c r="C54" s="43" t="n">
        <v>45301</v>
      </c>
      <c r="D54" s="42" t="n">
        <v>53</v>
      </c>
      <c r="E54" s="42" t="s">
        <v>154</v>
      </c>
      <c r="F54" s="42" t="s">
        <v>140</v>
      </c>
      <c r="G54" s="42" t="s">
        <v>316</v>
      </c>
      <c r="H54" s="42" t="s">
        <v>290</v>
      </c>
      <c r="I54" s="42" t="s">
        <v>152</v>
      </c>
      <c r="J54" s="42" t="s">
        <v>159</v>
      </c>
      <c r="K54" s="42" t="s">
        <v>145</v>
      </c>
      <c r="L54" s="44" t="n">
        <v>2382.18</v>
      </c>
      <c r="M54" s="42" t="n">
        <v>3</v>
      </c>
      <c r="N54" s="42" t="s">
        <v>210</v>
      </c>
      <c r="O54" s="42" t="s">
        <v>147</v>
      </c>
      <c r="P54" s="39" t="n">
        <f aca="false">C54-B54</f>
        <v>1</v>
      </c>
      <c r="Q54" s="40" t="str">
        <f aca="false">CHOOSE(MONTH(B54),"يناير","فبراير","مارس","أبريل","مايو","يونيو","يوليو","أغسطس","سبتمبر","أكتوبر","نوفمبر","ديسمبر")</f>
        <v>يناير</v>
      </c>
      <c r="R54" s="40" t="str">
        <f aca="false">"الربع "&amp;ROUNDUP(MONTH(B54)/3,0)</f>
        <v>الربع 1</v>
      </c>
      <c r="S54" s="40" t="str">
        <f aca="false">IF(D54&lt;=12,"أطفال (0-12)",IF(D54&lt;=24,"شباب (13-24)",IF(D54&lt;=44,"بالغون (25-44)",IF(D54&lt;=64,"متوسطو العمر (45-64)","كبار السن (+65)"))))</f>
        <v>متوسطو العمر (45-64)</v>
      </c>
      <c r="T54" s="41" t="n">
        <f aca="false">IFERROR(L54/P54,0)</f>
        <v>2382.18</v>
      </c>
    </row>
    <row r="55" customFormat="false" ht="15" hidden="false" customHeight="false" outlineLevel="0" collapsed="false">
      <c r="A55" s="33" t="s">
        <v>1549</v>
      </c>
      <c r="B55" s="34" t="n">
        <v>45300</v>
      </c>
      <c r="C55" s="34" t="n">
        <v>45301</v>
      </c>
      <c r="D55" s="33" t="n">
        <v>45</v>
      </c>
      <c r="E55" s="33" t="s">
        <v>139</v>
      </c>
      <c r="F55" s="33" t="s">
        <v>203</v>
      </c>
      <c r="G55" s="33" t="s">
        <v>232</v>
      </c>
      <c r="H55" s="33" t="s">
        <v>205</v>
      </c>
      <c r="I55" s="33" t="s">
        <v>143</v>
      </c>
      <c r="J55" s="33" t="s">
        <v>159</v>
      </c>
      <c r="K55" s="33" t="s">
        <v>145</v>
      </c>
      <c r="L55" s="35" t="n">
        <v>969.49</v>
      </c>
      <c r="M55" s="33" t="n">
        <v>3</v>
      </c>
      <c r="N55" s="33" t="s">
        <v>146</v>
      </c>
      <c r="O55" s="33" t="s">
        <v>147</v>
      </c>
      <c r="P55" s="39" t="n">
        <f aca="false">C55-B55</f>
        <v>1</v>
      </c>
      <c r="Q55" s="40" t="str">
        <f aca="false">CHOOSE(MONTH(B55),"يناير","فبراير","مارس","أبريل","مايو","يونيو","يوليو","أغسطس","سبتمبر","أكتوبر","نوفمبر","ديسمبر")</f>
        <v>يناير</v>
      </c>
      <c r="R55" s="40" t="str">
        <f aca="false">"الربع "&amp;ROUNDUP(MONTH(B55)/3,0)</f>
        <v>الربع 1</v>
      </c>
      <c r="S55" s="40" t="str">
        <f aca="false">IF(D55&lt;=12,"أطفال (0-12)",IF(D55&lt;=24,"شباب (13-24)",IF(D55&lt;=44,"بالغون (25-44)",IF(D55&lt;=64,"متوسطو العمر (45-64)","كبار السن (+65)"))))</f>
        <v>متوسطو العمر (45-64)</v>
      </c>
      <c r="T55" s="41" t="n">
        <f aca="false">IFERROR(L55/P55,0)</f>
        <v>969.49</v>
      </c>
    </row>
    <row r="56" customFormat="false" ht="15" hidden="false" customHeight="false" outlineLevel="0" collapsed="false">
      <c r="A56" s="42" t="s">
        <v>2044</v>
      </c>
      <c r="B56" s="43" t="n">
        <v>45300</v>
      </c>
      <c r="C56" s="43" t="n">
        <v>45303</v>
      </c>
      <c r="D56" s="42" t="n">
        <v>50</v>
      </c>
      <c r="E56" s="42" t="s">
        <v>154</v>
      </c>
      <c r="F56" s="42" t="s">
        <v>169</v>
      </c>
      <c r="G56" s="42" t="s">
        <v>163</v>
      </c>
      <c r="H56" s="42" t="s">
        <v>164</v>
      </c>
      <c r="I56" s="42" t="s">
        <v>152</v>
      </c>
      <c r="J56" s="42" t="s">
        <v>159</v>
      </c>
      <c r="K56" s="42" t="s">
        <v>145</v>
      </c>
      <c r="L56" s="44" t="n">
        <v>3627.76</v>
      </c>
      <c r="M56" s="42" t="n">
        <v>4</v>
      </c>
      <c r="N56" s="42" t="s">
        <v>146</v>
      </c>
      <c r="O56" s="42" t="s">
        <v>147</v>
      </c>
      <c r="P56" s="39" t="n">
        <f aca="false">C56-B56</f>
        <v>3</v>
      </c>
      <c r="Q56" s="40" t="str">
        <f aca="false">CHOOSE(MONTH(B56),"يناير","فبراير","مارس","أبريل","مايو","يونيو","يوليو","أغسطس","سبتمبر","أكتوبر","نوفمبر","ديسمبر")</f>
        <v>يناير</v>
      </c>
      <c r="R56" s="40" t="str">
        <f aca="false">"الربع "&amp;ROUNDUP(MONTH(B56)/3,0)</f>
        <v>الربع 1</v>
      </c>
      <c r="S56" s="40" t="str">
        <f aca="false">IF(D56&lt;=12,"أطفال (0-12)",IF(D56&lt;=24,"شباب (13-24)",IF(D56&lt;=44,"بالغون (25-44)",IF(D56&lt;=64,"متوسطو العمر (45-64)","كبار السن (+65)"))))</f>
        <v>متوسطو العمر (45-64)</v>
      </c>
      <c r="T56" s="41" t="n">
        <f aca="false">IFERROR(L56/P56,0)</f>
        <v>1209.25333333333</v>
      </c>
    </row>
    <row r="57" customFormat="false" ht="15" hidden="false" customHeight="false" outlineLevel="0" collapsed="false">
      <c r="A57" s="33" t="s">
        <v>2118</v>
      </c>
      <c r="B57" s="34" t="n">
        <v>45301</v>
      </c>
      <c r="C57" s="34" t="n">
        <v>45310</v>
      </c>
      <c r="D57" s="33" t="n">
        <v>59</v>
      </c>
      <c r="E57" s="33" t="s">
        <v>154</v>
      </c>
      <c r="F57" s="33" t="s">
        <v>173</v>
      </c>
      <c r="G57" s="33" t="s">
        <v>178</v>
      </c>
      <c r="H57" s="33" t="s">
        <v>175</v>
      </c>
      <c r="I57" s="33" t="s">
        <v>143</v>
      </c>
      <c r="J57" s="33" t="s">
        <v>159</v>
      </c>
      <c r="K57" s="33" t="s">
        <v>184</v>
      </c>
      <c r="L57" s="35" t="n">
        <v>23859.73</v>
      </c>
      <c r="M57" s="33" t="n">
        <v>3</v>
      </c>
      <c r="N57" s="33" t="s">
        <v>146</v>
      </c>
      <c r="O57" s="33" t="s">
        <v>147</v>
      </c>
      <c r="P57" s="39" t="n">
        <f aca="false">C57-B57</f>
        <v>9</v>
      </c>
      <c r="Q57" s="40" t="str">
        <f aca="false">CHOOSE(MONTH(B57),"يناير","فبراير","مارس","أبريل","مايو","يونيو","يوليو","أغسطس","سبتمبر","أكتوبر","نوفمبر","ديسمبر")</f>
        <v>يناير</v>
      </c>
      <c r="R57" s="40" t="str">
        <f aca="false">"الربع "&amp;ROUNDUP(MONTH(B57)/3,0)</f>
        <v>الربع 1</v>
      </c>
      <c r="S57" s="40" t="str">
        <f aca="false">IF(D57&lt;=12,"أطفال (0-12)",IF(D57&lt;=24,"شباب (13-24)",IF(D57&lt;=44,"بالغون (25-44)",IF(D57&lt;=64,"متوسطو العمر (45-64)","كبار السن (+65)"))))</f>
        <v>متوسطو العمر (45-64)</v>
      </c>
      <c r="T57" s="41" t="n">
        <f aca="false">IFERROR(L57/P57,0)</f>
        <v>2651.08111111111</v>
      </c>
    </row>
    <row r="58" customFormat="false" ht="15" hidden="false" customHeight="false" outlineLevel="0" collapsed="false">
      <c r="A58" s="42" t="s">
        <v>456</v>
      </c>
      <c r="B58" s="43" t="n">
        <v>45301</v>
      </c>
      <c r="C58" s="43" t="n">
        <v>45302</v>
      </c>
      <c r="D58" s="42" t="n">
        <v>9</v>
      </c>
      <c r="E58" s="42" t="s">
        <v>154</v>
      </c>
      <c r="F58" s="42" t="s">
        <v>203</v>
      </c>
      <c r="G58" s="42" t="s">
        <v>204</v>
      </c>
      <c r="H58" s="42" t="s">
        <v>193</v>
      </c>
      <c r="I58" s="42" t="s">
        <v>143</v>
      </c>
      <c r="J58" s="42" t="s">
        <v>159</v>
      </c>
      <c r="K58" s="42" t="s">
        <v>145</v>
      </c>
      <c r="L58" s="44" t="n">
        <v>955.56</v>
      </c>
      <c r="M58" s="42" t="n">
        <v>4</v>
      </c>
      <c r="N58" s="42" t="s">
        <v>146</v>
      </c>
      <c r="O58" s="42" t="s">
        <v>147</v>
      </c>
      <c r="P58" s="39" t="n">
        <f aca="false">C58-B58</f>
        <v>1</v>
      </c>
      <c r="Q58" s="40" t="str">
        <f aca="false">CHOOSE(MONTH(B58),"يناير","فبراير","مارس","أبريل","مايو","يونيو","يوليو","أغسطس","سبتمبر","أكتوبر","نوفمبر","ديسمبر")</f>
        <v>يناير</v>
      </c>
      <c r="R58" s="40" t="str">
        <f aca="false">"الربع "&amp;ROUNDUP(MONTH(B58)/3,0)</f>
        <v>الربع 1</v>
      </c>
      <c r="S58" s="40" t="str">
        <f aca="false">IF(D58&lt;=12,"أطفال (0-12)",IF(D58&lt;=24,"شباب (13-24)",IF(D58&lt;=44,"بالغون (25-44)",IF(D58&lt;=64,"متوسطو العمر (45-64)","كبار السن (+65)"))))</f>
        <v>أطفال (0-12)</v>
      </c>
      <c r="T58" s="41" t="n">
        <f aca="false">IFERROR(L58/P58,0)</f>
        <v>955.56</v>
      </c>
    </row>
    <row r="59" customFormat="false" ht="15" hidden="false" customHeight="false" outlineLevel="0" collapsed="false">
      <c r="A59" s="33" t="s">
        <v>610</v>
      </c>
      <c r="B59" s="34" t="n">
        <v>45301</v>
      </c>
      <c r="C59" s="34" t="n">
        <v>45305</v>
      </c>
      <c r="D59" s="33" t="n">
        <v>36</v>
      </c>
      <c r="E59" s="33" t="s">
        <v>139</v>
      </c>
      <c r="F59" s="33" t="s">
        <v>173</v>
      </c>
      <c r="G59" s="33" t="s">
        <v>174</v>
      </c>
      <c r="H59" s="33" t="s">
        <v>175</v>
      </c>
      <c r="I59" s="33" t="s">
        <v>152</v>
      </c>
      <c r="J59" s="33" t="s">
        <v>159</v>
      </c>
      <c r="K59" s="33" t="s">
        <v>145</v>
      </c>
      <c r="L59" s="35" t="n">
        <v>10879.77</v>
      </c>
      <c r="M59" s="33" t="n">
        <v>5</v>
      </c>
      <c r="N59" s="33" t="s">
        <v>146</v>
      </c>
      <c r="O59" s="33" t="s">
        <v>147</v>
      </c>
      <c r="P59" s="39" t="n">
        <f aca="false">C59-B59</f>
        <v>4</v>
      </c>
      <c r="Q59" s="40" t="str">
        <f aca="false">CHOOSE(MONTH(B59),"يناير","فبراير","مارس","أبريل","مايو","يونيو","يوليو","أغسطس","سبتمبر","أكتوبر","نوفمبر","ديسمبر")</f>
        <v>يناير</v>
      </c>
      <c r="R59" s="40" t="str">
        <f aca="false">"الربع "&amp;ROUNDUP(MONTH(B59)/3,0)</f>
        <v>الربع 1</v>
      </c>
      <c r="S59" s="40" t="str">
        <f aca="false">IF(D59&lt;=12,"أطفال (0-12)",IF(D59&lt;=24,"شباب (13-24)",IF(D59&lt;=44,"بالغون (25-44)",IF(D59&lt;=64,"متوسطو العمر (45-64)","كبار السن (+65)"))))</f>
        <v>بالغون (25-44)</v>
      </c>
      <c r="T59" s="41" t="n">
        <f aca="false">IFERROR(L59/P59,0)</f>
        <v>2719.9425</v>
      </c>
    </row>
    <row r="60" customFormat="false" ht="15" hidden="false" customHeight="false" outlineLevel="0" collapsed="false">
      <c r="A60" s="42" t="s">
        <v>1075</v>
      </c>
      <c r="B60" s="43" t="n">
        <v>45301</v>
      </c>
      <c r="C60" s="43" t="n">
        <v>45311</v>
      </c>
      <c r="D60" s="42" t="n">
        <v>63</v>
      </c>
      <c r="E60" s="42" t="s">
        <v>154</v>
      </c>
      <c r="F60" s="42" t="s">
        <v>169</v>
      </c>
      <c r="G60" s="42" t="s">
        <v>213</v>
      </c>
      <c r="H60" s="42" t="s">
        <v>195</v>
      </c>
      <c r="I60" s="42" t="s">
        <v>152</v>
      </c>
      <c r="J60" s="42" t="s">
        <v>144</v>
      </c>
      <c r="K60" s="42" t="s">
        <v>160</v>
      </c>
      <c r="L60" s="44" t="n">
        <v>19705.72</v>
      </c>
      <c r="M60" s="42" t="n">
        <v>5</v>
      </c>
      <c r="N60" s="42" t="s">
        <v>146</v>
      </c>
      <c r="O60" s="42" t="s">
        <v>147</v>
      </c>
      <c r="P60" s="39" t="n">
        <f aca="false">C60-B60</f>
        <v>10</v>
      </c>
      <c r="Q60" s="40" t="str">
        <f aca="false">CHOOSE(MONTH(B60),"يناير","فبراير","مارس","أبريل","مايو","يونيو","يوليو","أغسطس","سبتمبر","أكتوبر","نوفمبر","ديسمبر")</f>
        <v>يناير</v>
      </c>
      <c r="R60" s="40" t="str">
        <f aca="false">"الربع "&amp;ROUNDUP(MONTH(B60)/3,0)</f>
        <v>الربع 1</v>
      </c>
      <c r="S60" s="40" t="str">
        <f aca="false">IF(D60&lt;=12,"أطفال (0-12)",IF(D60&lt;=24,"شباب (13-24)",IF(D60&lt;=44,"بالغون (25-44)",IF(D60&lt;=64,"متوسطو العمر (45-64)","كبار السن (+65)"))))</f>
        <v>متوسطو العمر (45-64)</v>
      </c>
      <c r="T60" s="41" t="n">
        <f aca="false">IFERROR(L60/P60,0)</f>
        <v>1970.572</v>
      </c>
    </row>
    <row r="61" customFormat="false" ht="15" hidden="false" customHeight="false" outlineLevel="0" collapsed="false">
      <c r="A61" s="33" t="s">
        <v>407</v>
      </c>
      <c r="B61" s="34" t="n">
        <v>45302</v>
      </c>
      <c r="C61" s="34" t="n">
        <v>45308</v>
      </c>
      <c r="D61" s="33" t="n">
        <v>20</v>
      </c>
      <c r="E61" s="33" t="s">
        <v>139</v>
      </c>
      <c r="F61" s="33" t="s">
        <v>140</v>
      </c>
      <c r="G61" s="33" t="s">
        <v>316</v>
      </c>
      <c r="H61" s="33" t="s">
        <v>290</v>
      </c>
      <c r="I61" s="33" t="s">
        <v>152</v>
      </c>
      <c r="J61" s="33" t="s">
        <v>144</v>
      </c>
      <c r="K61" s="33" t="s">
        <v>184</v>
      </c>
      <c r="L61" s="35" t="n">
        <v>21890.2</v>
      </c>
      <c r="M61" s="33" t="n">
        <v>4</v>
      </c>
      <c r="N61" s="33" t="s">
        <v>146</v>
      </c>
      <c r="O61" s="33" t="s">
        <v>147</v>
      </c>
      <c r="P61" s="39" t="n">
        <f aca="false">C61-B61</f>
        <v>6</v>
      </c>
      <c r="Q61" s="40" t="str">
        <f aca="false">CHOOSE(MONTH(B61),"يناير","فبراير","مارس","أبريل","مايو","يونيو","يوليو","أغسطس","سبتمبر","أكتوبر","نوفمبر","ديسمبر")</f>
        <v>يناير</v>
      </c>
      <c r="R61" s="40" t="str">
        <f aca="false">"الربع "&amp;ROUNDUP(MONTH(B61)/3,0)</f>
        <v>الربع 1</v>
      </c>
      <c r="S61" s="40" t="str">
        <f aca="false">IF(D61&lt;=12,"أطفال (0-12)",IF(D61&lt;=24,"شباب (13-24)",IF(D61&lt;=44,"بالغون (25-44)",IF(D61&lt;=64,"متوسطو العمر (45-64)","كبار السن (+65)"))))</f>
        <v>شباب (13-24)</v>
      </c>
      <c r="T61" s="41" t="n">
        <f aca="false">IFERROR(L61/P61,0)</f>
        <v>3648.36666666667</v>
      </c>
    </row>
    <row r="62" customFormat="false" ht="15" hidden="false" customHeight="false" outlineLevel="0" collapsed="false">
      <c r="A62" s="42" t="s">
        <v>1982</v>
      </c>
      <c r="B62" s="43" t="n">
        <v>45302</v>
      </c>
      <c r="C62" s="43" t="n">
        <v>45303</v>
      </c>
      <c r="D62" s="42" t="n">
        <v>67</v>
      </c>
      <c r="E62" s="42" t="s">
        <v>139</v>
      </c>
      <c r="F62" s="42" t="s">
        <v>203</v>
      </c>
      <c r="G62" s="42" t="s">
        <v>204</v>
      </c>
      <c r="H62" s="42" t="s">
        <v>193</v>
      </c>
      <c r="I62" s="42" t="s">
        <v>143</v>
      </c>
      <c r="J62" s="42" t="s">
        <v>159</v>
      </c>
      <c r="K62" s="42" t="s">
        <v>145</v>
      </c>
      <c r="L62" s="44" t="n">
        <v>1058.96</v>
      </c>
      <c r="M62" s="42" t="n">
        <v>3</v>
      </c>
      <c r="N62" s="42" t="s">
        <v>146</v>
      </c>
      <c r="O62" s="42" t="s">
        <v>295</v>
      </c>
      <c r="P62" s="39" t="n">
        <f aca="false">C62-B62</f>
        <v>1</v>
      </c>
      <c r="Q62" s="40" t="str">
        <f aca="false">CHOOSE(MONTH(B62),"يناير","فبراير","مارس","أبريل","مايو","يونيو","يوليو","أغسطس","سبتمبر","أكتوبر","نوفمبر","ديسمبر")</f>
        <v>يناير</v>
      </c>
      <c r="R62" s="40" t="str">
        <f aca="false">"الربع "&amp;ROUNDUP(MONTH(B62)/3,0)</f>
        <v>الربع 1</v>
      </c>
      <c r="S62" s="40" t="str">
        <f aca="false">IF(D62&lt;=12,"أطفال (0-12)",IF(D62&lt;=24,"شباب (13-24)",IF(D62&lt;=44,"بالغون (25-44)",IF(D62&lt;=64,"متوسطو العمر (45-64)","كبار السن (+65)"))))</f>
        <v>كبار السن (+65)</v>
      </c>
      <c r="T62" s="41" t="n">
        <f aca="false">IFERROR(L62/P62,0)</f>
        <v>1058.96</v>
      </c>
    </row>
    <row r="63" customFormat="false" ht="15" hidden="false" customHeight="false" outlineLevel="0" collapsed="false">
      <c r="A63" s="33" t="s">
        <v>825</v>
      </c>
      <c r="B63" s="34" t="n">
        <v>45302</v>
      </c>
      <c r="C63" s="34" t="n">
        <v>45303</v>
      </c>
      <c r="D63" s="33" t="n">
        <v>31</v>
      </c>
      <c r="E63" s="33" t="s">
        <v>139</v>
      </c>
      <c r="F63" s="33" t="s">
        <v>203</v>
      </c>
      <c r="G63" s="33" t="s">
        <v>232</v>
      </c>
      <c r="H63" s="33" t="s">
        <v>233</v>
      </c>
      <c r="I63" s="33" t="s">
        <v>143</v>
      </c>
      <c r="J63" s="33" t="s">
        <v>159</v>
      </c>
      <c r="K63" s="33" t="s">
        <v>145</v>
      </c>
      <c r="L63" s="35" t="n">
        <v>971.38</v>
      </c>
      <c r="M63" s="33" t="n">
        <v>3</v>
      </c>
      <c r="N63" s="33" t="s">
        <v>146</v>
      </c>
      <c r="O63" s="33" t="s">
        <v>147</v>
      </c>
      <c r="P63" s="39" t="n">
        <f aca="false">C63-B63</f>
        <v>1</v>
      </c>
      <c r="Q63" s="40" t="str">
        <f aca="false">CHOOSE(MONTH(B63),"يناير","فبراير","مارس","أبريل","مايو","يونيو","يوليو","أغسطس","سبتمبر","أكتوبر","نوفمبر","ديسمبر")</f>
        <v>يناير</v>
      </c>
      <c r="R63" s="40" t="str">
        <f aca="false">"الربع "&amp;ROUNDUP(MONTH(B63)/3,0)</f>
        <v>الربع 1</v>
      </c>
      <c r="S63" s="40" t="str">
        <f aca="false">IF(D63&lt;=12,"أطفال (0-12)",IF(D63&lt;=24,"شباب (13-24)",IF(D63&lt;=44,"بالغون (25-44)",IF(D63&lt;=64,"متوسطو العمر (45-64)","كبار السن (+65)"))))</f>
        <v>بالغون (25-44)</v>
      </c>
      <c r="T63" s="41" t="n">
        <f aca="false">IFERROR(L63/P63,0)</f>
        <v>971.38</v>
      </c>
    </row>
    <row r="64" customFormat="false" ht="15" hidden="false" customHeight="false" outlineLevel="0" collapsed="false">
      <c r="A64" s="42" t="s">
        <v>675</v>
      </c>
      <c r="B64" s="43" t="n">
        <v>45302</v>
      </c>
      <c r="C64" s="43" t="n">
        <v>45309</v>
      </c>
      <c r="D64" s="42" t="n">
        <v>9</v>
      </c>
      <c r="E64" s="42" t="s">
        <v>139</v>
      </c>
      <c r="F64" s="42" t="s">
        <v>155</v>
      </c>
      <c r="G64" s="42" t="s">
        <v>302</v>
      </c>
      <c r="H64" s="42" t="s">
        <v>157</v>
      </c>
      <c r="I64" s="42" t="s">
        <v>143</v>
      </c>
      <c r="J64" s="42" t="s">
        <v>159</v>
      </c>
      <c r="K64" s="42" t="s">
        <v>145</v>
      </c>
      <c r="L64" s="44" t="n">
        <v>6548.06</v>
      </c>
      <c r="M64" s="42" t="n">
        <v>4</v>
      </c>
      <c r="N64" s="42" t="s">
        <v>146</v>
      </c>
      <c r="O64" s="42" t="s">
        <v>147</v>
      </c>
      <c r="P64" s="39" t="n">
        <f aca="false">C64-B64</f>
        <v>7</v>
      </c>
      <c r="Q64" s="40" t="str">
        <f aca="false">CHOOSE(MONTH(B64),"يناير","فبراير","مارس","أبريل","مايو","يونيو","يوليو","أغسطس","سبتمبر","أكتوبر","نوفمبر","ديسمبر")</f>
        <v>يناير</v>
      </c>
      <c r="R64" s="40" t="str">
        <f aca="false">"الربع "&amp;ROUNDUP(MONTH(B64)/3,0)</f>
        <v>الربع 1</v>
      </c>
      <c r="S64" s="40" t="str">
        <f aca="false">IF(D64&lt;=12,"أطفال (0-12)",IF(D64&lt;=24,"شباب (13-24)",IF(D64&lt;=44,"بالغون (25-44)",IF(D64&lt;=64,"متوسطو العمر (45-64)","كبار السن (+65)"))))</f>
        <v>أطفال (0-12)</v>
      </c>
      <c r="T64" s="41" t="n">
        <f aca="false">IFERROR(L64/P64,0)</f>
        <v>935.437142857143</v>
      </c>
    </row>
    <row r="65" customFormat="false" ht="15" hidden="false" customHeight="false" outlineLevel="0" collapsed="false">
      <c r="A65" s="33" t="s">
        <v>1965</v>
      </c>
      <c r="B65" s="34" t="n">
        <v>45302</v>
      </c>
      <c r="C65" s="34" t="n">
        <v>45309</v>
      </c>
      <c r="D65" s="33" t="n">
        <v>57</v>
      </c>
      <c r="E65" s="33" t="s">
        <v>154</v>
      </c>
      <c r="F65" s="33" t="s">
        <v>173</v>
      </c>
      <c r="G65" s="33" t="s">
        <v>198</v>
      </c>
      <c r="H65" s="33" t="s">
        <v>199</v>
      </c>
      <c r="I65" s="33" t="s">
        <v>143</v>
      </c>
      <c r="J65" s="33" t="s">
        <v>176</v>
      </c>
      <c r="K65" s="33" t="s">
        <v>145</v>
      </c>
      <c r="L65" s="35" t="n">
        <v>67782.81</v>
      </c>
      <c r="M65" s="33" t="n">
        <v>5</v>
      </c>
      <c r="N65" s="33" t="s">
        <v>146</v>
      </c>
      <c r="O65" s="33" t="s">
        <v>147</v>
      </c>
      <c r="P65" s="39" t="n">
        <f aca="false">C65-B65</f>
        <v>7</v>
      </c>
      <c r="Q65" s="40" t="str">
        <f aca="false">CHOOSE(MONTH(B65),"يناير","فبراير","مارس","أبريل","مايو","يونيو","يوليو","أغسطس","سبتمبر","أكتوبر","نوفمبر","ديسمبر")</f>
        <v>يناير</v>
      </c>
      <c r="R65" s="40" t="str">
        <f aca="false">"الربع "&amp;ROUNDUP(MONTH(B65)/3,0)</f>
        <v>الربع 1</v>
      </c>
      <c r="S65" s="40" t="str">
        <f aca="false">IF(D65&lt;=12,"أطفال (0-12)",IF(D65&lt;=24,"شباب (13-24)",IF(D65&lt;=44,"بالغون (25-44)",IF(D65&lt;=64,"متوسطو العمر (45-64)","كبار السن (+65)"))))</f>
        <v>متوسطو العمر (45-64)</v>
      </c>
      <c r="T65" s="41" t="n">
        <f aca="false">IFERROR(L65/P65,0)</f>
        <v>9683.25857142857</v>
      </c>
    </row>
    <row r="66" customFormat="false" ht="15" hidden="false" customHeight="false" outlineLevel="0" collapsed="false">
      <c r="A66" s="42" t="s">
        <v>1532</v>
      </c>
      <c r="B66" s="43" t="n">
        <v>45303</v>
      </c>
      <c r="C66" s="43" t="n">
        <v>45305</v>
      </c>
      <c r="D66" s="42" t="n">
        <v>61</v>
      </c>
      <c r="E66" s="42" t="s">
        <v>139</v>
      </c>
      <c r="F66" s="42" t="s">
        <v>169</v>
      </c>
      <c r="G66" s="42" t="s">
        <v>163</v>
      </c>
      <c r="H66" s="42" t="s">
        <v>164</v>
      </c>
      <c r="I66" s="42" t="s">
        <v>143</v>
      </c>
      <c r="J66" s="42" t="s">
        <v>144</v>
      </c>
      <c r="K66" s="42" t="s">
        <v>145</v>
      </c>
      <c r="L66" s="44" t="n">
        <v>4104.25</v>
      </c>
      <c r="M66" s="42" t="n">
        <v>4</v>
      </c>
      <c r="N66" s="42" t="s">
        <v>210</v>
      </c>
      <c r="O66" s="42" t="s">
        <v>147</v>
      </c>
      <c r="P66" s="39" t="n">
        <f aca="false">C66-B66</f>
        <v>2</v>
      </c>
      <c r="Q66" s="40" t="str">
        <f aca="false">CHOOSE(MONTH(B66),"يناير","فبراير","مارس","أبريل","مايو","يونيو","يوليو","أغسطس","سبتمبر","أكتوبر","نوفمبر","ديسمبر")</f>
        <v>يناير</v>
      </c>
      <c r="R66" s="40" t="str">
        <f aca="false">"الربع "&amp;ROUNDUP(MONTH(B66)/3,0)</f>
        <v>الربع 1</v>
      </c>
      <c r="S66" s="40" t="str">
        <f aca="false">IF(D66&lt;=12,"أطفال (0-12)",IF(D66&lt;=24,"شباب (13-24)",IF(D66&lt;=44,"بالغون (25-44)",IF(D66&lt;=64,"متوسطو العمر (45-64)","كبار السن (+65)"))))</f>
        <v>متوسطو العمر (45-64)</v>
      </c>
      <c r="T66" s="41" t="n">
        <f aca="false">IFERROR(L66/P66,0)</f>
        <v>2052.125</v>
      </c>
    </row>
    <row r="67" customFormat="false" ht="15" hidden="false" customHeight="false" outlineLevel="0" collapsed="false">
      <c r="A67" s="33" t="s">
        <v>1147</v>
      </c>
      <c r="B67" s="34" t="n">
        <v>45303</v>
      </c>
      <c r="C67" s="34" t="n">
        <v>45312</v>
      </c>
      <c r="D67" s="33" t="n">
        <v>51</v>
      </c>
      <c r="E67" s="33" t="s">
        <v>154</v>
      </c>
      <c r="F67" s="33" t="s">
        <v>181</v>
      </c>
      <c r="G67" s="33" t="s">
        <v>237</v>
      </c>
      <c r="H67" s="33" t="s">
        <v>245</v>
      </c>
      <c r="I67" s="33" t="s">
        <v>143</v>
      </c>
      <c r="J67" s="33" t="s">
        <v>176</v>
      </c>
      <c r="K67" s="33" t="s">
        <v>160</v>
      </c>
      <c r="L67" s="35" t="n">
        <v>81802.38</v>
      </c>
      <c r="M67" s="33" t="n">
        <v>3</v>
      </c>
      <c r="N67" s="33" t="s">
        <v>210</v>
      </c>
      <c r="O67" s="33" t="s">
        <v>147</v>
      </c>
      <c r="P67" s="39" t="n">
        <f aca="false">C67-B67</f>
        <v>9</v>
      </c>
      <c r="Q67" s="40" t="str">
        <f aca="false">CHOOSE(MONTH(B67),"يناير","فبراير","مارس","أبريل","مايو","يونيو","يوليو","أغسطس","سبتمبر","أكتوبر","نوفمبر","ديسمبر")</f>
        <v>يناير</v>
      </c>
      <c r="R67" s="40" t="str">
        <f aca="false">"الربع "&amp;ROUNDUP(MONTH(B67)/3,0)</f>
        <v>الربع 1</v>
      </c>
      <c r="S67" s="40" t="str">
        <f aca="false">IF(D67&lt;=12,"أطفال (0-12)",IF(D67&lt;=24,"شباب (13-24)",IF(D67&lt;=44,"بالغون (25-44)",IF(D67&lt;=64,"متوسطو العمر (45-64)","كبار السن (+65)"))))</f>
        <v>متوسطو العمر (45-64)</v>
      </c>
      <c r="T67" s="41" t="n">
        <f aca="false">IFERROR(L67/P67,0)</f>
        <v>9089.15333333333</v>
      </c>
    </row>
    <row r="68" customFormat="false" ht="15" hidden="false" customHeight="false" outlineLevel="0" collapsed="false">
      <c r="A68" s="42" t="s">
        <v>1430</v>
      </c>
      <c r="B68" s="43" t="n">
        <v>45303</v>
      </c>
      <c r="C68" s="43" t="n">
        <v>45304</v>
      </c>
      <c r="D68" s="42" t="n">
        <v>34</v>
      </c>
      <c r="E68" s="42" t="s">
        <v>154</v>
      </c>
      <c r="F68" s="42" t="s">
        <v>203</v>
      </c>
      <c r="G68" s="42" t="s">
        <v>192</v>
      </c>
      <c r="H68" s="42" t="s">
        <v>205</v>
      </c>
      <c r="I68" s="42" t="s">
        <v>143</v>
      </c>
      <c r="J68" s="42" t="s">
        <v>159</v>
      </c>
      <c r="K68" s="42" t="s">
        <v>145</v>
      </c>
      <c r="L68" s="44" t="n">
        <v>954.12</v>
      </c>
      <c r="M68" s="42" t="n">
        <v>4</v>
      </c>
      <c r="N68" s="42" t="s">
        <v>146</v>
      </c>
      <c r="O68" s="42" t="s">
        <v>147</v>
      </c>
      <c r="P68" s="39" t="n">
        <f aca="false">C68-B68</f>
        <v>1</v>
      </c>
      <c r="Q68" s="40" t="str">
        <f aca="false">CHOOSE(MONTH(B68),"يناير","فبراير","مارس","أبريل","مايو","يونيو","يوليو","أغسطس","سبتمبر","أكتوبر","نوفمبر","ديسمبر")</f>
        <v>يناير</v>
      </c>
      <c r="R68" s="40" t="str">
        <f aca="false">"الربع "&amp;ROUNDUP(MONTH(B68)/3,0)</f>
        <v>الربع 1</v>
      </c>
      <c r="S68" s="40" t="str">
        <f aca="false">IF(D68&lt;=12,"أطفال (0-12)",IF(D68&lt;=24,"شباب (13-24)",IF(D68&lt;=44,"بالغون (25-44)",IF(D68&lt;=64,"متوسطو العمر (45-64)","كبار السن (+65)"))))</f>
        <v>بالغون (25-44)</v>
      </c>
      <c r="T68" s="41" t="n">
        <f aca="false">IFERROR(L68/P68,0)</f>
        <v>954.12</v>
      </c>
    </row>
    <row r="69" customFormat="false" ht="15" hidden="false" customHeight="false" outlineLevel="0" collapsed="false">
      <c r="A69" s="33" t="s">
        <v>1463</v>
      </c>
      <c r="B69" s="34" t="n">
        <v>45303</v>
      </c>
      <c r="C69" s="34" t="n">
        <v>45305</v>
      </c>
      <c r="D69" s="33" t="n">
        <v>7</v>
      </c>
      <c r="E69" s="33" t="s">
        <v>139</v>
      </c>
      <c r="F69" s="33" t="s">
        <v>155</v>
      </c>
      <c r="G69" s="33" t="s">
        <v>156</v>
      </c>
      <c r="H69" s="33" t="s">
        <v>222</v>
      </c>
      <c r="I69" s="33" t="s">
        <v>143</v>
      </c>
      <c r="J69" s="33" t="s">
        <v>144</v>
      </c>
      <c r="K69" s="33" t="s">
        <v>145</v>
      </c>
      <c r="L69" s="35" t="n">
        <v>2617.76</v>
      </c>
      <c r="M69" s="33" t="n">
        <v>4</v>
      </c>
      <c r="N69" s="33" t="s">
        <v>146</v>
      </c>
      <c r="O69" s="33" t="s">
        <v>147</v>
      </c>
      <c r="P69" s="39" t="n">
        <f aca="false">C69-B69</f>
        <v>2</v>
      </c>
      <c r="Q69" s="40" t="str">
        <f aca="false">CHOOSE(MONTH(B69),"يناير","فبراير","مارس","أبريل","مايو","يونيو","يوليو","أغسطس","سبتمبر","أكتوبر","نوفمبر","ديسمبر")</f>
        <v>يناير</v>
      </c>
      <c r="R69" s="40" t="str">
        <f aca="false">"الربع "&amp;ROUNDUP(MONTH(B69)/3,0)</f>
        <v>الربع 1</v>
      </c>
      <c r="S69" s="40" t="str">
        <f aca="false">IF(D69&lt;=12,"أطفال (0-12)",IF(D69&lt;=24,"شباب (13-24)",IF(D69&lt;=44,"بالغون (25-44)",IF(D69&lt;=64,"متوسطو العمر (45-64)","كبار السن (+65)"))))</f>
        <v>أطفال (0-12)</v>
      </c>
      <c r="T69" s="41" t="n">
        <f aca="false">IFERROR(L69/P69,0)</f>
        <v>1308.88</v>
      </c>
    </row>
    <row r="70" customFormat="false" ht="15" hidden="false" customHeight="false" outlineLevel="0" collapsed="false">
      <c r="A70" s="42" t="s">
        <v>1340</v>
      </c>
      <c r="B70" s="43" t="n">
        <v>45303</v>
      </c>
      <c r="C70" s="43" t="n">
        <v>45310</v>
      </c>
      <c r="D70" s="42" t="n">
        <v>82</v>
      </c>
      <c r="E70" s="42" t="s">
        <v>154</v>
      </c>
      <c r="F70" s="42" t="s">
        <v>169</v>
      </c>
      <c r="G70" s="42" t="s">
        <v>230</v>
      </c>
      <c r="H70" s="42" t="s">
        <v>164</v>
      </c>
      <c r="I70" s="42" t="s">
        <v>143</v>
      </c>
      <c r="J70" s="42" t="s">
        <v>159</v>
      </c>
      <c r="K70" s="42" t="s">
        <v>184</v>
      </c>
      <c r="L70" s="44" t="n">
        <v>8059.93</v>
      </c>
      <c r="M70" s="42" t="n">
        <v>5</v>
      </c>
      <c r="N70" s="42" t="s">
        <v>146</v>
      </c>
      <c r="O70" s="42" t="s">
        <v>147</v>
      </c>
      <c r="P70" s="39" t="n">
        <f aca="false">C70-B70</f>
        <v>7</v>
      </c>
      <c r="Q70" s="40" t="str">
        <f aca="false">CHOOSE(MONTH(B70),"يناير","فبراير","مارس","أبريل","مايو","يونيو","يوليو","أغسطس","سبتمبر","أكتوبر","نوفمبر","ديسمبر")</f>
        <v>يناير</v>
      </c>
      <c r="R70" s="40" t="str">
        <f aca="false">"الربع "&amp;ROUNDUP(MONTH(B70)/3,0)</f>
        <v>الربع 1</v>
      </c>
      <c r="S70" s="40" t="str">
        <f aca="false">IF(D70&lt;=12,"أطفال (0-12)",IF(D70&lt;=24,"شباب (13-24)",IF(D70&lt;=44,"بالغون (25-44)",IF(D70&lt;=64,"متوسطو العمر (45-64)","كبار السن (+65)"))))</f>
        <v>كبار السن (+65)</v>
      </c>
      <c r="T70" s="41" t="n">
        <f aca="false">IFERROR(L70/P70,0)</f>
        <v>1151.41857142857</v>
      </c>
    </row>
    <row r="71" customFormat="false" ht="15" hidden="false" customHeight="false" outlineLevel="0" collapsed="false">
      <c r="A71" s="33" t="s">
        <v>1471</v>
      </c>
      <c r="B71" s="34" t="n">
        <v>45304</v>
      </c>
      <c r="C71" s="34" t="n">
        <v>45305</v>
      </c>
      <c r="D71" s="33" t="n">
        <v>8</v>
      </c>
      <c r="E71" s="33" t="s">
        <v>154</v>
      </c>
      <c r="F71" s="33" t="s">
        <v>203</v>
      </c>
      <c r="G71" s="33" t="s">
        <v>217</v>
      </c>
      <c r="H71" s="33" t="s">
        <v>233</v>
      </c>
      <c r="I71" s="33" t="s">
        <v>143</v>
      </c>
      <c r="J71" s="33" t="s">
        <v>159</v>
      </c>
      <c r="K71" s="33" t="s">
        <v>145</v>
      </c>
      <c r="L71" s="35" t="n">
        <v>827.42</v>
      </c>
      <c r="M71" s="33" t="n">
        <v>2</v>
      </c>
      <c r="N71" s="33" t="s">
        <v>210</v>
      </c>
      <c r="O71" s="33" t="s">
        <v>147</v>
      </c>
      <c r="P71" s="39" t="n">
        <f aca="false">C71-B71</f>
        <v>1</v>
      </c>
      <c r="Q71" s="40" t="str">
        <f aca="false">CHOOSE(MONTH(B71),"يناير","فبراير","مارس","أبريل","مايو","يونيو","يوليو","أغسطس","سبتمبر","أكتوبر","نوفمبر","ديسمبر")</f>
        <v>يناير</v>
      </c>
      <c r="R71" s="40" t="str">
        <f aca="false">"الربع "&amp;ROUNDUP(MONTH(B71)/3,0)</f>
        <v>الربع 1</v>
      </c>
      <c r="S71" s="40" t="str">
        <f aca="false">IF(D71&lt;=12,"أطفال (0-12)",IF(D71&lt;=24,"شباب (13-24)",IF(D71&lt;=44,"بالغون (25-44)",IF(D71&lt;=64,"متوسطو العمر (45-64)","كبار السن (+65)"))))</f>
        <v>أطفال (0-12)</v>
      </c>
      <c r="T71" s="41" t="n">
        <f aca="false">IFERROR(L71/P71,0)</f>
        <v>827.42</v>
      </c>
    </row>
    <row r="72" customFormat="false" ht="15" hidden="false" customHeight="false" outlineLevel="0" collapsed="false">
      <c r="A72" s="42" t="s">
        <v>530</v>
      </c>
      <c r="B72" s="43" t="n">
        <v>45304</v>
      </c>
      <c r="C72" s="43" t="n">
        <v>45305</v>
      </c>
      <c r="D72" s="42" t="n">
        <v>42</v>
      </c>
      <c r="E72" s="42" t="s">
        <v>154</v>
      </c>
      <c r="F72" s="42" t="s">
        <v>203</v>
      </c>
      <c r="G72" s="42" t="s">
        <v>192</v>
      </c>
      <c r="H72" s="42" t="s">
        <v>193</v>
      </c>
      <c r="I72" s="42" t="s">
        <v>143</v>
      </c>
      <c r="J72" s="42" t="s">
        <v>176</v>
      </c>
      <c r="K72" s="42" t="s">
        <v>160</v>
      </c>
      <c r="L72" s="44" t="n">
        <v>2615.54</v>
      </c>
      <c r="M72" s="42" t="n">
        <v>3</v>
      </c>
      <c r="N72" s="42" t="s">
        <v>146</v>
      </c>
      <c r="O72" s="42" t="s">
        <v>147</v>
      </c>
      <c r="P72" s="39" t="n">
        <f aca="false">C72-B72</f>
        <v>1</v>
      </c>
      <c r="Q72" s="40" t="str">
        <f aca="false">CHOOSE(MONTH(B72),"يناير","فبراير","مارس","أبريل","مايو","يونيو","يوليو","أغسطس","سبتمبر","أكتوبر","نوفمبر","ديسمبر")</f>
        <v>يناير</v>
      </c>
      <c r="R72" s="40" t="str">
        <f aca="false">"الربع "&amp;ROUNDUP(MONTH(B72)/3,0)</f>
        <v>الربع 1</v>
      </c>
      <c r="S72" s="40" t="str">
        <f aca="false">IF(D72&lt;=12,"أطفال (0-12)",IF(D72&lt;=24,"شباب (13-24)",IF(D72&lt;=44,"بالغون (25-44)",IF(D72&lt;=64,"متوسطو العمر (45-64)","كبار السن (+65)"))))</f>
        <v>بالغون (25-44)</v>
      </c>
      <c r="T72" s="41" t="n">
        <f aca="false">IFERROR(L72/P72,0)</f>
        <v>2615.54</v>
      </c>
    </row>
    <row r="73" customFormat="false" ht="15" hidden="false" customHeight="false" outlineLevel="0" collapsed="false">
      <c r="A73" s="33" t="s">
        <v>1482</v>
      </c>
      <c r="B73" s="34" t="n">
        <v>45304</v>
      </c>
      <c r="C73" s="34" t="n">
        <v>45310</v>
      </c>
      <c r="D73" s="33" t="n">
        <v>38</v>
      </c>
      <c r="E73" s="33" t="s">
        <v>154</v>
      </c>
      <c r="F73" s="33" t="s">
        <v>226</v>
      </c>
      <c r="G73" s="33" t="s">
        <v>258</v>
      </c>
      <c r="H73" s="33" t="s">
        <v>228</v>
      </c>
      <c r="I73" s="33" t="s">
        <v>152</v>
      </c>
      <c r="J73" s="33" t="s">
        <v>159</v>
      </c>
      <c r="K73" s="33" t="s">
        <v>184</v>
      </c>
      <c r="L73" s="35" t="n">
        <v>16932.85</v>
      </c>
      <c r="M73" s="33" t="n">
        <v>5</v>
      </c>
      <c r="N73" s="33" t="s">
        <v>146</v>
      </c>
      <c r="O73" s="33" t="s">
        <v>147</v>
      </c>
      <c r="P73" s="39" t="n">
        <f aca="false">C73-B73</f>
        <v>6</v>
      </c>
      <c r="Q73" s="40" t="str">
        <f aca="false">CHOOSE(MONTH(B73),"يناير","فبراير","مارس","أبريل","مايو","يونيو","يوليو","أغسطس","سبتمبر","أكتوبر","نوفمبر","ديسمبر")</f>
        <v>يناير</v>
      </c>
      <c r="R73" s="40" t="str">
        <f aca="false">"الربع "&amp;ROUNDUP(MONTH(B73)/3,0)</f>
        <v>الربع 1</v>
      </c>
      <c r="S73" s="40" t="str">
        <f aca="false">IF(D73&lt;=12,"أطفال (0-12)",IF(D73&lt;=24,"شباب (13-24)",IF(D73&lt;=44,"بالغون (25-44)",IF(D73&lt;=64,"متوسطو العمر (45-64)","كبار السن (+65)"))))</f>
        <v>بالغون (25-44)</v>
      </c>
      <c r="T73" s="41" t="n">
        <f aca="false">IFERROR(L73/P73,0)</f>
        <v>2822.14166666667</v>
      </c>
    </row>
    <row r="74" customFormat="false" ht="15" hidden="false" customHeight="false" outlineLevel="0" collapsed="false">
      <c r="A74" s="42" t="s">
        <v>1227</v>
      </c>
      <c r="B74" s="43" t="n">
        <v>45305</v>
      </c>
      <c r="C74" s="43" t="n">
        <v>45308</v>
      </c>
      <c r="D74" s="42" t="n">
        <v>73</v>
      </c>
      <c r="E74" s="42" t="s">
        <v>139</v>
      </c>
      <c r="F74" s="42" t="s">
        <v>203</v>
      </c>
      <c r="G74" s="42" t="s">
        <v>232</v>
      </c>
      <c r="H74" s="42" t="s">
        <v>233</v>
      </c>
      <c r="I74" s="42" t="s">
        <v>143</v>
      </c>
      <c r="J74" s="42" t="s">
        <v>159</v>
      </c>
      <c r="K74" s="42" t="s">
        <v>160</v>
      </c>
      <c r="L74" s="44" t="n">
        <v>3253.09</v>
      </c>
      <c r="M74" s="42" t="n">
        <v>4</v>
      </c>
      <c r="N74" s="42" t="s">
        <v>146</v>
      </c>
      <c r="O74" s="42" t="s">
        <v>247</v>
      </c>
      <c r="P74" s="39" t="n">
        <f aca="false">C74-B74</f>
        <v>3</v>
      </c>
      <c r="Q74" s="40" t="str">
        <f aca="false">CHOOSE(MONTH(B74),"يناير","فبراير","مارس","أبريل","مايو","يونيو","يوليو","أغسطس","سبتمبر","أكتوبر","نوفمبر","ديسمبر")</f>
        <v>يناير</v>
      </c>
      <c r="R74" s="40" t="str">
        <f aca="false">"الربع "&amp;ROUNDUP(MONTH(B74)/3,0)</f>
        <v>الربع 1</v>
      </c>
      <c r="S74" s="40" t="str">
        <f aca="false">IF(D74&lt;=12,"أطفال (0-12)",IF(D74&lt;=24,"شباب (13-24)",IF(D74&lt;=44,"بالغون (25-44)",IF(D74&lt;=64,"متوسطو العمر (45-64)","كبار السن (+65)"))))</f>
        <v>كبار السن (+65)</v>
      </c>
      <c r="T74" s="41" t="n">
        <f aca="false">IFERROR(L74/P74,0)</f>
        <v>1084.36333333333</v>
      </c>
    </row>
    <row r="75" customFormat="false" ht="15" hidden="false" customHeight="false" outlineLevel="0" collapsed="false">
      <c r="A75" s="33" t="s">
        <v>1437</v>
      </c>
      <c r="B75" s="34" t="n">
        <v>45305</v>
      </c>
      <c r="C75" s="34" t="n">
        <v>45307</v>
      </c>
      <c r="D75" s="33" t="n">
        <v>52</v>
      </c>
      <c r="E75" s="33" t="s">
        <v>154</v>
      </c>
      <c r="F75" s="33" t="s">
        <v>203</v>
      </c>
      <c r="G75" s="33" t="s">
        <v>232</v>
      </c>
      <c r="H75" s="33" t="s">
        <v>205</v>
      </c>
      <c r="I75" s="33" t="s">
        <v>143</v>
      </c>
      <c r="J75" s="33" t="s">
        <v>144</v>
      </c>
      <c r="K75" s="33" t="s">
        <v>145</v>
      </c>
      <c r="L75" s="35" t="n">
        <v>3006.72</v>
      </c>
      <c r="M75" s="33" t="n">
        <v>4</v>
      </c>
      <c r="N75" s="33" t="s">
        <v>146</v>
      </c>
      <c r="O75" s="33" t="s">
        <v>147</v>
      </c>
      <c r="P75" s="39" t="n">
        <f aca="false">C75-B75</f>
        <v>2</v>
      </c>
      <c r="Q75" s="40" t="str">
        <f aca="false">CHOOSE(MONTH(B75),"يناير","فبراير","مارس","أبريل","مايو","يونيو","يوليو","أغسطس","سبتمبر","أكتوبر","نوفمبر","ديسمبر")</f>
        <v>يناير</v>
      </c>
      <c r="R75" s="40" t="str">
        <f aca="false">"الربع "&amp;ROUNDUP(MONTH(B75)/3,0)</f>
        <v>الربع 1</v>
      </c>
      <c r="S75" s="40" t="str">
        <f aca="false">IF(D75&lt;=12,"أطفال (0-12)",IF(D75&lt;=24,"شباب (13-24)",IF(D75&lt;=44,"بالغون (25-44)",IF(D75&lt;=64,"متوسطو العمر (45-64)","كبار السن (+65)"))))</f>
        <v>متوسطو العمر (45-64)</v>
      </c>
      <c r="T75" s="41" t="n">
        <f aca="false">IFERROR(L75/P75,0)</f>
        <v>1503.36</v>
      </c>
    </row>
    <row r="76" customFormat="false" ht="15" hidden="false" customHeight="false" outlineLevel="0" collapsed="false">
      <c r="A76" s="42" t="s">
        <v>1990</v>
      </c>
      <c r="B76" s="43" t="n">
        <v>45305</v>
      </c>
      <c r="C76" s="43" t="n">
        <v>45306</v>
      </c>
      <c r="D76" s="42" t="n">
        <v>58</v>
      </c>
      <c r="E76" s="42" t="s">
        <v>154</v>
      </c>
      <c r="F76" s="42" t="s">
        <v>203</v>
      </c>
      <c r="G76" s="42" t="s">
        <v>241</v>
      </c>
      <c r="H76" s="42" t="s">
        <v>233</v>
      </c>
      <c r="I76" s="42" t="s">
        <v>143</v>
      </c>
      <c r="J76" s="42" t="s">
        <v>176</v>
      </c>
      <c r="K76" s="42" t="s">
        <v>145</v>
      </c>
      <c r="L76" s="44" t="n">
        <v>3454.52</v>
      </c>
      <c r="M76" s="42" t="n">
        <v>4</v>
      </c>
      <c r="N76" s="42" t="s">
        <v>146</v>
      </c>
      <c r="O76" s="42" t="s">
        <v>147</v>
      </c>
      <c r="P76" s="39" t="n">
        <f aca="false">C76-B76</f>
        <v>1</v>
      </c>
      <c r="Q76" s="40" t="str">
        <f aca="false">CHOOSE(MONTH(B76),"يناير","فبراير","مارس","أبريل","مايو","يونيو","يوليو","أغسطس","سبتمبر","أكتوبر","نوفمبر","ديسمبر")</f>
        <v>يناير</v>
      </c>
      <c r="R76" s="40" t="str">
        <f aca="false">"الربع "&amp;ROUNDUP(MONTH(B76)/3,0)</f>
        <v>الربع 1</v>
      </c>
      <c r="S76" s="40" t="str">
        <f aca="false">IF(D76&lt;=12,"أطفال (0-12)",IF(D76&lt;=24,"شباب (13-24)",IF(D76&lt;=44,"بالغون (25-44)",IF(D76&lt;=64,"متوسطو العمر (45-64)","كبار السن (+65)"))))</f>
        <v>متوسطو العمر (45-64)</v>
      </c>
      <c r="T76" s="41" t="n">
        <f aca="false">IFERROR(L76/P76,0)</f>
        <v>3454.52</v>
      </c>
    </row>
    <row r="77" customFormat="false" ht="15" hidden="false" customHeight="false" outlineLevel="0" collapsed="false">
      <c r="A77" s="33" t="s">
        <v>2216</v>
      </c>
      <c r="B77" s="34" t="n">
        <v>45305</v>
      </c>
      <c r="C77" s="34" t="n">
        <v>45311</v>
      </c>
      <c r="D77" s="33" t="n">
        <v>72</v>
      </c>
      <c r="E77" s="33" t="s">
        <v>154</v>
      </c>
      <c r="F77" s="33" t="s">
        <v>181</v>
      </c>
      <c r="G77" s="33" t="s">
        <v>188</v>
      </c>
      <c r="H77" s="33" t="s">
        <v>183</v>
      </c>
      <c r="I77" s="33" t="s">
        <v>143</v>
      </c>
      <c r="J77" s="33" t="s">
        <v>159</v>
      </c>
      <c r="K77" s="33" t="s">
        <v>145</v>
      </c>
      <c r="L77" s="35" t="n">
        <v>13650.77</v>
      </c>
      <c r="M77" s="33" t="n">
        <v>5</v>
      </c>
      <c r="N77" s="33" t="s">
        <v>146</v>
      </c>
      <c r="O77" s="33" t="s">
        <v>147</v>
      </c>
      <c r="P77" s="39" t="n">
        <f aca="false">C77-B77</f>
        <v>6</v>
      </c>
      <c r="Q77" s="40" t="str">
        <f aca="false">CHOOSE(MONTH(B77),"يناير","فبراير","مارس","أبريل","مايو","يونيو","يوليو","أغسطس","سبتمبر","أكتوبر","نوفمبر","ديسمبر")</f>
        <v>يناير</v>
      </c>
      <c r="R77" s="40" t="str">
        <f aca="false">"الربع "&amp;ROUNDUP(MONTH(B77)/3,0)</f>
        <v>الربع 1</v>
      </c>
      <c r="S77" s="40" t="str">
        <f aca="false">IF(D77&lt;=12,"أطفال (0-12)",IF(D77&lt;=24,"شباب (13-24)",IF(D77&lt;=44,"بالغون (25-44)",IF(D77&lt;=64,"متوسطو العمر (45-64)","كبار السن (+65)"))))</f>
        <v>كبار السن (+65)</v>
      </c>
      <c r="T77" s="41" t="n">
        <f aca="false">IFERROR(L77/P77,0)</f>
        <v>2275.12833333333</v>
      </c>
    </row>
    <row r="78" customFormat="false" ht="15" hidden="false" customHeight="false" outlineLevel="0" collapsed="false">
      <c r="A78" s="42" t="s">
        <v>1936</v>
      </c>
      <c r="B78" s="43" t="n">
        <v>45305</v>
      </c>
      <c r="C78" s="43" t="n">
        <v>45309</v>
      </c>
      <c r="D78" s="42" t="n">
        <v>68</v>
      </c>
      <c r="E78" s="42" t="s">
        <v>154</v>
      </c>
      <c r="F78" s="42" t="s">
        <v>169</v>
      </c>
      <c r="G78" s="42" t="s">
        <v>163</v>
      </c>
      <c r="H78" s="42" t="s">
        <v>164</v>
      </c>
      <c r="I78" s="42" t="s">
        <v>143</v>
      </c>
      <c r="J78" s="42" t="s">
        <v>144</v>
      </c>
      <c r="K78" s="42" t="s">
        <v>160</v>
      </c>
      <c r="L78" s="44" t="n">
        <v>7235.85</v>
      </c>
      <c r="M78" s="42" t="n">
        <v>5</v>
      </c>
      <c r="N78" s="42" t="s">
        <v>146</v>
      </c>
      <c r="O78" s="42" t="s">
        <v>147</v>
      </c>
      <c r="P78" s="39" t="n">
        <f aca="false">C78-B78</f>
        <v>4</v>
      </c>
      <c r="Q78" s="40" t="str">
        <f aca="false">CHOOSE(MONTH(B78),"يناير","فبراير","مارس","أبريل","مايو","يونيو","يوليو","أغسطس","سبتمبر","أكتوبر","نوفمبر","ديسمبر")</f>
        <v>يناير</v>
      </c>
      <c r="R78" s="40" t="str">
        <f aca="false">"الربع "&amp;ROUNDUP(MONTH(B78)/3,0)</f>
        <v>الربع 1</v>
      </c>
      <c r="S78" s="40" t="str">
        <f aca="false">IF(D78&lt;=12,"أطفال (0-12)",IF(D78&lt;=24,"شباب (13-24)",IF(D78&lt;=44,"بالغون (25-44)",IF(D78&lt;=64,"متوسطو العمر (45-64)","كبار السن (+65)"))))</f>
        <v>كبار السن (+65)</v>
      </c>
      <c r="T78" s="41" t="n">
        <f aca="false">IFERROR(L78/P78,0)</f>
        <v>1808.9625</v>
      </c>
    </row>
    <row r="79" customFormat="false" ht="15" hidden="false" customHeight="false" outlineLevel="0" collapsed="false">
      <c r="A79" s="33" t="s">
        <v>587</v>
      </c>
      <c r="B79" s="34" t="n">
        <v>45305</v>
      </c>
      <c r="C79" s="34" t="n">
        <v>45311</v>
      </c>
      <c r="D79" s="33" t="n">
        <v>4</v>
      </c>
      <c r="E79" s="33" t="s">
        <v>139</v>
      </c>
      <c r="F79" s="33" t="s">
        <v>155</v>
      </c>
      <c r="G79" s="33" t="s">
        <v>220</v>
      </c>
      <c r="H79" s="33" t="s">
        <v>222</v>
      </c>
      <c r="I79" s="33" t="s">
        <v>143</v>
      </c>
      <c r="J79" s="33" t="s">
        <v>176</v>
      </c>
      <c r="K79" s="33" t="s">
        <v>160</v>
      </c>
      <c r="L79" s="35" t="n">
        <v>17597.48</v>
      </c>
      <c r="M79" s="33" t="n">
        <v>4</v>
      </c>
      <c r="N79" s="33" t="s">
        <v>146</v>
      </c>
      <c r="O79" s="33" t="s">
        <v>147</v>
      </c>
      <c r="P79" s="39" t="n">
        <f aca="false">C79-B79</f>
        <v>6</v>
      </c>
      <c r="Q79" s="40" t="str">
        <f aca="false">CHOOSE(MONTH(B79),"يناير","فبراير","مارس","أبريل","مايو","يونيو","يوليو","أغسطس","سبتمبر","أكتوبر","نوفمبر","ديسمبر")</f>
        <v>يناير</v>
      </c>
      <c r="R79" s="40" t="str">
        <f aca="false">"الربع "&amp;ROUNDUP(MONTH(B79)/3,0)</f>
        <v>الربع 1</v>
      </c>
      <c r="S79" s="40" t="str">
        <f aca="false">IF(D79&lt;=12,"أطفال (0-12)",IF(D79&lt;=24,"شباب (13-24)",IF(D79&lt;=44,"بالغون (25-44)",IF(D79&lt;=64,"متوسطو العمر (45-64)","كبار السن (+65)"))))</f>
        <v>أطفال (0-12)</v>
      </c>
      <c r="T79" s="41" t="n">
        <f aca="false">IFERROR(L79/P79,0)</f>
        <v>2932.91333333333</v>
      </c>
    </row>
    <row r="80" customFormat="false" ht="15" hidden="false" customHeight="false" outlineLevel="0" collapsed="false">
      <c r="A80" s="42" t="s">
        <v>1717</v>
      </c>
      <c r="B80" s="43" t="n">
        <v>45305</v>
      </c>
      <c r="C80" s="43" t="n">
        <v>45311</v>
      </c>
      <c r="D80" s="42" t="n">
        <v>73</v>
      </c>
      <c r="E80" s="42" t="s">
        <v>154</v>
      </c>
      <c r="F80" s="42" t="s">
        <v>169</v>
      </c>
      <c r="G80" s="42" t="s">
        <v>213</v>
      </c>
      <c r="H80" s="42" t="s">
        <v>171</v>
      </c>
      <c r="I80" s="42" t="s">
        <v>152</v>
      </c>
      <c r="J80" s="42" t="s">
        <v>159</v>
      </c>
      <c r="K80" s="42" t="s">
        <v>209</v>
      </c>
      <c r="L80" s="44" t="n">
        <v>6859.53</v>
      </c>
      <c r="M80" s="42" t="n">
        <v>5</v>
      </c>
      <c r="N80" s="42" t="s">
        <v>146</v>
      </c>
      <c r="O80" s="42" t="s">
        <v>147</v>
      </c>
      <c r="P80" s="39" t="n">
        <f aca="false">C80-B80</f>
        <v>6</v>
      </c>
      <c r="Q80" s="40" t="str">
        <f aca="false">CHOOSE(MONTH(B80),"يناير","فبراير","مارس","أبريل","مايو","يونيو","يوليو","أغسطس","سبتمبر","أكتوبر","نوفمبر","ديسمبر")</f>
        <v>يناير</v>
      </c>
      <c r="R80" s="40" t="str">
        <f aca="false">"الربع "&amp;ROUNDUP(MONTH(B80)/3,0)</f>
        <v>الربع 1</v>
      </c>
      <c r="S80" s="40" t="str">
        <f aca="false">IF(D80&lt;=12,"أطفال (0-12)",IF(D80&lt;=24,"شباب (13-24)",IF(D80&lt;=44,"بالغون (25-44)",IF(D80&lt;=64,"متوسطو العمر (45-64)","كبار السن (+65)"))))</f>
        <v>كبار السن (+65)</v>
      </c>
      <c r="T80" s="41" t="n">
        <f aca="false">IFERROR(L80/P80,0)</f>
        <v>1143.255</v>
      </c>
    </row>
    <row r="81" customFormat="false" ht="15" hidden="false" customHeight="false" outlineLevel="0" collapsed="false">
      <c r="A81" s="33" t="s">
        <v>1121</v>
      </c>
      <c r="B81" s="34" t="n">
        <v>45306</v>
      </c>
      <c r="C81" s="34" t="n">
        <v>45307</v>
      </c>
      <c r="D81" s="33" t="n">
        <v>73</v>
      </c>
      <c r="E81" s="33" t="s">
        <v>154</v>
      </c>
      <c r="F81" s="33" t="s">
        <v>203</v>
      </c>
      <c r="G81" s="33" t="s">
        <v>241</v>
      </c>
      <c r="H81" s="33" t="s">
        <v>205</v>
      </c>
      <c r="I81" s="33" t="s">
        <v>143</v>
      </c>
      <c r="J81" s="33" t="s">
        <v>159</v>
      </c>
      <c r="K81" s="33" t="s">
        <v>184</v>
      </c>
      <c r="L81" s="35" t="n">
        <v>816.6</v>
      </c>
      <c r="M81" s="33" t="n">
        <v>3</v>
      </c>
      <c r="N81" s="33" t="s">
        <v>146</v>
      </c>
      <c r="O81" s="33" t="s">
        <v>147</v>
      </c>
      <c r="P81" s="39" t="n">
        <f aca="false">C81-B81</f>
        <v>1</v>
      </c>
      <c r="Q81" s="40" t="str">
        <f aca="false">CHOOSE(MONTH(B81),"يناير","فبراير","مارس","أبريل","مايو","يونيو","يوليو","أغسطس","سبتمبر","أكتوبر","نوفمبر","ديسمبر")</f>
        <v>يناير</v>
      </c>
      <c r="R81" s="40" t="str">
        <f aca="false">"الربع "&amp;ROUNDUP(MONTH(B81)/3,0)</f>
        <v>الربع 1</v>
      </c>
      <c r="S81" s="40" t="str">
        <f aca="false">IF(D81&lt;=12,"أطفال (0-12)",IF(D81&lt;=24,"شباب (13-24)",IF(D81&lt;=44,"بالغون (25-44)",IF(D81&lt;=64,"متوسطو العمر (45-64)","كبار السن (+65)"))))</f>
        <v>كبار السن (+65)</v>
      </c>
      <c r="T81" s="41" t="n">
        <f aca="false">IFERROR(L81/P81,0)</f>
        <v>816.6</v>
      </c>
    </row>
    <row r="82" customFormat="false" ht="15" hidden="false" customHeight="false" outlineLevel="0" collapsed="false">
      <c r="A82" s="42" t="s">
        <v>1954</v>
      </c>
      <c r="B82" s="43" t="n">
        <v>45306</v>
      </c>
      <c r="C82" s="43" t="n">
        <v>45308</v>
      </c>
      <c r="D82" s="42" t="n">
        <v>48</v>
      </c>
      <c r="E82" s="42" t="s">
        <v>154</v>
      </c>
      <c r="F82" s="42" t="s">
        <v>173</v>
      </c>
      <c r="G82" s="42" t="s">
        <v>198</v>
      </c>
      <c r="H82" s="42" t="s">
        <v>175</v>
      </c>
      <c r="I82" s="42" t="s">
        <v>143</v>
      </c>
      <c r="J82" s="42" t="s">
        <v>159</v>
      </c>
      <c r="K82" s="42" t="s">
        <v>160</v>
      </c>
      <c r="L82" s="44" t="n">
        <v>5713.75</v>
      </c>
      <c r="M82" s="42" t="n">
        <v>5</v>
      </c>
      <c r="N82" s="42" t="s">
        <v>146</v>
      </c>
      <c r="O82" s="42" t="s">
        <v>147</v>
      </c>
      <c r="P82" s="39" t="n">
        <f aca="false">C82-B82</f>
        <v>2</v>
      </c>
      <c r="Q82" s="40" t="str">
        <f aca="false">CHOOSE(MONTH(B82),"يناير","فبراير","مارس","أبريل","مايو","يونيو","يوليو","أغسطس","سبتمبر","أكتوبر","نوفمبر","ديسمبر")</f>
        <v>يناير</v>
      </c>
      <c r="R82" s="40" t="str">
        <f aca="false">"الربع "&amp;ROUNDUP(MONTH(B82)/3,0)</f>
        <v>الربع 1</v>
      </c>
      <c r="S82" s="40" t="str">
        <f aca="false">IF(D82&lt;=12,"أطفال (0-12)",IF(D82&lt;=24,"شباب (13-24)",IF(D82&lt;=44,"بالغون (25-44)",IF(D82&lt;=64,"متوسطو العمر (45-64)","كبار السن (+65)"))))</f>
        <v>متوسطو العمر (45-64)</v>
      </c>
      <c r="T82" s="41" t="n">
        <f aca="false">IFERROR(L82/P82,0)</f>
        <v>2856.875</v>
      </c>
    </row>
    <row r="83" customFormat="false" ht="15" hidden="false" customHeight="false" outlineLevel="0" collapsed="false">
      <c r="A83" s="33" t="s">
        <v>1502</v>
      </c>
      <c r="B83" s="34" t="n">
        <v>45306</v>
      </c>
      <c r="C83" s="34" t="n">
        <v>45308</v>
      </c>
      <c r="D83" s="33" t="n">
        <v>50</v>
      </c>
      <c r="E83" s="33" t="s">
        <v>139</v>
      </c>
      <c r="F83" s="33" t="s">
        <v>203</v>
      </c>
      <c r="G83" s="33" t="s">
        <v>204</v>
      </c>
      <c r="H83" s="33" t="s">
        <v>193</v>
      </c>
      <c r="I83" s="33" t="s">
        <v>143</v>
      </c>
      <c r="J83" s="33" t="s">
        <v>159</v>
      </c>
      <c r="K83" s="33" t="s">
        <v>160</v>
      </c>
      <c r="L83" s="35" t="n">
        <v>2109.43</v>
      </c>
      <c r="M83" s="33" t="n">
        <v>5</v>
      </c>
      <c r="N83" s="33" t="s">
        <v>146</v>
      </c>
      <c r="O83" s="33" t="s">
        <v>147</v>
      </c>
      <c r="P83" s="39" t="n">
        <f aca="false">C83-B83</f>
        <v>2</v>
      </c>
      <c r="Q83" s="40" t="str">
        <f aca="false">CHOOSE(MONTH(B83),"يناير","فبراير","مارس","أبريل","مايو","يونيو","يوليو","أغسطس","سبتمبر","أكتوبر","نوفمبر","ديسمبر")</f>
        <v>يناير</v>
      </c>
      <c r="R83" s="40" t="str">
        <f aca="false">"الربع "&amp;ROUNDUP(MONTH(B83)/3,0)</f>
        <v>الربع 1</v>
      </c>
      <c r="S83" s="40" t="str">
        <f aca="false">IF(D83&lt;=12,"أطفال (0-12)",IF(D83&lt;=24,"شباب (13-24)",IF(D83&lt;=44,"بالغون (25-44)",IF(D83&lt;=64,"متوسطو العمر (45-64)","كبار السن (+65)"))))</f>
        <v>متوسطو العمر (45-64)</v>
      </c>
      <c r="T83" s="41" t="n">
        <f aca="false">IFERROR(L83/P83,0)</f>
        <v>1054.715</v>
      </c>
    </row>
    <row r="84" customFormat="false" ht="15" hidden="false" customHeight="false" outlineLevel="0" collapsed="false">
      <c r="A84" s="42" t="s">
        <v>2017</v>
      </c>
      <c r="B84" s="43" t="n">
        <v>45307</v>
      </c>
      <c r="C84" s="43" t="n">
        <v>45308</v>
      </c>
      <c r="D84" s="42" t="n">
        <v>65</v>
      </c>
      <c r="E84" s="42" t="s">
        <v>154</v>
      </c>
      <c r="F84" s="42" t="s">
        <v>203</v>
      </c>
      <c r="G84" s="42" t="s">
        <v>204</v>
      </c>
      <c r="H84" s="42" t="s">
        <v>205</v>
      </c>
      <c r="I84" s="42" t="s">
        <v>143</v>
      </c>
      <c r="J84" s="42" t="s">
        <v>144</v>
      </c>
      <c r="K84" s="42" t="s">
        <v>160</v>
      </c>
      <c r="L84" s="44" t="n">
        <v>1681.88</v>
      </c>
      <c r="M84" s="42" t="n">
        <v>2</v>
      </c>
      <c r="N84" s="42" t="s">
        <v>146</v>
      </c>
      <c r="O84" s="42" t="s">
        <v>147</v>
      </c>
      <c r="P84" s="39" t="n">
        <f aca="false">C84-B84</f>
        <v>1</v>
      </c>
      <c r="Q84" s="40" t="str">
        <f aca="false">CHOOSE(MONTH(B84),"يناير","فبراير","مارس","أبريل","مايو","يونيو","يوليو","أغسطس","سبتمبر","أكتوبر","نوفمبر","ديسمبر")</f>
        <v>يناير</v>
      </c>
      <c r="R84" s="40" t="str">
        <f aca="false">"الربع "&amp;ROUNDUP(MONTH(B84)/3,0)</f>
        <v>الربع 1</v>
      </c>
      <c r="S84" s="40" t="str">
        <f aca="false">IF(D84&lt;=12,"أطفال (0-12)",IF(D84&lt;=24,"شباب (13-24)",IF(D84&lt;=44,"بالغون (25-44)",IF(D84&lt;=64,"متوسطو العمر (45-64)","كبار السن (+65)"))))</f>
        <v>كبار السن (+65)</v>
      </c>
      <c r="T84" s="41" t="n">
        <f aca="false">IFERROR(L84/P84,0)</f>
        <v>1681.88</v>
      </c>
    </row>
    <row r="85" customFormat="false" ht="15" hidden="false" customHeight="false" outlineLevel="0" collapsed="false">
      <c r="A85" s="33" t="s">
        <v>2099</v>
      </c>
      <c r="B85" s="34" t="n">
        <v>45307</v>
      </c>
      <c r="C85" s="34" t="n">
        <v>45309</v>
      </c>
      <c r="D85" s="33" t="n">
        <v>4</v>
      </c>
      <c r="E85" s="33" t="s">
        <v>154</v>
      </c>
      <c r="F85" s="33" t="s">
        <v>155</v>
      </c>
      <c r="G85" s="33" t="s">
        <v>220</v>
      </c>
      <c r="H85" s="33" t="s">
        <v>222</v>
      </c>
      <c r="I85" s="33" t="s">
        <v>152</v>
      </c>
      <c r="J85" s="33" t="s">
        <v>159</v>
      </c>
      <c r="K85" s="33" t="s">
        <v>160</v>
      </c>
      <c r="L85" s="35" t="n">
        <v>1743.35</v>
      </c>
      <c r="M85" s="33" t="n">
        <v>4</v>
      </c>
      <c r="N85" s="33" t="s">
        <v>146</v>
      </c>
      <c r="O85" s="33" t="s">
        <v>147</v>
      </c>
      <c r="P85" s="39" t="n">
        <f aca="false">C85-B85</f>
        <v>2</v>
      </c>
      <c r="Q85" s="40" t="str">
        <f aca="false">CHOOSE(MONTH(B85),"يناير","فبراير","مارس","أبريل","مايو","يونيو","يوليو","أغسطس","سبتمبر","أكتوبر","نوفمبر","ديسمبر")</f>
        <v>يناير</v>
      </c>
      <c r="R85" s="40" t="str">
        <f aca="false">"الربع "&amp;ROUNDUP(MONTH(B85)/3,0)</f>
        <v>الربع 1</v>
      </c>
      <c r="S85" s="40" t="str">
        <f aca="false">IF(D85&lt;=12,"أطفال (0-12)",IF(D85&lt;=24,"شباب (13-24)",IF(D85&lt;=44,"بالغون (25-44)",IF(D85&lt;=64,"متوسطو العمر (45-64)","كبار السن (+65)"))))</f>
        <v>أطفال (0-12)</v>
      </c>
      <c r="T85" s="41" t="n">
        <f aca="false">IFERROR(L85/P85,0)</f>
        <v>871.675</v>
      </c>
    </row>
    <row r="86" customFormat="false" ht="15" hidden="false" customHeight="false" outlineLevel="0" collapsed="false">
      <c r="A86" s="42" t="s">
        <v>709</v>
      </c>
      <c r="B86" s="43" t="n">
        <v>45307</v>
      </c>
      <c r="C86" s="43" t="n">
        <v>45318</v>
      </c>
      <c r="D86" s="42" t="n">
        <v>54</v>
      </c>
      <c r="E86" s="42" t="s">
        <v>154</v>
      </c>
      <c r="F86" s="42" t="s">
        <v>226</v>
      </c>
      <c r="G86" s="42" t="s">
        <v>258</v>
      </c>
      <c r="H86" s="42" t="s">
        <v>263</v>
      </c>
      <c r="I86" s="42" t="s">
        <v>152</v>
      </c>
      <c r="J86" s="42" t="s">
        <v>144</v>
      </c>
      <c r="K86" s="42" t="s">
        <v>184</v>
      </c>
      <c r="L86" s="44" t="n">
        <v>65645.63</v>
      </c>
      <c r="M86" s="42" t="n">
        <v>4</v>
      </c>
      <c r="N86" s="42" t="s">
        <v>146</v>
      </c>
      <c r="O86" s="42" t="s">
        <v>147</v>
      </c>
      <c r="P86" s="39" t="n">
        <f aca="false">C86-B86</f>
        <v>11</v>
      </c>
      <c r="Q86" s="40" t="str">
        <f aca="false">CHOOSE(MONTH(B86),"يناير","فبراير","مارس","أبريل","مايو","يونيو","يوليو","أغسطس","سبتمبر","أكتوبر","نوفمبر","ديسمبر")</f>
        <v>يناير</v>
      </c>
      <c r="R86" s="40" t="str">
        <f aca="false">"الربع "&amp;ROUNDUP(MONTH(B86)/3,0)</f>
        <v>الربع 1</v>
      </c>
      <c r="S86" s="40" t="str">
        <f aca="false">IF(D86&lt;=12,"أطفال (0-12)",IF(D86&lt;=24,"شباب (13-24)",IF(D86&lt;=44,"بالغون (25-44)",IF(D86&lt;=64,"متوسطو العمر (45-64)","كبار السن (+65)"))))</f>
        <v>متوسطو العمر (45-64)</v>
      </c>
      <c r="T86" s="41" t="n">
        <f aca="false">IFERROR(L86/P86,0)</f>
        <v>5967.78454545455</v>
      </c>
    </row>
    <row r="87" customFormat="false" ht="15" hidden="false" customHeight="false" outlineLevel="0" collapsed="false">
      <c r="A87" s="33" t="s">
        <v>953</v>
      </c>
      <c r="B87" s="34" t="n">
        <v>45307</v>
      </c>
      <c r="C87" s="34" t="n">
        <v>45312</v>
      </c>
      <c r="D87" s="33" t="n">
        <v>62</v>
      </c>
      <c r="E87" s="33" t="s">
        <v>154</v>
      </c>
      <c r="F87" s="33" t="s">
        <v>173</v>
      </c>
      <c r="G87" s="33" t="s">
        <v>174</v>
      </c>
      <c r="H87" s="33" t="s">
        <v>175</v>
      </c>
      <c r="I87" s="33" t="s">
        <v>143</v>
      </c>
      <c r="J87" s="33" t="s">
        <v>159</v>
      </c>
      <c r="K87" s="33" t="s">
        <v>145</v>
      </c>
      <c r="L87" s="35" t="n">
        <v>15159.21</v>
      </c>
      <c r="M87" s="33" t="n">
        <v>5</v>
      </c>
      <c r="N87" s="33" t="s">
        <v>146</v>
      </c>
      <c r="O87" s="33" t="s">
        <v>147</v>
      </c>
      <c r="P87" s="39" t="n">
        <f aca="false">C87-B87</f>
        <v>5</v>
      </c>
      <c r="Q87" s="40" t="str">
        <f aca="false">CHOOSE(MONTH(B87),"يناير","فبراير","مارس","أبريل","مايو","يونيو","يوليو","أغسطس","سبتمبر","أكتوبر","نوفمبر","ديسمبر")</f>
        <v>يناير</v>
      </c>
      <c r="R87" s="40" t="str">
        <f aca="false">"الربع "&amp;ROUNDUP(MONTH(B87)/3,0)</f>
        <v>الربع 1</v>
      </c>
      <c r="S87" s="40" t="str">
        <f aca="false">IF(D87&lt;=12,"أطفال (0-12)",IF(D87&lt;=24,"شباب (13-24)",IF(D87&lt;=44,"بالغون (25-44)",IF(D87&lt;=64,"متوسطو العمر (45-64)","كبار السن (+65)"))))</f>
        <v>متوسطو العمر (45-64)</v>
      </c>
      <c r="T87" s="41" t="n">
        <f aca="false">IFERROR(L87/P87,0)</f>
        <v>3031.842</v>
      </c>
    </row>
    <row r="88" customFormat="false" ht="15" hidden="false" customHeight="false" outlineLevel="0" collapsed="false">
      <c r="A88" s="42" t="s">
        <v>1392</v>
      </c>
      <c r="B88" s="43" t="n">
        <v>45307</v>
      </c>
      <c r="C88" s="43" t="n">
        <v>45308</v>
      </c>
      <c r="D88" s="42" t="n">
        <v>24</v>
      </c>
      <c r="E88" s="42" t="s">
        <v>139</v>
      </c>
      <c r="F88" s="42" t="s">
        <v>149</v>
      </c>
      <c r="G88" s="42" t="s">
        <v>150</v>
      </c>
      <c r="H88" s="42" t="s">
        <v>151</v>
      </c>
      <c r="I88" s="42" t="s">
        <v>143</v>
      </c>
      <c r="J88" s="42" t="s">
        <v>144</v>
      </c>
      <c r="K88" s="42" t="s">
        <v>184</v>
      </c>
      <c r="L88" s="44" t="n">
        <v>2927.82</v>
      </c>
      <c r="M88" s="42" t="n">
        <v>5</v>
      </c>
      <c r="N88" s="42" t="s">
        <v>146</v>
      </c>
      <c r="O88" s="42" t="s">
        <v>147</v>
      </c>
      <c r="P88" s="39" t="n">
        <f aca="false">C88-B88</f>
        <v>1</v>
      </c>
      <c r="Q88" s="40" t="str">
        <f aca="false">CHOOSE(MONTH(B88),"يناير","فبراير","مارس","أبريل","مايو","يونيو","يوليو","أغسطس","سبتمبر","أكتوبر","نوفمبر","ديسمبر")</f>
        <v>يناير</v>
      </c>
      <c r="R88" s="40" t="str">
        <f aca="false">"الربع "&amp;ROUNDUP(MONTH(B88)/3,0)</f>
        <v>الربع 1</v>
      </c>
      <c r="S88" s="40" t="str">
        <f aca="false">IF(D88&lt;=12,"أطفال (0-12)",IF(D88&lt;=24,"شباب (13-24)",IF(D88&lt;=44,"بالغون (25-44)",IF(D88&lt;=64,"متوسطو العمر (45-64)","كبار السن (+65)"))))</f>
        <v>شباب (13-24)</v>
      </c>
      <c r="T88" s="41" t="n">
        <f aca="false">IFERROR(L88/P88,0)</f>
        <v>2927.82</v>
      </c>
    </row>
    <row r="89" customFormat="false" ht="15" hidden="false" customHeight="false" outlineLevel="0" collapsed="false">
      <c r="A89" s="33" t="s">
        <v>1140</v>
      </c>
      <c r="B89" s="34" t="n">
        <v>45307</v>
      </c>
      <c r="C89" s="34" t="n">
        <v>45309</v>
      </c>
      <c r="D89" s="33" t="n">
        <v>27</v>
      </c>
      <c r="E89" s="33" t="s">
        <v>139</v>
      </c>
      <c r="F89" s="33" t="s">
        <v>149</v>
      </c>
      <c r="G89" s="33" t="s">
        <v>150</v>
      </c>
      <c r="H89" s="33" t="s">
        <v>151</v>
      </c>
      <c r="I89" s="33" t="s">
        <v>152</v>
      </c>
      <c r="J89" s="33" t="s">
        <v>159</v>
      </c>
      <c r="K89" s="33" t="s">
        <v>145</v>
      </c>
      <c r="L89" s="35" t="n">
        <v>3258.12</v>
      </c>
      <c r="M89" s="33" t="n">
        <v>5</v>
      </c>
      <c r="N89" s="33" t="s">
        <v>146</v>
      </c>
      <c r="O89" s="33" t="s">
        <v>147</v>
      </c>
      <c r="P89" s="39" t="n">
        <f aca="false">C89-B89</f>
        <v>2</v>
      </c>
      <c r="Q89" s="40" t="str">
        <f aca="false">CHOOSE(MONTH(B89),"يناير","فبراير","مارس","أبريل","مايو","يونيو","يوليو","أغسطس","سبتمبر","أكتوبر","نوفمبر","ديسمبر")</f>
        <v>يناير</v>
      </c>
      <c r="R89" s="40" t="str">
        <f aca="false">"الربع "&amp;ROUNDUP(MONTH(B89)/3,0)</f>
        <v>الربع 1</v>
      </c>
      <c r="S89" s="40" t="str">
        <f aca="false">IF(D89&lt;=12,"أطفال (0-12)",IF(D89&lt;=24,"شباب (13-24)",IF(D89&lt;=44,"بالغون (25-44)",IF(D89&lt;=64,"متوسطو العمر (45-64)","كبار السن (+65)"))))</f>
        <v>بالغون (25-44)</v>
      </c>
      <c r="T89" s="41" t="n">
        <f aca="false">IFERROR(L89/P89,0)</f>
        <v>1629.06</v>
      </c>
    </row>
    <row r="90" customFormat="false" ht="15" hidden="false" customHeight="false" outlineLevel="0" collapsed="false">
      <c r="A90" s="42" t="s">
        <v>360</v>
      </c>
      <c r="B90" s="43" t="n">
        <v>45307</v>
      </c>
      <c r="C90" s="43" t="n">
        <v>45308</v>
      </c>
      <c r="D90" s="42" t="n">
        <v>35</v>
      </c>
      <c r="E90" s="42" t="s">
        <v>154</v>
      </c>
      <c r="F90" s="42" t="s">
        <v>203</v>
      </c>
      <c r="G90" s="42" t="s">
        <v>241</v>
      </c>
      <c r="H90" s="42" t="s">
        <v>205</v>
      </c>
      <c r="I90" s="42" t="s">
        <v>143</v>
      </c>
      <c r="J90" s="42" t="s">
        <v>159</v>
      </c>
      <c r="K90" s="42" t="s">
        <v>184</v>
      </c>
      <c r="L90" s="44" t="n">
        <v>952.4</v>
      </c>
      <c r="M90" s="42" t="n">
        <v>3</v>
      </c>
      <c r="N90" s="42" t="s">
        <v>146</v>
      </c>
      <c r="O90" s="42" t="s">
        <v>147</v>
      </c>
      <c r="P90" s="39" t="n">
        <f aca="false">C90-B90</f>
        <v>1</v>
      </c>
      <c r="Q90" s="40" t="str">
        <f aca="false">CHOOSE(MONTH(B90),"يناير","فبراير","مارس","أبريل","مايو","يونيو","يوليو","أغسطس","سبتمبر","أكتوبر","نوفمبر","ديسمبر")</f>
        <v>يناير</v>
      </c>
      <c r="R90" s="40" t="str">
        <f aca="false">"الربع "&amp;ROUNDUP(MONTH(B90)/3,0)</f>
        <v>الربع 1</v>
      </c>
      <c r="S90" s="40" t="str">
        <f aca="false">IF(D90&lt;=12,"أطفال (0-12)",IF(D90&lt;=24,"شباب (13-24)",IF(D90&lt;=44,"بالغون (25-44)",IF(D90&lt;=64,"متوسطو العمر (45-64)","كبار السن (+65)"))))</f>
        <v>بالغون (25-44)</v>
      </c>
      <c r="T90" s="41" t="n">
        <f aca="false">IFERROR(L90/P90,0)</f>
        <v>952.4</v>
      </c>
    </row>
    <row r="91" customFormat="false" ht="15" hidden="false" customHeight="false" outlineLevel="0" collapsed="false">
      <c r="A91" s="33" t="s">
        <v>1109</v>
      </c>
      <c r="B91" s="34" t="n">
        <v>45307</v>
      </c>
      <c r="C91" s="34" t="n">
        <v>45308</v>
      </c>
      <c r="D91" s="33" t="n">
        <v>28</v>
      </c>
      <c r="E91" s="33" t="s">
        <v>139</v>
      </c>
      <c r="F91" s="33" t="s">
        <v>149</v>
      </c>
      <c r="G91" s="33" t="s">
        <v>150</v>
      </c>
      <c r="H91" s="33" t="s">
        <v>151</v>
      </c>
      <c r="I91" s="33" t="s">
        <v>152</v>
      </c>
      <c r="J91" s="33" t="s">
        <v>144</v>
      </c>
      <c r="K91" s="33" t="s">
        <v>209</v>
      </c>
      <c r="L91" s="35" t="n">
        <v>2563.77</v>
      </c>
      <c r="M91" s="33" t="n">
        <v>4</v>
      </c>
      <c r="N91" s="33" t="s">
        <v>146</v>
      </c>
      <c r="O91" s="33" t="s">
        <v>147</v>
      </c>
      <c r="P91" s="39" t="n">
        <f aca="false">C91-B91</f>
        <v>1</v>
      </c>
      <c r="Q91" s="40" t="str">
        <f aca="false">CHOOSE(MONTH(B91),"يناير","فبراير","مارس","أبريل","مايو","يونيو","يوليو","أغسطس","سبتمبر","أكتوبر","نوفمبر","ديسمبر")</f>
        <v>يناير</v>
      </c>
      <c r="R91" s="40" t="str">
        <f aca="false">"الربع "&amp;ROUNDUP(MONTH(B91)/3,0)</f>
        <v>الربع 1</v>
      </c>
      <c r="S91" s="40" t="str">
        <f aca="false">IF(D91&lt;=12,"أطفال (0-12)",IF(D91&lt;=24,"شباب (13-24)",IF(D91&lt;=44,"بالغون (25-44)",IF(D91&lt;=64,"متوسطو العمر (45-64)","كبار السن (+65)"))))</f>
        <v>بالغون (25-44)</v>
      </c>
      <c r="T91" s="41" t="n">
        <f aca="false">IFERROR(L91/P91,0)</f>
        <v>2563.77</v>
      </c>
    </row>
    <row r="92" customFormat="false" ht="15" hidden="false" customHeight="false" outlineLevel="0" collapsed="false">
      <c r="A92" s="42" t="s">
        <v>874</v>
      </c>
      <c r="B92" s="43" t="n">
        <v>45308</v>
      </c>
      <c r="C92" s="43" t="n">
        <v>45309</v>
      </c>
      <c r="D92" s="42" t="n">
        <v>40</v>
      </c>
      <c r="E92" s="42" t="s">
        <v>154</v>
      </c>
      <c r="F92" s="42" t="s">
        <v>203</v>
      </c>
      <c r="G92" s="42" t="s">
        <v>241</v>
      </c>
      <c r="H92" s="42" t="s">
        <v>205</v>
      </c>
      <c r="I92" s="42" t="s">
        <v>143</v>
      </c>
      <c r="J92" s="42" t="s">
        <v>176</v>
      </c>
      <c r="K92" s="42" t="s">
        <v>160</v>
      </c>
      <c r="L92" s="44" t="n">
        <v>3677.48</v>
      </c>
      <c r="M92" s="42" t="n">
        <v>3</v>
      </c>
      <c r="N92" s="42" t="s">
        <v>146</v>
      </c>
      <c r="O92" s="42" t="s">
        <v>147</v>
      </c>
      <c r="P92" s="39" t="n">
        <f aca="false">C92-B92</f>
        <v>1</v>
      </c>
      <c r="Q92" s="40" t="str">
        <f aca="false">CHOOSE(MONTH(B92),"يناير","فبراير","مارس","أبريل","مايو","يونيو","يوليو","أغسطس","سبتمبر","أكتوبر","نوفمبر","ديسمبر")</f>
        <v>يناير</v>
      </c>
      <c r="R92" s="40" t="str">
        <f aca="false">"الربع "&amp;ROUNDUP(MONTH(B92)/3,0)</f>
        <v>الربع 1</v>
      </c>
      <c r="S92" s="40" t="str">
        <f aca="false">IF(D92&lt;=12,"أطفال (0-12)",IF(D92&lt;=24,"شباب (13-24)",IF(D92&lt;=44,"بالغون (25-44)",IF(D92&lt;=64,"متوسطو العمر (45-64)","كبار السن (+65)"))))</f>
        <v>بالغون (25-44)</v>
      </c>
      <c r="T92" s="41" t="n">
        <f aca="false">IFERROR(L92/P92,0)</f>
        <v>3677.48</v>
      </c>
    </row>
    <row r="93" customFormat="false" ht="15" hidden="false" customHeight="false" outlineLevel="0" collapsed="false">
      <c r="A93" s="33" t="s">
        <v>310</v>
      </c>
      <c r="B93" s="34" t="n">
        <v>45308</v>
      </c>
      <c r="C93" s="34" t="n">
        <v>45310</v>
      </c>
      <c r="D93" s="33" t="n">
        <v>41</v>
      </c>
      <c r="E93" s="33" t="s">
        <v>139</v>
      </c>
      <c r="F93" s="33" t="s">
        <v>181</v>
      </c>
      <c r="G93" s="33" t="s">
        <v>182</v>
      </c>
      <c r="H93" s="33" t="s">
        <v>245</v>
      </c>
      <c r="I93" s="33" t="s">
        <v>143</v>
      </c>
      <c r="J93" s="33" t="s">
        <v>144</v>
      </c>
      <c r="K93" s="33" t="s">
        <v>209</v>
      </c>
      <c r="L93" s="35" t="n">
        <v>7405.83</v>
      </c>
      <c r="M93" s="33" t="n">
        <v>3</v>
      </c>
      <c r="N93" s="33" t="s">
        <v>146</v>
      </c>
      <c r="O93" s="33" t="s">
        <v>147</v>
      </c>
      <c r="P93" s="39" t="n">
        <f aca="false">C93-B93</f>
        <v>2</v>
      </c>
      <c r="Q93" s="40" t="str">
        <f aca="false">CHOOSE(MONTH(B93),"يناير","فبراير","مارس","أبريل","مايو","يونيو","يوليو","أغسطس","سبتمبر","أكتوبر","نوفمبر","ديسمبر")</f>
        <v>يناير</v>
      </c>
      <c r="R93" s="40" t="str">
        <f aca="false">"الربع "&amp;ROUNDUP(MONTH(B93)/3,0)</f>
        <v>الربع 1</v>
      </c>
      <c r="S93" s="40" t="str">
        <f aca="false">IF(D93&lt;=12,"أطفال (0-12)",IF(D93&lt;=24,"شباب (13-24)",IF(D93&lt;=44,"بالغون (25-44)",IF(D93&lt;=64,"متوسطو العمر (45-64)","كبار السن (+65)"))))</f>
        <v>بالغون (25-44)</v>
      </c>
      <c r="T93" s="41" t="n">
        <f aca="false">IFERROR(L93/P93,0)</f>
        <v>3702.915</v>
      </c>
    </row>
    <row r="94" customFormat="false" ht="15" hidden="false" customHeight="false" outlineLevel="0" collapsed="false">
      <c r="A94" s="42" t="s">
        <v>1027</v>
      </c>
      <c r="B94" s="43" t="n">
        <v>45308</v>
      </c>
      <c r="C94" s="43" t="n">
        <v>45310</v>
      </c>
      <c r="D94" s="42" t="n">
        <v>15</v>
      </c>
      <c r="E94" s="42" t="s">
        <v>154</v>
      </c>
      <c r="F94" s="42" t="s">
        <v>169</v>
      </c>
      <c r="G94" s="42" t="s">
        <v>230</v>
      </c>
      <c r="H94" s="42" t="s">
        <v>164</v>
      </c>
      <c r="I94" s="42" t="s">
        <v>143</v>
      </c>
      <c r="J94" s="42" t="s">
        <v>159</v>
      </c>
      <c r="K94" s="42" t="s">
        <v>184</v>
      </c>
      <c r="L94" s="44" t="n">
        <v>2225.77</v>
      </c>
      <c r="M94" s="42" t="n">
        <v>4</v>
      </c>
      <c r="N94" s="42" t="s">
        <v>146</v>
      </c>
      <c r="O94" s="42" t="s">
        <v>147</v>
      </c>
      <c r="P94" s="39" t="n">
        <f aca="false">C94-B94</f>
        <v>2</v>
      </c>
      <c r="Q94" s="40" t="str">
        <f aca="false">CHOOSE(MONTH(B94),"يناير","فبراير","مارس","أبريل","مايو","يونيو","يوليو","أغسطس","سبتمبر","أكتوبر","نوفمبر","ديسمبر")</f>
        <v>يناير</v>
      </c>
      <c r="R94" s="40" t="str">
        <f aca="false">"الربع "&amp;ROUNDUP(MONTH(B94)/3,0)</f>
        <v>الربع 1</v>
      </c>
      <c r="S94" s="40" t="str">
        <f aca="false">IF(D94&lt;=12,"أطفال (0-12)",IF(D94&lt;=24,"شباب (13-24)",IF(D94&lt;=44,"بالغون (25-44)",IF(D94&lt;=64,"متوسطو العمر (45-64)","كبار السن (+65)"))))</f>
        <v>شباب (13-24)</v>
      </c>
      <c r="T94" s="41" t="n">
        <f aca="false">IFERROR(L94/P94,0)</f>
        <v>1112.885</v>
      </c>
    </row>
    <row r="95" customFormat="false" ht="15" hidden="false" customHeight="false" outlineLevel="0" collapsed="false">
      <c r="A95" s="33" t="s">
        <v>597</v>
      </c>
      <c r="B95" s="34" t="n">
        <v>45308</v>
      </c>
      <c r="C95" s="34" t="n">
        <v>45313</v>
      </c>
      <c r="D95" s="33" t="n">
        <v>21</v>
      </c>
      <c r="E95" s="33" t="s">
        <v>154</v>
      </c>
      <c r="F95" s="33" t="s">
        <v>140</v>
      </c>
      <c r="G95" s="33" t="s">
        <v>167</v>
      </c>
      <c r="H95" s="33" t="s">
        <v>142</v>
      </c>
      <c r="I95" s="33" t="s">
        <v>143</v>
      </c>
      <c r="J95" s="33" t="s">
        <v>159</v>
      </c>
      <c r="K95" s="33" t="s">
        <v>160</v>
      </c>
      <c r="L95" s="35" t="n">
        <v>7577.61</v>
      </c>
      <c r="M95" s="33" t="n">
        <v>3</v>
      </c>
      <c r="N95" s="33" t="s">
        <v>146</v>
      </c>
      <c r="O95" s="33" t="s">
        <v>147</v>
      </c>
      <c r="P95" s="39" t="n">
        <f aca="false">C95-B95</f>
        <v>5</v>
      </c>
      <c r="Q95" s="40" t="str">
        <f aca="false">CHOOSE(MONTH(B95),"يناير","فبراير","مارس","أبريل","مايو","يونيو","يوليو","أغسطس","سبتمبر","أكتوبر","نوفمبر","ديسمبر")</f>
        <v>يناير</v>
      </c>
      <c r="R95" s="40" t="str">
        <f aca="false">"الربع "&amp;ROUNDUP(MONTH(B95)/3,0)</f>
        <v>الربع 1</v>
      </c>
      <c r="S95" s="40" t="str">
        <f aca="false">IF(D95&lt;=12,"أطفال (0-12)",IF(D95&lt;=24,"شباب (13-24)",IF(D95&lt;=44,"بالغون (25-44)",IF(D95&lt;=64,"متوسطو العمر (45-64)","كبار السن (+65)"))))</f>
        <v>شباب (13-24)</v>
      </c>
      <c r="T95" s="41" t="n">
        <f aca="false">IFERROR(L95/P95,0)</f>
        <v>1515.522</v>
      </c>
    </row>
    <row r="96" customFormat="false" ht="15" hidden="false" customHeight="false" outlineLevel="0" collapsed="false">
      <c r="A96" s="42" t="s">
        <v>695</v>
      </c>
      <c r="B96" s="43" t="n">
        <v>45308</v>
      </c>
      <c r="C96" s="43" t="n">
        <v>45310</v>
      </c>
      <c r="D96" s="42" t="n">
        <v>62</v>
      </c>
      <c r="E96" s="42" t="s">
        <v>154</v>
      </c>
      <c r="F96" s="42" t="s">
        <v>173</v>
      </c>
      <c r="G96" s="42" t="s">
        <v>178</v>
      </c>
      <c r="H96" s="42" t="s">
        <v>199</v>
      </c>
      <c r="I96" s="42" t="s">
        <v>152</v>
      </c>
      <c r="J96" s="42" t="s">
        <v>159</v>
      </c>
      <c r="K96" s="42" t="s">
        <v>160</v>
      </c>
      <c r="L96" s="44" t="n">
        <v>4720.43</v>
      </c>
      <c r="M96" s="42" t="n">
        <v>2</v>
      </c>
      <c r="N96" s="42" t="s">
        <v>146</v>
      </c>
      <c r="O96" s="42" t="s">
        <v>147</v>
      </c>
      <c r="P96" s="39" t="n">
        <f aca="false">C96-B96</f>
        <v>2</v>
      </c>
      <c r="Q96" s="40" t="str">
        <f aca="false">CHOOSE(MONTH(B96),"يناير","فبراير","مارس","أبريل","مايو","يونيو","يوليو","أغسطس","سبتمبر","أكتوبر","نوفمبر","ديسمبر")</f>
        <v>يناير</v>
      </c>
      <c r="R96" s="40" t="str">
        <f aca="false">"الربع "&amp;ROUNDUP(MONTH(B96)/3,0)</f>
        <v>الربع 1</v>
      </c>
      <c r="S96" s="40" t="str">
        <f aca="false">IF(D96&lt;=12,"أطفال (0-12)",IF(D96&lt;=24,"شباب (13-24)",IF(D96&lt;=44,"بالغون (25-44)",IF(D96&lt;=64,"متوسطو العمر (45-64)","كبار السن (+65)"))))</f>
        <v>متوسطو العمر (45-64)</v>
      </c>
      <c r="T96" s="41" t="n">
        <f aca="false">IFERROR(L96/P96,0)</f>
        <v>2360.215</v>
      </c>
    </row>
    <row r="97" customFormat="false" ht="15" hidden="false" customHeight="false" outlineLevel="0" collapsed="false">
      <c r="A97" s="33" t="s">
        <v>1369</v>
      </c>
      <c r="B97" s="34" t="n">
        <v>45308</v>
      </c>
      <c r="C97" s="34" t="n">
        <v>45310</v>
      </c>
      <c r="D97" s="33" t="n">
        <v>5</v>
      </c>
      <c r="E97" s="33" t="s">
        <v>154</v>
      </c>
      <c r="F97" s="33" t="s">
        <v>155</v>
      </c>
      <c r="G97" s="33" t="s">
        <v>302</v>
      </c>
      <c r="H97" s="33" t="s">
        <v>222</v>
      </c>
      <c r="I97" s="33" t="s">
        <v>152</v>
      </c>
      <c r="J97" s="33" t="s">
        <v>159</v>
      </c>
      <c r="K97" s="33" t="s">
        <v>145</v>
      </c>
      <c r="L97" s="35" t="n">
        <v>1214.05</v>
      </c>
      <c r="M97" s="33" t="n">
        <v>5</v>
      </c>
      <c r="N97" s="33" t="s">
        <v>146</v>
      </c>
      <c r="O97" s="33" t="s">
        <v>147</v>
      </c>
      <c r="P97" s="39" t="n">
        <f aca="false">C97-B97</f>
        <v>2</v>
      </c>
      <c r="Q97" s="40" t="str">
        <f aca="false">CHOOSE(MONTH(B97),"يناير","فبراير","مارس","أبريل","مايو","يونيو","يوليو","أغسطس","سبتمبر","أكتوبر","نوفمبر","ديسمبر")</f>
        <v>يناير</v>
      </c>
      <c r="R97" s="40" t="str">
        <f aca="false">"الربع "&amp;ROUNDUP(MONTH(B97)/3,0)</f>
        <v>الربع 1</v>
      </c>
      <c r="S97" s="40" t="str">
        <f aca="false">IF(D97&lt;=12,"أطفال (0-12)",IF(D97&lt;=24,"شباب (13-24)",IF(D97&lt;=44,"بالغون (25-44)",IF(D97&lt;=64,"متوسطو العمر (45-64)","كبار السن (+65)"))))</f>
        <v>أطفال (0-12)</v>
      </c>
      <c r="T97" s="41" t="n">
        <f aca="false">IFERROR(L97/P97,0)</f>
        <v>607.025</v>
      </c>
    </row>
    <row r="98" customFormat="false" ht="15" hidden="false" customHeight="false" outlineLevel="0" collapsed="false">
      <c r="A98" s="42" t="s">
        <v>1117</v>
      </c>
      <c r="B98" s="43" t="n">
        <v>45309</v>
      </c>
      <c r="C98" s="43" t="n">
        <v>45310</v>
      </c>
      <c r="D98" s="42" t="n">
        <v>40</v>
      </c>
      <c r="E98" s="42" t="s">
        <v>154</v>
      </c>
      <c r="F98" s="42" t="s">
        <v>203</v>
      </c>
      <c r="G98" s="42" t="s">
        <v>192</v>
      </c>
      <c r="H98" s="42" t="s">
        <v>233</v>
      </c>
      <c r="I98" s="42" t="s">
        <v>158</v>
      </c>
      <c r="J98" s="42" t="s">
        <v>159</v>
      </c>
      <c r="K98" s="42" t="s">
        <v>160</v>
      </c>
      <c r="L98" s="44" t="n">
        <v>1072.34</v>
      </c>
      <c r="M98" s="42" t="n">
        <v>4</v>
      </c>
      <c r="N98" s="42" t="s">
        <v>146</v>
      </c>
      <c r="O98" s="42" t="s">
        <v>206</v>
      </c>
      <c r="P98" s="39" t="n">
        <f aca="false">C98-B98</f>
        <v>1</v>
      </c>
      <c r="Q98" s="40" t="str">
        <f aca="false">CHOOSE(MONTH(B98),"يناير","فبراير","مارس","أبريل","مايو","يونيو","يوليو","أغسطس","سبتمبر","أكتوبر","نوفمبر","ديسمبر")</f>
        <v>يناير</v>
      </c>
      <c r="R98" s="40" t="str">
        <f aca="false">"الربع "&amp;ROUNDUP(MONTH(B98)/3,0)</f>
        <v>الربع 1</v>
      </c>
      <c r="S98" s="40" t="str">
        <f aca="false">IF(D98&lt;=12,"أطفال (0-12)",IF(D98&lt;=24,"شباب (13-24)",IF(D98&lt;=44,"بالغون (25-44)",IF(D98&lt;=64,"متوسطو العمر (45-64)","كبار السن (+65)"))))</f>
        <v>بالغون (25-44)</v>
      </c>
      <c r="T98" s="41" t="n">
        <f aca="false">IFERROR(L98/P98,0)</f>
        <v>1072.34</v>
      </c>
    </row>
    <row r="99" customFormat="false" ht="15" hidden="false" customHeight="false" outlineLevel="0" collapsed="false">
      <c r="A99" s="33" t="s">
        <v>470</v>
      </c>
      <c r="B99" s="34" t="n">
        <v>45309</v>
      </c>
      <c r="C99" s="34" t="n">
        <v>45311</v>
      </c>
      <c r="D99" s="33" t="n">
        <v>12</v>
      </c>
      <c r="E99" s="33" t="s">
        <v>139</v>
      </c>
      <c r="F99" s="33" t="s">
        <v>155</v>
      </c>
      <c r="G99" s="33" t="s">
        <v>156</v>
      </c>
      <c r="H99" s="33" t="s">
        <v>157</v>
      </c>
      <c r="I99" s="33" t="s">
        <v>143</v>
      </c>
      <c r="J99" s="33" t="s">
        <v>144</v>
      </c>
      <c r="K99" s="33" t="s">
        <v>209</v>
      </c>
      <c r="L99" s="35" t="n">
        <v>3843.25</v>
      </c>
      <c r="M99" s="33" t="n">
        <v>4</v>
      </c>
      <c r="N99" s="33" t="s">
        <v>146</v>
      </c>
      <c r="O99" s="33" t="s">
        <v>147</v>
      </c>
      <c r="P99" s="39" t="n">
        <f aca="false">C99-B99</f>
        <v>2</v>
      </c>
      <c r="Q99" s="40" t="str">
        <f aca="false">CHOOSE(MONTH(B99),"يناير","فبراير","مارس","أبريل","مايو","يونيو","يوليو","أغسطس","سبتمبر","أكتوبر","نوفمبر","ديسمبر")</f>
        <v>يناير</v>
      </c>
      <c r="R99" s="40" t="str">
        <f aca="false">"الربع "&amp;ROUNDUP(MONTH(B99)/3,0)</f>
        <v>الربع 1</v>
      </c>
      <c r="S99" s="40" t="str">
        <f aca="false">IF(D99&lt;=12,"أطفال (0-12)",IF(D99&lt;=24,"شباب (13-24)",IF(D99&lt;=44,"بالغون (25-44)",IF(D99&lt;=64,"متوسطو العمر (45-64)","كبار السن (+65)"))))</f>
        <v>أطفال (0-12)</v>
      </c>
      <c r="T99" s="41" t="n">
        <f aca="false">IFERROR(L99/P99,0)</f>
        <v>1921.625</v>
      </c>
    </row>
    <row r="100" customFormat="false" ht="15" hidden="false" customHeight="false" outlineLevel="0" collapsed="false">
      <c r="A100" s="42" t="s">
        <v>1883</v>
      </c>
      <c r="B100" s="43" t="n">
        <v>45309</v>
      </c>
      <c r="C100" s="43" t="n">
        <v>45313</v>
      </c>
      <c r="D100" s="42" t="n">
        <v>56</v>
      </c>
      <c r="E100" s="42" t="s">
        <v>154</v>
      </c>
      <c r="F100" s="42" t="s">
        <v>169</v>
      </c>
      <c r="G100" s="42" t="s">
        <v>170</v>
      </c>
      <c r="H100" s="42" t="s">
        <v>195</v>
      </c>
      <c r="I100" s="42" t="s">
        <v>143</v>
      </c>
      <c r="J100" s="42" t="s">
        <v>144</v>
      </c>
      <c r="K100" s="42" t="s">
        <v>160</v>
      </c>
      <c r="L100" s="44" t="n">
        <v>6637.53</v>
      </c>
      <c r="M100" s="42" t="n">
        <v>5</v>
      </c>
      <c r="N100" s="42" t="s">
        <v>146</v>
      </c>
      <c r="O100" s="42" t="s">
        <v>295</v>
      </c>
      <c r="P100" s="39" t="n">
        <f aca="false">C100-B100</f>
        <v>4</v>
      </c>
      <c r="Q100" s="40" t="str">
        <f aca="false">CHOOSE(MONTH(B100),"يناير","فبراير","مارس","أبريل","مايو","يونيو","يوليو","أغسطس","سبتمبر","أكتوبر","نوفمبر","ديسمبر")</f>
        <v>يناير</v>
      </c>
      <c r="R100" s="40" t="str">
        <f aca="false">"الربع "&amp;ROUNDUP(MONTH(B100)/3,0)</f>
        <v>الربع 1</v>
      </c>
      <c r="S100" s="40" t="str">
        <f aca="false">IF(D100&lt;=12,"أطفال (0-12)",IF(D100&lt;=24,"شباب (13-24)",IF(D100&lt;=44,"بالغون (25-44)",IF(D100&lt;=64,"متوسطو العمر (45-64)","كبار السن (+65)"))))</f>
        <v>متوسطو العمر (45-64)</v>
      </c>
      <c r="T100" s="41" t="n">
        <f aca="false">IFERROR(L100/P100,0)</f>
        <v>1659.3825</v>
      </c>
    </row>
    <row r="101" customFormat="false" ht="15" hidden="false" customHeight="false" outlineLevel="0" collapsed="false">
      <c r="A101" s="33" t="s">
        <v>1586</v>
      </c>
      <c r="B101" s="34" t="n">
        <v>45309</v>
      </c>
      <c r="C101" s="34" t="n">
        <v>45312</v>
      </c>
      <c r="D101" s="33" t="n">
        <v>10</v>
      </c>
      <c r="E101" s="33" t="s">
        <v>139</v>
      </c>
      <c r="F101" s="33" t="s">
        <v>155</v>
      </c>
      <c r="G101" s="33" t="s">
        <v>220</v>
      </c>
      <c r="H101" s="33" t="s">
        <v>222</v>
      </c>
      <c r="I101" s="33" t="s">
        <v>143</v>
      </c>
      <c r="J101" s="33" t="s">
        <v>159</v>
      </c>
      <c r="K101" s="33" t="s">
        <v>145</v>
      </c>
      <c r="L101" s="35" t="n">
        <v>2994.9</v>
      </c>
      <c r="M101" s="33" t="n">
        <v>4</v>
      </c>
      <c r="N101" s="33" t="s">
        <v>146</v>
      </c>
      <c r="O101" s="33" t="s">
        <v>147</v>
      </c>
      <c r="P101" s="39" t="n">
        <f aca="false">C101-B101</f>
        <v>3</v>
      </c>
      <c r="Q101" s="40" t="str">
        <f aca="false">CHOOSE(MONTH(B101),"يناير","فبراير","مارس","أبريل","مايو","يونيو","يوليو","أغسطس","سبتمبر","أكتوبر","نوفمبر","ديسمبر")</f>
        <v>يناير</v>
      </c>
      <c r="R101" s="40" t="str">
        <f aca="false">"الربع "&amp;ROUNDUP(MONTH(B101)/3,0)</f>
        <v>الربع 1</v>
      </c>
      <c r="S101" s="40" t="str">
        <f aca="false">IF(D101&lt;=12,"أطفال (0-12)",IF(D101&lt;=24,"شباب (13-24)",IF(D101&lt;=44,"بالغون (25-44)",IF(D101&lt;=64,"متوسطو العمر (45-64)","كبار السن (+65)"))))</f>
        <v>أطفال (0-12)</v>
      </c>
      <c r="T101" s="41" t="n">
        <f aca="false">IFERROR(L101/P101,0)</f>
        <v>998.3</v>
      </c>
    </row>
    <row r="102" customFormat="false" ht="15" hidden="false" customHeight="false" outlineLevel="0" collapsed="false">
      <c r="A102" s="42" t="s">
        <v>2208</v>
      </c>
      <c r="B102" s="43" t="n">
        <v>45309</v>
      </c>
      <c r="C102" s="43" t="n">
        <v>45312</v>
      </c>
      <c r="D102" s="42" t="n">
        <v>20</v>
      </c>
      <c r="E102" s="42" t="s">
        <v>139</v>
      </c>
      <c r="F102" s="42" t="s">
        <v>173</v>
      </c>
      <c r="G102" s="42" t="s">
        <v>174</v>
      </c>
      <c r="H102" s="42" t="s">
        <v>175</v>
      </c>
      <c r="I102" s="42" t="s">
        <v>152</v>
      </c>
      <c r="J102" s="42" t="s">
        <v>159</v>
      </c>
      <c r="K102" s="42" t="s">
        <v>160</v>
      </c>
      <c r="L102" s="44" t="n">
        <v>8804.16</v>
      </c>
      <c r="M102" s="42" t="n">
        <v>4</v>
      </c>
      <c r="N102" s="42" t="s">
        <v>146</v>
      </c>
      <c r="O102" s="42" t="s">
        <v>147</v>
      </c>
      <c r="P102" s="39" t="n">
        <f aca="false">C102-B102</f>
        <v>3</v>
      </c>
      <c r="Q102" s="40" t="str">
        <f aca="false">CHOOSE(MONTH(B102),"يناير","فبراير","مارس","أبريل","مايو","يونيو","يوليو","أغسطس","سبتمبر","أكتوبر","نوفمبر","ديسمبر")</f>
        <v>يناير</v>
      </c>
      <c r="R102" s="40" t="str">
        <f aca="false">"الربع "&amp;ROUNDUP(MONTH(B102)/3,0)</f>
        <v>الربع 1</v>
      </c>
      <c r="S102" s="40" t="str">
        <f aca="false">IF(D102&lt;=12,"أطفال (0-12)",IF(D102&lt;=24,"شباب (13-24)",IF(D102&lt;=44,"بالغون (25-44)",IF(D102&lt;=64,"متوسطو العمر (45-64)","كبار السن (+65)"))))</f>
        <v>شباب (13-24)</v>
      </c>
      <c r="T102" s="41" t="n">
        <f aca="false">IFERROR(L102/P102,0)</f>
        <v>2934.72</v>
      </c>
    </row>
    <row r="103" customFormat="false" ht="15" hidden="false" customHeight="false" outlineLevel="0" collapsed="false">
      <c r="A103" s="33" t="s">
        <v>1573</v>
      </c>
      <c r="B103" s="34" t="n">
        <v>45309</v>
      </c>
      <c r="C103" s="34" t="n">
        <v>45312</v>
      </c>
      <c r="D103" s="33" t="n">
        <v>64</v>
      </c>
      <c r="E103" s="33" t="s">
        <v>154</v>
      </c>
      <c r="F103" s="33" t="s">
        <v>169</v>
      </c>
      <c r="G103" s="33" t="s">
        <v>230</v>
      </c>
      <c r="H103" s="33" t="s">
        <v>171</v>
      </c>
      <c r="I103" s="33" t="s">
        <v>143</v>
      </c>
      <c r="J103" s="33" t="s">
        <v>159</v>
      </c>
      <c r="K103" s="33" t="s">
        <v>145</v>
      </c>
      <c r="L103" s="35" t="n">
        <v>3396.45</v>
      </c>
      <c r="M103" s="33" t="n">
        <v>3</v>
      </c>
      <c r="N103" s="33" t="s">
        <v>146</v>
      </c>
      <c r="O103" s="33" t="s">
        <v>147</v>
      </c>
      <c r="P103" s="39" t="n">
        <f aca="false">C103-B103</f>
        <v>3</v>
      </c>
      <c r="Q103" s="40" t="str">
        <f aca="false">CHOOSE(MONTH(B103),"يناير","فبراير","مارس","أبريل","مايو","يونيو","يوليو","أغسطس","سبتمبر","أكتوبر","نوفمبر","ديسمبر")</f>
        <v>يناير</v>
      </c>
      <c r="R103" s="40" t="str">
        <f aca="false">"الربع "&amp;ROUNDUP(MONTH(B103)/3,0)</f>
        <v>الربع 1</v>
      </c>
      <c r="S103" s="40" t="str">
        <f aca="false">IF(D103&lt;=12,"أطفال (0-12)",IF(D103&lt;=24,"شباب (13-24)",IF(D103&lt;=44,"بالغون (25-44)",IF(D103&lt;=64,"متوسطو العمر (45-64)","كبار السن (+65)"))))</f>
        <v>متوسطو العمر (45-64)</v>
      </c>
      <c r="T103" s="41" t="n">
        <f aca="false">IFERROR(L103/P103,0)</f>
        <v>1132.15</v>
      </c>
    </row>
    <row r="104" customFormat="false" ht="15" hidden="false" customHeight="false" outlineLevel="0" collapsed="false">
      <c r="A104" s="42" t="s">
        <v>1999</v>
      </c>
      <c r="B104" s="43" t="n">
        <v>45310</v>
      </c>
      <c r="C104" s="43" t="n">
        <v>45313</v>
      </c>
      <c r="D104" s="42" t="n">
        <v>28</v>
      </c>
      <c r="E104" s="42" t="s">
        <v>139</v>
      </c>
      <c r="F104" s="42" t="s">
        <v>149</v>
      </c>
      <c r="G104" s="42" t="s">
        <v>150</v>
      </c>
      <c r="H104" s="42" t="s">
        <v>186</v>
      </c>
      <c r="I104" s="42" t="s">
        <v>143</v>
      </c>
      <c r="J104" s="42" t="s">
        <v>159</v>
      </c>
      <c r="K104" s="42" t="s">
        <v>184</v>
      </c>
      <c r="L104" s="44" t="n">
        <v>4459.11</v>
      </c>
      <c r="M104" s="42" t="n">
        <v>5</v>
      </c>
      <c r="N104" s="42" t="s">
        <v>210</v>
      </c>
      <c r="O104" s="42" t="s">
        <v>147</v>
      </c>
      <c r="P104" s="39" t="n">
        <f aca="false">C104-B104</f>
        <v>3</v>
      </c>
      <c r="Q104" s="40" t="str">
        <f aca="false">CHOOSE(MONTH(B104),"يناير","فبراير","مارس","أبريل","مايو","يونيو","يوليو","أغسطس","سبتمبر","أكتوبر","نوفمبر","ديسمبر")</f>
        <v>يناير</v>
      </c>
      <c r="R104" s="40" t="str">
        <f aca="false">"الربع "&amp;ROUNDUP(MONTH(B104)/3,0)</f>
        <v>الربع 1</v>
      </c>
      <c r="S104" s="40" t="str">
        <f aca="false">IF(D104&lt;=12,"أطفال (0-12)",IF(D104&lt;=24,"شباب (13-24)",IF(D104&lt;=44,"بالغون (25-44)",IF(D104&lt;=64,"متوسطو العمر (45-64)","كبار السن (+65)"))))</f>
        <v>بالغون (25-44)</v>
      </c>
      <c r="T104" s="41" t="n">
        <f aca="false">IFERROR(L104/P104,0)</f>
        <v>1486.37</v>
      </c>
    </row>
    <row r="105" customFormat="false" ht="15" hidden="false" customHeight="false" outlineLevel="0" collapsed="false">
      <c r="A105" s="33" t="s">
        <v>1292</v>
      </c>
      <c r="B105" s="34" t="n">
        <v>45310</v>
      </c>
      <c r="C105" s="34" t="n">
        <v>45311</v>
      </c>
      <c r="D105" s="33" t="n">
        <v>9</v>
      </c>
      <c r="E105" s="33" t="s">
        <v>139</v>
      </c>
      <c r="F105" s="33" t="s">
        <v>155</v>
      </c>
      <c r="G105" s="33" t="s">
        <v>220</v>
      </c>
      <c r="H105" s="33" t="s">
        <v>157</v>
      </c>
      <c r="I105" s="33" t="s">
        <v>152</v>
      </c>
      <c r="J105" s="33" t="s">
        <v>159</v>
      </c>
      <c r="K105" s="33" t="s">
        <v>160</v>
      </c>
      <c r="L105" s="35" t="n">
        <v>860.52</v>
      </c>
      <c r="M105" s="33" t="n">
        <v>4</v>
      </c>
      <c r="N105" s="33" t="s">
        <v>210</v>
      </c>
      <c r="O105" s="33" t="s">
        <v>147</v>
      </c>
      <c r="P105" s="39" t="n">
        <f aca="false">C105-B105</f>
        <v>1</v>
      </c>
      <c r="Q105" s="40" t="str">
        <f aca="false">CHOOSE(MONTH(B105),"يناير","فبراير","مارس","أبريل","مايو","يونيو","يوليو","أغسطس","سبتمبر","أكتوبر","نوفمبر","ديسمبر")</f>
        <v>يناير</v>
      </c>
      <c r="R105" s="40" t="str">
        <f aca="false">"الربع "&amp;ROUNDUP(MONTH(B105)/3,0)</f>
        <v>الربع 1</v>
      </c>
      <c r="S105" s="40" t="str">
        <f aca="false">IF(D105&lt;=12,"أطفال (0-12)",IF(D105&lt;=24,"شباب (13-24)",IF(D105&lt;=44,"بالغون (25-44)",IF(D105&lt;=64,"متوسطو العمر (45-64)","كبار السن (+65)"))))</f>
        <v>أطفال (0-12)</v>
      </c>
      <c r="T105" s="41" t="n">
        <f aca="false">IFERROR(L105/P105,0)</f>
        <v>860.52</v>
      </c>
    </row>
    <row r="106" customFormat="false" ht="15" hidden="false" customHeight="false" outlineLevel="0" collapsed="false">
      <c r="A106" s="42" t="s">
        <v>2155</v>
      </c>
      <c r="B106" s="43" t="n">
        <v>45310</v>
      </c>
      <c r="C106" s="43" t="n">
        <v>45314</v>
      </c>
      <c r="D106" s="42" t="n">
        <v>63</v>
      </c>
      <c r="E106" s="42" t="s">
        <v>154</v>
      </c>
      <c r="F106" s="42" t="s">
        <v>173</v>
      </c>
      <c r="G106" s="42" t="s">
        <v>198</v>
      </c>
      <c r="H106" s="42" t="s">
        <v>199</v>
      </c>
      <c r="I106" s="42" t="s">
        <v>143</v>
      </c>
      <c r="J106" s="42" t="s">
        <v>159</v>
      </c>
      <c r="K106" s="42" t="s">
        <v>145</v>
      </c>
      <c r="L106" s="44" t="n">
        <v>10345.59</v>
      </c>
      <c r="M106" s="42" t="n">
        <v>5</v>
      </c>
      <c r="N106" s="42" t="s">
        <v>146</v>
      </c>
      <c r="O106" s="42" t="s">
        <v>147</v>
      </c>
      <c r="P106" s="39" t="n">
        <f aca="false">C106-B106</f>
        <v>4</v>
      </c>
      <c r="Q106" s="40" t="str">
        <f aca="false">CHOOSE(MONTH(B106),"يناير","فبراير","مارس","أبريل","مايو","يونيو","يوليو","أغسطس","سبتمبر","أكتوبر","نوفمبر","ديسمبر")</f>
        <v>يناير</v>
      </c>
      <c r="R106" s="40" t="str">
        <f aca="false">"الربع "&amp;ROUNDUP(MONTH(B106)/3,0)</f>
        <v>الربع 1</v>
      </c>
      <c r="S106" s="40" t="str">
        <f aca="false">IF(D106&lt;=12,"أطفال (0-12)",IF(D106&lt;=24,"شباب (13-24)",IF(D106&lt;=44,"بالغون (25-44)",IF(D106&lt;=64,"متوسطو العمر (45-64)","كبار السن (+65)"))))</f>
        <v>متوسطو العمر (45-64)</v>
      </c>
      <c r="T106" s="41" t="n">
        <f aca="false">IFERROR(L106/P106,0)</f>
        <v>2586.3975</v>
      </c>
    </row>
    <row r="107" customFormat="false" ht="15" hidden="false" customHeight="false" outlineLevel="0" collapsed="false">
      <c r="A107" s="33" t="s">
        <v>1877</v>
      </c>
      <c r="B107" s="34" t="n">
        <v>45310</v>
      </c>
      <c r="C107" s="34" t="n">
        <v>45314</v>
      </c>
      <c r="D107" s="33" t="n">
        <v>58</v>
      </c>
      <c r="E107" s="33" t="s">
        <v>139</v>
      </c>
      <c r="F107" s="33" t="s">
        <v>181</v>
      </c>
      <c r="G107" s="33" t="s">
        <v>237</v>
      </c>
      <c r="H107" s="33" t="s">
        <v>245</v>
      </c>
      <c r="I107" s="33" t="s">
        <v>152</v>
      </c>
      <c r="J107" s="33" t="s">
        <v>144</v>
      </c>
      <c r="K107" s="33" t="s">
        <v>145</v>
      </c>
      <c r="L107" s="35" t="n">
        <v>13173.12</v>
      </c>
      <c r="M107" s="33" t="n">
        <v>5</v>
      </c>
      <c r="N107" s="33" t="s">
        <v>146</v>
      </c>
      <c r="O107" s="33" t="s">
        <v>147</v>
      </c>
      <c r="P107" s="39" t="n">
        <f aca="false">C107-B107</f>
        <v>4</v>
      </c>
      <c r="Q107" s="40" t="str">
        <f aca="false">CHOOSE(MONTH(B107),"يناير","فبراير","مارس","أبريل","مايو","يونيو","يوليو","أغسطس","سبتمبر","أكتوبر","نوفمبر","ديسمبر")</f>
        <v>يناير</v>
      </c>
      <c r="R107" s="40" t="str">
        <f aca="false">"الربع "&amp;ROUNDUP(MONTH(B107)/3,0)</f>
        <v>الربع 1</v>
      </c>
      <c r="S107" s="40" t="str">
        <f aca="false">IF(D107&lt;=12,"أطفال (0-12)",IF(D107&lt;=24,"شباب (13-24)",IF(D107&lt;=44,"بالغون (25-44)",IF(D107&lt;=64,"متوسطو العمر (45-64)","كبار السن (+65)"))))</f>
        <v>متوسطو العمر (45-64)</v>
      </c>
      <c r="T107" s="41" t="n">
        <f aca="false">IFERROR(L107/P107,0)</f>
        <v>3293.28</v>
      </c>
    </row>
    <row r="108" customFormat="false" ht="15" hidden="false" customHeight="false" outlineLevel="0" collapsed="false">
      <c r="A108" s="42" t="s">
        <v>1019</v>
      </c>
      <c r="B108" s="43" t="n">
        <v>45310</v>
      </c>
      <c r="C108" s="43" t="n">
        <v>45311</v>
      </c>
      <c r="D108" s="42" t="n">
        <v>4</v>
      </c>
      <c r="E108" s="42" t="s">
        <v>154</v>
      </c>
      <c r="F108" s="42" t="s">
        <v>203</v>
      </c>
      <c r="G108" s="42" t="s">
        <v>192</v>
      </c>
      <c r="H108" s="42" t="s">
        <v>193</v>
      </c>
      <c r="I108" s="42" t="s">
        <v>143</v>
      </c>
      <c r="J108" s="42" t="s">
        <v>159</v>
      </c>
      <c r="K108" s="42" t="s">
        <v>209</v>
      </c>
      <c r="L108" s="44" t="n">
        <v>816.3</v>
      </c>
      <c r="M108" s="42" t="n">
        <v>2</v>
      </c>
      <c r="N108" s="42" t="s">
        <v>146</v>
      </c>
      <c r="O108" s="42" t="s">
        <v>147</v>
      </c>
      <c r="P108" s="39" t="n">
        <f aca="false">C108-B108</f>
        <v>1</v>
      </c>
      <c r="Q108" s="40" t="str">
        <f aca="false">CHOOSE(MONTH(B108),"يناير","فبراير","مارس","أبريل","مايو","يونيو","يوليو","أغسطس","سبتمبر","أكتوبر","نوفمبر","ديسمبر")</f>
        <v>يناير</v>
      </c>
      <c r="R108" s="40" t="str">
        <f aca="false">"الربع "&amp;ROUNDUP(MONTH(B108)/3,0)</f>
        <v>الربع 1</v>
      </c>
      <c r="S108" s="40" t="str">
        <f aca="false">IF(D108&lt;=12,"أطفال (0-12)",IF(D108&lt;=24,"شباب (13-24)",IF(D108&lt;=44,"بالغون (25-44)",IF(D108&lt;=64,"متوسطو العمر (45-64)","كبار السن (+65)"))))</f>
        <v>أطفال (0-12)</v>
      </c>
      <c r="T108" s="41" t="n">
        <f aca="false">IFERROR(L108/P108,0)</f>
        <v>816.3</v>
      </c>
    </row>
    <row r="109" customFormat="false" ht="15" hidden="false" customHeight="false" outlineLevel="0" collapsed="false">
      <c r="A109" s="33" t="s">
        <v>724</v>
      </c>
      <c r="B109" s="34" t="n">
        <v>45310</v>
      </c>
      <c r="C109" s="34" t="n">
        <v>45311</v>
      </c>
      <c r="D109" s="33" t="n">
        <v>73</v>
      </c>
      <c r="E109" s="33" t="s">
        <v>139</v>
      </c>
      <c r="F109" s="33" t="s">
        <v>203</v>
      </c>
      <c r="G109" s="33" t="s">
        <v>192</v>
      </c>
      <c r="H109" s="33" t="s">
        <v>193</v>
      </c>
      <c r="I109" s="33" t="s">
        <v>143</v>
      </c>
      <c r="J109" s="33" t="s">
        <v>176</v>
      </c>
      <c r="K109" s="33" t="s">
        <v>184</v>
      </c>
      <c r="L109" s="35" t="n">
        <v>2964.38</v>
      </c>
      <c r="M109" s="33" t="n">
        <v>4</v>
      </c>
      <c r="N109" s="33" t="s">
        <v>146</v>
      </c>
      <c r="O109" s="33" t="s">
        <v>147</v>
      </c>
      <c r="P109" s="39" t="n">
        <f aca="false">C109-B109</f>
        <v>1</v>
      </c>
      <c r="Q109" s="40" t="str">
        <f aca="false">CHOOSE(MONTH(B109),"يناير","فبراير","مارس","أبريل","مايو","يونيو","يوليو","أغسطس","سبتمبر","أكتوبر","نوفمبر","ديسمبر")</f>
        <v>يناير</v>
      </c>
      <c r="R109" s="40" t="str">
        <f aca="false">"الربع "&amp;ROUNDUP(MONTH(B109)/3,0)</f>
        <v>الربع 1</v>
      </c>
      <c r="S109" s="40" t="str">
        <f aca="false">IF(D109&lt;=12,"أطفال (0-12)",IF(D109&lt;=24,"شباب (13-24)",IF(D109&lt;=44,"بالغون (25-44)",IF(D109&lt;=64,"متوسطو العمر (45-64)","كبار السن (+65)"))))</f>
        <v>كبار السن (+65)</v>
      </c>
      <c r="T109" s="41" t="n">
        <f aca="false">IFERROR(L109/P109,0)</f>
        <v>2964.38</v>
      </c>
    </row>
    <row r="110" customFormat="false" ht="15" hidden="false" customHeight="false" outlineLevel="0" collapsed="false">
      <c r="A110" s="42" t="s">
        <v>797</v>
      </c>
      <c r="B110" s="43" t="n">
        <v>45310</v>
      </c>
      <c r="C110" s="43" t="n">
        <v>45314</v>
      </c>
      <c r="D110" s="42" t="n">
        <v>49</v>
      </c>
      <c r="E110" s="42" t="s">
        <v>154</v>
      </c>
      <c r="F110" s="42" t="s">
        <v>203</v>
      </c>
      <c r="G110" s="42" t="s">
        <v>217</v>
      </c>
      <c r="H110" s="42" t="s">
        <v>233</v>
      </c>
      <c r="I110" s="42" t="s">
        <v>143</v>
      </c>
      <c r="J110" s="42" t="s">
        <v>159</v>
      </c>
      <c r="K110" s="42" t="s">
        <v>160</v>
      </c>
      <c r="L110" s="44" t="n">
        <v>3057.05</v>
      </c>
      <c r="M110" s="42" t="n">
        <v>2</v>
      </c>
      <c r="N110" s="42" t="s">
        <v>146</v>
      </c>
      <c r="O110" s="42" t="s">
        <v>147</v>
      </c>
      <c r="P110" s="39" t="n">
        <f aca="false">C110-B110</f>
        <v>4</v>
      </c>
      <c r="Q110" s="40" t="str">
        <f aca="false">CHOOSE(MONTH(B110),"يناير","فبراير","مارس","أبريل","مايو","يونيو","يوليو","أغسطس","سبتمبر","أكتوبر","نوفمبر","ديسمبر")</f>
        <v>يناير</v>
      </c>
      <c r="R110" s="40" t="str">
        <f aca="false">"الربع "&amp;ROUNDUP(MONTH(B110)/3,0)</f>
        <v>الربع 1</v>
      </c>
      <c r="S110" s="40" t="str">
        <f aca="false">IF(D110&lt;=12,"أطفال (0-12)",IF(D110&lt;=24,"شباب (13-24)",IF(D110&lt;=44,"بالغون (25-44)",IF(D110&lt;=64,"متوسطو العمر (45-64)","كبار السن (+65)"))))</f>
        <v>متوسطو العمر (45-64)</v>
      </c>
      <c r="T110" s="41" t="n">
        <f aca="false">IFERROR(L110/P110,0)</f>
        <v>764.2625</v>
      </c>
    </row>
    <row r="111" customFormat="false" ht="15" hidden="false" customHeight="false" outlineLevel="0" collapsed="false">
      <c r="A111" s="33" t="s">
        <v>2210</v>
      </c>
      <c r="B111" s="34" t="n">
        <v>45310</v>
      </c>
      <c r="C111" s="34" t="n">
        <v>45313</v>
      </c>
      <c r="D111" s="33" t="n">
        <v>4</v>
      </c>
      <c r="E111" s="33" t="s">
        <v>154</v>
      </c>
      <c r="F111" s="33" t="s">
        <v>155</v>
      </c>
      <c r="G111" s="33" t="s">
        <v>156</v>
      </c>
      <c r="H111" s="33" t="s">
        <v>222</v>
      </c>
      <c r="I111" s="33" t="s">
        <v>152</v>
      </c>
      <c r="J111" s="33" t="s">
        <v>159</v>
      </c>
      <c r="K111" s="33" t="s">
        <v>209</v>
      </c>
      <c r="L111" s="35" t="n">
        <v>2597.82</v>
      </c>
      <c r="M111" s="33" t="n">
        <v>3</v>
      </c>
      <c r="N111" s="33" t="s">
        <v>146</v>
      </c>
      <c r="O111" s="33" t="s">
        <v>147</v>
      </c>
      <c r="P111" s="39" t="n">
        <f aca="false">C111-B111</f>
        <v>3</v>
      </c>
      <c r="Q111" s="40" t="str">
        <f aca="false">CHOOSE(MONTH(B111),"يناير","فبراير","مارس","أبريل","مايو","يونيو","يوليو","أغسطس","سبتمبر","أكتوبر","نوفمبر","ديسمبر")</f>
        <v>يناير</v>
      </c>
      <c r="R111" s="40" t="str">
        <f aca="false">"الربع "&amp;ROUNDUP(MONTH(B111)/3,0)</f>
        <v>الربع 1</v>
      </c>
      <c r="S111" s="40" t="str">
        <f aca="false">IF(D111&lt;=12,"أطفال (0-12)",IF(D111&lt;=24,"شباب (13-24)",IF(D111&lt;=44,"بالغون (25-44)",IF(D111&lt;=64,"متوسطو العمر (45-64)","كبار السن (+65)"))))</f>
        <v>أطفال (0-12)</v>
      </c>
      <c r="T111" s="41" t="n">
        <f aca="false">IFERROR(L111/P111,0)</f>
        <v>865.94</v>
      </c>
    </row>
    <row r="112" customFormat="false" ht="15" hidden="false" customHeight="false" outlineLevel="0" collapsed="false">
      <c r="A112" s="42" t="s">
        <v>852</v>
      </c>
      <c r="B112" s="43" t="n">
        <v>45311</v>
      </c>
      <c r="C112" s="43" t="n">
        <v>45313</v>
      </c>
      <c r="D112" s="42" t="n">
        <v>38</v>
      </c>
      <c r="E112" s="42" t="s">
        <v>139</v>
      </c>
      <c r="F112" s="42" t="s">
        <v>149</v>
      </c>
      <c r="G112" s="42" t="s">
        <v>243</v>
      </c>
      <c r="H112" s="42" t="s">
        <v>186</v>
      </c>
      <c r="I112" s="42" t="s">
        <v>158</v>
      </c>
      <c r="J112" s="42" t="s">
        <v>176</v>
      </c>
      <c r="K112" s="42" t="s">
        <v>145</v>
      </c>
      <c r="L112" s="44" t="n">
        <v>10924.44</v>
      </c>
      <c r="M112" s="42" t="n">
        <v>5</v>
      </c>
      <c r="N112" s="42" t="s">
        <v>146</v>
      </c>
      <c r="O112" s="42" t="s">
        <v>247</v>
      </c>
      <c r="P112" s="39" t="n">
        <f aca="false">C112-B112</f>
        <v>2</v>
      </c>
      <c r="Q112" s="40" t="str">
        <f aca="false">CHOOSE(MONTH(B112),"يناير","فبراير","مارس","أبريل","مايو","يونيو","يوليو","أغسطس","سبتمبر","أكتوبر","نوفمبر","ديسمبر")</f>
        <v>يناير</v>
      </c>
      <c r="R112" s="40" t="str">
        <f aca="false">"الربع "&amp;ROUNDUP(MONTH(B112)/3,0)</f>
        <v>الربع 1</v>
      </c>
      <c r="S112" s="40" t="str">
        <f aca="false">IF(D112&lt;=12,"أطفال (0-12)",IF(D112&lt;=24,"شباب (13-24)",IF(D112&lt;=44,"بالغون (25-44)",IF(D112&lt;=64,"متوسطو العمر (45-64)","كبار السن (+65)"))))</f>
        <v>بالغون (25-44)</v>
      </c>
      <c r="T112" s="41" t="n">
        <f aca="false">IFERROR(L112/P112,0)</f>
        <v>5462.22</v>
      </c>
    </row>
    <row r="113" customFormat="false" ht="15" hidden="false" customHeight="false" outlineLevel="0" collapsed="false">
      <c r="A113" s="33" t="s">
        <v>1667</v>
      </c>
      <c r="B113" s="34" t="n">
        <v>45311</v>
      </c>
      <c r="C113" s="34" t="n">
        <v>45314</v>
      </c>
      <c r="D113" s="33" t="n">
        <v>26</v>
      </c>
      <c r="E113" s="33" t="s">
        <v>139</v>
      </c>
      <c r="F113" s="33" t="s">
        <v>203</v>
      </c>
      <c r="G113" s="33" t="s">
        <v>241</v>
      </c>
      <c r="H113" s="33" t="s">
        <v>193</v>
      </c>
      <c r="I113" s="33" t="s">
        <v>143</v>
      </c>
      <c r="J113" s="33" t="s">
        <v>176</v>
      </c>
      <c r="K113" s="33" t="s">
        <v>184</v>
      </c>
      <c r="L113" s="35" t="n">
        <v>9943.71</v>
      </c>
      <c r="M113" s="33" t="n">
        <v>4</v>
      </c>
      <c r="N113" s="33" t="s">
        <v>146</v>
      </c>
      <c r="O113" s="33" t="s">
        <v>206</v>
      </c>
      <c r="P113" s="39" t="n">
        <f aca="false">C113-B113</f>
        <v>3</v>
      </c>
      <c r="Q113" s="40" t="str">
        <f aca="false">CHOOSE(MONTH(B113),"يناير","فبراير","مارس","أبريل","مايو","يونيو","يوليو","أغسطس","سبتمبر","أكتوبر","نوفمبر","ديسمبر")</f>
        <v>يناير</v>
      </c>
      <c r="R113" s="40" t="str">
        <f aca="false">"الربع "&amp;ROUNDUP(MONTH(B113)/3,0)</f>
        <v>الربع 1</v>
      </c>
      <c r="S113" s="40" t="str">
        <f aca="false">IF(D113&lt;=12,"أطفال (0-12)",IF(D113&lt;=24,"شباب (13-24)",IF(D113&lt;=44,"بالغون (25-44)",IF(D113&lt;=64,"متوسطو العمر (45-64)","كبار السن (+65)"))))</f>
        <v>بالغون (25-44)</v>
      </c>
      <c r="T113" s="41" t="n">
        <f aca="false">IFERROR(L113/P113,0)</f>
        <v>3314.57</v>
      </c>
    </row>
    <row r="114" customFormat="false" ht="15" hidden="false" customHeight="false" outlineLevel="0" collapsed="false">
      <c r="A114" s="42" t="s">
        <v>1747</v>
      </c>
      <c r="B114" s="43" t="n">
        <v>45311</v>
      </c>
      <c r="C114" s="43" t="n">
        <v>45312</v>
      </c>
      <c r="D114" s="42" t="n">
        <v>42</v>
      </c>
      <c r="E114" s="42" t="s">
        <v>139</v>
      </c>
      <c r="F114" s="42" t="s">
        <v>169</v>
      </c>
      <c r="G114" s="42" t="s">
        <v>213</v>
      </c>
      <c r="H114" s="42" t="s">
        <v>164</v>
      </c>
      <c r="I114" s="42" t="s">
        <v>143</v>
      </c>
      <c r="J114" s="42" t="s">
        <v>159</v>
      </c>
      <c r="K114" s="42" t="s">
        <v>160</v>
      </c>
      <c r="L114" s="44" t="n">
        <v>1038.47</v>
      </c>
      <c r="M114" s="42" t="n">
        <v>4</v>
      </c>
      <c r="N114" s="42" t="s">
        <v>146</v>
      </c>
      <c r="O114" s="42" t="s">
        <v>147</v>
      </c>
      <c r="P114" s="39" t="n">
        <f aca="false">C114-B114</f>
        <v>1</v>
      </c>
      <c r="Q114" s="40" t="str">
        <f aca="false">CHOOSE(MONTH(B114),"يناير","فبراير","مارس","أبريل","مايو","يونيو","يوليو","أغسطس","سبتمبر","أكتوبر","نوفمبر","ديسمبر")</f>
        <v>يناير</v>
      </c>
      <c r="R114" s="40" t="str">
        <f aca="false">"الربع "&amp;ROUNDUP(MONTH(B114)/3,0)</f>
        <v>الربع 1</v>
      </c>
      <c r="S114" s="40" t="str">
        <f aca="false">IF(D114&lt;=12,"أطفال (0-12)",IF(D114&lt;=24,"شباب (13-24)",IF(D114&lt;=44,"بالغون (25-44)",IF(D114&lt;=64,"متوسطو العمر (45-64)","كبار السن (+65)"))))</f>
        <v>بالغون (25-44)</v>
      </c>
      <c r="T114" s="41" t="n">
        <f aca="false">IFERROR(L114/P114,0)</f>
        <v>1038.47</v>
      </c>
    </row>
    <row r="115" customFormat="false" ht="15" hidden="false" customHeight="false" outlineLevel="0" collapsed="false">
      <c r="A115" s="33" t="s">
        <v>1321</v>
      </c>
      <c r="B115" s="34" t="n">
        <v>45311</v>
      </c>
      <c r="C115" s="34" t="n">
        <v>45312</v>
      </c>
      <c r="D115" s="33" t="n">
        <v>33</v>
      </c>
      <c r="E115" s="33" t="s">
        <v>154</v>
      </c>
      <c r="F115" s="33" t="s">
        <v>203</v>
      </c>
      <c r="G115" s="33" t="s">
        <v>192</v>
      </c>
      <c r="H115" s="33" t="s">
        <v>205</v>
      </c>
      <c r="I115" s="33" t="s">
        <v>143</v>
      </c>
      <c r="J115" s="33" t="s">
        <v>176</v>
      </c>
      <c r="K115" s="33" t="s">
        <v>145</v>
      </c>
      <c r="L115" s="35" t="n">
        <v>2852</v>
      </c>
      <c r="M115" s="33" t="n">
        <v>4</v>
      </c>
      <c r="N115" s="33" t="s">
        <v>146</v>
      </c>
      <c r="O115" s="33" t="s">
        <v>147</v>
      </c>
      <c r="P115" s="39" t="n">
        <f aca="false">C115-B115</f>
        <v>1</v>
      </c>
      <c r="Q115" s="40" t="str">
        <f aca="false">CHOOSE(MONTH(B115),"يناير","فبراير","مارس","أبريل","مايو","يونيو","يوليو","أغسطس","سبتمبر","أكتوبر","نوفمبر","ديسمبر")</f>
        <v>يناير</v>
      </c>
      <c r="R115" s="40" t="str">
        <f aca="false">"الربع "&amp;ROUNDUP(MONTH(B115)/3,0)</f>
        <v>الربع 1</v>
      </c>
      <c r="S115" s="40" t="str">
        <f aca="false">IF(D115&lt;=12,"أطفال (0-12)",IF(D115&lt;=24,"شباب (13-24)",IF(D115&lt;=44,"بالغون (25-44)",IF(D115&lt;=64,"متوسطو العمر (45-64)","كبار السن (+65)"))))</f>
        <v>بالغون (25-44)</v>
      </c>
      <c r="T115" s="41" t="n">
        <f aca="false">IFERROR(L115/P115,0)</f>
        <v>2852</v>
      </c>
    </row>
    <row r="116" customFormat="false" ht="15" hidden="false" customHeight="false" outlineLevel="0" collapsed="false">
      <c r="A116" s="42" t="s">
        <v>1979</v>
      </c>
      <c r="B116" s="43" t="n">
        <v>45311</v>
      </c>
      <c r="C116" s="43" t="n">
        <v>45315</v>
      </c>
      <c r="D116" s="42" t="n">
        <v>58</v>
      </c>
      <c r="E116" s="42" t="s">
        <v>154</v>
      </c>
      <c r="F116" s="42" t="s">
        <v>169</v>
      </c>
      <c r="G116" s="42" t="s">
        <v>170</v>
      </c>
      <c r="H116" s="42" t="s">
        <v>2322</v>
      </c>
      <c r="I116" s="42" t="s">
        <v>143</v>
      </c>
      <c r="J116" s="42" t="s">
        <v>144</v>
      </c>
      <c r="K116" s="42" t="s">
        <v>145</v>
      </c>
      <c r="L116" s="44" t="n">
        <v>8546.05</v>
      </c>
      <c r="M116" s="42" t="n">
        <v>4</v>
      </c>
      <c r="N116" s="42" t="s">
        <v>146</v>
      </c>
      <c r="O116" s="42" t="s">
        <v>147</v>
      </c>
      <c r="P116" s="39" t="n">
        <f aca="false">C116-B116</f>
        <v>4</v>
      </c>
      <c r="Q116" s="40" t="str">
        <f aca="false">CHOOSE(MONTH(B116),"يناير","فبراير","مارس","أبريل","مايو","يونيو","يوليو","أغسطس","سبتمبر","أكتوبر","نوفمبر","ديسمبر")</f>
        <v>يناير</v>
      </c>
      <c r="R116" s="40" t="str">
        <f aca="false">"الربع "&amp;ROUNDUP(MONTH(B116)/3,0)</f>
        <v>الربع 1</v>
      </c>
      <c r="S116" s="40" t="str">
        <f aca="false">IF(D116&lt;=12,"أطفال (0-12)",IF(D116&lt;=24,"شباب (13-24)",IF(D116&lt;=44,"بالغون (25-44)",IF(D116&lt;=64,"متوسطو العمر (45-64)","كبار السن (+65)"))))</f>
        <v>متوسطو العمر (45-64)</v>
      </c>
      <c r="T116" s="41" t="n">
        <f aca="false">IFERROR(L116/P116,0)</f>
        <v>2136.5125</v>
      </c>
    </row>
    <row r="117" customFormat="false" ht="15" hidden="false" customHeight="false" outlineLevel="0" collapsed="false">
      <c r="A117" s="33" t="s">
        <v>521</v>
      </c>
      <c r="B117" s="34" t="n">
        <v>45312</v>
      </c>
      <c r="C117" s="34" t="n">
        <v>45314</v>
      </c>
      <c r="D117" s="33" t="n">
        <v>58</v>
      </c>
      <c r="E117" s="33" t="s">
        <v>139</v>
      </c>
      <c r="F117" s="33" t="s">
        <v>203</v>
      </c>
      <c r="G117" s="33" t="s">
        <v>217</v>
      </c>
      <c r="H117" s="33" t="s">
        <v>193</v>
      </c>
      <c r="I117" s="33" t="s">
        <v>143</v>
      </c>
      <c r="J117" s="33" t="s">
        <v>159</v>
      </c>
      <c r="K117" s="33" t="s">
        <v>160</v>
      </c>
      <c r="L117" s="35" t="n">
        <v>1602.88</v>
      </c>
      <c r="M117" s="33" t="n">
        <v>2</v>
      </c>
      <c r="N117" s="33" t="s">
        <v>146</v>
      </c>
      <c r="O117" s="33" t="s">
        <v>147</v>
      </c>
      <c r="P117" s="39" t="n">
        <f aca="false">C117-B117</f>
        <v>2</v>
      </c>
      <c r="Q117" s="40" t="str">
        <f aca="false">CHOOSE(MONTH(B117),"يناير","فبراير","مارس","أبريل","مايو","يونيو","يوليو","أغسطس","سبتمبر","أكتوبر","نوفمبر","ديسمبر")</f>
        <v>يناير</v>
      </c>
      <c r="R117" s="40" t="str">
        <f aca="false">"الربع "&amp;ROUNDUP(MONTH(B117)/3,0)</f>
        <v>الربع 1</v>
      </c>
      <c r="S117" s="40" t="str">
        <f aca="false">IF(D117&lt;=12,"أطفال (0-12)",IF(D117&lt;=24,"شباب (13-24)",IF(D117&lt;=44,"بالغون (25-44)",IF(D117&lt;=64,"متوسطو العمر (45-64)","كبار السن (+65)"))))</f>
        <v>متوسطو العمر (45-64)</v>
      </c>
      <c r="T117" s="41" t="n">
        <f aca="false">IFERROR(L117/P117,0)</f>
        <v>801.44</v>
      </c>
    </row>
    <row r="118" customFormat="false" ht="15" hidden="false" customHeight="false" outlineLevel="0" collapsed="false">
      <c r="A118" s="42" t="s">
        <v>1201</v>
      </c>
      <c r="B118" s="43" t="n">
        <v>45312</v>
      </c>
      <c r="C118" s="43" t="n">
        <v>45313</v>
      </c>
      <c r="D118" s="42" t="n">
        <v>67</v>
      </c>
      <c r="E118" s="42" t="s">
        <v>154</v>
      </c>
      <c r="F118" s="42" t="s">
        <v>181</v>
      </c>
      <c r="G118" s="42" t="s">
        <v>182</v>
      </c>
      <c r="H118" s="42" t="s">
        <v>183</v>
      </c>
      <c r="I118" s="42" t="s">
        <v>152</v>
      </c>
      <c r="J118" s="42" t="s">
        <v>144</v>
      </c>
      <c r="K118" s="42" t="s">
        <v>184</v>
      </c>
      <c r="L118" s="44" t="n">
        <v>3548.93</v>
      </c>
      <c r="M118" s="42" t="n">
        <v>4</v>
      </c>
      <c r="N118" s="42" t="s">
        <v>146</v>
      </c>
      <c r="O118" s="42" t="s">
        <v>147</v>
      </c>
      <c r="P118" s="39" t="n">
        <f aca="false">C118-B118</f>
        <v>1</v>
      </c>
      <c r="Q118" s="40" t="str">
        <f aca="false">CHOOSE(MONTH(B118),"يناير","فبراير","مارس","أبريل","مايو","يونيو","يوليو","أغسطس","سبتمبر","أكتوبر","نوفمبر","ديسمبر")</f>
        <v>يناير</v>
      </c>
      <c r="R118" s="40" t="str">
        <f aca="false">"الربع "&amp;ROUNDUP(MONTH(B118)/3,0)</f>
        <v>الربع 1</v>
      </c>
      <c r="S118" s="40" t="str">
        <f aca="false">IF(D118&lt;=12,"أطفال (0-12)",IF(D118&lt;=24,"شباب (13-24)",IF(D118&lt;=44,"بالغون (25-44)",IF(D118&lt;=64,"متوسطو العمر (45-64)","كبار السن (+65)"))))</f>
        <v>كبار السن (+65)</v>
      </c>
      <c r="T118" s="41" t="n">
        <f aca="false">IFERROR(L118/P118,0)</f>
        <v>3548.93</v>
      </c>
    </row>
    <row r="119" customFormat="false" ht="15" hidden="false" customHeight="false" outlineLevel="0" collapsed="false">
      <c r="A119" s="33" t="s">
        <v>796</v>
      </c>
      <c r="B119" s="34" t="n">
        <v>45312</v>
      </c>
      <c r="C119" s="34" t="n">
        <v>45315</v>
      </c>
      <c r="D119" s="33" t="n">
        <v>31</v>
      </c>
      <c r="E119" s="33" t="s">
        <v>154</v>
      </c>
      <c r="F119" s="33" t="s">
        <v>169</v>
      </c>
      <c r="G119" s="33" t="s">
        <v>170</v>
      </c>
      <c r="H119" s="33" t="s">
        <v>171</v>
      </c>
      <c r="I119" s="33" t="s">
        <v>152</v>
      </c>
      <c r="J119" s="33" t="s">
        <v>159</v>
      </c>
      <c r="K119" s="33" t="s">
        <v>145</v>
      </c>
      <c r="L119" s="35" t="n">
        <v>3557.29</v>
      </c>
      <c r="M119" s="33" t="n">
        <v>4</v>
      </c>
      <c r="N119" s="33" t="s">
        <v>146</v>
      </c>
      <c r="O119" s="33" t="s">
        <v>147</v>
      </c>
      <c r="P119" s="39" t="n">
        <f aca="false">C119-B119</f>
        <v>3</v>
      </c>
      <c r="Q119" s="40" t="str">
        <f aca="false">CHOOSE(MONTH(B119),"يناير","فبراير","مارس","أبريل","مايو","يونيو","يوليو","أغسطس","سبتمبر","أكتوبر","نوفمبر","ديسمبر")</f>
        <v>يناير</v>
      </c>
      <c r="R119" s="40" t="str">
        <f aca="false">"الربع "&amp;ROUNDUP(MONTH(B119)/3,0)</f>
        <v>الربع 1</v>
      </c>
      <c r="S119" s="40" t="str">
        <f aca="false">IF(D119&lt;=12,"أطفال (0-12)",IF(D119&lt;=24,"شباب (13-24)",IF(D119&lt;=44,"بالغون (25-44)",IF(D119&lt;=64,"متوسطو العمر (45-64)","كبار السن (+65)"))))</f>
        <v>بالغون (25-44)</v>
      </c>
      <c r="T119" s="41" t="n">
        <f aca="false">IFERROR(L119/P119,0)</f>
        <v>1185.76333333333</v>
      </c>
    </row>
    <row r="120" customFormat="false" ht="15" hidden="false" customHeight="false" outlineLevel="0" collapsed="false">
      <c r="A120" s="42" t="s">
        <v>2262</v>
      </c>
      <c r="B120" s="43" t="n">
        <v>45312</v>
      </c>
      <c r="C120" s="43" t="n">
        <v>45315</v>
      </c>
      <c r="D120" s="42" t="n">
        <v>22</v>
      </c>
      <c r="E120" s="42" t="s">
        <v>139</v>
      </c>
      <c r="F120" s="42" t="s">
        <v>149</v>
      </c>
      <c r="G120" s="42" t="s">
        <v>243</v>
      </c>
      <c r="H120" s="42" t="s">
        <v>186</v>
      </c>
      <c r="I120" s="42" t="s">
        <v>143</v>
      </c>
      <c r="J120" s="42" t="s">
        <v>144</v>
      </c>
      <c r="K120" s="42" t="s">
        <v>184</v>
      </c>
      <c r="L120" s="44" t="n">
        <v>8754.17</v>
      </c>
      <c r="M120" s="42" t="n">
        <v>4</v>
      </c>
      <c r="N120" s="42" t="s">
        <v>146</v>
      </c>
      <c r="O120" s="42" t="s">
        <v>147</v>
      </c>
      <c r="P120" s="39" t="n">
        <f aca="false">C120-B120</f>
        <v>3</v>
      </c>
      <c r="Q120" s="40" t="str">
        <f aca="false">CHOOSE(MONTH(B120),"يناير","فبراير","مارس","أبريل","مايو","يونيو","يوليو","أغسطس","سبتمبر","أكتوبر","نوفمبر","ديسمبر")</f>
        <v>يناير</v>
      </c>
      <c r="R120" s="40" t="str">
        <f aca="false">"الربع "&amp;ROUNDUP(MONTH(B120)/3,0)</f>
        <v>الربع 1</v>
      </c>
      <c r="S120" s="40" t="str">
        <f aca="false">IF(D120&lt;=12,"أطفال (0-12)",IF(D120&lt;=24,"شباب (13-24)",IF(D120&lt;=44,"بالغون (25-44)",IF(D120&lt;=64,"متوسطو العمر (45-64)","كبار السن (+65)"))))</f>
        <v>شباب (13-24)</v>
      </c>
      <c r="T120" s="41" t="n">
        <f aca="false">IFERROR(L120/P120,0)</f>
        <v>2918.05666666667</v>
      </c>
    </row>
    <row r="121" customFormat="false" ht="15" hidden="false" customHeight="false" outlineLevel="0" collapsed="false">
      <c r="A121" s="33" t="s">
        <v>708</v>
      </c>
      <c r="B121" s="34" t="n">
        <v>45312</v>
      </c>
      <c r="C121" s="34" t="n">
        <v>45315</v>
      </c>
      <c r="D121" s="33" t="n">
        <v>10</v>
      </c>
      <c r="E121" s="33" t="s">
        <v>139</v>
      </c>
      <c r="F121" s="33" t="s">
        <v>155</v>
      </c>
      <c r="G121" s="33" t="s">
        <v>302</v>
      </c>
      <c r="H121" s="33" t="s">
        <v>222</v>
      </c>
      <c r="I121" s="33" t="s">
        <v>152</v>
      </c>
      <c r="J121" s="33" t="s">
        <v>159</v>
      </c>
      <c r="K121" s="33" t="s">
        <v>209</v>
      </c>
      <c r="L121" s="35" t="n">
        <v>2647.23</v>
      </c>
      <c r="M121" s="33" t="n">
        <v>4</v>
      </c>
      <c r="N121" s="33" t="s">
        <v>210</v>
      </c>
      <c r="O121" s="33" t="s">
        <v>206</v>
      </c>
      <c r="P121" s="39" t="n">
        <f aca="false">C121-B121</f>
        <v>3</v>
      </c>
      <c r="Q121" s="40" t="str">
        <f aca="false">CHOOSE(MONTH(B121),"يناير","فبراير","مارس","أبريل","مايو","يونيو","يوليو","أغسطس","سبتمبر","أكتوبر","نوفمبر","ديسمبر")</f>
        <v>يناير</v>
      </c>
      <c r="R121" s="40" t="str">
        <f aca="false">"الربع "&amp;ROUNDUP(MONTH(B121)/3,0)</f>
        <v>الربع 1</v>
      </c>
      <c r="S121" s="40" t="str">
        <f aca="false">IF(D121&lt;=12,"أطفال (0-12)",IF(D121&lt;=24,"شباب (13-24)",IF(D121&lt;=44,"بالغون (25-44)",IF(D121&lt;=64,"متوسطو العمر (45-64)","كبار السن (+65)"))))</f>
        <v>أطفال (0-12)</v>
      </c>
      <c r="T121" s="41" t="n">
        <f aca="false">IFERROR(L121/P121,0)</f>
        <v>882.41</v>
      </c>
    </row>
    <row r="122" customFormat="false" ht="15" hidden="false" customHeight="false" outlineLevel="0" collapsed="false">
      <c r="A122" s="42" t="s">
        <v>1232</v>
      </c>
      <c r="B122" s="43" t="n">
        <v>45312</v>
      </c>
      <c r="C122" s="43" t="n">
        <v>45317</v>
      </c>
      <c r="D122" s="42" t="n">
        <v>34</v>
      </c>
      <c r="E122" s="42" t="s">
        <v>139</v>
      </c>
      <c r="F122" s="42" t="s">
        <v>173</v>
      </c>
      <c r="G122" s="42" t="s">
        <v>198</v>
      </c>
      <c r="H122" s="42" t="s">
        <v>175</v>
      </c>
      <c r="I122" s="42" t="s">
        <v>143</v>
      </c>
      <c r="J122" s="42" t="s">
        <v>159</v>
      </c>
      <c r="K122" s="42" t="s">
        <v>160</v>
      </c>
      <c r="L122" s="44" t="n">
        <v>14740.03</v>
      </c>
      <c r="M122" s="42" t="n">
        <v>3</v>
      </c>
      <c r="N122" s="42" t="s">
        <v>146</v>
      </c>
      <c r="O122" s="42" t="s">
        <v>147</v>
      </c>
      <c r="P122" s="39" t="n">
        <f aca="false">C122-B122</f>
        <v>5</v>
      </c>
      <c r="Q122" s="40" t="str">
        <f aca="false">CHOOSE(MONTH(B122),"يناير","فبراير","مارس","أبريل","مايو","يونيو","يوليو","أغسطس","سبتمبر","أكتوبر","نوفمبر","ديسمبر")</f>
        <v>يناير</v>
      </c>
      <c r="R122" s="40" t="str">
        <f aca="false">"الربع "&amp;ROUNDUP(MONTH(B122)/3,0)</f>
        <v>الربع 1</v>
      </c>
      <c r="S122" s="40" t="str">
        <f aca="false">IF(D122&lt;=12,"أطفال (0-12)",IF(D122&lt;=24,"شباب (13-24)",IF(D122&lt;=44,"بالغون (25-44)",IF(D122&lt;=64,"متوسطو العمر (45-64)","كبار السن (+65)"))))</f>
        <v>بالغون (25-44)</v>
      </c>
      <c r="T122" s="41" t="n">
        <f aca="false">IFERROR(L122/P122,0)</f>
        <v>2948.006</v>
      </c>
    </row>
    <row r="123" customFormat="false" ht="15" hidden="false" customHeight="false" outlineLevel="0" collapsed="false">
      <c r="A123" s="33" t="s">
        <v>1234</v>
      </c>
      <c r="B123" s="34" t="n">
        <v>45312</v>
      </c>
      <c r="C123" s="34" t="n">
        <v>45313</v>
      </c>
      <c r="D123" s="33" t="n">
        <v>49</v>
      </c>
      <c r="E123" s="33" t="s">
        <v>154</v>
      </c>
      <c r="F123" s="33" t="s">
        <v>140</v>
      </c>
      <c r="G123" s="33" t="s">
        <v>316</v>
      </c>
      <c r="H123" s="33" t="s">
        <v>290</v>
      </c>
      <c r="I123" s="33" t="s">
        <v>158</v>
      </c>
      <c r="J123" s="33" t="s">
        <v>159</v>
      </c>
      <c r="K123" s="33" t="s">
        <v>145</v>
      </c>
      <c r="L123" s="35" t="n">
        <v>1736.78</v>
      </c>
      <c r="M123" s="33" t="n">
        <v>5</v>
      </c>
      <c r="N123" s="33" t="s">
        <v>146</v>
      </c>
      <c r="O123" s="33" t="s">
        <v>147</v>
      </c>
      <c r="P123" s="39" t="n">
        <f aca="false">C123-B123</f>
        <v>1</v>
      </c>
      <c r="Q123" s="40" t="str">
        <f aca="false">CHOOSE(MONTH(B123),"يناير","فبراير","مارس","أبريل","مايو","يونيو","يوليو","أغسطس","سبتمبر","أكتوبر","نوفمبر","ديسمبر")</f>
        <v>يناير</v>
      </c>
      <c r="R123" s="40" t="str">
        <f aca="false">"الربع "&amp;ROUNDUP(MONTH(B123)/3,0)</f>
        <v>الربع 1</v>
      </c>
      <c r="S123" s="40" t="str">
        <f aca="false">IF(D123&lt;=12,"أطفال (0-12)",IF(D123&lt;=24,"شباب (13-24)",IF(D123&lt;=44,"بالغون (25-44)",IF(D123&lt;=64,"متوسطو العمر (45-64)","كبار السن (+65)"))))</f>
        <v>متوسطو العمر (45-64)</v>
      </c>
      <c r="T123" s="41" t="n">
        <f aca="false">IFERROR(L123/P123,0)</f>
        <v>1736.78</v>
      </c>
    </row>
    <row r="124" customFormat="false" ht="15" hidden="false" customHeight="false" outlineLevel="0" collapsed="false">
      <c r="A124" s="42" t="s">
        <v>1929</v>
      </c>
      <c r="B124" s="43" t="n">
        <v>45313</v>
      </c>
      <c r="C124" s="43" t="n">
        <v>45319</v>
      </c>
      <c r="D124" s="42" t="n">
        <v>54</v>
      </c>
      <c r="E124" s="42" t="s">
        <v>139</v>
      </c>
      <c r="F124" s="42" t="s">
        <v>173</v>
      </c>
      <c r="G124" s="42" t="s">
        <v>178</v>
      </c>
      <c r="H124" s="42" t="s">
        <v>175</v>
      </c>
      <c r="I124" s="42" t="s">
        <v>143</v>
      </c>
      <c r="J124" s="42" t="s">
        <v>159</v>
      </c>
      <c r="K124" s="42" t="s">
        <v>145</v>
      </c>
      <c r="L124" s="44" t="n">
        <v>15433.87</v>
      </c>
      <c r="M124" s="42" t="n">
        <v>4</v>
      </c>
      <c r="N124" s="42" t="s">
        <v>146</v>
      </c>
      <c r="O124" s="42" t="s">
        <v>147</v>
      </c>
      <c r="P124" s="39" t="n">
        <f aca="false">C124-B124</f>
        <v>6</v>
      </c>
      <c r="Q124" s="40" t="str">
        <f aca="false">CHOOSE(MONTH(B124),"يناير","فبراير","مارس","أبريل","مايو","يونيو","يوليو","أغسطس","سبتمبر","أكتوبر","نوفمبر","ديسمبر")</f>
        <v>يناير</v>
      </c>
      <c r="R124" s="40" t="str">
        <f aca="false">"الربع "&amp;ROUNDUP(MONTH(B124)/3,0)</f>
        <v>الربع 1</v>
      </c>
      <c r="S124" s="40" t="str">
        <f aca="false">IF(D124&lt;=12,"أطفال (0-12)",IF(D124&lt;=24,"شباب (13-24)",IF(D124&lt;=44,"بالغون (25-44)",IF(D124&lt;=64,"متوسطو العمر (45-64)","كبار السن (+65)"))))</f>
        <v>متوسطو العمر (45-64)</v>
      </c>
      <c r="T124" s="41" t="n">
        <f aca="false">IFERROR(L124/P124,0)</f>
        <v>2572.31166666667</v>
      </c>
    </row>
    <row r="125" customFormat="false" ht="15" hidden="false" customHeight="false" outlineLevel="0" collapsed="false">
      <c r="A125" s="33" t="s">
        <v>1615</v>
      </c>
      <c r="B125" s="34" t="n">
        <v>45313</v>
      </c>
      <c r="C125" s="34" t="n">
        <v>45315</v>
      </c>
      <c r="D125" s="33" t="n">
        <v>51</v>
      </c>
      <c r="E125" s="33" t="s">
        <v>154</v>
      </c>
      <c r="F125" s="33" t="s">
        <v>173</v>
      </c>
      <c r="G125" s="33" t="s">
        <v>198</v>
      </c>
      <c r="H125" s="33" t="s">
        <v>175</v>
      </c>
      <c r="I125" s="33" t="s">
        <v>152</v>
      </c>
      <c r="J125" s="33" t="s">
        <v>159</v>
      </c>
      <c r="K125" s="33" t="s">
        <v>160</v>
      </c>
      <c r="L125" s="35" t="n">
        <v>5859.18</v>
      </c>
      <c r="M125" s="33" t="n">
        <v>2</v>
      </c>
      <c r="N125" s="33" t="s">
        <v>146</v>
      </c>
      <c r="O125" s="33" t="s">
        <v>147</v>
      </c>
      <c r="P125" s="39" t="n">
        <f aca="false">C125-B125</f>
        <v>2</v>
      </c>
      <c r="Q125" s="40" t="str">
        <f aca="false">CHOOSE(MONTH(B125),"يناير","فبراير","مارس","أبريل","مايو","يونيو","يوليو","أغسطس","سبتمبر","أكتوبر","نوفمبر","ديسمبر")</f>
        <v>يناير</v>
      </c>
      <c r="R125" s="40" t="str">
        <f aca="false">"الربع "&amp;ROUNDUP(MONTH(B125)/3,0)</f>
        <v>الربع 1</v>
      </c>
      <c r="S125" s="40" t="str">
        <f aca="false">IF(D125&lt;=12,"أطفال (0-12)",IF(D125&lt;=24,"شباب (13-24)",IF(D125&lt;=44,"بالغون (25-44)",IF(D125&lt;=64,"متوسطو العمر (45-64)","كبار السن (+65)"))))</f>
        <v>متوسطو العمر (45-64)</v>
      </c>
      <c r="T125" s="41" t="n">
        <f aca="false">IFERROR(L125/P125,0)</f>
        <v>2929.59</v>
      </c>
    </row>
    <row r="126" customFormat="false" ht="15" hidden="false" customHeight="false" outlineLevel="0" collapsed="false">
      <c r="A126" s="42" t="s">
        <v>555</v>
      </c>
      <c r="B126" s="43" t="n">
        <v>45314</v>
      </c>
      <c r="C126" s="43" t="n">
        <v>45319</v>
      </c>
      <c r="D126" s="42" t="n">
        <v>73</v>
      </c>
      <c r="E126" s="42" t="s">
        <v>154</v>
      </c>
      <c r="F126" s="42" t="s">
        <v>169</v>
      </c>
      <c r="G126" s="42" t="s">
        <v>170</v>
      </c>
      <c r="H126" s="42" t="s">
        <v>171</v>
      </c>
      <c r="I126" s="42" t="s">
        <v>152</v>
      </c>
      <c r="J126" s="42" t="s">
        <v>159</v>
      </c>
      <c r="K126" s="42" t="s">
        <v>160</v>
      </c>
      <c r="L126" s="44" t="n">
        <v>5239.03</v>
      </c>
      <c r="M126" s="42" t="n">
        <v>5</v>
      </c>
      <c r="N126" s="42" t="s">
        <v>210</v>
      </c>
      <c r="O126" s="42" t="s">
        <v>147</v>
      </c>
      <c r="P126" s="39" t="n">
        <f aca="false">C126-B126</f>
        <v>5</v>
      </c>
      <c r="Q126" s="40" t="str">
        <f aca="false">CHOOSE(MONTH(B126),"يناير","فبراير","مارس","أبريل","مايو","يونيو","يوليو","أغسطس","سبتمبر","أكتوبر","نوفمبر","ديسمبر")</f>
        <v>يناير</v>
      </c>
      <c r="R126" s="40" t="str">
        <f aca="false">"الربع "&amp;ROUNDUP(MONTH(B126)/3,0)</f>
        <v>الربع 1</v>
      </c>
      <c r="S126" s="40" t="str">
        <f aca="false">IF(D126&lt;=12,"أطفال (0-12)",IF(D126&lt;=24,"شباب (13-24)",IF(D126&lt;=44,"بالغون (25-44)",IF(D126&lt;=64,"متوسطو العمر (45-64)","كبار السن (+65)"))))</f>
        <v>كبار السن (+65)</v>
      </c>
      <c r="T126" s="41" t="n">
        <f aca="false">IFERROR(L126/P126,0)</f>
        <v>1047.806</v>
      </c>
    </row>
    <row r="127" customFormat="false" ht="15" hidden="false" customHeight="false" outlineLevel="0" collapsed="false">
      <c r="A127" s="33" t="s">
        <v>2269</v>
      </c>
      <c r="B127" s="34" t="n">
        <v>45314</v>
      </c>
      <c r="C127" s="34" t="n">
        <v>45315</v>
      </c>
      <c r="D127" s="33" t="n">
        <v>93</v>
      </c>
      <c r="E127" s="33" t="s">
        <v>139</v>
      </c>
      <c r="F127" s="33" t="s">
        <v>203</v>
      </c>
      <c r="G127" s="33" t="s">
        <v>204</v>
      </c>
      <c r="H127" s="33" t="s">
        <v>205</v>
      </c>
      <c r="I127" s="33" t="s">
        <v>143</v>
      </c>
      <c r="J127" s="33" t="s">
        <v>159</v>
      </c>
      <c r="K127" s="33" t="s">
        <v>145</v>
      </c>
      <c r="L127" s="35" t="n">
        <v>885.77</v>
      </c>
      <c r="M127" s="33" t="n">
        <v>3</v>
      </c>
      <c r="N127" s="33" t="s">
        <v>146</v>
      </c>
      <c r="O127" s="33" t="s">
        <v>147</v>
      </c>
      <c r="P127" s="39" t="n">
        <f aca="false">C127-B127</f>
        <v>1</v>
      </c>
      <c r="Q127" s="40" t="str">
        <f aca="false">CHOOSE(MONTH(B127),"يناير","فبراير","مارس","أبريل","مايو","يونيو","يوليو","أغسطس","سبتمبر","أكتوبر","نوفمبر","ديسمبر")</f>
        <v>يناير</v>
      </c>
      <c r="R127" s="40" t="str">
        <f aca="false">"الربع "&amp;ROUNDUP(MONTH(B127)/3,0)</f>
        <v>الربع 1</v>
      </c>
      <c r="S127" s="40" t="str">
        <f aca="false">IF(D127&lt;=12,"أطفال (0-12)",IF(D127&lt;=24,"شباب (13-24)",IF(D127&lt;=44,"بالغون (25-44)",IF(D127&lt;=64,"متوسطو العمر (45-64)","كبار السن (+65)"))))</f>
        <v>كبار السن (+65)</v>
      </c>
      <c r="T127" s="41" t="n">
        <f aca="false">IFERROR(L127/P127,0)</f>
        <v>885.77</v>
      </c>
    </row>
    <row r="128" customFormat="false" ht="15" hidden="false" customHeight="false" outlineLevel="0" collapsed="false">
      <c r="A128" s="42" t="s">
        <v>1263</v>
      </c>
      <c r="B128" s="43" t="n">
        <v>45314</v>
      </c>
      <c r="C128" s="43" t="n">
        <v>45320</v>
      </c>
      <c r="D128" s="42" t="n">
        <v>57</v>
      </c>
      <c r="E128" s="42" t="s">
        <v>154</v>
      </c>
      <c r="F128" s="42" t="s">
        <v>140</v>
      </c>
      <c r="G128" s="42" t="s">
        <v>316</v>
      </c>
      <c r="H128" s="42" t="s">
        <v>290</v>
      </c>
      <c r="I128" s="42" t="s">
        <v>143</v>
      </c>
      <c r="J128" s="42" t="s">
        <v>144</v>
      </c>
      <c r="K128" s="42" t="s">
        <v>209</v>
      </c>
      <c r="L128" s="44" t="n">
        <v>18417</v>
      </c>
      <c r="M128" s="42" t="n">
        <v>2</v>
      </c>
      <c r="N128" s="42" t="s">
        <v>146</v>
      </c>
      <c r="O128" s="42" t="s">
        <v>147</v>
      </c>
      <c r="P128" s="39" t="n">
        <f aca="false">C128-B128</f>
        <v>6</v>
      </c>
      <c r="Q128" s="40" t="str">
        <f aca="false">CHOOSE(MONTH(B128),"يناير","فبراير","مارس","أبريل","مايو","يونيو","يوليو","أغسطس","سبتمبر","أكتوبر","نوفمبر","ديسمبر")</f>
        <v>يناير</v>
      </c>
      <c r="R128" s="40" t="str">
        <f aca="false">"الربع "&amp;ROUNDUP(MONTH(B128)/3,0)</f>
        <v>الربع 1</v>
      </c>
      <c r="S128" s="40" t="str">
        <f aca="false">IF(D128&lt;=12,"أطفال (0-12)",IF(D128&lt;=24,"شباب (13-24)",IF(D128&lt;=44,"بالغون (25-44)",IF(D128&lt;=64,"متوسطو العمر (45-64)","كبار السن (+65)"))))</f>
        <v>متوسطو العمر (45-64)</v>
      </c>
      <c r="T128" s="41" t="n">
        <f aca="false">IFERROR(L128/P128,0)</f>
        <v>3069.5</v>
      </c>
    </row>
    <row r="129" customFormat="false" ht="15" hidden="false" customHeight="false" outlineLevel="0" collapsed="false">
      <c r="A129" s="33" t="s">
        <v>1993</v>
      </c>
      <c r="B129" s="34" t="n">
        <v>45314</v>
      </c>
      <c r="C129" s="34" t="n">
        <v>45316</v>
      </c>
      <c r="D129" s="33" t="n">
        <v>79</v>
      </c>
      <c r="E129" s="33" t="s">
        <v>154</v>
      </c>
      <c r="F129" s="33" t="s">
        <v>203</v>
      </c>
      <c r="G129" s="33" t="s">
        <v>192</v>
      </c>
      <c r="H129" s="33" t="s">
        <v>205</v>
      </c>
      <c r="I129" s="33" t="s">
        <v>158</v>
      </c>
      <c r="J129" s="33" t="s">
        <v>144</v>
      </c>
      <c r="K129" s="33" t="s">
        <v>145</v>
      </c>
      <c r="L129" s="35" t="n">
        <v>3854.17</v>
      </c>
      <c r="M129" s="33" t="n">
        <v>4</v>
      </c>
      <c r="N129" s="33" t="s">
        <v>146</v>
      </c>
      <c r="O129" s="33" t="s">
        <v>147</v>
      </c>
      <c r="P129" s="39" t="n">
        <f aca="false">C129-B129</f>
        <v>2</v>
      </c>
      <c r="Q129" s="40" t="str">
        <f aca="false">CHOOSE(MONTH(B129),"يناير","فبراير","مارس","أبريل","مايو","يونيو","يوليو","أغسطس","سبتمبر","أكتوبر","نوفمبر","ديسمبر")</f>
        <v>يناير</v>
      </c>
      <c r="R129" s="40" t="str">
        <f aca="false">"الربع "&amp;ROUNDUP(MONTH(B129)/3,0)</f>
        <v>الربع 1</v>
      </c>
      <c r="S129" s="40" t="str">
        <f aca="false">IF(D129&lt;=12,"أطفال (0-12)",IF(D129&lt;=24,"شباب (13-24)",IF(D129&lt;=44,"بالغون (25-44)",IF(D129&lt;=64,"متوسطو العمر (45-64)","كبار السن (+65)"))))</f>
        <v>كبار السن (+65)</v>
      </c>
      <c r="T129" s="41" t="n">
        <f aca="false">IFERROR(L129/P129,0)</f>
        <v>1927.085</v>
      </c>
    </row>
    <row r="130" customFormat="false" ht="15" hidden="false" customHeight="false" outlineLevel="0" collapsed="false">
      <c r="A130" s="42" t="s">
        <v>370</v>
      </c>
      <c r="B130" s="43" t="n">
        <v>45314</v>
      </c>
      <c r="C130" s="43" t="n">
        <v>45320</v>
      </c>
      <c r="D130" s="42" t="n">
        <v>36</v>
      </c>
      <c r="E130" s="42" t="s">
        <v>154</v>
      </c>
      <c r="F130" s="42" t="s">
        <v>169</v>
      </c>
      <c r="G130" s="42" t="s">
        <v>163</v>
      </c>
      <c r="H130" s="42" t="s">
        <v>171</v>
      </c>
      <c r="I130" s="42" t="s">
        <v>143</v>
      </c>
      <c r="J130" s="42" t="s">
        <v>159</v>
      </c>
      <c r="K130" s="42" t="s">
        <v>145</v>
      </c>
      <c r="L130" s="44" t="n">
        <v>6360.86</v>
      </c>
      <c r="M130" s="42" t="n">
        <v>4</v>
      </c>
      <c r="N130" s="42" t="s">
        <v>146</v>
      </c>
      <c r="O130" s="42" t="s">
        <v>147</v>
      </c>
      <c r="P130" s="39" t="n">
        <f aca="false">C130-B130</f>
        <v>6</v>
      </c>
      <c r="Q130" s="40" t="str">
        <f aca="false">CHOOSE(MONTH(B130),"يناير","فبراير","مارس","أبريل","مايو","يونيو","يوليو","أغسطس","سبتمبر","أكتوبر","نوفمبر","ديسمبر")</f>
        <v>يناير</v>
      </c>
      <c r="R130" s="40" t="str">
        <f aca="false">"الربع "&amp;ROUNDUP(MONTH(B130)/3,0)</f>
        <v>الربع 1</v>
      </c>
      <c r="S130" s="40" t="str">
        <f aca="false">IF(D130&lt;=12,"أطفال (0-12)",IF(D130&lt;=24,"شباب (13-24)",IF(D130&lt;=44,"بالغون (25-44)",IF(D130&lt;=64,"متوسطو العمر (45-64)","كبار السن (+65)"))))</f>
        <v>بالغون (25-44)</v>
      </c>
      <c r="T130" s="41" t="n">
        <f aca="false">IFERROR(L130/P130,0)</f>
        <v>1060.14333333333</v>
      </c>
    </row>
    <row r="131" customFormat="false" ht="15" hidden="false" customHeight="false" outlineLevel="0" collapsed="false">
      <c r="A131" s="33" t="s">
        <v>1489</v>
      </c>
      <c r="B131" s="34" t="n">
        <v>45314</v>
      </c>
      <c r="C131" s="34" t="n">
        <v>45315</v>
      </c>
      <c r="D131" s="33" t="n">
        <v>13</v>
      </c>
      <c r="E131" s="33" t="s">
        <v>139</v>
      </c>
      <c r="F131" s="33" t="s">
        <v>203</v>
      </c>
      <c r="G131" s="33" t="s">
        <v>204</v>
      </c>
      <c r="H131" s="33" t="s">
        <v>205</v>
      </c>
      <c r="I131" s="33" t="s">
        <v>143</v>
      </c>
      <c r="J131" s="33" t="s">
        <v>144</v>
      </c>
      <c r="K131" s="33" t="s">
        <v>209</v>
      </c>
      <c r="L131" s="35" t="n">
        <v>1532.86</v>
      </c>
      <c r="M131" s="33" t="n">
        <v>2</v>
      </c>
      <c r="N131" s="33" t="s">
        <v>146</v>
      </c>
      <c r="O131" s="33" t="s">
        <v>147</v>
      </c>
      <c r="P131" s="39" t="n">
        <f aca="false">C131-B131</f>
        <v>1</v>
      </c>
      <c r="Q131" s="40" t="str">
        <f aca="false">CHOOSE(MONTH(B131),"يناير","فبراير","مارس","أبريل","مايو","يونيو","يوليو","أغسطس","سبتمبر","أكتوبر","نوفمبر","ديسمبر")</f>
        <v>يناير</v>
      </c>
      <c r="R131" s="40" t="str">
        <f aca="false">"الربع "&amp;ROUNDUP(MONTH(B131)/3,0)</f>
        <v>الربع 1</v>
      </c>
      <c r="S131" s="40" t="str">
        <f aca="false">IF(D131&lt;=12,"أطفال (0-12)",IF(D131&lt;=24,"شباب (13-24)",IF(D131&lt;=44,"بالغون (25-44)",IF(D131&lt;=64,"متوسطو العمر (45-64)","كبار السن (+65)"))))</f>
        <v>شباب (13-24)</v>
      </c>
      <c r="T131" s="41" t="n">
        <f aca="false">IFERROR(L131/P131,0)</f>
        <v>1532.86</v>
      </c>
    </row>
    <row r="132" customFormat="false" ht="15" hidden="false" customHeight="false" outlineLevel="0" collapsed="false">
      <c r="A132" s="42" t="s">
        <v>1047</v>
      </c>
      <c r="B132" s="43" t="n">
        <v>45314</v>
      </c>
      <c r="C132" s="43" t="n">
        <v>45315</v>
      </c>
      <c r="D132" s="42" t="n">
        <v>58</v>
      </c>
      <c r="E132" s="42" t="s">
        <v>154</v>
      </c>
      <c r="F132" s="42" t="s">
        <v>203</v>
      </c>
      <c r="G132" s="42" t="s">
        <v>204</v>
      </c>
      <c r="H132" s="42" t="s">
        <v>205</v>
      </c>
      <c r="I132" s="42" t="s">
        <v>143</v>
      </c>
      <c r="J132" s="42" t="s">
        <v>159</v>
      </c>
      <c r="K132" s="42" t="s">
        <v>145</v>
      </c>
      <c r="L132" s="44" t="n">
        <v>872.98</v>
      </c>
      <c r="M132" s="42" t="n">
        <v>4</v>
      </c>
      <c r="N132" s="42" t="s">
        <v>146</v>
      </c>
      <c r="O132" s="42" t="s">
        <v>247</v>
      </c>
      <c r="P132" s="39" t="n">
        <f aca="false">C132-B132</f>
        <v>1</v>
      </c>
      <c r="Q132" s="40" t="str">
        <f aca="false">CHOOSE(MONTH(B132),"يناير","فبراير","مارس","أبريل","مايو","يونيو","يوليو","أغسطس","سبتمبر","أكتوبر","نوفمبر","ديسمبر")</f>
        <v>يناير</v>
      </c>
      <c r="R132" s="40" t="str">
        <f aca="false">"الربع "&amp;ROUNDUP(MONTH(B132)/3,0)</f>
        <v>الربع 1</v>
      </c>
      <c r="S132" s="40" t="str">
        <f aca="false">IF(D132&lt;=12,"أطفال (0-12)",IF(D132&lt;=24,"شباب (13-24)",IF(D132&lt;=44,"بالغون (25-44)",IF(D132&lt;=64,"متوسطو العمر (45-64)","كبار السن (+65)"))))</f>
        <v>متوسطو العمر (45-64)</v>
      </c>
      <c r="T132" s="41" t="n">
        <f aca="false">IFERROR(L132/P132,0)</f>
        <v>872.98</v>
      </c>
    </row>
    <row r="133" customFormat="false" ht="15" hidden="false" customHeight="false" outlineLevel="0" collapsed="false">
      <c r="A133" s="33" t="s">
        <v>1008</v>
      </c>
      <c r="B133" s="34" t="n">
        <v>45315</v>
      </c>
      <c r="C133" s="34" t="n">
        <v>45323</v>
      </c>
      <c r="D133" s="33" t="n">
        <v>46</v>
      </c>
      <c r="E133" s="33" t="s">
        <v>154</v>
      </c>
      <c r="F133" s="33" t="s">
        <v>181</v>
      </c>
      <c r="G133" s="33" t="s">
        <v>237</v>
      </c>
      <c r="H133" s="33" t="s">
        <v>183</v>
      </c>
      <c r="I133" s="33" t="s">
        <v>152</v>
      </c>
      <c r="J133" s="33" t="s">
        <v>176</v>
      </c>
      <c r="K133" s="33" t="s">
        <v>209</v>
      </c>
      <c r="L133" s="35" t="n">
        <v>68332.76</v>
      </c>
      <c r="M133" s="33" t="n">
        <v>4</v>
      </c>
      <c r="N133" s="33" t="s">
        <v>210</v>
      </c>
      <c r="O133" s="33" t="s">
        <v>147</v>
      </c>
      <c r="P133" s="39" t="n">
        <f aca="false">C133-B133</f>
        <v>8</v>
      </c>
      <c r="Q133" s="40" t="str">
        <f aca="false">CHOOSE(MONTH(B133),"يناير","فبراير","مارس","أبريل","مايو","يونيو","يوليو","أغسطس","سبتمبر","أكتوبر","نوفمبر","ديسمبر")</f>
        <v>يناير</v>
      </c>
      <c r="R133" s="40" t="str">
        <f aca="false">"الربع "&amp;ROUNDUP(MONTH(B133)/3,0)</f>
        <v>الربع 1</v>
      </c>
      <c r="S133" s="40" t="str">
        <f aca="false">IF(D133&lt;=12,"أطفال (0-12)",IF(D133&lt;=24,"شباب (13-24)",IF(D133&lt;=44,"بالغون (25-44)",IF(D133&lt;=64,"متوسطو العمر (45-64)","كبار السن (+65)"))))</f>
        <v>متوسطو العمر (45-64)</v>
      </c>
      <c r="T133" s="41" t="n">
        <f aca="false">IFERROR(L133/P133,0)</f>
        <v>8541.595</v>
      </c>
    </row>
    <row r="134" customFormat="false" ht="15" hidden="false" customHeight="false" outlineLevel="0" collapsed="false">
      <c r="A134" s="42" t="s">
        <v>979</v>
      </c>
      <c r="B134" s="43" t="n">
        <v>45315</v>
      </c>
      <c r="C134" s="43" t="n">
        <v>45316</v>
      </c>
      <c r="D134" s="42" t="n">
        <v>66</v>
      </c>
      <c r="E134" s="42" t="s">
        <v>154</v>
      </c>
      <c r="F134" s="42" t="s">
        <v>140</v>
      </c>
      <c r="G134" s="42" t="s">
        <v>167</v>
      </c>
      <c r="H134" s="42" t="s">
        <v>142</v>
      </c>
      <c r="I134" s="42" t="s">
        <v>143</v>
      </c>
      <c r="J134" s="42" t="s">
        <v>159</v>
      </c>
      <c r="K134" s="42" t="s">
        <v>145</v>
      </c>
      <c r="L134" s="44" t="n">
        <v>1733.35</v>
      </c>
      <c r="M134" s="42" t="n">
        <v>5</v>
      </c>
      <c r="N134" s="42" t="s">
        <v>146</v>
      </c>
      <c r="O134" s="42" t="s">
        <v>147</v>
      </c>
      <c r="P134" s="39" t="n">
        <f aca="false">C134-B134</f>
        <v>1</v>
      </c>
      <c r="Q134" s="40" t="str">
        <f aca="false">CHOOSE(MONTH(B134),"يناير","فبراير","مارس","أبريل","مايو","يونيو","يوليو","أغسطس","سبتمبر","أكتوبر","نوفمبر","ديسمبر")</f>
        <v>يناير</v>
      </c>
      <c r="R134" s="40" t="str">
        <f aca="false">"الربع "&amp;ROUNDUP(MONTH(B134)/3,0)</f>
        <v>الربع 1</v>
      </c>
      <c r="S134" s="40" t="str">
        <f aca="false">IF(D134&lt;=12,"أطفال (0-12)",IF(D134&lt;=24,"شباب (13-24)",IF(D134&lt;=44,"بالغون (25-44)",IF(D134&lt;=64,"متوسطو العمر (45-64)","كبار السن (+65)"))))</f>
        <v>كبار السن (+65)</v>
      </c>
      <c r="T134" s="41" t="n">
        <f aca="false">IFERROR(L134/P134,0)</f>
        <v>1733.35</v>
      </c>
    </row>
    <row r="135" customFormat="false" ht="15" hidden="false" customHeight="false" outlineLevel="0" collapsed="false">
      <c r="A135" s="33" t="s">
        <v>326</v>
      </c>
      <c r="B135" s="34" t="n">
        <v>45315</v>
      </c>
      <c r="C135" s="34" t="n">
        <v>45316</v>
      </c>
      <c r="D135" s="33" t="n">
        <v>42</v>
      </c>
      <c r="E135" s="33" t="s">
        <v>154</v>
      </c>
      <c r="F135" s="33" t="s">
        <v>203</v>
      </c>
      <c r="G135" s="33" t="s">
        <v>232</v>
      </c>
      <c r="H135" s="33" t="s">
        <v>193</v>
      </c>
      <c r="I135" s="33" t="s">
        <v>158</v>
      </c>
      <c r="J135" s="33" t="s">
        <v>159</v>
      </c>
      <c r="K135" s="33" t="s">
        <v>184</v>
      </c>
      <c r="L135" s="35" t="n">
        <v>1012.81</v>
      </c>
      <c r="M135" s="33" t="n">
        <v>3</v>
      </c>
      <c r="N135" s="33" t="s">
        <v>146</v>
      </c>
      <c r="O135" s="33" t="s">
        <v>147</v>
      </c>
      <c r="P135" s="39" t="n">
        <f aca="false">C135-B135</f>
        <v>1</v>
      </c>
      <c r="Q135" s="40" t="str">
        <f aca="false">CHOOSE(MONTH(B135),"يناير","فبراير","مارس","أبريل","مايو","يونيو","يوليو","أغسطس","سبتمبر","أكتوبر","نوفمبر","ديسمبر")</f>
        <v>يناير</v>
      </c>
      <c r="R135" s="40" t="str">
        <f aca="false">"الربع "&amp;ROUNDUP(MONTH(B135)/3,0)</f>
        <v>الربع 1</v>
      </c>
      <c r="S135" s="40" t="str">
        <f aca="false">IF(D135&lt;=12,"أطفال (0-12)",IF(D135&lt;=24,"شباب (13-24)",IF(D135&lt;=44,"بالغون (25-44)",IF(D135&lt;=64,"متوسطو العمر (45-64)","كبار السن (+65)"))))</f>
        <v>بالغون (25-44)</v>
      </c>
      <c r="T135" s="41" t="n">
        <f aca="false">IFERROR(L135/P135,0)</f>
        <v>1012.81</v>
      </c>
    </row>
    <row r="136" customFormat="false" ht="15" hidden="false" customHeight="false" outlineLevel="0" collapsed="false">
      <c r="A136" s="42" t="s">
        <v>1491</v>
      </c>
      <c r="B136" s="43" t="n">
        <v>45316</v>
      </c>
      <c r="C136" s="43" t="n">
        <v>45317</v>
      </c>
      <c r="D136" s="42" t="n">
        <v>22</v>
      </c>
      <c r="E136" s="42" t="s">
        <v>139</v>
      </c>
      <c r="F136" s="42" t="s">
        <v>149</v>
      </c>
      <c r="G136" s="42" t="s">
        <v>150</v>
      </c>
      <c r="H136" s="42" t="s">
        <v>2322</v>
      </c>
      <c r="I136" s="42" t="s">
        <v>143</v>
      </c>
      <c r="J136" s="42" t="s">
        <v>159</v>
      </c>
      <c r="K136" s="42" t="s">
        <v>145</v>
      </c>
      <c r="L136" s="44" t="n">
        <v>1457.82</v>
      </c>
      <c r="M136" s="42" t="n">
        <v>4</v>
      </c>
      <c r="N136" s="42" t="s">
        <v>146</v>
      </c>
      <c r="O136" s="42" t="s">
        <v>147</v>
      </c>
      <c r="P136" s="39" t="n">
        <f aca="false">C136-B136</f>
        <v>1</v>
      </c>
      <c r="Q136" s="40" t="str">
        <f aca="false">CHOOSE(MONTH(B136),"يناير","فبراير","مارس","أبريل","مايو","يونيو","يوليو","أغسطس","سبتمبر","أكتوبر","نوفمبر","ديسمبر")</f>
        <v>يناير</v>
      </c>
      <c r="R136" s="40" t="str">
        <f aca="false">"الربع "&amp;ROUNDUP(MONTH(B136)/3,0)</f>
        <v>الربع 1</v>
      </c>
      <c r="S136" s="40" t="str">
        <f aca="false">IF(D136&lt;=12,"أطفال (0-12)",IF(D136&lt;=24,"شباب (13-24)",IF(D136&lt;=44,"بالغون (25-44)",IF(D136&lt;=64,"متوسطو العمر (45-64)","كبار السن (+65)"))))</f>
        <v>شباب (13-24)</v>
      </c>
      <c r="T136" s="41" t="n">
        <f aca="false">IFERROR(L136/P136,0)</f>
        <v>1457.82</v>
      </c>
    </row>
    <row r="137" customFormat="false" ht="15" hidden="false" customHeight="false" outlineLevel="0" collapsed="false">
      <c r="A137" s="33" t="s">
        <v>923</v>
      </c>
      <c r="B137" s="34" t="n">
        <v>45316</v>
      </c>
      <c r="C137" s="34" t="n">
        <v>45318</v>
      </c>
      <c r="D137" s="33" t="n">
        <v>32</v>
      </c>
      <c r="E137" s="33" t="s">
        <v>139</v>
      </c>
      <c r="F137" s="33" t="s">
        <v>149</v>
      </c>
      <c r="G137" s="33" t="s">
        <v>224</v>
      </c>
      <c r="H137" s="33" t="s">
        <v>186</v>
      </c>
      <c r="I137" s="33" t="s">
        <v>152</v>
      </c>
      <c r="J137" s="33" t="s">
        <v>159</v>
      </c>
      <c r="K137" s="33" t="s">
        <v>209</v>
      </c>
      <c r="L137" s="35" t="n">
        <v>3090.98</v>
      </c>
      <c r="M137" s="33" t="n">
        <v>2</v>
      </c>
      <c r="N137" s="33" t="s">
        <v>146</v>
      </c>
      <c r="O137" s="33" t="s">
        <v>147</v>
      </c>
      <c r="P137" s="39" t="n">
        <f aca="false">C137-B137</f>
        <v>2</v>
      </c>
      <c r="Q137" s="40" t="str">
        <f aca="false">CHOOSE(MONTH(B137),"يناير","فبراير","مارس","أبريل","مايو","يونيو","يوليو","أغسطس","سبتمبر","أكتوبر","نوفمبر","ديسمبر")</f>
        <v>يناير</v>
      </c>
      <c r="R137" s="40" t="str">
        <f aca="false">"الربع "&amp;ROUNDUP(MONTH(B137)/3,0)</f>
        <v>الربع 1</v>
      </c>
      <c r="S137" s="40" t="str">
        <f aca="false">IF(D137&lt;=12,"أطفال (0-12)",IF(D137&lt;=24,"شباب (13-24)",IF(D137&lt;=44,"بالغون (25-44)",IF(D137&lt;=64,"متوسطو العمر (45-64)","كبار السن (+65)"))))</f>
        <v>بالغون (25-44)</v>
      </c>
      <c r="T137" s="41" t="n">
        <f aca="false">IFERROR(L137/P137,0)</f>
        <v>1545.49</v>
      </c>
    </row>
    <row r="138" customFormat="false" ht="15" hidden="false" customHeight="false" outlineLevel="0" collapsed="false">
      <c r="A138" s="42" t="s">
        <v>2236</v>
      </c>
      <c r="B138" s="43" t="n">
        <v>45316</v>
      </c>
      <c r="C138" s="43" t="n">
        <v>45324</v>
      </c>
      <c r="D138" s="42" t="n">
        <v>74</v>
      </c>
      <c r="E138" s="42" t="s">
        <v>139</v>
      </c>
      <c r="F138" s="42" t="s">
        <v>226</v>
      </c>
      <c r="G138" s="42" t="s">
        <v>258</v>
      </c>
      <c r="H138" s="42" t="s">
        <v>263</v>
      </c>
      <c r="I138" s="42" t="s">
        <v>143</v>
      </c>
      <c r="J138" s="42" t="s">
        <v>159</v>
      </c>
      <c r="K138" s="42" t="s">
        <v>145</v>
      </c>
      <c r="L138" s="44" t="n">
        <v>20620.55</v>
      </c>
      <c r="M138" s="42" t="n">
        <v>5</v>
      </c>
      <c r="N138" s="42" t="s">
        <v>146</v>
      </c>
      <c r="O138" s="42" t="s">
        <v>147</v>
      </c>
      <c r="P138" s="39" t="n">
        <f aca="false">C138-B138</f>
        <v>8</v>
      </c>
      <c r="Q138" s="40" t="str">
        <f aca="false">CHOOSE(MONTH(B138),"يناير","فبراير","مارس","أبريل","مايو","يونيو","يوليو","أغسطس","سبتمبر","أكتوبر","نوفمبر","ديسمبر")</f>
        <v>يناير</v>
      </c>
      <c r="R138" s="40" t="str">
        <f aca="false">"الربع "&amp;ROUNDUP(MONTH(B138)/3,0)</f>
        <v>الربع 1</v>
      </c>
      <c r="S138" s="40" t="str">
        <f aca="false">IF(D138&lt;=12,"أطفال (0-12)",IF(D138&lt;=24,"شباب (13-24)",IF(D138&lt;=44,"بالغون (25-44)",IF(D138&lt;=64,"متوسطو العمر (45-64)","كبار السن (+65)"))))</f>
        <v>كبار السن (+65)</v>
      </c>
      <c r="T138" s="41" t="n">
        <f aca="false">IFERROR(L138/P138,0)</f>
        <v>2577.56875</v>
      </c>
    </row>
    <row r="139" customFormat="false" ht="15" hidden="false" customHeight="false" outlineLevel="0" collapsed="false">
      <c r="A139" s="33" t="s">
        <v>1595</v>
      </c>
      <c r="B139" s="34" t="n">
        <v>45316</v>
      </c>
      <c r="C139" s="34" t="n">
        <v>45320</v>
      </c>
      <c r="D139" s="33" t="n">
        <v>49</v>
      </c>
      <c r="E139" s="33" t="s">
        <v>139</v>
      </c>
      <c r="F139" s="33" t="s">
        <v>169</v>
      </c>
      <c r="G139" s="33" t="s">
        <v>163</v>
      </c>
      <c r="H139" s="33" t="s">
        <v>164</v>
      </c>
      <c r="I139" s="33" t="s">
        <v>143</v>
      </c>
      <c r="J139" s="33" t="s">
        <v>176</v>
      </c>
      <c r="K139" s="33" t="s">
        <v>184</v>
      </c>
      <c r="L139" s="35" t="n">
        <v>13657.77</v>
      </c>
      <c r="M139" s="33" t="n">
        <v>4</v>
      </c>
      <c r="N139" s="33" t="s">
        <v>210</v>
      </c>
      <c r="O139" s="33" t="s">
        <v>147</v>
      </c>
      <c r="P139" s="39" t="n">
        <f aca="false">C139-B139</f>
        <v>4</v>
      </c>
      <c r="Q139" s="40" t="str">
        <f aca="false">CHOOSE(MONTH(B139),"يناير","فبراير","مارس","أبريل","مايو","يونيو","يوليو","أغسطس","سبتمبر","أكتوبر","نوفمبر","ديسمبر")</f>
        <v>يناير</v>
      </c>
      <c r="R139" s="40" t="str">
        <f aca="false">"الربع "&amp;ROUNDUP(MONTH(B139)/3,0)</f>
        <v>الربع 1</v>
      </c>
      <c r="S139" s="40" t="str">
        <f aca="false">IF(D139&lt;=12,"أطفال (0-12)",IF(D139&lt;=24,"شباب (13-24)",IF(D139&lt;=44,"بالغون (25-44)",IF(D139&lt;=64,"متوسطو العمر (45-64)","كبار السن (+65)"))))</f>
        <v>متوسطو العمر (45-64)</v>
      </c>
      <c r="T139" s="41" t="n">
        <f aca="false">IFERROR(L139/P139,0)</f>
        <v>3414.4425</v>
      </c>
    </row>
    <row r="140" customFormat="false" ht="15" hidden="false" customHeight="false" outlineLevel="0" collapsed="false">
      <c r="A140" s="42" t="s">
        <v>573</v>
      </c>
      <c r="B140" s="43" t="n">
        <v>45316</v>
      </c>
      <c r="C140" s="43" t="n">
        <v>45317</v>
      </c>
      <c r="D140" s="42" t="n">
        <v>0</v>
      </c>
      <c r="E140" s="42" t="s">
        <v>154</v>
      </c>
      <c r="F140" s="42" t="s">
        <v>155</v>
      </c>
      <c r="G140" s="42" t="s">
        <v>156</v>
      </c>
      <c r="H140" s="42" t="s">
        <v>222</v>
      </c>
      <c r="I140" s="42" t="s">
        <v>152</v>
      </c>
      <c r="J140" s="42" t="s">
        <v>159</v>
      </c>
      <c r="K140" s="42" t="s">
        <v>209</v>
      </c>
      <c r="L140" s="44" t="n">
        <v>618.14</v>
      </c>
      <c r="M140" s="42" t="n">
        <v>2</v>
      </c>
      <c r="N140" s="42" t="s">
        <v>146</v>
      </c>
      <c r="O140" s="42" t="s">
        <v>147</v>
      </c>
      <c r="P140" s="39" t="n">
        <f aca="false">C140-B140</f>
        <v>1</v>
      </c>
      <c r="Q140" s="40" t="str">
        <f aca="false">CHOOSE(MONTH(B140),"يناير","فبراير","مارس","أبريل","مايو","يونيو","يوليو","أغسطس","سبتمبر","أكتوبر","نوفمبر","ديسمبر")</f>
        <v>يناير</v>
      </c>
      <c r="R140" s="40" t="str">
        <f aca="false">"الربع "&amp;ROUNDUP(MONTH(B140)/3,0)</f>
        <v>الربع 1</v>
      </c>
      <c r="S140" s="40" t="str">
        <f aca="false">IF(D140&lt;=12,"أطفال (0-12)",IF(D140&lt;=24,"شباب (13-24)",IF(D140&lt;=44,"بالغون (25-44)",IF(D140&lt;=64,"متوسطو العمر (45-64)","كبار السن (+65)"))))</f>
        <v>أطفال (0-12)</v>
      </c>
      <c r="T140" s="41" t="n">
        <f aca="false">IFERROR(L140/P140,0)</f>
        <v>618.14</v>
      </c>
    </row>
    <row r="141" customFormat="false" ht="15" hidden="false" customHeight="false" outlineLevel="0" collapsed="false">
      <c r="A141" s="33" t="s">
        <v>565</v>
      </c>
      <c r="B141" s="34" t="n">
        <v>45316</v>
      </c>
      <c r="C141" s="34" t="n">
        <v>45318</v>
      </c>
      <c r="D141" s="33" t="n">
        <v>53</v>
      </c>
      <c r="E141" s="33" t="s">
        <v>139</v>
      </c>
      <c r="F141" s="33" t="s">
        <v>181</v>
      </c>
      <c r="G141" s="33" t="s">
        <v>188</v>
      </c>
      <c r="H141" s="33" t="s">
        <v>245</v>
      </c>
      <c r="I141" s="33" t="s">
        <v>152</v>
      </c>
      <c r="J141" s="33" t="s">
        <v>144</v>
      </c>
      <c r="K141" s="33" t="s">
        <v>145</v>
      </c>
      <c r="L141" s="35" t="n">
        <v>8555.62</v>
      </c>
      <c r="M141" s="33" t="n">
        <v>4</v>
      </c>
      <c r="N141" s="33" t="s">
        <v>146</v>
      </c>
      <c r="O141" s="33" t="s">
        <v>147</v>
      </c>
      <c r="P141" s="39" t="n">
        <f aca="false">C141-B141</f>
        <v>2</v>
      </c>
      <c r="Q141" s="40" t="str">
        <f aca="false">CHOOSE(MONTH(B141),"يناير","فبراير","مارس","أبريل","مايو","يونيو","يوليو","أغسطس","سبتمبر","أكتوبر","نوفمبر","ديسمبر")</f>
        <v>يناير</v>
      </c>
      <c r="R141" s="40" t="str">
        <f aca="false">"الربع "&amp;ROUNDUP(MONTH(B141)/3,0)</f>
        <v>الربع 1</v>
      </c>
      <c r="S141" s="40" t="str">
        <f aca="false">IF(D141&lt;=12,"أطفال (0-12)",IF(D141&lt;=24,"شباب (13-24)",IF(D141&lt;=44,"بالغون (25-44)",IF(D141&lt;=64,"متوسطو العمر (45-64)","كبار السن (+65)"))))</f>
        <v>متوسطو العمر (45-64)</v>
      </c>
      <c r="T141" s="41" t="n">
        <f aca="false">IFERROR(L141/P141,0)</f>
        <v>4277.81</v>
      </c>
    </row>
    <row r="142" customFormat="false" ht="15" hidden="false" customHeight="false" outlineLevel="0" collapsed="false">
      <c r="A142" s="42" t="s">
        <v>1169</v>
      </c>
      <c r="B142" s="43" t="n">
        <v>45317</v>
      </c>
      <c r="C142" s="43" t="n">
        <v>45318</v>
      </c>
      <c r="D142" s="42" t="n">
        <v>23</v>
      </c>
      <c r="E142" s="42" t="s">
        <v>154</v>
      </c>
      <c r="F142" s="42" t="s">
        <v>203</v>
      </c>
      <c r="G142" s="42" t="s">
        <v>192</v>
      </c>
      <c r="H142" s="42" t="s">
        <v>233</v>
      </c>
      <c r="I142" s="42" t="s">
        <v>143</v>
      </c>
      <c r="J142" s="42" t="s">
        <v>159</v>
      </c>
      <c r="K142" s="42" t="s">
        <v>145</v>
      </c>
      <c r="L142" s="44" t="n">
        <v>984.25</v>
      </c>
      <c r="M142" s="42" t="n">
        <v>3</v>
      </c>
      <c r="N142" s="42" t="s">
        <v>146</v>
      </c>
      <c r="O142" s="42" t="s">
        <v>147</v>
      </c>
      <c r="P142" s="39" t="n">
        <f aca="false">C142-B142</f>
        <v>1</v>
      </c>
      <c r="Q142" s="40" t="str">
        <f aca="false">CHOOSE(MONTH(B142),"يناير","فبراير","مارس","أبريل","مايو","يونيو","يوليو","أغسطس","سبتمبر","أكتوبر","نوفمبر","ديسمبر")</f>
        <v>يناير</v>
      </c>
      <c r="R142" s="40" t="str">
        <f aca="false">"الربع "&amp;ROUNDUP(MONTH(B142)/3,0)</f>
        <v>الربع 1</v>
      </c>
      <c r="S142" s="40" t="str">
        <f aca="false">IF(D142&lt;=12,"أطفال (0-12)",IF(D142&lt;=24,"شباب (13-24)",IF(D142&lt;=44,"بالغون (25-44)",IF(D142&lt;=64,"متوسطو العمر (45-64)","كبار السن (+65)"))))</f>
        <v>شباب (13-24)</v>
      </c>
      <c r="T142" s="41" t="n">
        <f aca="false">IFERROR(L142/P142,0)</f>
        <v>984.25</v>
      </c>
    </row>
    <row r="143" customFormat="false" ht="15" hidden="false" customHeight="false" outlineLevel="0" collapsed="false">
      <c r="A143" s="33" t="s">
        <v>1468</v>
      </c>
      <c r="B143" s="34" t="n">
        <v>45318</v>
      </c>
      <c r="C143" s="34" t="n">
        <v>45323</v>
      </c>
      <c r="D143" s="33" t="n">
        <v>27</v>
      </c>
      <c r="E143" s="33" t="s">
        <v>154</v>
      </c>
      <c r="F143" s="33" t="s">
        <v>169</v>
      </c>
      <c r="G143" s="33" t="s">
        <v>170</v>
      </c>
      <c r="H143" s="33" t="s">
        <v>164</v>
      </c>
      <c r="I143" s="33" t="s">
        <v>143</v>
      </c>
      <c r="J143" s="33" t="s">
        <v>144</v>
      </c>
      <c r="K143" s="33" t="s">
        <v>160</v>
      </c>
      <c r="L143" s="35" t="n">
        <v>7536.55</v>
      </c>
      <c r="M143" s="33" t="n">
        <v>4</v>
      </c>
      <c r="N143" s="33" t="s">
        <v>146</v>
      </c>
      <c r="O143" s="33" t="s">
        <v>147</v>
      </c>
      <c r="P143" s="39" t="n">
        <f aca="false">C143-B143</f>
        <v>5</v>
      </c>
      <c r="Q143" s="40" t="str">
        <f aca="false">CHOOSE(MONTH(B143),"يناير","فبراير","مارس","أبريل","مايو","يونيو","يوليو","أغسطس","سبتمبر","أكتوبر","نوفمبر","ديسمبر")</f>
        <v>يناير</v>
      </c>
      <c r="R143" s="40" t="str">
        <f aca="false">"الربع "&amp;ROUNDUP(MONTH(B143)/3,0)</f>
        <v>الربع 1</v>
      </c>
      <c r="S143" s="40" t="str">
        <f aca="false">IF(D143&lt;=12,"أطفال (0-12)",IF(D143&lt;=24,"شباب (13-24)",IF(D143&lt;=44,"بالغون (25-44)",IF(D143&lt;=64,"متوسطو العمر (45-64)","كبار السن (+65)"))))</f>
        <v>بالغون (25-44)</v>
      </c>
      <c r="T143" s="41" t="n">
        <f aca="false">IFERROR(L143/P143,0)</f>
        <v>1507.31</v>
      </c>
    </row>
    <row r="144" customFormat="false" ht="15" hidden="false" customHeight="false" outlineLevel="0" collapsed="false">
      <c r="A144" s="42" t="s">
        <v>1796</v>
      </c>
      <c r="B144" s="43" t="n">
        <v>45318</v>
      </c>
      <c r="C144" s="43" t="n">
        <v>45320</v>
      </c>
      <c r="D144" s="42" t="n">
        <v>36</v>
      </c>
      <c r="E144" s="42" t="s">
        <v>154</v>
      </c>
      <c r="F144" s="42" t="s">
        <v>140</v>
      </c>
      <c r="G144" s="42" t="s">
        <v>141</v>
      </c>
      <c r="H144" s="42" t="s">
        <v>290</v>
      </c>
      <c r="I144" s="42" t="s">
        <v>152</v>
      </c>
      <c r="J144" s="42" t="s">
        <v>159</v>
      </c>
      <c r="K144" s="42" t="s">
        <v>160</v>
      </c>
      <c r="L144" s="44" t="n">
        <v>4315.97</v>
      </c>
      <c r="M144" s="42" t="n">
        <v>5</v>
      </c>
      <c r="N144" s="42" t="s">
        <v>146</v>
      </c>
      <c r="O144" s="42" t="s">
        <v>147</v>
      </c>
      <c r="P144" s="39" t="n">
        <f aca="false">C144-B144</f>
        <v>2</v>
      </c>
      <c r="Q144" s="40" t="str">
        <f aca="false">CHOOSE(MONTH(B144),"يناير","فبراير","مارس","أبريل","مايو","يونيو","يوليو","أغسطس","سبتمبر","أكتوبر","نوفمبر","ديسمبر")</f>
        <v>يناير</v>
      </c>
      <c r="R144" s="40" t="str">
        <f aca="false">"الربع "&amp;ROUNDUP(MONTH(B144)/3,0)</f>
        <v>الربع 1</v>
      </c>
      <c r="S144" s="40" t="str">
        <f aca="false">IF(D144&lt;=12,"أطفال (0-12)",IF(D144&lt;=24,"شباب (13-24)",IF(D144&lt;=44,"بالغون (25-44)",IF(D144&lt;=64,"متوسطو العمر (45-64)","كبار السن (+65)"))))</f>
        <v>بالغون (25-44)</v>
      </c>
      <c r="T144" s="41" t="n">
        <f aca="false">IFERROR(L144/P144,0)</f>
        <v>2157.985</v>
      </c>
    </row>
    <row r="145" customFormat="false" ht="15" hidden="false" customHeight="false" outlineLevel="0" collapsed="false">
      <c r="A145" s="33" t="s">
        <v>726</v>
      </c>
      <c r="B145" s="34" t="n">
        <v>45318</v>
      </c>
      <c r="C145" s="34" t="n">
        <v>45320</v>
      </c>
      <c r="D145" s="33" t="n">
        <v>0</v>
      </c>
      <c r="E145" s="33" t="s">
        <v>139</v>
      </c>
      <c r="F145" s="33" t="s">
        <v>155</v>
      </c>
      <c r="G145" s="33" t="s">
        <v>302</v>
      </c>
      <c r="H145" s="33" t="s">
        <v>157</v>
      </c>
      <c r="I145" s="33" t="s">
        <v>143</v>
      </c>
      <c r="J145" s="33" t="s">
        <v>144</v>
      </c>
      <c r="K145" s="33" t="s">
        <v>209</v>
      </c>
      <c r="L145" s="35" t="n">
        <v>3630.04</v>
      </c>
      <c r="M145" s="33" t="n">
        <v>3</v>
      </c>
      <c r="N145" s="33" t="s">
        <v>146</v>
      </c>
      <c r="O145" s="33" t="s">
        <v>147</v>
      </c>
      <c r="P145" s="39" t="n">
        <f aca="false">C145-B145</f>
        <v>2</v>
      </c>
      <c r="Q145" s="40" t="str">
        <f aca="false">CHOOSE(MONTH(B145),"يناير","فبراير","مارس","أبريل","مايو","يونيو","يوليو","أغسطس","سبتمبر","أكتوبر","نوفمبر","ديسمبر")</f>
        <v>يناير</v>
      </c>
      <c r="R145" s="40" t="str">
        <f aca="false">"الربع "&amp;ROUNDUP(MONTH(B145)/3,0)</f>
        <v>الربع 1</v>
      </c>
      <c r="S145" s="40" t="str">
        <f aca="false">IF(D145&lt;=12,"أطفال (0-12)",IF(D145&lt;=24,"شباب (13-24)",IF(D145&lt;=44,"بالغون (25-44)",IF(D145&lt;=64,"متوسطو العمر (45-64)","كبار السن (+65)"))))</f>
        <v>أطفال (0-12)</v>
      </c>
      <c r="T145" s="41" t="n">
        <f aca="false">IFERROR(L145/P145,0)</f>
        <v>1815.02</v>
      </c>
    </row>
    <row r="146" customFormat="false" ht="15" hidden="false" customHeight="false" outlineLevel="0" collapsed="false">
      <c r="A146" s="42" t="s">
        <v>2174</v>
      </c>
      <c r="B146" s="43" t="n">
        <v>45318</v>
      </c>
      <c r="C146" s="43" t="n">
        <v>45331</v>
      </c>
      <c r="D146" s="42" t="n">
        <v>43</v>
      </c>
      <c r="E146" s="42" t="s">
        <v>139</v>
      </c>
      <c r="F146" s="42" t="s">
        <v>169</v>
      </c>
      <c r="G146" s="42" t="s">
        <v>163</v>
      </c>
      <c r="H146" s="42" t="s">
        <v>195</v>
      </c>
      <c r="I146" s="42" t="s">
        <v>158</v>
      </c>
      <c r="J146" s="42" t="s">
        <v>159</v>
      </c>
      <c r="K146" s="42" t="s">
        <v>145</v>
      </c>
      <c r="L146" s="44" t="n">
        <v>13148.99</v>
      </c>
      <c r="M146" s="42" t="n">
        <v>4</v>
      </c>
      <c r="N146" s="42" t="s">
        <v>146</v>
      </c>
      <c r="O146" s="42" t="s">
        <v>147</v>
      </c>
      <c r="P146" s="39" t="n">
        <f aca="false">C146-B146</f>
        <v>13</v>
      </c>
      <c r="Q146" s="40" t="str">
        <f aca="false">CHOOSE(MONTH(B146),"يناير","فبراير","مارس","أبريل","مايو","يونيو","يوليو","أغسطس","سبتمبر","أكتوبر","نوفمبر","ديسمبر")</f>
        <v>يناير</v>
      </c>
      <c r="R146" s="40" t="str">
        <f aca="false">"الربع "&amp;ROUNDUP(MONTH(B146)/3,0)</f>
        <v>الربع 1</v>
      </c>
      <c r="S146" s="40" t="str">
        <f aca="false">IF(D146&lt;=12,"أطفال (0-12)",IF(D146&lt;=24,"شباب (13-24)",IF(D146&lt;=44,"بالغون (25-44)",IF(D146&lt;=64,"متوسطو العمر (45-64)","كبار السن (+65)"))))</f>
        <v>بالغون (25-44)</v>
      </c>
      <c r="T146" s="41" t="n">
        <f aca="false">IFERROR(L146/P146,0)</f>
        <v>1011.46076923077</v>
      </c>
    </row>
    <row r="147" customFormat="false" ht="15" hidden="false" customHeight="false" outlineLevel="0" collapsed="false">
      <c r="A147" s="33" t="s">
        <v>761</v>
      </c>
      <c r="B147" s="34" t="n">
        <v>45318</v>
      </c>
      <c r="C147" s="34" t="n">
        <v>45322</v>
      </c>
      <c r="D147" s="33" t="n">
        <v>59</v>
      </c>
      <c r="E147" s="33" t="s">
        <v>139</v>
      </c>
      <c r="F147" s="33" t="s">
        <v>181</v>
      </c>
      <c r="G147" s="33" t="s">
        <v>237</v>
      </c>
      <c r="H147" s="33" t="s">
        <v>245</v>
      </c>
      <c r="I147" s="33" t="s">
        <v>152</v>
      </c>
      <c r="J147" s="33" t="s">
        <v>159</v>
      </c>
      <c r="K147" s="33" t="s">
        <v>160</v>
      </c>
      <c r="L147" s="35" t="n">
        <v>8254.09</v>
      </c>
      <c r="M147" s="33" t="n">
        <v>3</v>
      </c>
      <c r="N147" s="33" t="s">
        <v>146</v>
      </c>
      <c r="O147" s="33" t="s">
        <v>147</v>
      </c>
      <c r="P147" s="39" t="n">
        <f aca="false">C147-B147</f>
        <v>4</v>
      </c>
      <c r="Q147" s="40" t="str">
        <f aca="false">CHOOSE(MONTH(B147),"يناير","فبراير","مارس","أبريل","مايو","يونيو","يوليو","أغسطس","سبتمبر","أكتوبر","نوفمبر","ديسمبر")</f>
        <v>يناير</v>
      </c>
      <c r="R147" s="40" t="str">
        <f aca="false">"الربع "&amp;ROUNDUP(MONTH(B147)/3,0)</f>
        <v>الربع 1</v>
      </c>
      <c r="S147" s="40" t="str">
        <f aca="false">IF(D147&lt;=12,"أطفال (0-12)",IF(D147&lt;=24,"شباب (13-24)",IF(D147&lt;=44,"بالغون (25-44)",IF(D147&lt;=64,"متوسطو العمر (45-64)","كبار السن (+65)"))))</f>
        <v>متوسطو العمر (45-64)</v>
      </c>
      <c r="T147" s="41" t="n">
        <f aca="false">IFERROR(L147/P147,0)</f>
        <v>2063.5225</v>
      </c>
    </row>
    <row r="148" customFormat="false" ht="15" hidden="false" customHeight="false" outlineLevel="0" collapsed="false">
      <c r="A148" s="42" t="s">
        <v>1994</v>
      </c>
      <c r="B148" s="43" t="n">
        <v>45319</v>
      </c>
      <c r="C148" s="43" t="n">
        <v>45321</v>
      </c>
      <c r="D148" s="42" t="n">
        <v>7</v>
      </c>
      <c r="E148" s="42" t="s">
        <v>154</v>
      </c>
      <c r="F148" s="42" t="s">
        <v>155</v>
      </c>
      <c r="G148" s="42" t="s">
        <v>302</v>
      </c>
      <c r="H148" s="42" t="s">
        <v>157</v>
      </c>
      <c r="I148" s="42" t="s">
        <v>143</v>
      </c>
      <c r="J148" s="42" t="s">
        <v>159</v>
      </c>
      <c r="K148" s="42" t="s">
        <v>184</v>
      </c>
      <c r="L148" s="44" t="n">
        <v>1591.98</v>
      </c>
      <c r="M148" s="42" t="n">
        <v>5</v>
      </c>
      <c r="N148" s="42" t="s">
        <v>146</v>
      </c>
      <c r="O148" s="42" t="s">
        <v>295</v>
      </c>
      <c r="P148" s="39" t="n">
        <f aca="false">C148-B148</f>
        <v>2</v>
      </c>
      <c r="Q148" s="40" t="str">
        <f aca="false">CHOOSE(MONTH(B148),"يناير","فبراير","مارس","أبريل","مايو","يونيو","يوليو","أغسطس","سبتمبر","أكتوبر","نوفمبر","ديسمبر")</f>
        <v>يناير</v>
      </c>
      <c r="R148" s="40" t="str">
        <f aca="false">"الربع "&amp;ROUNDUP(MONTH(B148)/3,0)</f>
        <v>الربع 1</v>
      </c>
      <c r="S148" s="40" t="str">
        <f aca="false">IF(D148&lt;=12,"أطفال (0-12)",IF(D148&lt;=24,"شباب (13-24)",IF(D148&lt;=44,"بالغون (25-44)",IF(D148&lt;=64,"متوسطو العمر (45-64)","كبار السن (+65)"))))</f>
        <v>أطفال (0-12)</v>
      </c>
      <c r="T148" s="41" t="n">
        <f aca="false">IFERROR(L148/P148,0)</f>
        <v>795.99</v>
      </c>
    </row>
    <row r="149" customFormat="false" ht="15" hidden="false" customHeight="false" outlineLevel="0" collapsed="false">
      <c r="A149" s="33" t="s">
        <v>932</v>
      </c>
      <c r="B149" s="34" t="n">
        <v>45319</v>
      </c>
      <c r="C149" s="34" t="n">
        <v>45322</v>
      </c>
      <c r="D149" s="33" t="n">
        <v>54</v>
      </c>
      <c r="E149" s="33" t="s">
        <v>154</v>
      </c>
      <c r="F149" s="33" t="s">
        <v>169</v>
      </c>
      <c r="G149" s="33" t="s">
        <v>163</v>
      </c>
      <c r="H149" s="33" t="s">
        <v>164</v>
      </c>
      <c r="I149" s="33" t="s">
        <v>143</v>
      </c>
      <c r="J149" s="33" t="s">
        <v>159</v>
      </c>
      <c r="K149" s="33" t="s">
        <v>160</v>
      </c>
      <c r="L149" s="35" t="n">
        <v>3593.15</v>
      </c>
      <c r="M149" s="33" t="n">
        <v>5</v>
      </c>
      <c r="N149" s="33" t="s">
        <v>210</v>
      </c>
      <c r="O149" s="33" t="s">
        <v>147</v>
      </c>
      <c r="P149" s="39" t="n">
        <f aca="false">C149-B149</f>
        <v>3</v>
      </c>
      <c r="Q149" s="40" t="str">
        <f aca="false">CHOOSE(MONTH(B149),"يناير","فبراير","مارس","أبريل","مايو","يونيو","يوليو","أغسطس","سبتمبر","أكتوبر","نوفمبر","ديسمبر")</f>
        <v>يناير</v>
      </c>
      <c r="R149" s="40" t="str">
        <f aca="false">"الربع "&amp;ROUNDUP(MONTH(B149)/3,0)</f>
        <v>الربع 1</v>
      </c>
      <c r="S149" s="40" t="str">
        <f aca="false">IF(D149&lt;=12,"أطفال (0-12)",IF(D149&lt;=24,"شباب (13-24)",IF(D149&lt;=44,"بالغون (25-44)",IF(D149&lt;=64,"متوسطو العمر (45-64)","كبار السن (+65)"))))</f>
        <v>متوسطو العمر (45-64)</v>
      </c>
      <c r="T149" s="41" t="n">
        <f aca="false">IFERROR(L149/P149,0)</f>
        <v>1197.71666666667</v>
      </c>
    </row>
    <row r="150" customFormat="false" ht="15" hidden="false" customHeight="false" outlineLevel="0" collapsed="false">
      <c r="A150" s="42" t="s">
        <v>1015</v>
      </c>
      <c r="B150" s="43" t="n">
        <v>45319</v>
      </c>
      <c r="C150" s="43" t="n">
        <v>45328</v>
      </c>
      <c r="D150" s="42" t="n">
        <v>63</v>
      </c>
      <c r="E150" s="42" t="s">
        <v>139</v>
      </c>
      <c r="F150" s="42" t="s">
        <v>181</v>
      </c>
      <c r="G150" s="42" t="s">
        <v>237</v>
      </c>
      <c r="H150" s="42" t="s">
        <v>183</v>
      </c>
      <c r="I150" s="42" t="s">
        <v>152</v>
      </c>
      <c r="J150" s="42" t="s">
        <v>159</v>
      </c>
      <c r="K150" s="42" t="s">
        <v>145</v>
      </c>
      <c r="L150" s="44" t="n">
        <v>16011.59</v>
      </c>
      <c r="M150" s="42" t="n">
        <v>4</v>
      </c>
      <c r="N150" s="42" t="s">
        <v>146</v>
      </c>
      <c r="O150" s="42" t="s">
        <v>147</v>
      </c>
      <c r="P150" s="39" t="n">
        <f aca="false">C150-B150</f>
        <v>9</v>
      </c>
      <c r="Q150" s="40" t="str">
        <f aca="false">CHOOSE(MONTH(B150),"يناير","فبراير","مارس","أبريل","مايو","يونيو","يوليو","أغسطس","سبتمبر","أكتوبر","نوفمبر","ديسمبر")</f>
        <v>يناير</v>
      </c>
      <c r="R150" s="40" t="str">
        <f aca="false">"الربع "&amp;ROUNDUP(MONTH(B150)/3,0)</f>
        <v>الربع 1</v>
      </c>
      <c r="S150" s="40" t="str">
        <f aca="false">IF(D150&lt;=12,"أطفال (0-12)",IF(D150&lt;=24,"شباب (13-24)",IF(D150&lt;=44,"بالغون (25-44)",IF(D150&lt;=64,"متوسطو العمر (45-64)","كبار السن (+65)"))))</f>
        <v>متوسطو العمر (45-64)</v>
      </c>
      <c r="T150" s="41" t="n">
        <f aca="false">IFERROR(L150/P150,0)</f>
        <v>1779.06555555556</v>
      </c>
    </row>
    <row r="151" customFormat="false" ht="15" hidden="false" customHeight="false" outlineLevel="0" collapsed="false">
      <c r="A151" s="33" t="s">
        <v>518</v>
      </c>
      <c r="B151" s="34" t="n">
        <v>45319</v>
      </c>
      <c r="C151" s="34" t="n">
        <v>45322</v>
      </c>
      <c r="D151" s="33" t="n">
        <v>47</v>
      </c>
      <c r="E151" s="33" t="s">
        <v>139</v>
      </c>
      <c r="F151" s="33" t="s">
        <v>140</v>
      </c>
      <c r="G151" s="33" t="s">
        <v>167</v>
      </c>
      <c r="H151" s="33" t="s">
        <v>142</v>
      </c>
      <c r="I151" s="33" t="s">
        <v>158</v>
      </c>
      <c r="J151" s="33" t="s">
        <v>159</v>
      </c>
      <c r="K151" s="33" t="s">
        <v>145</v>
      </c>
      <c r="L151" s="35" t="n">
        <v>6324.98</v>
      </c>
      <c r="M151" s="33" t="n">
        <v>3</v>
      </c>
      <c r="N151" s="33" t="s">
        <v>146</v>
      </c>
      <c r="O151" s="33" t="s">
        <v>147</v>
      </c>
      <c r="P151" s="39" t="n">
        <f aca="false">C151-B151</f>
        <v>3</v>
      </c>
      <c r="Q151" s="40" t="str">
        <f aca="false">CHOOSE(MONTH(B151),"يناير","فبراير","مارس","أبريل","مايو","يونيو","يوليو","أغسطس","سبتمبر","أكتوبر","نوفمبر","ديسمبر")</f>
        <v>يناير</v>
      </c>
      <c r="R151" s="40" t="str">
        <f aca="false">"الربع "&amp;ROUNDUP(MONTH(B151)/3,0)</f>
        <v>الربع 1</v>
      </c>
      <c r="S151" s="40" t="str">
        <f aca="false">IF(D151&lt;=12,"أطفال (0-12)",IF(D151&lt;=24,"شباب (13-24)",IF(D151&lt;=44,"بالغون (25-44)",IF(D151&lt;=64,"متوسطو العمر (45-64)","كبار السن (+65)"))))</f>
        <v>متوسطو العمر (45-64)</v>
      </c>
      <c r="T151" s="41" t="n">
        <f aca="false">IFERROR(L151/P151,0)</f>
        <v>2108.32666666667</v>
      </c>
    </row>
    <row r="152" customFormat="false" ht="15" hidden="false" customHeight="false" outlineLevel="0" collapsed="false">
      <c r="A152" s="42" t="s">
        <v>1504</v>
      </c>
      <c r="B152" s="43" t="n">
        <v>45320</v>
      </c>
      <c r="C152" s="43" t="n">
        <v>45323</v>
      </c>
      <c r="D152" s="42" t="n">
        <v>11</v>
      </c>
      <c r="E152" s="42" t="s">
        <v>154</v>
      </c>
      <c r="F152" s="42" t="s">
        <v>155</v>
      </c>
      <c r="G152" s="42" t="s">
        <v>220</v>
      </c>
      <c r="H152" s="42" t="s">
        <v>157</v>
      </c>
      <c r="I152" s="42" t="s">
        <v>152</v>
      </c>
      <c r="J152" s="42" t="s">
        <v>144</v>
      </c>
      <c r="K152" s="42" t="s">
        <v>184</v>
      </c>
      <c r="L152" s="44" t="n">
        <v>4882.47</v>
      </c>
      <c r="M152" s="42" t="n">
        <v>4</v>
      </c>
      <c r="N152" s="42" t="s">
        <v>146</v>
      </c>
      <c r="O152" s="42" t="s">
        <v>147</v>
      </c>
      <c r="P152" s="39" t="n">
        <f aca="false">C152-B152</f>
        <v>3</v>
      </c>
      <c r="Q152" s="40" t="str">
        <f aca="false">CHOOSE(MONTH(B152),"يناير","فبراير","مارس","أبريل","مايو","يونيو","يوليو","أغسطس","سبتمبر","أكتوبر","نوفمبر","ديسمبر")</f>
        <v>يناير</v>
      </c>
      <c r="R152" s="40" t="str">
        <f aca="false">"الربع "&amp;ROUNDUP(MONTH(B152)/3,0)</f>
        <v>الربع 1</v>
      </c>
      <c r="S152" s="40" t="str">
        <f aca="false">IF(D152&lt;=12,"أطفال (0-12)",IF(D152&lt;=24,"شباب (13-24)",IF(D152&lt;=44,"بالغون (25-44)",IF(D152&lt;=64,"متوسطو العمر (45-64)","كبار السن (+65)"))))</f>
        <v>أطفال (0-12)</v>
      </c>
      <c r="T152" s="41" t="n">
        <f aca="false">IFERROR(L152/P152,0)</f>
        <v>1627.49</v>
      </c>
    </row>
    <row r="153" customFormat="false" ht="15" hidden="false" customHeight="false" outlineLevel="0" collapsed="false">
      <c r="A153" s="33" t="s">
        <v>1966</v>
      </c>
      <c r="B153" s="34" t="n">
        <v>45320</v>
      </c>
      <c r="C153" s="34" t="n">
        <v>45322</v>
      </c>
      <c r="D153" s="33" t="n">
        <v>71</v>
      </c>
      <c r="E153" s="33" t="s">
        <v>139</v>
      </c>
      <c r="F153" s="33" t="s">
        <v>203</v>
      </c>
      <c r="G153" s="33" t="s">
        <v>192</v>
      </c>
      <c r="H153" s="33" t="s">
        <v>233</v>
      </c>
      <c r="I153" s="33" t="s">
        <v>143</v>
      </c>
      <c r="J153" s="33" t="s">
        <v>159</v>
      </c>
      <c r="K153" s="33" t="s">
        <v>184</v>
      </c>
      <c r="L153" s="35" t="n">
        <v>1781.01</v>
      </c>
      <c r="M153" s="33" t="n">
        <v>3</v>
      </c>
      <c r="N153" s="33" t="s">
        <v>146</v>
      </c>
      <c r="O153" s="33" t="s">
        <v>147</v>
      </c>
      <c r="P153" s="39" t="n">
        <f aca="false">C153-B153</f>
        <v>2</v>
      </c>
      <c r="Q153" s="40" t="str">
        <f aca="false">CHOOSE(MONTH(B153),"يناير","فبراير","مارس","أبريل","مايو","يونيو","يوليو","أغسطس","سبتمبر","أكتوبر","نوفمبر","ديسمبر")</f>
        <v>يناير</v>
      </c>
      <c r="R153" s="40" t="str">
        <f aca="false">"الربع "&amp;ROUNDUP(MONTH(B153)/3,0)</f>
        <v>الربع 1</v>
      </c>
      <c r="S153" s="40" t="str">
        <f aca="false">IF(D153&lt;=12,"أطفال (0-12)",IF(D153&lt;=24,"شباب (13-24)",IF(D153&lt;=44,"بالغون (25-44)",IF(D153&lt;=64,"متوسطو العمر (45-64)","كبار السن (+65)"))))</f>
        <v>كبار السن (+65)</v>
      </c>
      <c r="T153" s="41" t="n">
        <f aca="false">IFERROR(L153/P153,0)</f>
        <v>890.505</v>
      </c>
    </row>
    <row r="154" customFormat="false" ht="15" hidden="false" customHeight="false" outlineLevel="0" collapsed="false">
      <c r="A154" s="42" t="s">
        <v>1649</v>
      </c>
      <c r="B154" s="43" t="n">
        <v>45320</v>
      </c>
      <c r="C154" s="43" t="n">
        <v>45323</v>
      </c>
      <c r="D154" s="42" t="n">
        <v>4</v>
      </c>
      <c r="E154" s="42" t="s">
        <v>139</v>
      </c>
      <c r="F154" s="42" t="s">
        <v>155</v>
      </c>
      <c r="G154" s="42" t="s">
        <v>220</v>
      </c>
      <c r="H154" s="42" t="s">
        <v>157</v>
      </c>
      <c r="I154" s="42" t="s">
        <v>143</v>
      </c>
      <c r="J154" s="42" t="s">
        <v>159</v>
      </c>
      <c r="K154" s="42" t="s">
        <v>184</v>
      </c>
      <c r="L154" s="44" t="n">
        <v>2565.5</v>
      </c>
      <c r="M154" s="42" t="n">
        <v>4</v>
      </c>
      <c r="N154" s="42" t="s">
        <v>146</v>
      </c>
      <c r="O154" s="42" t="s">
        <v>147</v>
      </c>
      <c r="P154" s="39" t="n">
        <f aca="false">C154-B154</f>
        <v>3</v>
      </c>
      <c r="Q154" s="40" t="str">
        <f aca="false">CHOOSE(MONTH(B154),"يناير","فبراير","مارس","أبريل","مايو","يونيو","يوليو","أغسطس","سبتمبر","أكتوبر","نوفمبر","ديسمبر")</f>
        <v>يناير</v>
      </c>
      <c r="R154" s="40" t="str">
        <f aca="false">"الربع "&amp;ROUNDUP(MONTH(B154)/3,0)</f>
        <v>الربع 1</v>
      </c>
      <c r="S154" s="40" t="str">
        <f aca="false">IF(D154&lt;=12,"أطفال (0-12)",IF(D154&lt;=24,"شباب (13-24)",IF(D154&lt;=44,"بالغون (25-44)",IF(D154&lt;=64,"متوسطو العمر (45-64)","كبار السن (+65)"))))</f>
        <v>أطفال (0-12)</v>
      </c>
      <c r="T154" s="41" t="n">
        <f aca="false">IFERROR(L154/P154,0)</f>
        <v>855.166666666667</v>
      </c>
    </row>
    <row r="155" customFormat="false" ht="15" hidden="false" customHeight="false" outlineLevel="0" collapsed="false">
      <c r="A155" s="33" t="s">
        <v>1612</v>
      </c>
      <c r="B155" s="34" t="n">
        <v>45320</v>
      </c>
      <c r="C155" s="34" t="n">
        <v>45321</v>
      </c>
      <c r="D155" s="33" t="n">
        <v>69</v>
      </c>
      <c r="E155" s="33" t="s">
        <v>154</v>
      </c>
      <c r="F155" s="33" t="s">
        <v>203</v>
      </c>
      <c r="G155" s="33" t="s">
        <v>241</v>
      </c>
      <c r="H155" s="33" t="s">
        <v>205</v>
      </c>
      <c r="I155" s="33" t="s">
        <v>143</v>
      </c>
      <c r="J155" s="33" t="s">
        <v>159</v>
      </c>
      <c r="K155" s="33" t="s">
        <v>184</v>
      </c>
      <c r="L155" s="35" t="n">
        <v>880.67</v>
      </c>
      <c r="M155" s="33" t="n">
        <v>4</v>
      </c>
      <c r="N155" s="33" t="s">
        <v>146</v>
      </c>
      <c r="O155" s="33" t="s">
        <v>147</v>
      </c>
      <c r="P155" s="39" t="n">
        <f aca="false">C155-B155</f>
        <v>1</v>
      </c>
      <c r="Q155" s="40" t="str">
        <f aca="false">CHOOSE(MONTH(B155),"يناير","فبراير","مارس","أبريل","مايو","يونيو","يوليو","أغسطس","سبتمبر","أكتوبر","نوفمبر","ديسمبر")</f>
        <v>يناير</v>
      </c>
      <c r="R155" s="40" t="str">
        <f aca="false">"الربع "&amp;ROUNDUP(MONTH(B155)/3,0)</f>
        <v>الربع 1</v>
      </c>
      <c r="S155" s="40" t="str">
        <f aca="false">IF(D155&lt;=12,"أطفال (0-12)",IF(D155&lt;=24,"شباب (13-24)",IF(D155&lt;=44,"بالغون (25-44)",IF(D155&lt;=64,"متوسطو العمر (45-64)","كبار السن (+65)"))))</f>
        <v>كبار السن (+65)</v>
      </c>
      <c r="T155" s="41" t="n">
        <f aca="false">IFERROR(L155/P155,0)</f>
        <v>880.67</v>
      </c>
    </row>
    <row r="156" customFormat="false" ht="15" hidden="false" customHeight="false" outlineLevel="0" collapsed="false">
      <c r="A156" s="42" t="s">
        <v>1071</v>
      </c>
      <c r="B156" s="43" t="n">
        <v>45321</v>
      </c>
      <c r="C156" s="43" t="n">
        <v>45322</v>
      </c>
      <c r="D156" s="42" t="n">
        <v>25</v>
      </c>
      <c r="E156" s="42" t="s">
        <v>154</v>
      </c>
      <c r="F156" s="42" t="s">
        <v>169</v>
      </c>
      <c r="G156" s="42" t="s">
        <v>170</v>
      </c>
      <c r="H156" s="42" t="s">
        <v>195</v>
      </c>
      <c r="I156" s="42" t="s">
        <v>143</v>
      </c>
      <c r="J156" s="42" t="s">
        <v>159</v>
      </c>
      <c r="K156" s="42" t="s">
        <v>145</v>
      </c>
      <c r="L156" s="44" t="n">
        <v>4484.24</v>
      </c>
      <c r="M156" s="42" t="n">
        <v>5</v>
      </c>
      <c r="N156" s="42" t="s">
        <v>146</v>
      </c>
      <c r="O156" s="42" t="s">
        <v>147</v>
      </c>
      <c r="P156" s="39" t="n">
        <f aca="false">C156-B156</f>
        <v>1</v>
      </c>
      <c r="Q156" s="40" t="str">
        <f aca="false">CHOOSE(MONTH(B156),"يناير","فبراير","مارس","أبريل","مايو","يونيو","يوليو","أغسطس","سبتمبر","أكتوبر","نوفمبر","ديسمبر")</f>
        <v>يناير</v>
      </c>
      <c r="R156" s="40" t="str">
        <f aca="false">"الربع "&amp;ROUNDUP(MONTH(B156)/3,0)</f>
        <v>الربع 1</v>
      </c>
      <c r="S156" s="40" t="str">
        <f aca="false">IF(D156&lt;=12,"أطفال (0-12)",IF(D156&lt;=24,"شباب (13-24)",IF(D156&lt;=44,"بالغون (25-44)",IF(D156&lt;=64,"متوسطو العمر (45-64)","كبار السن (+65)"))))</f>
        <v>بالغون (25-44)</v>
      </c>
      <c r="T156" s="41" t="n">
        <f aca="false">IFERROR(L156/P156,0)</f>
        <v>4484.24</v>
      </c>
    </row>
    <row r="157" customFormat="false" ht="15" hidden="false" customHeight="false" outlineLevel="0" collapsed="false">
      <c r="A157" s="33" t="s">
        <v>2041</v>
      </c>
      <c r="B157" s="34" t="n">
        <v>45321</v>
      </c>
      <c r="C157" s="34" t="n">
        <v>45322</v>
      </c>
      <c r="D157" s="33" t="n">
        <v>44</v>
      </c>
      <c r="E157" s="33" t="s">
        <v>139</v>
      </c>
      <c r="F157" s="33" t="s">
        <v>203</v>
      </c>
      <c r="G157" s="33" t="s">
        <v>232</v>
      </c>
      <c r="H157" s="33" t="s">
        <v>233</v>
      </c>
      <c r="I157" s="33" t="s">
        <v>143</v>
      </c>
      <c r="J157" s="33" t="s">
        <v>159</v>
      </c>
      <c r="K157" s="33" t="s">
        <v>184</v>
      </c>
      <c r="L157" s="35" t="n">
        <v>989.37</v>
      </c>
      <c r="M157" s="33" t="n">
        <v>3</v>
      </c>
      <c r="N157" s="33" t="s">
        <v>146</v>
      </c>
      <c r="O157" s="33" t="s">
        <v>147</v>
      </c>
      <c r="P157" s="39" t="n">
        <f aca="false">C157-B157</f>
        <v>1</v>
      </c>
      <c r="Q157" s="40" t="str">
        <f aca="false">CHOOSE(MONTH(B157),"يناير","فبراير","مارس","أبريل","مايو","يونيو","يوليو","أغسطس","سبتمبر","أكتوبر","نوفمبر","ديسمبر")</f>
        <v>يناير</v>
      </c>
      <c r="R157" s="40" t="str">
        <f aca="false">"الربع "&amp;ROUNDUP(MONTH(B157)/3,0)</f>
        <v>الربع 1</v>
      </c>
      <c r="S157" s="40" t="str">
        <f aca="false">IF(D157&lt;=12,"أطفال (0-12)",IF(D157&lt;=24,"شباب (13-24)",IF(D157&lt;=44,"بالغون (25-44)",IF(D157&lt;=64,"متوسطو العمر (45-64)","كبار السن (+65)"))))</f>
        <v>بالغون (25-44)</v>
      </c>
      <c r="T157" s="41" t="n">
        <f aca="false">IFERROR(L157/P157,0)</f>
        <v>989.37</v>
      </c>
    </row>
    <row r="158" customFormat="false" ht="15" hidden="false" customHeight="false" outlineLevel="0" collapsed="false">
      <c r="A158" s="42" t="s">
        <v>684</v>
      </c>
      <c r="B158" s="43" t="n">
        <v>45321</v>
      </c>
      <c r="C158" s="43" t="n">
        <v>45324</v>
      </c>
      <c r="D158" s="42" t="n">
        <v>4</v>
      </c>
      <c r="E158" s="42" t="s">
        <v>139</v>
      </c>
      <c r="F158" s="42" t="s">
        <v>155</v>
      </c>
      <c r="G158" s="42" t="s">
        <v>302</v>
      </c>
      <c r="H158" s="42" t="s">
        <v>157</v>
      </c>
      <c r="I158" s="42" t="s">
        <v>143</v>
      </c>
      <c r="J158" s="42" t="s">
        <v>176</v>
      </c>
      <c r="K158" s="42" t="s">
        <v>145</v>
      </c>
      <c r="L158" s="44" t="n">
        <v>8518.45</v>
      </c>
      <c r="M158" s="42" t="n">
        <v>5</v>
      </c>
      <c r="N158" s="42" t="s">
        <v>146</v>
      </c>
      <c r="O158" s="42" t="s">
        <v>147</v>
      </c>
      <c r="P158" s="39" t="n">
        <f aca="false">C158-B158</f>
        <v>3</v>
      </c>
      <c r="Q158" s="40" t="str">
        <f aca="false">CHOOSE(MONTH(B158),"يناير","فبراير","مارس","أبريل","مايو","يونيو","يوليو","أغسطس","سبتمبر","أكتوبر","نوفمبر","ديسمبر")</f>
        <v>يناير</v>
      </c>
      <c r="R158" s="40" t="str">
        <f aca="false">"الربع "&amp;ROUNDUP(MONTH(B158)/3,0)</f>
        <v>الربع 1</v>
      </c>
      <c r="S158" s="40" t="str">
        <f aca="false">IF(D158&lt;=12,"أطفال (0-12)",IF(D158&lt;=24,"شباب (13-24)",IF(D158&lt;=44,"بالغون (25-44)",IF(D158&lt;=64,"متوسطو العمر (45-64)","كبار السن (+65)"))))</f>
        <v>أطفال (0-12)</v>
      </c>
      <c r="T158" s="41" t="n">
        <f aca="false">IFERROR(L158/P158,0)</f>
        <v>2839.48333333333</v>
      </c>
    </row>
    <row r="159" customFormat="false" ht="15" hidden="false" customHeight="false" outlineLevel="0" collapsed="false">
      <c r="A159" s="33" t="s">
        <v>2128</v>
      </c>
      <c r="B159" s="34" t="n">
        <v>45321</v>
      </c>
      <c r="C159" s="34" t="n">
        <v>45322</v>
      </c>
      <c r="D159" s="33" t="n">
        <v>62</v>
      </c>
      <c r="E159" s="33" t="s">
        <v>154</v>
      </c>
      <c r="F159" s="33" t="s">
        <v>203</v>
      </c>
      <c r="G159" s="33" t="s">
        <v>232</v>
      </c>
      <c r="H159" s="33" t="s">
        <v>205</v>
      </c>
      <c r="I159" s="33" t="s">
        <v>143</v>
      </c>
      <c r="J159" s="33" t="s">
        <v>144</v>
      </c>
      <c r="K159" s="33" t="s">
        <v>145</v>
      </c>
      <c r="L159" s="35" t="n">
        <v>1694.89</v>
      </c>
      <c r="M159" s="33" t="n">
        <v>4</v>
      </c>
      <c r="N159" s="33" t="s">
        <v>146</v>
      </c>
      <c r="O159" s="33" t="s">
        <v>147</v>
      </c>
      <c r="P159" s="39" t="n">
        <f aca="false">C159-B159</f>
        <v>1</v>
      </c>
      <c r="Q159" s="40" t="str">
        <f aca="false">CHOOSE(MONTH(B159),"يناير","فبراير","مارس","أبريل","مايو","يونيو","يوليو","أغسطس","سبتمبر","أكتوبر","نوفمبر","ديسمبر")</f>
        <v>يناير</v>
      </c>
      <c r="R159" s="40" t="str">
        <f aca="false">"الربع "&amp;ROUNDUP(MONTH(B159)/3,0)</f>
        <v>الربع 1</v>
      </c>
      <c r="S159" s="40" t="str">
        <f aca="false">IF(D159&lt;=12,"أطفال (0-12)",IF(D159&lt;=24,"شباب (13-24)",IF(D159&lt;=44,"بالغون (25-44)",IF(D159&lt;=64,"متوسطو العمر (45-64)","كبار السن (+65)"))))</f>
        <v>متوسطو العمر (45-64)</v>
      </c>
      <c r="T159" s="41" t="n">
        <f aca="false">IFERROR(L159/P159,0)</f>
        <v>1694.89</v>
      </c>
    </row>
    <row r="160" customFormat="false" ht="15" hidden="false" customHeight="false" outlineLevel="0" collapsed="false">
      <c r="A160" s="42" t="s">
        <v>738</v>
      </c>
      <c r="B160" s="43" t="n">
        <v>45321</v>
      </c>
      <c r="C160" s="43" t="n">
        <v>45325</v>
      </c>
      <c r="D160" s="42" t="n">
        <v>32</v>
      </c>
      <c r="E160" s="42" t="s">
        <v>139</v>
      </c>
      <c r="F160" s="42" t="s">
        <v>173</v>
      </c>
      <c r="G160" s="42" t="s">
        <v>198</v>
      </c>
      <c r="H160" s="42" t="s">
        <v>175</v>
      </c>
      <c r="I160" s="42" t="s">
        <v>143</v>
      </c>
      <c r="J160" s="42" t="s">
        <v>176</v>
      </c>
      <c r="K160" s="42" t="s">
        <v>184</v>
      </c>
      <c r="L160" s="44" t="n">
        <v>32591.66</v>
      </c>
      <c r="M160" s="42" t="n">
        <v>5</v>
      </c>
      <c r="N160" s="42" t="s">
        <v>146</v>
      </c>
      <c r="O160" s="42" t="s">
        <v>147</v>
      </c>
      <c r="P160" s="39" t="n">
        <f aca="false">C160-B160</f>
        <v>4</v>
      </c>
      <c r="Q160" s="40" t="str">
        <f aca="false">CHOOSE(MONTH(B160),"يناير","فبراير","مارس","أبريل","مايو","يونيو","يوليو","أغسطس","سبتمبر","أكتوبر","نوفمبر","ديسمبر")</f>
        <v>يناير</v>
      </c>
      <c r="R160" s="40" t="str">
        <f aca="false">"الربع "&amp;ROUNDUP(MONTH(B160)/3,0)</f>
        <v>الربع 1</v>
      </c>
      <c r="S160" s="40" t="str">
        <f aca="false">IF(D160&lt;=12,"أطفال (0-12)",IF(D160&lt;=24,"شباب (13-24)",IF(D160&lt;=44,"بالغون (25-44)",IF(D160&lt;=64,"متوسطو العمر (45-64)","كبار السن (+65)"))))</f>
        <v>بالغون (25-44)</v>
      </c>
      <c r="T160" s="41" t="n">
        <f aca="false">IFERROR(L160/P160,0)</f>
        <v>8147.915</v>
      </c>
    </row>
    <row r="161" customFormat="false" ht="15" hidden="false" customHeight="false" outlineLevel="0" collapsed="false">
      <c r="A161" s="33" t="s">
        <v>1816</v>
      </c>
      <c r="B161" s="34" t="n">
        <v>45322</v>
      </c>
      <c r="C161" s="34" t="n">
        <v>45331</v>
      </c>
      <c r="D161" s="33" t="n">
        <v>32</v>
      </c>
      <c r="E161" s="33" t="s">
        <v>139</v>
      </c>
      <c r="F161" s="33" t="s">
        <v>169</v>
      </c>
      <c r="G161" s="33" t="s">
        <v>230</v>
      </c>
      <c r="H161" s="33" t="s">
        <v>195</v>
      </c>
      <c r="I161" s="33" t="s">
        <v>143</v>
      </c>
      <c r="J161" s="33" t="s">
        <v>159</v>
      </c>
      <c r="K161" s="33" t="s">
        <v>209</v>
      </c>
      <c r="L161" s="35" t="n">
        <v>8318.01</v>
      </c>
      <c r="M161" s="33" t="n">
        <v>4</v>
      </c>
      <c r="N161" s="33" t="s">
        <v>146</v>
      </c>
      <c r="O161" s="33" t="s">
        <v>147</v>
      </c>
      <c r="P161" s="39" t="n">
        <f aca="false">C161-B161</f>
        <v>9</v>
      </c>
      <c r="Q161" s="40" t="str">
        <f aca="false">CHOOSE(MONTH(B161),"يناير","فبراير","مارس","أبريل","مايو","يونيو","يوليو","أغسطس","سبتمبر","أكتوبر","نوفمبر","ديسمبر")</f>
        <v>يناير</v>
      </c>
      <c r="R161" s="40" t="str">
        <f aca="false">"الربع "&amp;ROUNDUP(MONTH(B161)/3,0)</f>
        <v>الربع 1</v>
      </c>
      <c r="S161" s="40" t="str">
        <f aca="false">IF(D161&lt;=12,"أطفال (0-12)",IF(D161&lt;=24,"شباب (13-24)",IF(D161&lt;=44,"بالغون (25-44)",IF(D161&lt;=64,"متوسطو العمر (45-64)","كبار السن (+65)"))))</f>
        <v>بالغون (25-44)</v>
      </c>
      <c r="T161" s="41" t="n">
        <f aca="false">IFERROR(L161/P161,0)</f>
        <v>924.223333333333</v>
      </c>
    </row>
    <row r="162" customFormat="false" ht="15" hidden="false" customHeight="false" outlineLevel="0" collapsed="false">
      <c r="A162" s="42" t="s">
        <v>438</v>
      </c>
      <c r="B162" s="43" t="n">
        <v>45322</v>
      </c>
      <c r="C162" s="43" t="n">
        <v>45324</v>
      </c>
      <c r="D162" s="42" t="n">
        <v>5</v>
      </c>
      <c r="E162" s="42" t="s">
        <v>154</v>
      </c>
      <c r="F162" s="42" t="s">
        <v>155</v>
      </c>
      <c r="G162" s="42" t="s">
        <v>220</v>
      </c>
      <c r="H162" s="42" t="s">
        <v>222</v>
      </c>
      <c r="I162" s="42" t="s">
        <v>152</v>
      </c>
      <c r="J162" s="42" t="s">
        <v>144</v>
      </c>
      <c r="K162" s="42" t="s">
        <v>145</v>
      </c>
      <c r="L162" s="44" t="n">
        <v>3878.78</v>
      </c>
      <c r="M162" s="42" t="n">
        <v>5</v>
      </c>
      <c r="N162" s="42" t="s">
        <v>146</v>
      </c>
      <c r="O162" s="42" t="s">
        <v>147</v>
      </c>
      <c r="P162" s="39" t="n">
        <f aca="false">C162-B162</f>
        <v>2</v>
      </c>
      <c r="Q162" s="40" t="str">
        <f aca="false">CHOOSE(MONTH(B162),"يناير","فبراير","مارس","أبريل","مايو","يونيو","يوليو","أغسطس","سبتمبر","أكتوبر","نوفمبر","ديسمبر")</f>
        <v>يناير</v>
      </c>
      <c r="R162" s="40" t="str">
        <f aca="false">"الربع "&amp;ROUNDUP(MONTH(B162)/3,0)</f>
        <v>الربع 1</v>
      </c>
      <c r="S162" s="40" t="str">
        <f aca="false">IF(D162&lt;=12,"أطفال (0-12)",IF(D162&lt;=24,"شباب (13-24)",IF(D162&lt;=44,"بالغون (25-44)",IF(D162&lt;=64,"متوسطو العمر (45-64)","كبار السن (+65)"))))</f>
        <v>أطفال (0-12)</v>
      </c>
      <c r="T162" s="41" t="n">
        <f aca="false">IFERROR(L162/P162,0)</f>
        <v>1939.39</v>
      </c>
    </row>
    <row r="163" customFormat="false" ht="15" hidden="false" customHeight="false" outlineLevel="0" collapsed="false">
      <c r="A163" s="33" t="s">
        <v>442</v>
      </c>
      <c r="B163" s="34" t="n">
        <v>45322</v>
      </c>
      <c r="C163" s="34" t="n">
        <v>45329</v>
      </c>
      <c r="D163" s="33" t="n">
        <v>62</v>
      </c>
      <c r="E163" s="33" t="s">
        <v>139</v>
      </c>
      <c r="F163" s="33" t="s">
        <v>140</v>
      </c>
      <c r="G163" s="33" t="s">
        <v>141</v>
      </c>
      <c r="H163" s="33" t="s">
        <v>290</v>
      </c>
      <c r="I163" s="33" t="s">
        <v>143</v>
      </c>
      <c r="J163" s="33" t="s">
        <v>144</v>
      </c>
      <c r="K163" s="33" t="s">
        <v>160</v>
      </c>
      <c r="L163" s="35" t="n">
        <v>29402.78</v>
      </c>
      <c r="M163" s="33" t="n">
        <v>3</v>
      </c>
      <c r="N163" s="33" t="s">
        <v>146</v>
      </c>
      <c r="O163" s="33" t="s">
        <v>147</v>
      </c>
      <c r="P163" s="39" t="n">
        <f aca="false">C163-B163</f>
        <v>7</v>
      </c>
      <c r="Q163" s="40" t="str">
        <f aca="false">CHOOSE(MONTH(B163),"يناير","فبراير","مارس","أبريل","مايو","يونيو","يوليو","أغسطس","سبتمبر","أكتوبر","نوفمبر","ديسمبر")</f>
        <v>يناير</v>
      </c>
      <c r="R163" s="40" t="str">
        <f aca="false">"الربع "&amp;ROUNDUP(MONTH(B163)/3,0)</f>
        <v>الربع 1</v>
      </c>
      <c r="S163" s="40" t="str">
        <f aca="false">IF(D163&lt;=12,"أطفال (0-12)",IF(D163&lt;=24,"شباب (13-24)",IF(D163&lt;=44,"بالغون (25-44)",IF(D163&lt;=64,"متوسطو العمر (45-64)","كبار السن (+65)"))))</f>
        <v>متوسطو العمر (45-64)</v>
      </c>
      <c r="T163" s="41" t="n">
        <f aca="false">IFERROR(L163/P163,0)</f>
        <v>4200.39714285714</v>
      </c>
    </row>
    <row r="164" customFormat="false" ht="15" hidden="false" customHeight="false" outlineLevel="0" collapsed="false">
      <c r="A164" s="42" t="s">
        <v>331</v>
      </c>
      <c r="B164" s="43" t="n">
        <v>45322</v>
      </c>
      <c r="C164" s="43" t="n">
        <v>45323</v>
      </c>
      <c r="D164" s="42" t="n">
        <v>10</v>
      </c>
      <c r="E164" s="42" t="s">
        <v>154</v>
      </c>
      <c r="F164" s="42" t="s">
        <v>155</v>
      </c>
      <c r="G164" s="42" t="s">
        <v>156</v>
      </c>
      <c r="H164" s="42" t="s">
        <v>222</v>
      </c>
      <c r="I164" s="42" t="s">
        <v>158</v>
      </c>
      <c r="J164" s="42" t="s">
        <v>176</v>
      </c>
      <c r="K164" s="42" t="s">
        <v>160</v>
      </c>
      <c r="L164" s="44" t="n">
        <v>2984.45</v>
      </c>
      <c r="M164" s="42" t="n">
        <v>3</v>
      </c>
      <c r="N164" s="42" t="s">
        <v>146</v>
      </c>
      <c r="O164" s="42" t="s">
        <v>147</v>
      </c>
      <c r="P164" s="39" t="n">
        <f aca="false">C164-B164</f>
        <v>1</v>
      </c>
      <c r="Q164" s="40" t="str">
        <f aca="false">CHOOSE(MONTH(B164),"يناير","فبراير","مارس","أبريل","مايو","يونيو","يوليو","أغسطس","سبتمبر","أكتوبر","نوفمبر","ديسمبر")</f>
        <v>يناير</v>
      </c>
      <c r="R164" s="40" t="str">
        <f aca="false">"الربع "&amp;ROUNDUP(MONTH(B164)/3,0)</f>
        <v>الربع 1</v>
      </c>
      <c r="S164" s="40" t="str">
        <f aca="false">IF(D164&lt;=12,"أطفال (0-12)",IF(D164&lt;=24,"شباب (13-24)",IF(D164&lt;=44,"بالغون (25-44)",IF(D164&lt;=64,"متوسطو العمر (45-64)","كبار السن (+65)"))))</f>
        <v>أطفال (0-12)</v>
      </c>
      <c r="T164" s="41" t="n">
        <f aca="false">IFERROR(L164/P164,0)</f>
        <v>2984.45</v>
      </c>
    </row>
    <row r="165" customFormat="false" ht="15" hidden="false" customHeight="false" outlineLevel="0" collapsed="false">
      <c r="A165" s="33" t="s">
        <v>1419</v>
      </c>
      <c r="B165" s="34" t="n">
        <v>45322</v>
      </c>
      <c r="C165" s="34" t="n">
        <v>45327</v>
      </c>
      <c r="D165" s="33" t="n">
        <v>43</v>
      </c>
      <c r="E165" s="33" t="s">
        <v>139</v>
      </c>
      <c r="F165" s="33" t="s">
        <v>181</v>
      </c>
      <c r="G165" s="33" t="s">
        <v>188</v>
      </c>
      <c r="H165" s="33" t="s">
        <v>2322</v>
      </c>
      <c r="I165" s="33" t="s">
        <v>143</v>
      </c>
      <c r="J165" s="33" t="s">
        <v>159</v>
      </c>
      <c r="K165" s="33" t="s">
        <v>160</v>
      </c>
      <c r="L165" s="35" t="n">
        <v>14749.2</v>
      </c>
      <c r="M165" s="33" t="n">
        <v>5</v>
      </c>
      <c r="N165" s="33" t="s">
        <v>146</v>
      </c>
      <c r="O165" s="33" t="s">
        <v>147</v>
      </c>
      <c r="P165" s="39" t="n">
        <f aca="false">C165-B165</f>
        <v>5</v>
      </c>
      <c r="Q165" s="40" t="str">
        <f aca="false">CHOOSE(MONTH(B165),"يناير","فبراير","مارس","أبريل","مايو","يونيو","يوليو","أغسطس","سبتمبر","أكتوبر","نوفمبر","ديسمبر")</f>
        <v>يناير</v>
      </c>
      <c r="R165" s="40" t="str">
        <f aca="false">"الربع "&amp;ROUNDUP(MONTH(B165)/3,0)</f>
        <v>الربع 1</v>
      </c>
      <c r="S165" s="40" t="str">
        <f aca="false">IF(D165&lt;=12,"أطفال (0-12)",IF(D165&lt;=24,"شباب (13-24)",IF(D165&lt;=44,"بالغون (25-44)",IF(D165&lt;=64,"متوسطو العمر (45-64)","كبار السن (+65)"))))</f>
        <v>بالغون (25-44)</v>
      </c>
      <c r="T165" s="41" t="n">
        <f aca="false">IFERROR(L165/P165,0)</f>
        <v>2949.84</v>
      </c>
    </row>
    <row r="166" customFormat="false" ht="15" hidden="false" customHeight="false" outlineLevel="0" collapsed="false">
      <c r="A166" s="42" t="s">
        <v>1127</v>
      </c>
      <c r="B166" s="43" t="n">
        <v>45322</v>
      </c>
      <c r="C166" s="43" t="n">
        <v>45324</v>
      </c>
      <c r="D166" s="42" t="n">
        <v>10</v>
      </c>
      <c r="E166" s="42" t="s">
        <v>139</v>
      </c>
      <c r="F166" s="42" t="s">
        <v>155</v>
      </c>
      <c r="G166" s="42" t="s">
        <v>220</v>
      </c>
      <c r="H166" s="42" t="s">
        <v>157</v>
      </c>
      <c r="I166" s="42" t="s">
        <v>143</v>
      </c>
      <c r="J166" s="42" t="s">
        <v>144</v>
      </c>
      <c r="K166" s="42" t="s">
        <v>184</v>
      </c>
      <c r="L166" s="44" t="n">
        <v>3159.57</v>
      </c>
      <c r="M166" s="42" t="n">
        <v>5</v>
      </c>
      <c r="N166" s="42" t="s">
        <v>146</v>
      </c>
      <c r="O166" s="42" t="s">
        <v>147</v>
      </c>
      <c r="P166" s="39" t="n">
        <f aca="false">C166-B166</f>
        <v>2</v>
      </c>
      <c r="Q166" s="40" t="str">
        <f aca="false">CHOOSE(MONTH(B166),"يناير","فبراير","مارس","أبريل","مايو","يونيو","يوليو","أغسطس","سبتمبر","أكتوبر","نوفمبر","ديسمبر")</f>
        <v>يناير</v>
      </c>
      <c r="R166" s="40" t="str">
        <f aca="false">"الربع "&amp;ROUNDUP(MONTH(B166)/3,0)</f>
        <v>الربع 1</v>
      </c>
      <c r="S166" s="40" t="str">
        <f aca="false">IF(D166&lt;=12,"أطفال (0-12)",IF(D166&lt;=24,"شباب (13-24)",IF(D166&lt;=44,"بالغون (25-44)",IF(D166&lt;=64,"متوسطو العمر (45-64)","كبار السن (+65)"))))</f>
        <v>أطفال (0-12)</v>
      </c>
      <c r="T166" s="41" t="n">
        <f aca="false">IFERROR(L166/P166,0)</f>
        <v>1579.785</v>
      </c>
    </row>
    <row r="167" customFormat="false" ht="15" hidden="false" customHeight="false" outlineLevel="0" collapsed="false">
      <c r="A167" s="33" t="s">
        <v>821</v>
      </c>
      <c r="B167" s="34" t="n">
        <v>45323</v>
      </c>
      <c r="C167" s="34" t="n">
        <v>45326</v>
      </c>
      <c r="D167" s="33" t="n">
        <v>66</v>
      </c>
      <c r="E167" s="33" t="s">
        <v>139</v>
      </c>
      <c r="F167" s="33" t="s">
        <v>203</v>
      </c>
      <c r="G167" s="33" t="s">
        <v>217</v>
      </c>
      <c r="H167" s="33" t="s">
        <v>205</v>
      </c>
      <c r="I167" s="33" t="s">
        <v>143</v>
      </c>
      <c r="J167" s="33" t="s">
        <v>176</v>
      </c>
      <c r="K167" s="33" t="s">
        <v>184</v>
      </c>
      <c r="L167" s="35" t="n">
        <v>8240.5</v>
      </c>
      <c r="M167" s="33" t="n">
        <v>3</v>
      </c>
      <c r="N167" s="33" t="s">
        <v>146</v>
      </c>
      <c r="O167" s="33" t="s">
        <v>147</v>
      </c>
      <c r="P167" s="39" t="n">
        <f aca="false">C167-B167</f>
        <v>3</v>
      </c>
      <c r="Q167" s="40" t="str">
        <f aca="false">CHOOSE(MONTH(B167),"يناير","فبراير","مارس","أبريل","مايو","يونيو","يوليو","أغسطس","سبتمبر","أكتوبر","نوفمبر","ديسمبر")</f>
        <v>فبراير</v>
      </c>
      <c r="R167" s="40" t="str">
        <f aca="false">"الربع "&amp;ROUNDUP(MONTH(B167)/3,0)</f>
        <v>الربع 1</v>
      </c>
      <c r="S167" s="40" t="str">
        <f aca="false">IF(D167&lt;=12,"أطفال (0-12)",IF(D167&lt;=24,"شباب (13-24)",IF(D167&lt;=44,"بالغون (25-44)",IF(D167&lt;=64,"متوسطو العمر (45-64)","كبار السن (+65)"))))</f>
        <v>كبار السن (+65)</v>
      </c>
      <c r="T167" s="41" t="n">
        <f aca="false">IFERROR(L167/P167,0)</f>
        <v>2746.83333333333</v>
      </c>
    </row>
    <row r="168" customFormat="false" ht="15" hidden="false" customHeight="false" outlineLevel="0" collapsed="false">
      <c r="A168" s="42" t="s">
        <v>1315</v>
      </c>
      <c r="B168" s="43" t="n">
        <v>45323</v>
      </c>
      <c r="C168" s="43" t="n">
        <v>45335</v>
      </c>
      <c r="D168" s="42" t="n">
        <v>52</v>
      </c>
      <c r="E168" s="42" t="s">
        <v>154</v>
      </c>
      <c r="F168" s="42" t="s">
        <v>181</v>
      </c>
      <c r="G168" s="42" t="s">
        <v>188</v>
      </c>
      <c r="H168" s="42" t="s">
        <v>183</v>
      </c>
      <c r="I168" s="42" t="s">
        <v>143</v>
      </c>
      <c r="J168" s="42" t="s">
        <v>176</v>
      </c>
      <c r="K168" s="42" t="s">
        <v>160</v>
      </c>
      <c r="L168" s="44" t="n">
        <v>112513.53</v>
      </c>
      <c r="M168" s="42" t="n">
        <v>4</v>
      </c>
      <c r="N168" s="42" t="s">
        <v>210</v>
      </c>
      <c r="O168" s="42" t="s">
        <v>147</v>
      </c>
      <c r="P168" s="39" t="n">
        <f aca="false">C168-B168</f>
        <v>12</v>
      </c>
      <c r="Q168" s="40" t="str">
        <f aca="false">CHOOSE(MONTH(B168),"يناير","فبراير","مارس","أبريل","مايو","يونيو","يوليو","أغسطس","سبتمبر","أكتوبر","نوفمبر","ديسمبر")</f>
        <v>فبراير</v>
      </c>
      <c r="R168" s="40" t="str">
        <f aca="false">"الربع "&amp;ROUNDUP(MONTH(B168)/3,0)</f>
        <v>الربع 1</v>
      </c>
      <c r="S168" s="40" t="str">
        <f aca="false">IF(D168&lt;=12,"أطفال (0-12)",IF(D168&lt;=24,"شباب (13-24)",IF(D168&lt;=44,"بالغون (25-44)",IF(D168&lt;=64,"متوسطو العمر (45-64)","كبار السن (+65)"))))</f>
        <v>متوسطو العمر (45-64)</v>
      </c>
      <c r="T168" s="41" t="n">
        <f aca="false">IFERROR(L168/P168,0)</f>
        <v>9376.1275</v>
      </c>
    </row>
    <row r="169" customFormat="false" ht="15" hidden="false" customHeight="false" outlineLevel="0" collapsed="false">
      <c r="A169" s="33" t="s">
        <v>1547</v>
      </c>
      <c r="B169" s="34" t="n">
        <v>45323</v>
      </c>
      <c r="C169" s="34" t="n">
        <v>45325</v>
      </c>
      <c r="D169" s="33" t="n">
        <v>31</v>
      </c>
      <c r="E169" s="33" t="s">
        <v>154</v>
      </c>
      <c r="F169" s="33" t="s">
        <v>173</v>
      </c>
      <c r="G169" s="33" t="s">
        <v>174</v>
      </c>
      <c r="H169" s="33" t="s">
        <v>199</v>
      </c>
      <c r="I169" s="33" t="s">
        <v>143</v>
      </c>
      <c r="J169" s="33" t="s">
        <v>159</v>
      </c>
      <c r="K169" s="33" t="s">
        <v>184</v>
      </c>
      <c r="L169" s="35" t="n">
        <v>4654.88</v>
      </c>
      <c r="M169" s="33" t="n">
        <v>4</v>
      </c>
      <c r="N169" s="33" t="s">
        <v>146</v>
      </c>
      <c r="O169" s="33" t="s">
        <v>147</v>
      </c>
      <c r="P169" s="39" t="n">
        <f aca="false">C169-B169</f>
        <v>2</v>
      </c>
      <c r="Q169" s="40" t="str">
        <f aca="false">CHOOSE(MONTH(B169),"يناير","فبراير","مارس","أبريل","مايو","يونيو","يوليو","أغسطس","سبتمبر","أكتوبر","نوفمبر","ديسمبر")</f>
        <v>فبراير</v>
      </c>
      <c r="R169" s="40" t="str">
        <f aca="false">"الربع "&amp;ROUNDUP(MONTH(B169)/3,0)</f>
        <v>الربع 1</v>
      </c>
      <c r="S169" s="40" t="str">
        <f aca="false">IF(D169&lt;=12,"أطفال (0-12)",IF(D169&lt;=24,"شباب (13-24)",IF(D169&lt;=44,"بالغون (25-44)",IF(D169&lt;=64,"متوسطو العمر (45-64)","كبار السن (+65)"))))</f>
        <v>بالغون (25-44)</v>
      </c>
      <c r="T169" s="41" t="n">
        <f aca="false">IFERROR(L169/P169,0)</f>
        <v>2327.44</v>
      </c>
    </row>
    <row r="170" customFormat="false" ht="15" hidden="false" customHeight="false" outlineLevel="0" collapsed="false">
      <c r="A170" s="42" t="s">
        <v>1501</v>
      </c>
      <c r="B170" s="43" t="n">
        <v>45323</v>
      </c>
      <c r="C170" s="43" t="n">
        <v>45326</v>
      </c>
      <c r="D170" s="42" t="n">
        <v>51</v>
      </c>
      <c r="E170" s="42" t="s">
        <v>139</v>
      </c>
      <c r="F170" s="42" t="s">
        <v>140</v>
      </c>
      <c r="G170" s="42" t="s">
        <v>167</v>
      </c>
      <c r="H170" s="42" t="s">
        <v>142</v>
      </c>
      <c r="I170" s="42" t="s">
        <v>152</v>
      </c>
      <c r="J170" s="42" t="s">
        <v>159</v>
      </c>
      <c r="K170" s="42" t="s">
        <v>160</v>
      </c>
      <c r="L170" s="44" t="n">
        <v>5438.86</v>
      </c>
      <c r="M170" s="42" t="n">
        <v>5</v>
      </c>
      <c r="N170" s="42" t="s">
        <v>146</v>
      </c>
      <c r="O170" s="42" t="s">
        <v>147</v>
      </c>
      <c r="P170" s="39" t="n">
        <f aca="false">C170-B170</f>
        <v>3</v>
      </c>
      <c r="Q170" s="40" t="str">
        <f aca="false">CHOOSE(MONTH(B170),"يناير","فبراير","مارس","أبريل","مايو","يونيو","يوليو","أغسطس","سبتمبر","أكتوبر","نوفمبر","ديسمبر")</f>
        <v>فبراير</v>
      </c>
      <c r="R170" s="40" t="str">
        <f aca="false">"الربع "&amp;ROUNDUP(MONTH(B170)/3,0)</f>
        <v>الربع 1</v>
      </c>
      <c r="S170" s="40" t="str">
        <f aca="false">IF(D170&lt;=12,"أطفال (0-12)",IF(D170&lt;=24,"شباب (13-24)",IF(D170&lt;=44,"بالغون (25-44)",IF(D170&lt;=64,"متوسطو العمر (45-64)","كبار السن (+65)"))))</f>
        <v>متوسطو العمر (45-64)</v>
      </c>
      <c r="T170" s="41" t="n">
        <f aca="false">IFERROR(L170/P170,0)</f>
        <v>1812.95333333333</v>
      </c>
    </row>
    <row r="171" customFormat="false" ht="15" hidden="false" customHeight="false" outlineLevel="0" collapsed="false">
      <c r="A171" s="33" t="s">
        <v>2110</v>
      </c>
      <c r="B171" s="34" t="n">
        <v>45323</v>
      </c>
      <c r="C171" s="34" t="n">
        <v>45339</v>
      </c>
      <c r="D171" s="33" t="n">
        <v>55</v>
      </c>
      <c r="E171" s="33" t="s">
        <v>154</v>
      </c>
      <c r="F171" s="33" t="s">
        <v>226</v>
      </c>
      <c r="G171" s="33" t="s">
        <v>258</v>
      </c>
      <c r="H171" s="33" t="s">
        <v>228</v>
      </c>
      <c r="I171" s="33" t="s">
        <v>158</v>
      </c>
      <c r="J171" s="33" t="s">
        <v>144</v>
      </c>
      <c r="K171" s="33" t="s">
        <v>184</v>
      </c>
      <c r="L171" s="35" t="n">
        <v>70746.97</v>
      </c>
      <c r="M171" s="33" t="n">
        <v>4</v>
      </c>
      <c r="N171" s="33" t="s">
        <v>146</v>
      </c>
      <c r="O171" s="33" t="s">
        <v>147</v>
      </c>
      <c r="P171" s="39" t="n">
        <f aca="false">C171-B171</f>
        <v>16</v>
      </c>
      <c r="Q171" s="40" t="str">
        <f aca="false">CHOOSE(MONTH(B171),"يناير","فبراير","مارس","أبريل","مايو","يونيو","يوليو","أغسطس","سبتمبر","أكتوبر","نوفمبر","ديسمبر")</f>
        <v>فبراير</v>
      </c>
      <c r="R171" s="40" t="str">
        <f aca="false">"الربع "&amp;ROUNDUP(MONTH(B171)/3,0)</f>
        <v>الربع 1</v>
      </c>
      <c r="S171" s="40" t="str">
        <f aca="false">IF(D171&lt;=12,"أطفال (0-12)",IF(D171&lt;=24,"شباب (13-24)",IF(D171&lt;=44,"بالغون (25-44)",IF(D171&lt;=64,"متوسطو العمر (45-64)","كبار السن (+65)"))))</f>
        <v>متوسطو العمر (45-64)</v>
      </c>
      <c r="T171" s="41" t="n">
        <f aca="false">IFERROR(L171/P171,0)</f>
        <v>4421.685625</v>
      </c>
    </row>
    <row r="172" customFormat="false" ht="15" hidden="false" customHeight="false" outlineLevel="0" collapsed="false">
      <c r="A172" s="42" t="s">
        <v>781</v>
      </c>
      <c r="B172" s="43" t="n">
        <v>45324</v>
      </c>
      <c r="C172" s="43" t="n">
        <v>45331</v>
      </c>
      <c r="D172" s="42" t="n">
        <v>77</v>
      </c>
      <c r="E172" s="42" t="s">
        <v>154</v>
      </c>
      <c r="F172" s="42" t="s">
        <v>181</v>
      </c>
      <c r="G172" s="42" t="s">
        <v>237</v>
      </c>
      <c r="H172" s="42" t="s">
        <v>183</v>
      </c>
      <c r="I172" s="42" t="s">
        <v>143</v>
      </c>
      <c r="J172" s="42" t="s">
        <v>159</v>
      </c>
      <c r="K172" s="42" t="s">
        <v>160</v>
      </c>
      <c r="L172" s="44" t="n">
        <v>17032.79</v>
      </c>
      <c r="M172" s="42" t="n">
        <v>4</v>
      </c>
      <c r="N172" s="42" t="s">
        <v>146</v>
      </c>
      <c r="O172" s="42" t="s">
        <v>147</v>
      </c>
      <c r="P172" s="39" t="n">
        <f aca="false">C172-B172</f>
        <v>7</v>
      </c>
      <c r="Q172" s="40" t="str">
        <f aca="false">CHOOSE(MONTH(B172),"يناير","فبراير","مارس","أبريل","مايو","يونيو","يوليو","أغسطس","سبتمبر","أكتوبر","نوفمبر","ديسمبر")</f>
        <v>فبراير</v>
      </c>
      <c r="R172" s="40" t="str">
        <f aca="false">"الربع "&amp;ROUNDUP(MONTH(B172)/3,0)</f>
        <v>الربع 1</v>
      </c>
      <c r="S172" s="40" t="str">
        <f aca="false">IF(D172&lt;=12,"أطفال (0-12)",IF(D172&lt;=24,"شباب (13-24)",IF(D172&lt;=44,"بالغون (25-44)",IF(D172&lt;=64,"متوسطو العمر (45-64)","كبار السن (+65)"))))</f>
        <v>كبار السن (+65)</v>
      </c>
      <c r="T172" s="41" t="n">
        <f aca="false">IFERROR(L172/P172,0)</f>
        <v>2433.25571428571</v>
      </c>
    </row>
    <row r="173" customFormat="false" ht="15" hidden="false" customHeight="false" outlineLevel="0" collapsed="false">
      <c r="A173" s="33" t="s">
        <v>2160</v>
      </c>
      <c r="B173" s="34" t="n">
        <v>45324</v>
      </c>
      <c r="C173" s="34" t="n">
        <v>45333</v>
      </c>
      <c r="D173" s="33" t="n">
        <v>42</v>
      </c>
      <c r="E173" s="33" t="s">
        <v>139</v>
      </c>
      <c r="F173" s="33" t="s">
        <v>226</v>
      </c>
      <c r="G173" s="33" t="s">
        <v>386</v>
      </c>
      <c r="H173" s="33" t="s">
        <v>263</v>
      </c>
      <c r="I173" s="33" t="s">
        <v>152</v>
      </c>
      <c r="J173" s="33" t="s">
        <v>144</v>
      </c>
      <c r="K173" s="33" t="s">
        <v>160</v>
      </c>
      <c r="L173" s="35" t="n">
        <v>48124.04</v>
      </c>
      <c r="M173" s="33" t="n">
        <v>5</v>
      </c>
      <c r="N173" s="33" t="s">
        <v>146</v>
      </c>
      <c r="O173" s="33" t="s">
        <v>147</v>
      </c>
      <c r="P173" s="39" t="n">
        <f aca="false">C173-B173</f>
        <v>9</v>
      </c>
      <c r="Q173" s="40" t="str">
        <f aca="false">CHOOSE(MONTH(B173),"يناير","فبراير","مارس","أبريل","مايو","يونيو","يوليو","أغسطس","سبتمبر","أكتوبر","نوفمبر","ديسمبر")</f>
        <v>فبراير</v>
      </c>
      <c r="R173" s="40" t="str">
        <f aca="false">"الربع "&amp;ROUNDUP(MONTH(B173)/3,0)</f>
        <v>الربع 1</v>
      </c>
      <c r="S173" s="40" t="str">
        <f aca="false">IF(D173&lt;=12,"أطفال (0-12)",IF(D173&lt;=24,"شباب (13-24)",IF(D173&lt;=44,"بالغون (25-44)",IF(D173&lt;=64,"متوسطو العمر (45-64)","كبار السن (+65)"))))</f>
        <v>بالغون (25-44)</v>
      </c>
      <c r="T173" s="41" t="n">
        <f aca="false">IFERROR(L173/P173,0)</f>
        <v>5347.11555555556</v>
      </c>
    </row>
    <row r="174" customFormat="false" ht="15" hidden="false" customHeight="false" outlineLevel="0" collapsed="false">
      <c r="A174" s="42" t="s">
        <v>219</v>
      </c>
      <c r="B174" s="43" t="n">
        <v>45324</v>
      </c>
      <c r="C174" s="43" t="n">
        <v>45325</v>
      </c>
      <c r="D174" s="42" t="n">
        <v>9</v>
      </c>
      <c r="E174" s="42" t="s">
        <v>154</v>
      </c>
      <c r="F174" s="42" t="s">
        <v>155</v>
      </c>
      <c r="G174" s="42" t="s">
        <v>220</v>
      </c>
      <c r="H174" s="42" t="s">
        <v>157</v>
      </c>
      <c r="I174" s="42" t="s">
        <v>143</v>
      </c>
      <c r="J174" s="42" t="s">
        <v>159</v>
      </c>
      <c r="K174" s="42" t="s">
        <v>184</v>
      </c>
      <c r="L174" s="44" t="n">
        <v>845.42</v>
      </c>
      <c r="M174" s="42" t="n">
        <v>4</v>
      </c>
      <c r="N174" s="42" t="s">
        <v>146</v>
      </c>
      <c r="O174" s="42" t="s">
        <v>147</v>
      </c>
      <c r="P174" s="39" t="n">
        <f aca="false">C174-B174</f>
        <v>1</v>
      </c>
      <c r="Q174" s="40" t="str">
        <f aca="false">CHOOSE(MONTH(B174),"يناير","فبراير","مارس","أبريل","مايو","يونيو","يوليو","أغسطس","سبتمبر","أكتوبر","نوفمبر","ديسمبر")</f>
        <v>فبراير</v>
      </c>
      <c r="R174" s="40" t="str">
        <f aca="false">"الربع "&amp;ROUNDUP(MONTH(B174)/3,0)</f>
        <v>الربع 1</v>
      </c>
      <c r="S174" s="40" t="str">
        <f aca="false">IF(D174&lt;=12,"أطفال (0-12)",IF(D174&lt;=24,"شباب (13-24)",IF(D174&lt;=44,"بالغون (25-44)",IF(D174&lt;=64,"متوسطو العمر (45-64)","كبار السن (+65)"))))</f>
        <v>أطفال (0-12)</v>
      </c>
      <c r="T174" s="41" t="n">
        <f aca="false">IFERROR(L174/P174,0)</f>
        <v>845.42</v>
      </c>
    </row>
    <row r="175" customFormat="false" ht="15" hidden="false" customHeight="false" outlineLevel="0" collapsed="false">
      <c r="A175" s="33" t="s">
        <v>1845</v>
      </c>
      <c r="B175" s="34" t="n">
        <v>45324</v>
      </c>
      <c r="C175" s="34" t="n">
        <v>45330</v>
      </c>
      <c r="D175" s="33" t="n">
        <v>57</v>
      </c>
      <c r="E175" s="33" t="s">
        <v>139</v>
      </c>
      <c r="F175" s="33" t="s">
        <v>181</v>
      </c>
      <c r="G175" s="33" t="s">
        <v>237</v>
      </c>
      <c r="H175" s="33" t="s">
        <v>245</v>
      </c>
      <c r="I175" s="33" t="s">
        <v>143</v>
      </c>
      <c r="J175" s="33" t="s">
        <v>159</v>
      </c>
      <c r="K175" s="33" t="s">
        <v>184</v>
      </c>
      <c r="L175" s="35" t="n">
        <v>15464.68</v>
      </c>
      <c r="M175" s="33" t="n">
        <v>4</v>
      </c>
      <c r="N175" s="33" t="s">
        <v>146</v>
      </c>
      <c r="O175" s="33" t="s">
        <v>147</v>
      </c>
      <c r="P175" s="39" t="n">
        <f aca="false">C175-B175</f>
        <v>6</v>
      </c>
      <c r="Q175" s="40" t="str">
        <f aca="false">CHOOSE(MONTH(B175),"يناير","فبراير","مارس","أبريل","مايو","يونيو","يوليو","أغسطس","سبتمبر","أكتوبر","نوفمبر","ديسمبر")</f>
        <v>فبراير</v>
      </c>
      <c r="R175" s="40" t="str">
        <f aca="false">"الربع "&amp;ROUNDUP(MONTH(B175)/3,0)</f>
        <v>الربع 1</v>
      </c>
      <c r="S175" s="40" t="str">
        <f aca="false">IF(D175&lt;=12,"أطفال (0-12)",IF(D175&lt;=24,"شباب (13-24)",IF(D175&lt;=44,"بالغون (25-44)",IF(D175&lt;=64,"متوسطو العمر (45-64)","كبار السن (+65)"))))</f>
        <v>متوسطو العمر (45-64)</v>
      </c>
      <c r="T175" s="41" t="n">
        <f aca="false">IFERROR(L175/P175,0)</f>
        <v>2577.44666666667</v>
      </c>
    </row>
    <row r="176" customFormat="false" ht="15" hidden="false" customHeight="false" outlineLevel="0" collapsed="false">
      <c r="A176" s="42" t="s">
        <v>582</v>
      </c>
      <c r="B176" s="43" t="n">
        <v>45324</v>
      </c>
      <c r="C176" s="43" t="n">
        <v>45328</v>
      </c>
      <c r="D176" s="42" t="n">
        <v>46</v>
      </c>
      <c r="E176" s="42" t="s">
        <v>139</v>
      </c>
      <c r="F176" s="42" t="s">
        <v>173</v>
      </c>
      <c r="G176" s="42" t="s">
        <v>198</v>
      </c>
      <c r="H176" s="42" t="s">
        <v>175</v>
      </c>
      <c r="I176" s="42" t="s">
        <v>158</v>
      </c>
      <c r="J176" s="42" t="s">
        <v>159</v>
      </c>
      <c r="K176" s="42" t="s">
        <v>184</v>
      </c>
      <c r="L176" s="44" t="n">
        <v>13073.73</v>
      </c>
      <c r="M176" s="42" t="n">
        <v>4</v>
      </c>
      <c r="N176" s="42" t="s">
        <v>146</v>
      </c>
      <c r="O176" s="42" t="s">
        <v>147</v>
      </c>
      <c r="P176" s="39" t="n">
        <f aca="false">C176-B176</f>
        <v>4</v>
      </c>
      <c r="Q176" s="40" t="str">
        <f aca="false">CHOOSE(MONTH(B176),"يناير","فبراير","مارس","أبريل","مايو","يونيو","يوليو","أغسطس","سبتمبر","أكتوبر","نوفمبر","ديسمبر")</f>
        <v>فبراير</v>
      </c>
      <c r="R176" s="40" t="str">
        <f aca="false">"الربع "&amp;ROUNDUP(MONTH(B176)/3,0)</f>
        <v>الربع 1</v>
      </c>
      <c r="S176" s="40" t="str">
        <f aca="false">IF(D176&lt;=12,"أطفال (0-12)",IF(D176&lt;=24,"شباب (13-24)",IF(D176&lt;=44,"بالغون (25-44)",IF(D176&lt;=64,"متوسطو العمر (45-64)","كبار السن (+65)"))))</f>
        <v>متوسطو العمر (45-64)</v>
      </c>
      <c r="T176" s="41" t="n">
        <f aca="false">IFERROR(L176/P176,0)</f>
        <v>3268.4325</v>
      </c>
    </row>
    <row r="177" customFormat="false" ht="15" hidden="false" customHeight="false" outlineLevel="0" collapsed="false">
      <c r="A177" s="33" t="s">
        <v>1592</v>
      </c>
      <c r="B177" s="34" t="n">
        <v>45324</v>
      </c>
      <c r="C177" s="34" t="n">
        <v>45325</v>
      </c>
      <c r="D177" s="33" t="n">
        <v>4</v>
      </c>
      <c r="E177" s="33" t="s">
        <v>139</v>
      </c>
      <c r="F177" s="33" t="s">
        <v>169</v>
      </c>
      <c r="G177" s="33" t="s">
        <v>213</v>
      </c>
      <c r="H177" s="33" t="s">
        <v>195</v>
      </c>
      <c r="I177" s="33" t="s">
        <v>143</v>
      </c>
      <c r="J177" s="33" t="s">
        <v>159</v>
      </c>
      <c r="K177" s="33" t="s">
        <v>145</v>
      </c>
      <c r="L177" s="35" t="n">
        <v>1031.93</v>
      </c>
      <c r="M177" s="33" t="n">
        <v>4</v>
      </c>
      <c r="N177" s="33" t="s">
        <v>146</v>
      </c>
      <c r="O177" s="33" t="s">
        <v>206</v>
      </c>
      <c r="P177" s="39" t="n">
        <f aca="false">C177-B177</f>
        <v>1</v>
      </c>
      <c r="Q177" s="40" t="str">
        <f aca="false">CHOOSE(MONTH(B177),"يناير","فبراير","مارس","أبريل","مايو","يونيو","يوليو","أغسطس","سبتمبر","أكتوبر","نوفمبر","ديسمبر")</f>
        <v>فبراير</v>
      </c>
      <c r="R177" s="40" t="str">
        <f aca="false">"الربع "&amp;ROUNDUP(MONTH(B177)/3,0)</f>
        <v>الربع 1</v>
      </c>
      <c r="S177" s="40" t="str">
        <f aca="false">IF(D177&lt;=12,"أطفال (0-12)",IF(D177&lt;=24,"شباب (13-24)",IF(D177&lt;=44,"بالغون (25-44)",IF(D177&lt;=64,"متوسطو العمر (45-64)","كبار السن (+65)"))))</f>
        <v>أطفال (0-12)</v>
      </c>
      <c r="T177" s="41" t="n">
        <f aca="false">IFERROR(L177/P177,0)</f>
        <v>1031.93</v>
      </c>
    </row>
    <row r="178" customFormat="false" ht="15" hidden="false" customHeight="false" outlineLevel="0" collapsed="false">
      <c r="A178" s="42" t="s">
        <v>2125</v>
      </c>
      <c r="B178" s="43" t="n">
        <v>45324</v>
      </c>
      <c r="C178" s="43" t="n">
        <v>45326</v>
      </c>
      <c r="D178" s="42" t="n">
        <v>41</v>
      </c>
      <c r="E178" s="42" t="s">
        <v>154</v>
      </c>
      <c r="F178" s="42" t="s">
        <v>181</v>
      </c>
      <c r="G178" s="42" t="s">
        <v>237</v>
      </c>
      <c r="H178" s="42" t="s">
        <v>183</v>
      </c>
      <c r="I178" s="42" t="s">
        <v>143</v>
      </c>
      <c r="J178" s="42" t="s">
        <v>159</v>
      </c>
      <c r="K178" s="42" t="s">
        <v>145</v>
      </c>
      <c r="L178" s="44" t="n">
        <v>4806.46</v>
      </c>
      <c r="M178" s="42" t="n">
        <v>4</v>
      </c>
      <c r="N178" s="42" t="s">
        <v>146</v>
      </c>
      <c r="O178" s="42" t="s">
        <v>147</v>
      </c>
      <c r="P178" s="39" t="n">
        <f aca="false">C178-B178</f>
        <v>2</v>
      </c>
      <c r="Q178" s="40" t="str">
        <f aca="false">CHOOSE(MONTH(B178),"يناير","فبراير","مارس","أبريل","مايو","يونيو","يوليو","أغسطس","سبتمبر","أكتوبر","نوفمبر","ديسمبر")</f>
        <v>فبراير</v>
      </c>
      <c r="R178" s="40" t="str">
        <f aca="false">"الربع "&amp;ROUNDUP(MONTH(B178)/3,0)</f>
        <v>الربع 1</v>
      </c>
      <c r="S178" s="40" t="str">
        <f aca="false">IF(D178&lt;=12,"أطفال (0-12)",IF(D178&lt;=24,"شباب (13-24)",IF(D178&lt;=44,"بالغون (25-44)",IF(D178&lt;=64,"متوسطو العمر (45-64)","كبار السن (+65)"))))</f>
        <v>بالغون (25-44)</v>
      </c>
      <c r="T178" s="41" t="n">
        <f aca="false">IFERROR(L178/P178,0)</f>
        <v>2403.23</v>
      </c>
    </row>
    <row r="179" customFormat="false" ht="15" hidden="false" customHeight="false" outlineLevel="0" collapsed="false">
      <c r="A179" s="33" t="s">
        <v>1946</v>
      </c>
      <c r="B179" s="34" t="n">
        <v>45324</v>
      </c>
      <c r="C179" s="34" t="n">
        <v>45327</v>
      </c>
      <c r="D179" s="33" t="n">
        <v>0</v>
      </c>
      <c r="E179" s="33" t="s">
        <v>154</v>
      </c>
      <c r="F179" s="33" t="s">
        <v>155</v>
      </c>
      <c r="G179" s="33" t="s">
        <v>220</v>
      </c>
      <c r="H179" s="33" t="s">
        <v>222</v>
      </c>
      <c r="I179" s="33" t="s">
        <v>158</v>
      </c>
      <c r="J179" s="33" t="s">
        <v>159</v>
      </c>
      <c r="K179" s="33" t="s">
        <v>160</v>
      </c>
      <c r="L179" s="35" t="n">
        <v>2531.61</v>
      </c>
      <c r="M179" s="33" t="n">
        <v>5</v>
      </c>
      <c r="N179" s="33" t="s">
        <v>146</v>
      </c>
      <c r="O179" s="33" t="s">
        <v>147</v>
      </c>
      <c r="P179" s="39" t="n">
        <f aca="false">C179-B179</f>
        <v>3</v>
      </c>
      <c r="Q179" s="40" t="str">
        <f aca="false">CHOOSE(MONTH(B179),"يناير","فبراير","مارس","أبريل","مايو","يونيو","يوليو","أغسطس","سبتمبر","أكتوبر","نوفمبر","ديسمبر")</f>
        <v>فبراير</v>
      </c>
      <c r="R179" s="40" t="str">
        <f aca="false">"الربع "&amp;ROUNDUP(MONTH(B179)/3,0)</f>
        <v>الربع 1</v>
      </c>
      <c r="S179" s="40" t="str">
        <f aca="false">IF(D179&lt;=12,"أطفال (0-12)",IF(D179&lt;=24,"شباب (13-24)",IF(D179&lt;=44,"بالغون (25-44)",IF(D179&lt;=64,"متوسطو العمر (45-64)","كبار السن (+65)"))))</f>
        <v>أطفال (0-12)</v>
      </c>
      <c r="T179" s="41" t="n">
        <f aca="false">IFERROR(L179/P179,0)</f>
        <v>843.87</v>
      </c>
    </row>
    <row r="180" customFormat="false" ht="15" hidden="false" customHeight="false" outlineLevel="0" collapsed="false">
      <c r="A180" s="42" t="s">
        <v>396</v>
      </c>
      <c r="B180" s="43" t="n">
        <v>45324</v>
      </c>
      <c r="C180" s="43" t="n">
        <v>45337</v>
      </c>
      <c r="D180" s="42" t="n">
        <v>25</v>
      </c>
      <c r="E180" s="42" t="s">
        <v>139</v>
      </c>
      <c r="F180" s="42" t="s">
        <v>169</v>
      </c>
      <c r="G180" s="42" t="s">
        <v>170</v>
      </c>
      <c r="H180" s="42" t="s">
        <v>195</v>
      </c>
      <c r="I180" s="42" t="s">
        <v>143</v>
      </c>
      <c r="J180" s="42" t="s">
        <v>159</v>
      </c>
      <c r="K180" s="42" t="s">
        <v>160</v>
      </c>
      <c r="L180" s="44" t="n">
        <v>13919.67</v>
      </c>
      <c r="M180" s="42" t="n">
        <v>2</v>
      </c>
      <c r="N180" s="42" t="s">
        <v>146</v>
      </c>
      <c r="O180" s="42" t="s">
        <v>147</v>
      </c>
      <c r="P180" s="39" t="n">
        <f aca="false">C180-B180</f>
        <v>13</v>
      </c>
      <c r="Q180" s="40" t="str">
        <f aca="false">CHOOSE(MONTH(B180),"يناير","فبراير","مارس","أبريل","مايو","يونيو","يوليو","أغسطس","سبتمبر","أكتوبر","نوفمبر","ديسمبر")</f>
        <v>فبراير</v>
      </c>
      <c r="R180" s="40" t="str">
        <f aca="false">"الربع "&amp;ROUNDUP(MONTH(B180)/3,0)</f>
        <v>الربع 1</v>
      </c>
      <c r="S180" s="40" t="str">
        <f aca="false">IF(D180&lt;=12,"أطفال (0-12)",IF(D180&lt;=24,"شباب (13-24)",IF(D180&lt;=44,"بالغون (25-44)",IF(D180&lt;=64,"متوسطو العمر (45-64)","كبار السن (+65)"))))</f>
        <v>بالغون (25-44)</v>
      </c>
      <c r="T180" s="41" t="n">
        <f aca="false">IFERROR(L180/P180,0)</f>
        <v>1070.74384615385</v>
      </c>
    </row>
    <row r="181" customFormat="false" ht="15" hidden="false" customHeight="false" outlineLevel="0" collapsed="false">
      <c r="A181" s="33" t="s">
        <v>1300</v>
      </c>
      <c r="B181" s="34" t="n">
        <v>45324</v>
      </c>
      <c r="C181" s="34" t="n">
        <v>45325</v>
      </c>
      <c r="D181" s="33" t="n">
        <v>37</v>
      </c>
      <c r="E181" s="33" t="s">
        <v>154</v>
      </c>
      <c r="F181" s="33" t="s">
        <v>203</v>
      </c>
      <c r="G181" s="33" t="s">
        <v>192</v>
      </c>
      <c r="H181" s="33" t="s">
        <v>205</v>
      </c>
      <c r="I181" s="33" t="s">
        <v>143</v>
      </c>
      <c r="J181" s="33" t="s">
        <v>159</v>
      </c>
      <c r="K181" s="33" t="s">
        <v>160</v>
      </c>
      <c r="L181" s="35" t="n">
        <v>904.45</v>
      </c>
      <c r="M181" s="33" t="n">
        <v>4</v>
      </c>
      <c r="N181" s="33" t="s">
        <v>146</v>
      </c>
      <c r="O181" s="33" t="s">
        <v>147</v>
      </c>
      <c r="P181" s="39" t="n">
        <f aca="false">C181-B181</f>
        <v>1</v>
      </c>
      <c r="Q181" s="40" t="str">
        <f aca="false">CHOOSE(MONTH(B181),"يناير","فبراير","مارس","أبريل","مايو","يونيو","يوليو","أغسطس","سبتمبر","أكتوبر","نوفمبر","ديسمبر")</f>
        <v>فبراير</v>
      </c>
      <c r="R181" s="40" t="str">
        <f aca="false">"الربع "&amp;ROUNDUP(MONTH(B181)/3,0)</f>
        <v>الربع 1</v>
      </c>
      <c r="S181" s="40" t="str">
        <f aca="false">IF(D181&lt;=12,"أطفال (0-12)",IF(D181&lt;=24,"شباب (13-24)",IF(D181&lt;=44,"بالغون (25-44)",IF(D181&lt;=64,"متوسطو العمر (45-64)","كبار السن (+65)"))))</f>
        <v>بالغون (25-44)</v>
      </c>
      <c r="T181" s="41" t="n">
        <f aca="false">IFERROR(L181/P181,0)</f>
        <v>904.45</v>
      </c>
    </row>
    <row r="182" customFormat="false" ht="15" hidden="false" customHeight="false" outlineLevel="0" collapsed="false">
      <c r="A182" s="42" t="s">
        <v>1118</v>
      </c>
      <c r="B182" s="43" t="n">
        <v>45325</v>
      </c>
      <c r="C182" s="43" t="n">
        <v>45332</v>
      </c>
      <c r="D182" s="42" t="n">
        <v>37</v>
      </c>
      <c r="E182" s="42" t="s">
        <v>139</v>
      </c>
      <c r="F182" s="42" t="s">
        <v>169</v>
      </c>
      <c r="G182" s="42" t="s">
        <v>163</v>
      </c>
      <c r="H182" s="42" t="s">
        <v>195</v>
      </c>
      <c r="I182" s="42" t="s">
        <v>143</v>
      </c>
      <c r="J182" s="42" t="s">
        <v>159</v>
      </c>
      <c r="K182" s="42" t="s">
        <v>160</v>
      </c>
      <c r="L182" s="44" t="n">
        <v>8365.68</v>
      </c>
      <c r="M182" s="42" t="n">
        <v>4</v>
      </c>
      <c r="N182" s="42" t="s">
        <v>210</v>
      </c>
      <c r="O182" s="42" t="s">
        <v>147</v>
      </c>
      <c r="P182" s="39" t="n">
        <f aca="false">C182-B182</f>
        <v>7</v>
      </c>
      <c r="Q182" s="40" t="str">
        <f aca="false">CHOOSE(MONTH(B182),"يناير","فبراير","مارس","أبريل","مايو","يونيو","يوليو","أغسطس","سبتمبر","أكتوبر","نوفمبر","ديسمبر")</f>
        <v>فبراير</v>
      </c>
      <c r="R182" s="40" t="str">
        <f aca="false">"الربع "&amp;ROUNDUP(MONTH(B182)/3,0)</f>
        <v>الربع 1</v>
      </c>
      <c r="S182" s="40" t="str">
        <f aca="false">IF(D182&lt;=12,"أطفال (0-12)",IF(D182&lt;=24,"شباب (13-24)",IF(D182&lt;=44,"بالغون (25-44)",IF(D182&lt;=64,"متوسطو العمر (45-64)","كبار السن (+65)"))))</f>
        <v>بالغون (25-44)</v>
      </c>
      <c r="T182" s="41" t="n">
        <f aca="false">IFERROR(L182/P182,0)</f>
        <v>1195.09714285714</v>
      </c>
    </row>
    <row r="183" customFormat="false" ht="15" hidden="false" customHeight="false" outlineLevel="0" collapsed="false">
      <c r="A183" s="33" t="s">
        <v>312</v>
      </c>
      <c r="B183" s="34" t="n">
        <v>45325</v>
      </c>
      <c r="C183" s="34" t="n">
        <v>45327</v>
      </c>
      <c r="D183" s="33" t="n">
        <v>43</v>
      </c>
      <c r="E183" s="33" t="s">
        <v>139</v>
      </c>
      <c r="F183" s="33" t="s">
        <v>173</v>
      </c>
      <c r="G183" s="33" t="s">
        <v>178</v>
      </c>
      <c r="H183" s="33" t="s">
        <v>199</v>
      </c>
      <c r="I183" s="33" t="s">
        <v>143</v>
      </c>
      <c r="J183" s="33" t="s">
        <v>159</v>
      </c>
      <c r="K183" s="33" t="s">
        <v>145</v>
      </c>
      <c r="L183" s="35" t="n">
        <v>5789.65</v>
      </c>
      <c r="M183" s="33" t="n">
        <v>5</v>
      </c>
      <c r="N183" s="33" t="s">
        <v>146</v>
      </c>
      <c r="O183" s="33" t="s">
        <v>147</v>
      </c>
      <c r="P183" s="39" t="n">
        <f aca="false">C183-B183</f>
        <v>2</v>
      </c>
      <c r="Q183" s="40" t="str">
        <f aca="false">CHOOSE(MONTH(B183),"يناير","فبراير","مارس","أبريل","مايو","يونيو","يوليو","أغسطس","سبتمبر","أكتوبر","نوفمبر","ديسمبر")</f>
        <v>فبراير</v>
      </c>
      <c r="R183" s="40" t="str">
        <f aca="false">"الربع "&amp;ROUNDUP(MONTH(B183)/3,0)</f>
        <v>الربع 1</v>
      </c>
      <c r="S183" s="40" t="str">
        <f aca="false">IF(D183&lt;=12,"أطفال (0-12)",IF(D183&lt;=24,"شباب (13-24)",IF(D183&lt;=44,"بالغون (25-44)",IF(D183&lt;=64,"متوسطو العمر (45-64)","كبار السن (+65)"))))</f>
        <v>بالغون (25-44)</v>
      </c>
      <c r="T183" s="41" t="n">
        <f aca="false">IFERROR(L183/P183,0)</f>
        <v>2894.825</v>
      </c>
    </row>
    <row r="184" customFormat="false" ht="15" hidden="false" customHeight="false" outlineLevel="0" collapsed="false">
      <c r="A184" s="42" t="s">
        <v>1323</v>
      </c>
      <c r="B184" s="43" t="n">
        <v>45325</v>
      </c>
      <c r="C184" s="43" t="n">
        <v>45326</v>
      </c>
      <c r="D184" s="42" t="n">
        <v>29</v>
      </c>
      <c r="E184" s="42" t="s">
        <v>139</v>
      </c>
      <c r="F184" s="42" t="s">
        <v>149</v>
      </c>
      <c r="G184" s="42" t="s">
        <v>150</v>
      </c>
      <c r="H184" s="42" t="s">
        <v>151</v>
      </c>
      <c r="I184" s="42" t="s">
        <v>158</v>
      </c>
      <c r="J184" s="42" t="s">
        <v>159</v>
      </c>
      <c r="K184" s="42" t="s">
        <v>160</v>
      </c>
      <c r="L184" s="44" t="n">
        <v>1684.39</v>
      </c>
      <c r="M184" s="42" t="n">
        <v>4</v>
      </c>
      <c r="N184" s="42" t="s">
        <v>146</v>
      </c>
      <c r="O184" s="42" t="s">
        <v>147</v>
      </c>
      <c r="P184" s="39" t="n">
        <f aca="false">C184-B184</f>
        <v>1</v>
      </c>
      <c r="Q184" s="40" t="str">
        <f aca="false">CHOOSE(MONTH(B184),"يناير","فبراير","مارس","أبريل","مايو","يونيو","يوليو","أغسطس","سبتمبر","أكتوبر","نوفمبر","ديسمبر")</f>
        <v>فبراير</v>
      </c>
      <c r="R184" s="40" t="str">
        <f aca="false">"الربع "&amp;ROUNDUP(MONTH(B184)/3,0)</f>
        <v>الربع 1</v>
      </c>
      <c r="S184" s="40" t="str">
        <f aca="false">IF(D184&lt;=12,"أطفال (0-12)",IF(D184&lt;=24,"شباب (13-24)",IF(D184&lt;=44,"بالغون (25-44)",IF(D184&lt;=64,"متوسطو العمر (45-64)","كبار السن (+65)"))))</f>
        <v>بالغون (25-44)</v>
      </c>
      <c r="T184" s="41" t="n">
        <f aca="false">IFERROR(L184/P184,0)</f>
        <v>1684.39</v>
      </c>
    </row>
    <row r="185" customFormat="false" ht="15" hidden="false" customHeight="false" outlineLevel="0" collapsed="false">
      <c r="A185" s="33" t="s">
        <v>1153</v>
      </c>
      <c r="B185" s="34" t="n">
        <v>45325</v>
      </c>
      <c r="C185" s="34" t="n">
        <v>45327</v>
      </c>
      <c r="D185" s="33" t="n">
        <v>5</v>
      </c>
      <c r="E185" s="33" t="s">
        <v>139</v>
      </c>
      <c r="F185" s="33" t="s">
        <v>155</v>
      </c>
      <c r="G185" s="33" t="s">
        <v>302</v>
      </c>
      <c r="H185" s="33" t="s">
        <v>222</v>
      </c>
      <c r="I185" s="33" t="s">
        <v>152</v>
      </c>
      <c r="J185" s="33" t="s">
        <v>159</v>
      </c>
      <c r="K185" s="33" t="s">
        <v>145</v>
      </c>
      <c r="L185" s="35" t="n">
        <v>1912.03</v>
      </c>
      <c r="M185" s="33" t="n">
        <v>4</v>
      </c>
      <c r="N185" s="33" t="s">
        <v>146</v>
      </c>
      <c r="O185" s="33" t="s">
        <v>147</v>
      </c>
      <c r="P185" s="39" t="n">
        <f aca="false">C185-B185</f>
        <v>2</v>
      </c>
      <c r="Q185" s="40" t="str">
        <f aca="false">CHOOSE(MONTH(B185),"يناير","فبراير","مارس","أبريل","مايو","يونيو","يوليو","أغسطس","سبتمبر","أكتوبر","نوفمبر","ديسمبر")</f>
        <v>فبراير</v>
      </c>
      <c r="R185" s="40" t="str">
        <f aca="false">"الربع "&amp;ROUNDUP(MONTH(B185)/3,0)</f>
        <v>الربع 1</v>
      </c>
      <c r="S185" s="40" t="str">
        <f aca="false">IF(D185&lt;=12,"أطفال (0-12)",IF(D185&lt;=24,"شباب (13-24)",IF(D185&lt;=44,"بالغون (25-44)",IF(D185&lt;=64,"متوسطو العمر (45-64)","كبار السن (+65)"))))</f>
        <v>أطفال (0-12)</v>
      </c>
      <c r="T185" s="41" t="n">
        <f aca="false">IFERROR(L185/P185,0)</f>
        <v>956.015</v>
      </c>
    </row>
    <row r="186" customFormat="false" ht="15" hidden="false" customHeight="false" outlineLevel="0" collapsed="false">
      <c r="A186" s="42" t="s">
        <v>1950</v>
      </c>
      <c r="B186" s="43" t="n">
        <v>45325</v>
      </c>
      <c r="C186" s="43" t="n">
        <v>45328</v>
      </c>
      <c r="D186" s="42" t="n">
        <v>29</v>
      </c>
      <c r="E186" s="42" t="s">
        <v>154</v>
      </c>
      <c r="F186" s="42" t="s">
        <v>140</v>
      </c>
      <c r="G186" s="42" t="s">
        <v>141</v>
      </c>
      <c r="H186" s="42" t="s">
        <v>290</v>
      </c>
      <c r="I186" s="42" t="s">
        <v>143</v>
      </c>
      <c r="J186" s="42" t="s">
        <v>159</v>
      </c>
      <c r="K186" s="42" t="s">
        <v>145</v>
      </c>
      <c r="L186" s="44" t="n">
        <v>7885.2</v>
      </c>
      <c r="M186" s="42" t="n">
        <v>4</v>
      </c>
      <c r="N186" s="42" t="s">
        <v>146</v>
      </c>
      <c r="O186" s="42" t="s">
        <v>206</v>
      </c>
      <c r="P186" s="39" t="n">
        <f aca="false">C186-B186</f>
        <v>3</v>
      </c>
      <c r="Q186" s="40" t="str">
        <f aca="false">CHOOSE(MONTH(B186),"يناير","فبراير","مارس","أبريل","مايو","يونيو","يوليو","أغسطس","سبتمبر","أكتوبر","نوفمبر","ديسمبر")</f>
        <v>فبراير</v>
      </c>
      <c r="R186" s="40" t="str">
        <f aca="false">"الربع "&amp;ROUNDUP(MONTH(B186)/3,0)</f>
        <v>الربع 1</v>
      </c>
      <c r="S186" s="40" t="str">
        <f aca="false">IF(D186&lt;=12,"أطفال (0-12)",IF(D186&lt;=24,"شباب (13-24)",IF(D186&lt;=44,"بالغون (25-44)",IF(D186&lt;=64,"متوسطو العمر (45-64)","كبار السن (+65)"))))</f>
        <v>بالغون (25-44)</v>
      </c>
      <c r="T186" s="41" t="n">
        <f aca="false">IFERROR(L186/P186,0)</f>
        <v>2628.4</v>
      </c>
    </row>
    <row r="187" customFormat="false" ht="15" hidden="false" customHeight="false" outlineLevel="0" collapsed="false">
      <c r="A187" s="33" t="s">
        <v>390</v>
      </c>
      <c r="B187" s="34" t="n">
        <v>45325</v>
      </c>
      <c r="C187" s="34" t="n">
        <v>45329</v>
      </c>
      <c r="D187" s="33" t="n">
        <v>3</v>
      </c>
      <c r="E187" s="33" t="s">
        <v>139</v>
      </c>
      <c r="F187" s="33" t="s">
        <v>155</v>
      </c>
      <c r="G187" s="33" t="s">
        <v>156</v>
      </c>
      <c r="H187" s="33" t="s">
        <v>157</v>
      </c>
      <c r="I187" s="33" t="s">
        <v>143</v>
      </c>
      <c r="J187" s="33" t="s">
        <v>144</v>
      </c>
      <c r="K187" s="33" t="s">
        <v>160</v>
      </c>
      <c r="L187" s="35" t="n">
        <v>6168.3</v>
      </c>
      <c r="M187" s="33" t="n">
        <v>5</v>
      </c>
      <c r="N187" s="33" t="s">
        <v>146</v>
      </c>
      <c r="O187" s="33" t="s">
        <v>147</v>
      </c>
      <c r="P187" s="39" t="n">
        <f aca="false">C187-B187</f>
        <v>4</v>
      </c>
      <c r="Q187" s="40" t="str">
        <f aca="false">CHOOSE(MONTH(B187),"يناير","فبراير","مارس","أبريل","مايو","يونيو","يوليو","أغسطس","سبتمبر","أكتوبر","نوفمبر","ديسمبر")</f>
        <v>فبراير</v>
      </c>
      <c r="R187" s="40" t="str">
        <f aca="false">"الربع "&amp;ROUNDUP(MONTH(B187)/3,0)</f>
        <v>الربع 1</v>
      </c>
      <c r="S187" s="40" t="str">
        <f aca="false">IF(D187&lt;=12,"أطفال (0-12)",IF(D187&lt;=24,"شباب (13-24)",IF(D187&lt;=44,"بالغون (25-44)",IF(D187&lt;=64,"متوسطو العمر (45-64)","كبار السن (+65)"))))</f>
        <v>أطفال (0-12)</v>
      </c>
      <c r="T187" s="41" t="n">
        <f aca="false">IFERROR(L187/P187,0)</f>
        <v>1542.075</v>
      </c>
    </row>
    <row r="188" customFormat="false" ht="15" hidden="false" customHeight="false" outlineLevel="0" collapsed="false">
      <c r="A188" s="42" t="s">
        <v>1780</v>
      </c>
      <c r="B188" s="43" t="n">
        <v>45325</v>
      </c>
      <c r="C188" s="43" t="n">
        <v>45331</v>
      </c>
      <c r="D188" s="42" t="n">
        <v>24</v>
      </c>
      <c r="E188" s="42" t="s">
        <v>154</v>
      </c>
      <c r="F188" s="42" t="s">
        <v>169</v>
      </c>
      <c r="G188" s="42" t="s">
        <v>163</v>
      </c>
      <c r="H188" s="42" t="s">
        <v>195</v>
      </c>
      <c r="I188" s="42" t="s">
        <v>143</v>
      </c>
      <c r="J188" s="42" t="s">
        <v>176</v>
      </c>
      <c r="K188" s="42" t="s">
        <v>145</v>
      </c>
      <c r="L188" s="44" t="n">
        <v>19938.42</v>
      </c>
      <c r="M188" s="42" t="n">
        <v>3</v>
      </c>
      <c r="N188" s="42" t="s">
        <v>146</v>
      </c>
      <c r="O188" s="42" t="s">
        <v>147</v>
      </c>
      <c r="P188" s="39" t="n">
        <f aca="false">C188-B188</f>
        <v>6</v>
      </c>
      <c r="Q188" s="40" t="str">
        <f aca="false">CHOOSE(MONTH(B188),"يناير","فبراير","مارس","أبريل","مايو","يونيو","يوليو","أغسطس","سبتمبر","أكتوبر","نوفمبر","ديسمبر")</f>
        <v>فبراير</v>
      </c>
      <c r="R188" s="40" t="str">
        <f aca="false">"الربع "&amp;ROUNDUP(MONTH(B188)/3,0)</f>
        <v>الربع 1</v>
      </c>
      <c r="S188" s="40" t="str">
        <f aca="false">IF(D188&lt;=12,"أطفال (0-12)",IF(D188&lt;=24,"شباب (13-24)",IF(D188&lt;=44,"بالغون (25-44)",IF(D188&lt;=64,"متوسطو العمر (45-64)","كبار السن (+65)"))))</f>
        <v>شباب (13-24)</v>
      </c>
      <c r="T188" s="41" t="n">
        <f aca="false">IFERROR(L188/P188,0)</f>
        <v>3323.07</v>
      </c>
    </row>
    <row r="189" customFormat="false" ht="15" hidden="false" customHeight="false" outlineLevel="0" collapsed="false">
      <c r="A189" s="33" t="s">
        <v>1409</v>
      </c>
      <c r="B189" s="34" t="n">
        <v>45325</v>
      </c>
      <c r="C189" s="34" t="n">
        <v>45328</v>
      </c>
      <c r="D189" s="33" t="n">
        <v>43</v>
      </c>
      <c r="E189" s="33" t="s">
        <v>139</v>
      </c>
      <c r="F189" s="33" t="s">
        <v>181</v>
      </c>
      <c r="G189" s="33" t="s">
        <v>188</v>
      </c>
      <c r="H189" s="33" t="s">
        <v>183</v>
      </c>
      <c r="I189" s="33" t="s">
        <v>143</v>
      </c>
      <c r="J189" s="33" t="s">
        <v>159</v>
      </c>
      <c r="K189" s="33" t="s">
        <v>160</v>
      </c>
      <c r="L189" s="35" t="n">
        <v>8303.12</v>
      </c>
      <c r="M189" s="33" t="n">
        <v>4</v>
      </c>
      <c r="N189" s="33" t="s">
        <v>146</v>
      </c>
      <c r="O189" s="33" t="s">
        <v>147</v>
      </c>
      <c r="P189" s="39" t="n">
        <f aca="false">C189-B189</f>
        <v>3</v>
      </c>
      <c r="Q189" s="40" t="str">
        <f aca="false">CHOOSE(MONTH(B189),"يناير","فبراير","مارس","أبريل","مايو","يونيو","يوليو","أغسطس","سبتمبر","أكتوبر","نوفمبر","ديسمبر")</f>
        <v>فبراير</v>
      </c>
      <c r="R189" s="40" t="str">
        <f aca="false">"الربع "&amp;ROUNDUP(MONTH(B189)/3,0)</f>
        <v>الربع 1</v>
      </c>
      <c r="S189" s="40" t="str">
        <f aca="false">IF(D189&lt;=12,"أطفال (0-12)",IF(D189&lt;=24,"شباب (13-24)",IF(D189&lt;=44,"بالغون (25-44)",IF(D189&lt;=64,"متوسطو العمر (45-64)","كبار السن (+65)"))))</f>
        <v>بالغون (25-44)</v>
      </c>
      <c r="T189" s="41" t="n">
        <f aca="false">IFERROR(L189/P189,0)</f>
        <v>2767.70666666667</v>
      </c>
    </row>
    <row r="190" customFormat="false" ht="15" hidden="false" customHeight="false" outlineLevel="0" collapsed="false">
      <c r="A190" s="42" t="s">
        <v>1938</v>
      </c>
      <c r="B190" s="43" t="n">
        <v>45326</v>
      </c>
      <c r="C190" s="43" t="n">
        <v>45328</v>
      </c>
      <c r="D190" s="42" t="n">
        <v>46</v>
      </c>
      <c r="E190" s="42" t="s">
        <v>154</v>
      </c>
      <c r="F190" s="42" t="s">
        <v>140</v>
      </c>
      <c r="G190" s="42" t="s">
        <v>316</v>
      </c>
      <c r="H190" s="42" t="s">
        <v>142</v>
      </c>
      <c r="I190" s="42" t="s">
        <v>143</v>
      </c>
      <c r="J190" s="42" t="s">
        <v>159</v>
      </c>
      <c r="K190" s="42" t="s">
        <v>184</v>
      </c>
      <c r="L190" s="44" t="n">
        <v>4466.73</v>
      </c>
      <c r="M190" s="42" t="n">
        <v>3</v>
      </c>
      <c r="N190" s="42" t="s">
        <v>146</v>
      </c>
      <c r="O190" s="42" t="s">
        <v>147</v>
      </c>
      <c r="P190" s="39" t="n">
        <f aca="false">C190-B190</f>
        <v>2</v>
      </c>
      <c r="Q190" s="40" t="str">
        <f aca="false">CHOOSE(MONTH(B190),"يناير","فبراير","مارس","أبريل","مايو","يونيو","يوليو","أغسطس","سبتمبر","أكتوبر","نوفمبر","ديسمبر")</f>
        <v>فبراير</v>
      </c>
      <c r="R190" s="40" t="str">
        <f aca="false">"الربع "&amp;ROUNDUP(MONTH(B190)/3,0)</f>
        <v>الربع 1</v>
      </c>
      <c r="S190" s="40" t="str">
        <f aca="false">IF(D190&lt;=12,"أطفال (0-12)",IF(D190&lt;=24,"شباب (13-24)",IF(D190&lt;=44,"بالغون (25-44)",IF(D190&lt;=64,"متوسطو العمر (45-64)","كبار السن (+65)"))))</f>
        <v>متوسطو العمر (45-64)</v>
      </c>
      <c r="T190" s="41" t="n">
        <f aca="false">IFERROR(L190/P190,0)</f>
        <v>2233.365</v>
      </c>
    </row>
    <row r="191" customFormat="false" ht="15" hidden="false" customHeight="false" outlineLevel="0" collapsed="false">
      <c r="A191" s="33" t="s">
        <v>336</v>
      </c>
      <c r="B191" s="34" t="n">
        <v>45326</v>
      </c>
      <c r="C191" s="34" t="n">
        <v>45328</v>
      </c>
      <c r="D191" s="33" t="n">
        <v>27</v>
      </c>
      <c r="E191" s="33" t="s">
        <v>139</v>
      </c>
      <c r="F191" s="33" t="s">
        <v>149</v>
      </c>
      <c r="G191" s="33" t="s">
        <v>243</v>
      </c>
      <c r="H191" s="33" t="s">
        <v>186</v>
      </c>
      <c r="I191" s="33" t="s">
        <v>143</v>
      </c>
      <c r="J191" s="33" t="s">
        <v>159</v>
      </c>
      <c r="K191" s="33" t="s">
        <v>160</v>
      </c>
      <c r="L191" s="35" t="n">
        <v>3130.96</v>
      </c>
      <c r="M191" s="33" t="n">
        <v>3</v>
      </c>
      <c r="N191" s="33" t="s">
        <v>146</v>
      </c>
      <c r="O191" s="33" t="s">
        <v>147</v>
      </c>
      <c r="P191" s="39" t="n">
        <f aca="false">C191-B191</f>
        <v>2</v>
      </c>
      <c r="Q191" s="40" t="str">
        <f aca="false">CHOOSE(MONTH(B191),"يناير","فبراير","مارس","أبريل","مايو","يونيو","يوليو","أغسطس","سبتمبر","أكتوبر","نوفمبر","ديسمبر")</f>
        <v>فبراير</v>
      </c>
      <c r="R191" s="40" t="str">
        <f aca="false">"الربع "&amp;ROUNDUP(MONTH(B191)/3,0)</f>
        <v>الربع 1</v>
      </c>
      <c r="S191" s="40" t="str">
        <f aca="false">IF(D191&lt;=12,"أطفال (0-12)",IF(D191&lt;=24,"شباب (13-24)",IF(D191&lt;=44,"بالغون (25-44)",IF(D191&lt;=64,"متوسطو العمر (45-64)","كبار السن (+65)"))))</f>
        <v>بالغون (25-44)</v>
      </c>
      <c r="T191" s="41" t="n">
        <f aca="false">IFERROR(L191/P191,0)</f>
        <v>1565.48</v>
      </c>
    </row>
    <row r="192" customFormat="false" ht="15" hidden="false" customHeight="false" outlineLevel="0" collapsed="false">
      <c r="A192" s="42" t="s">
        <v>2137</v>
      </c>
      <c r="B192" s="43" t="n">
        <v>45326</v>
      </c>
      <c r="C192" s="43" t="n">
        <v>45331</v>
      </c>
      <c r="D192" s="42" t="n">
        <v>42</v>
      </c>
      <c r="E192" s="42" t="s">
        <v>139</v>
      </c>
      <c r="F192" s="42" t="s">
        <v>169</v>
      </c>
      <c r="G192" s="42" t="s">
        <v>230</v>
      </c>
      <c r="H192" s="42" t="s">
        <v>164</v>
      </c>
      <c r="I192" s="42" t="s">
        <v>152</v>
      </c>
      <c r="J192" s="42" t="s">
        <v>159</v>
      </c>
      <c r="K192" s="42" t="s">
        <v>145</v>
      </c>
      <c r="L192" s="44" t="n">
        <v>5387.46</v>
      </c>
      <c r="M192" s="42" t="n">
        <v>4</v>
      </c>
      <c r="N192" s="42" t="s">
        <v>210</v>
      </c>
      <c r="O192" s="42" t="s">
        <v>147</v>
      </c>
      <c r="P192" s="39" t="n">
        <f aca="false">C192-B192</f>
        <v>5</v>
      </c>
      <c r="Q192" s="40" t="str">
        <f aca="false">CHOOSE(MONTH(B192),"يناير","فبراير","مارس","أبريل","مايو","يونيو","يوليو","أغسطس","سبتمبر","أكتوبر","نوفمبر","ديسمبر")</f>
        <v>فبراير</v>
      </c>
      <c r="R192" s="40" t="str">
        <f aca="false">"الربع "&amp;ROUNDUP(MONTH(B192)/3,0)</f>
        <v>الربع 1</v>
      </c>
      <c r="S192" s="40" t="str">
        <f aca="false">IF(D192&lt;=12,"أطفال (0-12)",IF(D192&lt;=24,"شباب (13-24)",IF(D192&lt;=44,"بالغون (25-44)",IF(D192&lt;=64,"متوسطو العمر (45-64)","كبار السن (+65)"))))</f>
        <v>بالغون (25-44)</v>
      </c>
      <c r="T192" s="41" t="n">
        <f aca="false">IFERROR(L192/P192,0)</f>
        <v>1077.492</v>
      </c>
    </row>
    <row r="193" customFormat="false" ht="15" hidden="false" customHeight="false" outlineLevel="0" collapsed="false">
      <c r="A193" s="33" t="s">
        <v>384</v>
      </c>
      <c r="B193" s="34" t="n">
        <v>45326</v>
      </c>
      <c r="C193" s="34" t="n">
        <v>45329</v>
      </c>
      <c r="D193" s="33" t="n">
        <v>29</v>
      </c>
      <c r="E193" s="33" t="s">
        <v>139</v>
      </c>
      <c r="F193" s="33" t="s">
        <v>173</v>
      </c>
      <c r="G193" s="33" t="s">
        <v>178</v>
      </c>
      <c r="H193" s="33" t="s">
        <v>175</v>
      </c>
      <c r="I193" s="33" t="s">
        <v>143</v>
      </c>
      <c r="J193" s="33" t="s">
        <v>159</v>
      </c>
      <c r="K193" s="33" t="s">
        <v>160</v>
      </c>
      <c r="L193" s="35" t="n">
        <v>7834.85</v>
      </c>
      <c r="M193" s="33" t="n">
        <v>4</v>
      </c>
      <c r="N193" s="33" t="s">
        <v>146</v>
      </c>
      <c r="O193" s="33" t="s">
        <v>147</v>
      </c>
      <c r="P193" s="39" t="n">
        <f aca="false">C193-B193</f>
        <v>3</v>
      </c>
      <c r="Q193" s="40" t="str">
        <f aca="false">CHOOSE(MONTH(B193),"يناير","فبراير","مارس","أبريل","مايو","يونيو","يوليو","أغسطس","سبتمبر","أكتوبر","نوفمبر","ديسمبر")</f>
        <v>فبراير</v>
      </c>
      <c r="R193" s="40" t="str">
        <f aca="false">"الربع "&amp;ROUNDUP(MONTH(B193)/3,0)</f>
        <v>الربع 1</v>
      </c>
      <c r="S193" s="40" t="str">
        <f aca="false">IF(D193&lt;=12,"أطفال (0-12)",IF(D193&lt;=24,"شباب (13-24)",IF(D193&lt;=44,"بالغون (25-44)",IF(D193&lt;=64,"متوسطو العمر (45-64)","كبار السن (+65)"))))</f>
        <v>بالغون (25-44)</v>
      </c>
      <c r="T193" s="41" t="n">
        <f aca="false">IFERROR(L193/P193,0)</f>
        <v>2611.61666666667</v>
      </c>
    </row>
    <row r="194" customFormat="false" ht="15" hidden="false" customHeight="false" outlineLevel="0" collapsed="false">
      <c r="A194" s="42" t="s">
        <v>1353</v>
      </c>
      <c r="B194" s="43" t="n">
        <v>45326</v>
      </c>
      <c r="C194" s="43" t="n">
        <v>45329</v>
      </c>
      <c r="D194" s="42" t="n">
        <v>15</v>
      </c>
      <c r="E194" s="42" t="s">
        <v>154</v>
      </c>
      <c r="F194" s="42" t="s">
        <v>203</v>
      </c>
      <c r="G194" s="42" t="s">
        <v>241</v>
      </c>
      <c r="H194" s="42" t="s">
        <v>205</v>
      </c>
      <c r="I194" s="42" t="s">
        <v>143</v>
      </c>
      <c r="J194" s="42" t="s">
        <v>159</v>
      </c>
      <c r="K194" s="42" t="s">
        <v>160</v>
      </c>
      <c r="L194" s="44" t="n">
        <v>2900.83</v>
      </c>
      <c r="M194" s="42" t="n">
        <v>2</v>
      </c>
      <c r="N194" s="42" t="s">
        <v>146</v>
      </c>
      <c r="O194" s="42" t="s">
        <v>147</v>
      </c>
      <c r="P194" s="39" t="n">
        <f aca="false">C194-B194</f>
        <v>3</v>
      </c>
      <c r="Q194" s="40" t="str">
        <f aca="false">CHOOSE(MONTH(B194),"يناير","فبراير","مارس","أبريل","مايو","يونيو","يوليو","أغسطس","سبتمبر","أكتوبر","نوفمبر","ديسمبر")</f>
        <v>فبراير</v>
      </c>
      <c r="R194" s="40" t="str">
        <f aca="false">"الربع "&amp;ROUNDUP(MONTH(B194)/3,0)</f>
        <v>الربع 1</v>
      </c>
      <c r="S194" s="40" t="str">
        <f aca="false">IF(D194&lt;=12,"أطفال (0-12)",IF(D194&lt;=24,"شباب (13-24)",IF(D194&lt;=44,"بالغون (25-44)",IF(D194&lt;=64,"متوسطو العمر (45-64)","كبار السن (+65)"))))</f>
        <v>شباب (13-24)</v>
      </c>
      <c r="T194" s="41" t="n">
        <f aca="false">IFERROR(L194/P194,0)</f>
        <v>966.943333333333</v>
      </c>
    </row>
    <row r="195" customFormat="false" ht="15" hidden="false" customHeight="false" outlineLevel="0" collapsed="false">
      <c r="A195" s="33" t="s">
        <v>1783</v>
      </c>
      <c r="B195" s="34" t="n">
        <v>45326</v>
      </c>
      <c r="C195" s="34" t="n">
        <v>45330</v>
      </c>
      <c r="D195" s="33" t="n">
        <v>49</v>
      </c>
      <c r="E195" s="33" t="s">
        <v>139</v>
      </c>
      <c r="F195" s="33" t="s">
        <v>181</v>
      </c>
      <c r="G195" s="33" t="s">
        <v>188</v>
      </c>
      <c r="H195" s="33" t="s">
        <v>183</v>
      </c>
      <c r="I195" s="33" t="s">
        <v>158</v>
      </c>
      <c r="J195" s="33" t="s">
        <v>159</v>
      </c>
      <c r="K195" s="33" t="s">
        <v>145</v>
      </c>
      <c r="L195" s="35" t="n">
        <v>10778.97</v>
      </c>
      <c r="M195" s="33" t="n">
        <v>4</v>
      </c>
      <c r="N195" s="33" t="s">
        <v>146</v>
      </c>
      <c r="O195" s="33" t="s">
        <v>147</v>
      </c>
      <c r="P195" s="39" t="n">
        <f aca="false">C195-B195</f>
        <v>4</v>
      </c>
      <c r="Q195" s="40" t="str">
        <f aca="false">CHOOSE(MONTH(B195),"يناير","فبراير","مارس","أبريل","مايو","يونيو","يوليو","أغسطس","سبتمبر","أكتوبر","نوفمبر","ديسمبر")</f>
        <v>فبراير</v>
      </c>
      <c r="R195" s="40" t="str">
        <f aca="false">"الربع "&amp;ROUNDUP(MONTH(B195)/3,0)</f>
        <v>الربع 1</v>
      </c>
      <c r="S195" s="40" t="str">
        <f aca="false">IF(D195&lt;=12,"أطفال (0-12)",IF(D195&lt;=24,"شباب (13-24)",IF(D195&lt;=44,"بالغون (25-44)",IF(D195&lt;=64,"متوسطو العمر (45-64)","كبار السن (+65)"))))</f>
        <v>متوسطو العمر (45-64)</v>
      </c>
      <c r="T195" s="41" t="n">
        <f aca="false">IFERROR(L195/P195,0)</f>
        <v>2694.7425</v>
      </c>
    </row>
    <row r="196" customFormat="false" ht="15" hidden="false" customHeight="false" outlineLevel="0" collapsed="false">
      <c r="A196" s="42" t="s">
        <v>291</v>
      </c>
      <c r="B196" s="43" t="n">
        <v>45326</v>
      </c>
      <c r="C196" s="43" t="n">
        <v>45330</v>
      </c>
      <c r="D196" s="42" t="n">
        <v>56</v>
      </c>
      <c r="E196" s="42" t="s">
        <v>154</v>
      </c>
      <c r="F196" s="42" t="s">
        <v>181</v>
      </c>
      <c r="G196" s="42" t="s">
        <v>188</v>
      </c>
      <c r="H196" s="42" t="s">
        <v>183</v>
      </c>
      <c r="I196" s="42" t="s">
        <v>143</v>
      </c>
      <c r="J196" s="42" t="s">
        <v>159</v>
      </c>
      <c r="K196" s="42" t="s">
        <v>160</v>
      </c>
      <c r="L196" s="44" t="n">
        <v>11779.78</v>
      </c>
      <c r="M196" s="42" t="n">
        <v>5</v>
      </c>
      <c r="N196" s="42" t="s">
        <v>146</v>
      </c>
      <c r="O196" s="42" t="s">
        <v>147</v>
      </c>
      <c r="P196" s="39" t="n">
        <f aca="false">C196-B196</f>
        <v>4</v>
      </c>
      <c r="Q196" s="40" t="str">
        <f aca="false">CHOOSE(MONTH(B196),"يناير","فبراير","مارس","أبريل","مايو","يونيو","يوليو","أغسطس","سبتمبر","أكتوبر","نوفمبر","ديسمبر")</f>
        <v>فبراير</v>
      </c>
      <c r="R196" s="40" t="str">
        <f aca="false">"الربع "&amp;ROUNDUP(MONTH(B196)/3,0)</f>
        <v>الربع 1</v>
      </c>
      <c r="S196" s="40" t="str">
        <f aca="false">IF(D196&lt;=12,"أطفال (0-12)",IF(D196&lt;=24,"شباب (13-24)",IF(D196&lt;=44,"بالغون (25-44)",IF(D196&lt;=64,"متوسطو العمر (45-64)","كبار السن (+65)"))))</f>
        <v>متوسطو العمر (45-64)</v>
      </c>
      <c r="T196" s="41" t="n">
        <f aca="false">IFERROR(L196/P196,0)</f>
        <v>2944.945</v>
      </c>
    </row>
    <row r="197" customFormat="false" ht="15" hidden="false" customHeight="false" outlineLevel="0" collapsed="false">
      <c r="A197" s="33" t="s">
        <v>1505</v>
      </c>
      <c r="B197" s="34" t="n">
        <v>45326</v>
      </c>
      <c r="C197" s="34" t="n">
        <v>45328</v>
      </c>
      <c r="D197" s="33" t="n">
        <v>66</v>
      </c>
      <c r="E197" s="33" t="s">
        <v>139</v>
      </c>
      <c r="F197" s="33" t="s">
        <v>169</v>
      </c>
      <c r="G197" s="33" t="s">
        <v>170</v>
      </c>
      <c r="H197" s="33" t="s">
        <v>195</v>
      </c>
      <c r="I197" s="33" t="s">
        <v>152</v>
      </c>
      <c r="J197" s="33" t="s">
        <v>159</v>
      </c>
      <c r="K197" s="33" t="s">
        <v>160</v>
      </c>
      <c r="L197" s="35" t="n">
        <v>1936</v>
      </c>
      <c r="M197" s="33" t="n">
        <v>5</v>
      </c>
      <c r="N197" s="33" t="s">
        <v>210</v>
      </c>
      <c r="O197" s="33" t="s">
        <v>147</v>
      </c>
      <c r="P197" s="39" t="n">
        <f aca="false">C197-B197</f>
        <v>2</v>
      </c>
      <c r="Q197" s="40" t="str">
        <f aca="false">CHOOSE(MONTH(B197),"يناير","فبراير","مارس","أبريل","مايو","يونيو","يوليو","أغسطس","سبتمبر","أكتوبر","نوفمبر","ديسمبر")</f>
        <v>فبراير</v>
      </c>
      <c r="R197" s="40" t="str">
        <f aca="false">"الربع "&amp;ROUNDUP(MONTH(B197)/3,0)</f>
        <v>الربع 1</v>
      </c>
      <c r="S197" s="40" t="str">
        <f aca="false">IF(D197&lt;=12,"أطفال (0-12)",IF(D197&lt;=24,"شباب (13-24)",IF(D197&lt;=44,"بالغون (25-44)",IF(D197&lt;=64,"متوسطو العمر (45-64)","كبار السن (+65)"))))</f>
        <v>كبار السن (+65)</v>
      </c>
      <c r="T197" s="41" t="n">
        <f aca="false">IFERROR(L197/P197,0)</f>
        <v>968</v>
      </c>
    </row>
    <row r="198" customFormat="false" ht="15" hidden="false" customHeight="false" outlineLevel="0" collapsed="false">
      <c r="A198" s="42" t="s">
        <v>543</v>
      </c>
      <c r="B198" s="43" t="n">
        <v>45326</v>
      </c>
      <c r="C198" s="43" t="n">
        <v>45327</v>
      </c>
      <c r="D198" s="42" t="n">
        <v>32</v>
      </c>
      <c r="E198" s="42" t="s">
        <v>139</v>
      </c>
      <c r="F198" s="42" t="s">
        <v>149</v>
      </c>
      <c r="G198" s="42" t="s">
        <v>224</v>
      </c>
      <c r="H198" s="42" t="s">
        <v>186</v>
      </c>
      <c r="I198" s="42" t="s">
        <v>152</v>
      </c>
      <c r="J198" s="42" t="s">
        <v>159</v>
      </c>
      <c r="K198" s="42" t="s">
        <v>184</v>
      </c>
      <c r="L198" s="44" t="n">
        <v>1482.63</v>
      </c>
      <c r="M198" s="42" t="n">
        <v>4</v>
      </c>
      <c r="N198" s="42" t="s">
        <v>146</v>
      </c>
      <c r="O198" s="42" t="s">
        <v>147</v>
      </c>
      <c r="P198" s="39" t="n">
        <f aca="false">C198-B198</f>
        <v>1</v>
      </c>
      <c r="Q198" s="40" t="str">
        <f aca="false">CHOOSE(MONTH(B198),"يناير","فبراير","مارس","أبريل","مايو","يونيو","يوليو","أغسطس","سبتمبر","أكتوبر","نوفمبر","ديسمبر")</f>
        <v>فبراير</v>
      </c>
      <c r="R198" s="40" t="str">
        <f aca="false">"الربع "&amp;ROUNDUP(MONTH(B198)/3,0)</f>
        <v>الربع 1</v>
      </c>
      <c r="S198" s="40" t="str">
        <f aca="false">IF(D198&lt;=12,"أطفال (0-12)",IF(D198&lt;=24,"شباب (13-24)",IF(D198&lt;=44,"بالغون (25-44)",IF(D198&lt;=64,"متوسطو العمر (45-64)","كبار السن (+65)"))))</f>
        <v>بالغون (25-44)</v>
      </c>
      <c r="T198" s="41" t="n">
        <f aca="false">IFERROR(L198/P198,0)</f>
        <v>1482.63</v>
      </c>
    </row>
    <row r="199" customFormat="false" ht="15" hidden="false" customHeight="false" outlineLevel="0" collapsed="false">
      <c r="A199" s="33" t="s">
        <v>954</v>
      </c>
      <c r="B199" s="34" t="n">
        <v>45327</v>
      </c>
      <c r="C199" s="34" t="n">
        <v>45330</v>
      </c>
      <c r="D199" s="33" t="n">
        <v>16</v>
      </c>
      <c r="E199" s="33" t="s">
        <v>139</v>
      </c>
      <c r="F199" s="33" t="s">
        <v>173</v>
      </c>
      <c r="G199" s="33" t="s">
        <v>198</v>
      </c>
      <c r="H199" s="33" t="s">
        <v>175</v>
      </c>
      <c r="I199" s="33" t="s">
        <v>152</v>
      </c>
      <c r="J199" s="33" t="s">
        <v>159</v>
      </c>
      <c r="K199" s="33" t="s">
        <v>184</v>
      </c>
      <c r="L199" s="35" t="n">
        <v>8757.7</v>
      </c>
      <c r="M199" s="33" t="n">
        <v>4</v>
      </c>
      <c r="N199" s="33" t="s">
        <v>146</v>
      </c>
      <c r="O199" s="33" t="s">
        <v>147</v>
      </c>
      <c r="P199" s="39" t="n">
        <f aca="false">C199-B199</f>
        <v>3</v>
      </c>
      <c r="Q199" s="40" t="str">
        <f aca="false">CHOOSE(MONTH(B199),"يناير","فبراير","مارس","أبريل","مايو","يونيو","يوليو","أغسطس","سبتمبر","أكتوبر","نوفمبر","ديسمبر")</f>
        <v>فبراير</v>
      </c>
      <c r="R199" s="40" t="str">
        <f aca="false">"الربع "&amp;ROUNDUP(MONTH(B199)/3,0)</f>
        <v>الربع 1</v>
      </c>
      <c r="S199" s="40" t="str">
        <f aca="false">IF(D199&lt;=12,"أطفال (0-12)",IF(D199&lt;=24,"شباب (13-24)",IF(D199&lt;=44,"بالغون (25-44)",IF(D199&lt;=64,"متوسطو العمر (45-64)","كبار السن (+65)"))))</f>
        <v>شباب (13-24)</v>
      </c>
      <c r="T199" s="41" t="n">
        <f aca="false">IFERROR(L199/P199,0)</f>
        <v>2919.23333333333</v>
      </c>
    </row>
    <row r="200" customFormat="false" ht="15" hidden="false" customHeight="false" outlineLevel="0" collapsed="false">
      <c r="A200" s="42" t="s">
        <v>1280</v>
      </c>
      <c r="B200" s="43" t="n">
        <v>45327</v>
      </c>
      <c r="C200" s="43" t="n">
        <v>45328</v>
      </c>
      <c r="D200" s="42" t="n">
        <v>11</v>
      </c>
      <c r="E200" s="42" t="s">
        <v>139</v>
      </c>
      <c r="F200" s="42" t="s">
        <v>155</v>
      </c>
      <c r="G200" s="42" t="s">
        <v>220</v>
      </c>
      <c r="H200" s="42" t="s">
        <v>222</v>
      </c>
      <c r="I200" s="42" t="s">
        <v>143</v>
      </c>
      <c r="J200" s="42" t="s">
        <v>159</v>
      </c>
      <c r="K200" s="42" t="s">
        <v>145</v>
      </c>
      <c r="L200" s="44" t="n">
        <v>876.22</v>
      </c>
      <c r="M200" s="42" t="n">
        <v>3</v>
      </c>
      <c r="N200" s="42" t="s">
        <v>146</v>
      </c>
      <c r="O200" s="42" t="s">
        <v>147</v>
      </c>
      <c r="P200" s="39" t="n">
        <f aca="false">C200-B200</f>
        <v>1</v>
      </c>
      <c r="Q200" s="40" t="str">
        <f aca="false">CHOOSE(MONTH(B200),"يناير","فبراير","مارس","أبريل","مايو","يونيو","يوليو","أغسطس","سبتمبر","أكتوبر","نوفمبر","ديسمبر")</f>
        <v>فبراير</v>
      </c>
      <c r="R200" s="40" t="str">
        <f aca="false">"الربع "&amp;ROUNDUP(MONTH(B200)/3,0)</f>
        <v>الربع 1</v>
      </c>
      <c r="S200" s="40" t="str">
        <f aca="false">IF(D200&lt;=12,"أطفال (0-12)",IF(D200&lt;=24,"شباب (13-24)",IF(D200&lt;=44,"بالغون (25-44)",IF(D200&lt;=64,"متوسطو العمر (45-64)","كبار السن (+65)"))))</f>
        <v>أطفال (0-12)</v>
      </c>
      <c r="T200" s="41" t="n">
        <f aca="false">IFERROR(L200/P200,0)</f>
        <v>876.22</v>
      </c>
    </row>
    <row r="201" customFormat="false" ht="15" hidden="false" customHeight="false" outlineLevel="0" collapsed="false">
      <c r="A201" s="33" t="s">
        <v>391</v>
      </c>
      <c r="B201" s="34" t="n">
        <v>45327</v>
      </c>
      <c r="C201" s="34" t="n">
        <v>45331</v>
      </c>
      <c r="D201" s="33" t="n">
        <v>51</v>
      </c>
      <c r="E201" s="33" t="s">
        <v>154</v>
      </c>
      <c r="F201" s="33" t="s">
        <v>226</v>
      </c>
      <c r="G201" s="33" t="s">
        <v>386</v>
      </c>
      <c r="H201" s="33" t="s">
        <v>228</v>
      </c>
      <c r="I201" s="33" t="s">
        <v>152</v>
      </c>
      <c r="J201" s="33" t="s">
        <v>144</v>
      </c>
      <c r="K201" s="33" t="s">
        <v>209</v>
      </c>
      <c r="L201" s="35" t="n">
        <v>22566.58</v>
      </c>
      <c r="M201" s="33" t="n">
        <v>3</v>
      </c>
      <c r="N201" s="33" t="s">
        <v>146</v>
      </c>
      <c r="O201" s="33" t="s">
        <v>147</v>
      </c>
      <c r="P201" s="39" t="n">
        <f aca="false">C201-B201</f>
        <v>4</v>
      </c>
      <c r="Q201" s="40" t="str">
        <f aca="false">CHOOSE(MONTH(B201),"يناير","فبراير","مارس","أبريل","مايو","يونيو","يوليو","أغسطس","سبتمبر","أكتوبر","نوفمبر","ديسمبر")</f>
        <v>فبراير</v>
      </c>
      <c r="R201" s="40" t="str">
        <f aca="false">"الربع "&amp;ROUNDUP(MONTH(B201)/3,0)</f>
        <v>الربع 1</v>
      </c>
      <c r="S201" s="40" t="str">
        <f aca="false">IF(D201&lt;=12,"أطفال (0-12)",IF(D201&lt;=24,"شباب (13-24)",IF(D201&lt;=44,"بالغون (25-44)",IF(D201&lt;=64,"متوسطو العمر (45-64)","كبار السن (+65)"))))</f>
        <v>متوسطو العمر (45-64)</v>
      </c>
      <c r="T201" s="41" t="n">
        <f aca="false">IFERROR(L201/P201,0)</f>
        <v>5641.645</v>
      </c>
    </row>
    <row r="202" customFormat="false" ht="15" hidden="false" customHeight="false" outlineLevel="0" collapsed="false">
      <c r="A202" s="42" t="s">
        <v>1365</v>
      </c>
      <c r="B202" s="43" t="n">
        <v>45327</v>
      </c>
      <c r="C202" s="43" t="n">
        <v>45329</v>
      </c>
      <c r="D202" s="42" t="n">
        <v>61</v>
      </c>
      <c r="E202" s="42" t="s">
        <v>139</v>
      </c>
      <c r="F202" s="42" t="s">
        <v>169</v>
      </c>
      <c r="G202" s="42" t="s">
        <v>163</v>
      </c>
      <c r="H202" s="42" t="s">
        <v>164</v>
      </c>
      <c r="I202" s="42" t="s">
        <v>143</v>
      </c>
      <c r="J202" s="42" t="s">
        <v>159</v>
      </c>
      <c r="K202" s="42" t="s">
        <v>145</v>
      </c>
      <c r="L202" s="44" t="n">
        <v>2251</v>
      </c>
      <c r="M202" s="42" t="n">
        <v>4</v>
      </c>
      <c r="N202" s="42" t="s">
        <v>146</v>
      </c>
      <c r="O202" s="42" t="s">
        <v>147</v>
      </c>
      <c r="P202" s="39" t="n">
        <f aca="false">C202-B202</f>
        <v>2</v>
      </c>
      <c r="Q202" s="40" t="str">
        <f aca="false">CHOOSE(MONTH(B202),"يناير","فبراير","مارس","أبريل","مايو","يونيو","يوليو","أغسطس","سبتمبر","أكتوبر","نوفمبر","ديسمبر")</f>
        <v>فبراير</v>
      </c>
      <c r="R202" s="40" t="str">
        <f aca="false">"الربع "&amp;ROUNDUP(MONTH(B202)/3,0)</f>
        <v>الربع 1</v>
      </c>
      <c r="S202" s="40" t="str">
        <f aca="false">IF(D202&lt;=12,"أطفال (0-12)",IF(D202&lt;=24,"شباب (13-24)",IF(D202&lt;=44,"بالغون (25-44)",IF(D202&lt;=64,"متوسطو العمر (45-64)","كبار السن (+65)"))))</f>
        <v>متوسطو العمر (45-64)</v>
      </c>
      <c r="T202" s="41" t="n">
        <f aca="false">IFERROR(L202/P202,0)</f>
        <v>1125.5</v>
      </c>
    </row>
    <row r="203" customFormat="false" ht="15" hidden="false" customHeight="false" outlineLevel="0" collapsed="false">
      <c r="A203" s="33" t="s">
        <v>1161</v>
      </c>
      <c r="B203" s="34" t="n">
        <v>45328</v>
      </c>
      <c r="C203" s="34" t="n">
        <v>45332</v>
      </c>
      <c r="D203" s="33" t="n">
        <v>74</v>
      </c>
      <c r="E203" s="33" t="s">
        <v>154</v>
      </c>
      <c r="F203" s="33" t="s">
        <v>169</v>
      </c>
      <c r="G203" s="33" t="s">
        <v>213</v>
      </c>
      <c r="H203" s="33" t="s">
        <v>164</v>
      </c>
      <c r="I203" s="33" t="s">
        <v>143</v>
      </c>
      <c r="J203" s="33" t="s">
        <v>159</v>
      </c>
      <c r="K203" s="33" t="s">
        <v>160</v>
      </c>
      <c r="L203" s="35" t="n">
        <v>4612.02</v>
      </c>
      <c r="M203" s="33" t="n">
        <v>5</v>
      </c>
      <c r="N203" s="33" t="s">
        <v>146</v>
      </c>
      <c r="O203" s="33" t="s">
        <v>147</v>
      </c>
      <c r="P203" s="39" t="n">
        <f aca="false">C203-B203</f>
        <v>4</v>
      </c>
      <c r="Q203" s="40" t="str">
        <f aca="false">CHOOSE(MONTH(B203),"يناير","فبراير","مارس","أبريل","مايو","يونيو","يوليو","أغسطس","سبتمبر","أكتوبر","نوفمبر","ديسمبر")</f>
        <v>فبراير</v>
      </c>
      <c r="R203" s="40" t="str">
        <f aca="false">"الربع "&amp;ROUNDUP(MONTH(B203)/3,0)</f>
        <v>الربع 1</v>
      </c>
      <c r="S203" s="40" t="str">
        <f aca="false">IF(D203&lt;=12,"أطفال (0-12)",IF(D203&lt;=24,"شباب (13-24)",IF(D203&lt;=44,"بالغون (25-44)",IF(D203&lt;=64,"متوسطو العمر (45-64)","كبار السن (+65)"))))</f>
        <v>كبار السن (+65)</v>
      </c>
      <c r="T203" s="41" t="n">
        <f aca="false">IFERROR(L203/P203,0)</f>
        <v>1153.005</v>
      </c>
    </row>
    <row r="204" customFormat="false" ht="15" hidden="false" customHeight="false" outlineLevel="0" collapsed="false">
      <c r="A204" s="42" t="s">
        <v>471</v>
      </c>
      <c r="B204" s="43" t="n">
        <v>45328</v>
      </c>
      <c r="C204" s="43" t="n">
        <v>45329</v>
      </c>
      <c r="D204" s="42" t="n">
        <v>46</v>
      </c>
      <c r="E204" s="42" t="s">
        <v>154</v>
      </c>
      <c r="F204" s="42" t="s">
        <v>169</v>
      </c>
      <c r="G204" s="42" t="s">
        <v>230</v>
      </c>
      <c r="H204" s="42" t="s">
        <v>164</v>
      </c>
      <c r="I204" s="42" t="s">
        <v>152</v>
      </c>
      <c r="J204" s="42" t="s">
        <v>159</v>
      </c>
      <c r="K204" s="42" t="s">
        <v>145</v>
      </c>
      <c r="L204" s="44" t="n">
        <v>945.18</v>
      </c>
      <c r="M204" s="42" t="n">
        <v>4</v>
      </c>
      <c r="N204" s="42" t="s">
        <v>210</v>
      </c>
      <c r="O204" s="42" t="s">
        <v>147</v>
      </c>
      <c r="P204" s="39" t="n">
        <f aca="false">C204-B204</f>
        <v>1</v>
      </c>
      <c r="Q204" s="40" t="str">
        <f aca="false">CHOOSE(MONTH(B204),"يناير","فبراير","مارس","أبريل","مايو","يونيو","يوليو","أغسطس","سبتمبر","أكتوبر","نوفمبر","ديسمبر")</f>
        <v>فبراير</v>
      </c>
      <c r="R204" s="40" t="str">
        <f aca="false">"الربع "&amp;ROUNDUP(MONTH(B204)/3,0)</f>
        <v>الربع 1</v>
      </c>
      <c r="S204" s="40" t="str">
        <f aca="false">IF(D204&lt;=12,"أطفال (0-12)",IF(D204&lt;=24,"شباب (13-24)",IF(D204&lt;=44,"بالغون (25-44)",IF(D204&lt;=64,"متوسطو العمر (45-64)","كبار السن (+65)"))))</f>
        <v>متوسطو العمر (45-64)</v>
      </c>
      <c r="T204" s="41" t="n">
        <f aca="false">IFERROR(L204/P204,0)</f>
        <v>945.18</v>
      </c>
    </row>
    <row r="205" customFormat="false" ht="15" hidden="false" customHeight="false" outlineLevel="0" collapsed="false">
      <c r="A205" s="33" t="s">
        <v>542</v>
      </c>
      <c r="B205" s="34" t="n">
        <v>45328</v>
      </c>
      <c r="C205" s="34" t="n">
        <v>45331</v>
      </c>
      <c r="D205" s="33" t="n">
        <v>46</v>
      </c>
      <c r="E205" s="33" t="s">
        <v>154</v>
      </c>
      <c r="F205" s="33" t="s">
        <v>173</v>
      </c>
      <c r="G205" s="33" t="s">
        <v>174</v>
      </c>
      <c r="H205" s="33" t="s">
        <v>199</v>
      </c>
      <c r="I205" s="33" t="s">
        <v>143</v>
      </c>
      <c r="J205" s="33" t="s">
        <v>144</v>
      </c>
      <c r="K205" s="33" t="s">
        <v>145</v>
      </c>
      <c r="L205" s="35" t="n">
        <v>14076.11</v>
      </c>
      <c r="M205" s="33" t="n">
        <v>5</v>
      </c>
      <c r="N205" s="33" t="s">
        <v>146</v>
      </c>
      <c r="O205" s="33" t="s">
        <v>147</v>
      </c>
      <c r="P205" s="39" t="n">
        <f aca="false">C205-B205</f>
        <v>3</v>
      </c>
      <c r="Q205" s="40" t="str">
        <f aca="false">CHOOSE(MONTH(B205),"يناير","فبراير","مارس","أبريل","مايو","يونيو","يوليو","أغسطس","سبتمبر","أكتوبر","نوفمبر","ديسمبر")</f>
        <v>فبراير</v>
      </c>
      <c r="R205" s="40" t="str">
        <f aca="false">"الربع "&amp;ROUNDUP(MONTH(B205)/3,0)</f>
        <v>الربع 1</v>
      </c>
      <c r="S205" s="40" t="str">
        <f aca="false">IF(D205&lt;=12,"أطفال (0-12)",IF(D205&lt;=24,"شباب (13-24)",IF(D205&lt;=44,"بالغون (25-44)",IF(D205&lt;=64,"متوسطو العمر (45-64)","كبار السن (+65)"))))</f>
        <v>متوسطو العمر (45-64)</v>
      </c>
      <c r="T205" s="41" t="n">
        <f aca="false">IFERROR(L205/P205,0)</f>
        <v>4692.03666666667</v>
      </c>
    </row>
    <row r="206" customFormat="false" ht="15" hidden="false" customHeight="false" outlineLevel="0" collapsed="false">
      <c r="A206" s="42" t="s">
        <v>1493</v>
      </c>
      <c r="B206" s="43" t="n">
        <v>45328</v>
      </c>
      <c r="C206" s="43" t="n">
        <v>45331</v>
      </c>
      <c r="D206" s="42" t="n">
        <v>36</v>
      </c>
      <c r="E206" s="42" t="s">
        <v>154</v>
      </c>
      <c r="F206" s="42" t="s">
        <v>173</v>
      </c>
      <c r="G206" s="42" t="s">
        <v>178</v>
      </c>
      <c r="H206" s="42" t="s">
        <v>175</v>
      </c>
      <c r="I206" s="42" t="s">
        <v>143</v>
      </c>
      <c r="J206" s="42" t="s">
        <v>159</v>
      </c>
      <c r="K206" s="42" t="s">
        <v>145</v>
      </c>
      <c r="L206" s="44" t="n">
        <v>10019.3</v>
      </c>
      <c r="M206" s="42" t="n">
        <v>4</v>
      </c>
      <c r="N206" s="42" t="s">
        <v>210</v>
      </c>
      <c r="O206" s="42" t="s">
        <v>147</v>
      </c>
      <c r="P206" s="39" t="n">
        <f aca="false">C206-B206</f>
        <v>3</v>
      </c>
      <c r="Q206" s="40" t="str">
        <f aca="false">CHOOSE(MONTH(B206),"يناير","فبراير","مارس","أبريل","مايو","يونيو","يوليو","أغسطس","سبتمبر","أكتوبر","نوفمبر","ديسمبر")</f>
        <v>فبراير</v>
      </c>
      <c r="R206" s="40" t="str">
        <f aca="false">"الربع "&amp;ROUNDUP(MONTH(B206)/3,0)</f>
        <v>الربع 1</v>
      </c>
      <c r="S206" s="40" t="str">
        <f aca="false">IF(D206&lt;=12,"أطفال (0-12)",IF(D206&lt;=24,"شباب (13-24)",IF(D206&lt;=44,"بالغون (25-44)",IF(D206&lt;=64,"متوسطو العمر (45-64)","كبار السن (+65)"))))</f>
        <v>بالغون (25-44)</v>
      </c>
      <c r="T206" s="41" t="n">
        <f aca="false">IFERROR(L206/P206,0)</f>
        <v>3339.76666666667</v>
      </c>
    </row>
    <row r="207" customFormat="false" ht="15" hidden="false" customHeight="false" outlineLevel="0" collapsed="false">
      <c r="A207" s="33" t="s">
        <v>1920</v>
      </c>
      <c r="B207" s="34" t="n">
        <v>45328</v>
      </c>
      <c r="C207" s="34" t="n">
        <v>45334</v>
      </c>
      <c r="D207" s="33" t="n">
        <v>65</v>
      </c>
      <c r="E207" s="33" t="s">
        <v>154</v>
      </c>
      <c r="F207" s="33" t="s">
        <v>140</v>
      </c>
      <c r="G207" s="33" t="s">
        <v>141</v>
      </c>
      <c r="H207" s="33" t="s">
        <v>142</v>
      </c>
      <c r="I207" s="33" t="s">
        <v>152</v>
      </c>
      <c r="J207" s="33" t="s">
        <v>159</v>
      </c>
      <c r="K207" s="33" t="s">
        <v>145</v>
      </c>
      <c r="L207" s="35" t="n">
        <v>12173.44</v>
      </c>
      <c r="M207" s="33" t="n">
        <v>4</v>
      </c>
      <c r="N207" s="33" t="s">
        <v>146</v>
      </c>
      <c r="O207" s="33" t="s">
        <v>147</v>
      </c>
      <c r="P207" s="39" t="n">
        <f aca="false">C207-B207</f>
        <v>6</v>
      </c>
      <c r="Q207" s="40" t="str">
        <f aca="false">CHOOSE(MONTH(B207),"يناير","فبراير","مارس","أبريل","مايو","يونيو","يوليو","أغسطس","سبتمبر","أكتوبر","نوفمبر","ديسمبر")</f>
        <v>فبراير</v>
      </c>
      <c r="R207" s="40" t="str">
        <f aca="false">"الربع "&amp;ROUNDUP(MONTH(B207)/3,0)</f>
        <v>الربع 1</v>
      </c>
      <c r="S207" s="40" t="str">
        <f aca="false">IF(D207&lt;=12,"أطفال (0-12)",IF(D207&lt;=24,"شباب (13-24)",IF(D207&lt;=44,"بالغون (25-44)",IF(D207&lt;=64,"متوسطو العمر (45-64)","كبار السن (+65)"))))</f>
        <v>كبار السن (+65)</v>
      </c>
      <c r="T207" s="41" t="n">
        <f aca="false">IFERROR(L207/P207,0)</f>
        <v>2028.90666666667</v>
      </c>
    </row>
    <row r="208" customFormat="false" ht="15" hidden="false" customHeight="false" outlineLevel="0" collapsed="false">
      <c r="A208" s="42" t="s">
        <v>1108</v>
      </c>
      <c r="B208" s="43" t="n">
        <v>45329</v>
      </c>
      <c r="C208" s="43" t="n">
        <v>45331</v>
      </c>
      <c r="D208" s="42" t="n">
        <v>13</v>
      </c>
      <c r="E208" s="42" t="s">
        <v>154</v>
      </c>
      <c r="F208" s="42" t="s">
        <v>169</v>
      </c>
      <c r="G208" s="42" t="s">
        <v>213</v>
      </c>
      <c r="H208" s="42" t="s">
        <v>171</v>
      </c>
      <c r="I208" s="42" t="s">
        <v>152</v>
      </c>
      <c r="J208" s="42" t="s">
        <v>144</v>
      </c>
      <c r="K208" s="42" t="s">
        <v>184</v>
      </c>
      <c r="L208" s="44" t="n">
        <v>3632.19</v>
      </c>
      <c r="M208" s="42" t="n">
        <v>5</v>
      </c>
      <c r="N208" s="42" t="s">
        <v>146</v>
      </c>
      <c r="O208" s="42" t="s">
        <v>147</v>
      </c>
      <c r="P208" s="39" t="n">
        <f aca="false">C208-B208</f>
        <v>2</v>
      </c>
      <c r="Q208" s="40" t="str">
        <f aca="false">CHOOSE(MONTH(B208),"يناير","فبراير","مارس","أبريل","مايو","يونيو","يوليو","أغسطس","سبتمبر","أكتوبر","نوفمبر","ديسمبر")</f>
        <v>فبراير</v>
      </c>
      <c r="R208" s="40" t="str">
        <f aca="false">"الربع "&amp;ROUNDUP(MONTH(B208)/3,0)</f>
        <v>الربع 1</v>
      </c>
      <c r="S208" s="40" t="str">
        <f aca="false">IF(D208&lt;=12,"أطفال (0-12)",IF(D208&lt;=24,"شباب (13-24)",IF(D208&lt;=44,"بالغون (25-44)",IF(D208&lt;=64,"متوسطو العمر (45-64)","كبار السن (+65)"))))</f>
        <v>شباب (13-24)</v>
      </c>
      <c r="T208" s="41" t="n">
        <f aca="false">IFERROR(L208/P208,0)</f>
        <v>1816.095</v>
      </c>
    </row>
    <row r="209" customFormat="false" ht="15" hidden="false" customHeight="false" outlineLevel="0" collapsed="false">
      <c r="A209" s="33" t="s">
        <v>2292</v>
      </c>
      <c r="B209" s="34" t="n">
        <v>45329</v>
      </c>
      <c r="C209" s="34" t="n">
        <v>45333</v>
      </c>
      <c r="D209" s="33" t="n">
        <v>31</v>
      </c>
      <c r="E209" s="33" t="s">
        <v>154</v>
      </c>
      <c r="F209" s="33" t="s">
        <v>173</v>
      </c>
      <c r="G209" s="33" t="s">
        <v>198</v>
      </c>
      <c r="H209" s="33" t="s">
        <v>199</v>
      </c>
      <c r="I209" s="33" t="s">
        <v>143</v>
      </c>
      <c r="J209" s="33" t="s">
        <v>159</v>
      </c>
      <c r="K209" s="33" t="s">
        <v>184</v>
      </c>
      <c r="L209" s="35" t="n">
        <v>10819.64</v>
      </c>
      <c r="M209" s="33" t="n">
        <v>4</v>
      </c>
      <c r="N209" s="33" t="s">
        <v>146</v>
      </c>
      <c r="O209" s="33" t="s">
        <v>147</v>
      </c>
      <c r="P209" s="39" t="n">
        <f aca="false">C209-B209</f>
        <v>4</v>
      </c>
      <c r="Q209" s="40" t="str">
        <f aca="false">CHOOSE(MONTH(B209),"يناير","فبراير","مارس","أبريل","مايو","يونيو","يوليو","أغسطس","سبتمبر","أكتوبر","نوفمبر","ديسمبر")</f>
        <v>فبراير</v>
      </c>
      <c r="R209" s="40" t="str">
        <f aca="false">"الربع "&amp;ROUNDUP(MONTH(B209)/3,0)</f>
        <v>الربع 1</v>
      </c>
      <c r="S209" s="40" t="str">
        <f aca="false">IF(D209&lt;=12,"أطفال (0-12)",IF(D209&lt;=24,"شباب (13-24)",IF(D209&lt;=44,"بالغون (25-44)",IF(D209&lt;=64,"متوسطو العمر (45-64)","كبار السن (+65)"))))</f>
        <v>بالغون (25-44)</v>
      </c>
      <c r="T209" s="41" t="n">
        <f aca="false">IFERROR(L209/P209,0)</f>
        <v>2704.91</v>
      </c>
    </row>
    <row r="210" customFormat="false" ht="15" hidden="false" customHeight="false" outlineLevel="0" collapsed="false">
      <c r="A210" s="42" t="s">
        <v>532</v>
      </c>
      <c r="B210" s="43" t="n">
        <v>45329</v>
      </c>
      <c r="C210" s="43" t="n">
        <v>45332</v>
      </c>
      <c r="D210" s="42" t="n">
        <v>61</v>
      </c>
      <c r="E210" s="42" t="s">
        <v>139</v>
      </c>
      <c r="F210" s="42" t="s">
        <v>169</v>
      </c>
      <c r="G210" s="42" t="s">
        <v>163</v>
      </c>
      <c r="H210" s="42" t="s">
        <v>195</v>
      </c>
      <c r="I210" s="42" t="s">
        <v>143</v>
      </c>
      <c r="J210" s="42" t="s">
        <v>159</v>
      </c>
      <c r="K210" s="42" t="s">
        <v>160</v>
      </c>
      <c r="L210" s="44" t="n">
        <v>3594.59</v>
      </c>
      <c r="M210" s="42" t="n">
        <v>4</v>
      </c>
      <c r="N210" s="42" t="s">
        <v>146</v>
      </c>
      <c r="O210" s="42" t="s">
        <v>147</v>
      </c>
      <c r="P210" s="39" t="n">
        <f aca="false">C210-B210</f>
        <v>3</v>
      </c>
      <c r="Q210" s="40" t="str">
        <f aca="false">CHOOSE(MONTH(B210),"يناير","فبراير","مارس","أبريل","مايو","يونيو","يوليو","أغسطس","سبتمبر","أكتوبر","نوفمبر","ديسمبر")</f>
        <v>فبراير</v>
      </c>
      <c r="R210" s="40" t="str">
        <f aca="false">"الربع "&amp;ROUNDUP(MONTH(B210)/3,0)</f>
        <v>الربع 1</v>
      </c>
      <c r="S210" s="40" t="str">
        <f aca="false">IF(D210&lt;=12,"أطفال (0-12)",IF(D210&lt;=24,"شباب (13-24)",IF(D210&lt;=44,"بالغون (25-44)",IF(D210&lt;=64,"متوسطو العمر (45-64)","كبار السن (+65)"))))</f>
        <v>متوسطو العمر (45-64)</v>
      </c>
      <c r="T210" s="41" t="n">
        <f aca="false">IFERROR(L210/P210,0)</f>
        <v>1198.19666666667</v>
      </c>
    </row>
    <row r="211" customFormat="false" ht="15" hidden="false" customHeight="false" outlineLevel="0" collapsed="false">
      <c r="A211" s="33" t="s">
        <v>907</v>
      </c>
      <c r="B211" s="34" t="n">
        <v>45329</v>
      </c>
      <c r="C211" s="34" t="n">
        <v>45336</v>
      </c>
      <c r="D211" s="33" t="n">
        <v>35</v>
      </c>
      <c r="E211" s="33" t="s">
        <v>154</v>
      </c>
      <c r="F211" s="33" t="s">
        <v>169</v>
      </c>
      <c r="G211" s="33" t="s">
        <v>163</v>
      </c>
      <c r="H211" s="33" t="s">
        <v>171</v>
      </c>
      <c r="I211" s="33" t="s">
        <v>152</v>
      </c>
      <c r="J211" s="33" t="s">
        <v>159</v>
      </c>
      <c r="K211" s="33" t="s">
        <v>145</v>
      </c>
      <c r="L211" s="35" t="n">
        <v>7366.44</v>
      </c>
      <c r="M211" s="33" t="n">
        <v>3</v>
      </c>
      <c r="N211" s="33" t="s">
        <v>146</v>
      </c>
      <c r="O211" s="33" t="s">
        <v>247</v>
      </c>
      <c r="P211" s="39" t="n">
        <f aca="false">C211-B211</f>
        <v>7</v>
      </c>
      <c r="Q211" s="40" t="str">
        <f aca="false">CHOOSE(MONTH(B211),"يناير","فبراير","مارس","أبريل","مايو","يونيو","يوليو","أغسطس","سبتمبر","أكتوبر","نوفمبر","ديسمبر")</f>
        <v>فبراير</v>
      </c>
      <c r="R211" s="40" t="str">
        <f aca="false">"الربع "&amp;ROUNDUP(MONTH(B211)/3,0)</f>
        <v>الربع 1</v>
      </c>
      <c r="S211" s="40" t="str">
        <f aca="false">IF(D211&lt;=12,"أطفال (0-12)",IF(D211&lt;=24,"شباب (13-24)",IF(D211&lt;=44,"بالغون (25-44)",IF(D211&lt;=64,"متوسطو العمر (45-64)","كبار السن (+65)"))))</f>
        <v>بالغون (25-44)</v>
      </c>
      <c r="T211" s="41" t="n">
        <f aca="false">IFERROR(L211/P211,0)</f>
        <v>1052.34857142857</v>
      </c>
    </row>
    <row r="212" customFormat="false" ht="15" hidden="false" customHeight="false" outlineLevel="0" collapsed="false">
      <c r="A212" s="42" t="s">
        <v>892</v>
      </c>
      <c r="B212" s="43" t="n">
        <v>45329</v>
      </c>
      <c r="C212" s="43" t="n">
        <v>45332</v>
      </c>
      <c r="D212" s="42" t="n">
        <v>37</v>
      </c>
      <c r="E212" s="42" t="s">
        <v>139</v>
      </c>
      <c r="F212" s="42" t="s">
        <v>149</v>
      </c>
      <c r="G212" s="42" t="s">
        <v>150</v>
      </c>
      <c r="H212" s="42" t="s">
        <v>186</v>
      </c>
      <c r="I212" s="42" t="s">
        <v>143</v>
      </c>
      <c r="J212" s="42" t="s">
        <v>159</v>
      </c>
      <c r="K212" s="42" t="s">
        <v>145</v>
      </c>
      <c r="L212" s="44" t="n">
        <v>3644.94</v>
      </c>
      <c r="M212" s="42" t="n">
        <v>4</v>
      </c>
      <c r="N212" s="42" t="s">
        <v>146</v>
      </c>
      <c r="O212" s="42" t="s">
        <v>147</v>
      </c>
      <c r="P212" s="39" t="n">
        <f aca="false">C212-B212</f>
        <v>3</v>
      </c>
      <c r="Q212" s="40" t="str">
        <f aca="false">CHOOSE(MONTH(B212),"يناير","فبراير","مارس","أبريل","مايو","يونيو","يوليو","أغسطس","سبتمبر","أكتوبر","نوفمبر","ديسمبر")</f>
        <v>فبراير</v>
      </c>
      <c r="R212" s="40" t="str">
        <f aca="false">"الربع "&amp;ROUNDUP(MONTH(B212)/3,0)</f>
        <v>الربع 1</v>
      </c>
      <c r="S212" s="40" t="str">
        <f aca="false">IF(D212&lt;=12,"أطفال (0-12)",IF(D212&lt;=24,"شباب (13-24)",IF(D212&lt;=44,"بالغون (25-44)",IF(D212&lt;=64,"متوسطو العمر (45-64)","كبار السن (+65)"))))</f>
        <v>بالغون (25-44)</v>
      </c>
      <c r="T212" s="41" t="n">
        <f aca="false">IFERROR(L212/P212,0)</f>
        <v>1214.98</v>
      </c>
    </row>
    <row r="213" customFormat="false" ht="15" hidden="false" customHeight="false" outlineLevel="0" collapsed="false">
      <c r="A213" s="33" t="s">
        <v>972</v>
      </c>
      <c r="B213" s="34" t="n">
        <v>45329</v>
      </c>
      <c r="C213" s="34" t="n">
        <v>45330</v>
      </c>
      <c r="D213" s="33" t="n">
        <v>35</v>
      </c>
      <c r="E213" s="33" t="s">
        <v>139</v>
      </c>
      <c r="F213" s="33" t="s">
        <v>149</v>
      </c>
      <c r="G213" s="33" t="s">
        <v>150</v>
      </c>
      <c r="H213" s="33" t="s">
        <v>2322</v>
      </c>
      <c r="I213" s="33" t="s">
        <v>143</v>
      </c>
      <c r="J213" s="33" t="s">
        <v>159</v>
      </c>
      <c r="K213" s="33" t="s">
        <v>145</v>
      </c>
      <c r="L213" s="35" t="n">
        <v>1271.27</v>
      </c>
      <c r="M213" s="33" t="n">
        <v>4</v>
      </c>
      <c r="N213" s="33" t="s">
        <v>210</v>
      </c>
      <c r="O213" s="33" t="s">
        <v>147</v>
      </c>
      <c r="P213" s="39" t="n">
        <f aca="false">C213-B213</f>
        <v>1</v>
      </c>
      <c r="Q213" s="40" t="str">
        <f aca="false">CHOOSE(MONTH(B213),"يناير","فبراير","مارس","أبريل","مايو","يونيو","يوليو","أغسطس","سبتمبر","أكتوبر","نوفمبر","ديسمبر")</f>
        <v>فبراير</v>
      </c>
      <c r="R213" s="40" t="str">
        <f aca="false">"الربع "&amp;ROUNDUP(MONTH(B213)/3,0)</f>
        <v>الربع 1</v>
      </c>
      <c r="S213" s="40" t="str">
        <f aca="false">IF(D213&lt;=12,"أطفال (0-12)",IF(D213&lt;=24,"شباب (13-24)",IF(D213&lt;=44,"بالغون (25-44)",IF(D213&lt;=64,"متوسطو العمر (45-64)","كبار السن (+65)"))))</f>
        <v>بالغون (25-44)</v>
      </c>
      <c r="T213" s="41" t="n">
        <f aca="false">IFERROR(L213/P213,0)</f>
        <v>1271.27</v>
      </c>
    </row>
    <row r="214" customFormat="false" ht="15" hidden="false" customHeight="false" outlineLevel="0" collapsed="false">
      <c r="A214" s="42" t="s">
        <v>1023</v>
      </c>
      <c r="B214" s="43" t="n">
        <v>45330</v>
      </c>
      <c r="C214" s="43" t="n">
        <v>45332</v>
      </c>
      <c r="D214" s="42" t="n">
        <v>28</v>
      </c>
      <c r="E214" s="42" t="s">
        <v>139</v>
      </c>
      <c r="F214" s="42" t="s">
        <v>149</v>
      </c>
      <c r="G214" s="42" t="s">
        <v>224</v>
      </c>
      <c r="H214" s="42" t="s">
        <v>186</v>
      </c>
      <c r="I214" s="42" t="s">
        <v>158</v>
      </c>
      <c r="J214" s="42" t="s">
        <v>144</v>
      </c>
      <c r="K214" s="42" t="s">
        <v>160</v>
      </c>
      <c r="L214" s="44" t="n">
        <v>5220.69</v>
      </c>
      <c r="M214" s="42" t="n">
        <v>4</v>
      </c>
      <c r="N214" s="42" t="s">
        <v>146</v>
      </c>
      <c r="O214" s="42" t="s">
        <v>147</v>
      </c>
      <c r="P214" s="39" t="n">
        <f aca="false">C214-B214</f>
        <v>2</v>
      </c>
      <c r="Q214" s="40" t="str">
        <f aca="false">CHOOSE(MONTH(B214),"يناير","فبراير","مارس","أبريل","مايو","يونيو","يوليو","أغسطس","سبتمبر","أكتوبر","نوفمبر","ديسمبر")</f>
        <v>فبراير</v>
      </c>
      <c r="R214" s="40" t="str">
        <f aca="false">"الربع "&amp;ROUNDUP(MONTH(B214)/3,0)</f>
        <v>الربع 1</v>
      </c>
      <c r="S214" s="40" t="str">
        <f aca="false">IF(D214&lt;=12,"أطفال (0-12)",IF(D214&lt;=24,"شباب (13-24)",IF(D214&lt;=44,"بالغون (25-44)",IF(D214&lt;=64,"متوسطو العمر (45-64)","كبار السن (+65)"))))</f>
        <v>بالغون (25-44)</v>
      </c>
      <c r="T214" s="41" t="n">
        <f aca="false">IFERROR(L214/P214,0)</f>
        <v>2610.345</v>
      </c>
    </row>
    <row r="215" customFormat="false" ht="15" hidden="false" customHeight="false" outlineLevel="0" collapsed="false">
      <c r="A215" s="33" t="s">
        <v>1713</v>
      </c>
      <c r="B215" s="34" t="n">
        <v>45330</v>
      </c>
      <c r="C215" s="34" t="n">
        <v>45332</v>
      </c>
      <c r="D215" s="33" t="n">
        <v>74</v>
      </c>
      <c r="E215" s="33" t="s">
        <v>154</v>
      </c>
      <c r="F215" s="33" t="s">
        <v>203</v>
      </c>
      <c r="G215" s="33" t="s">
        <v>241</v>
      </c>
      <c r="H215" s="33" t="s">
        <v>205</v>
      </c>
      <c r="I215" s="33" t="s">
        <v>158</v>
      </c>
      <c r="J215" s="33" t="s">
        <v>159</v>
      </c>
      <c r="K215" s="33" t="s">
        <v>209</v>
      </c>
      <c r="L215" s="35" t="n">
        <v>2041.19</v>
      </c>
      <c r="M215" s="33" t="n">
        <v>3</v>
      </c>
      <c r="N215" s="33" t="s">
        <v>146</v>
      </c>
      <c r="O215" s="33" t="s">
        <v>147</v>
      </c>
      <c r="P215" s="39" t="n">
        <f aca="false">C215-B215</f>
        <v>2</v>
      </c>
      <c r="Q215" s="40" t="str">
        <f aca="false">CHOOSE(MONTH(B215),"يناير","فبراير","مارس","أبريل","مايو","يونيو","يوليو","أغسطس","سبتمبر","أكتوبر","نوفمبر","ديسمبر")</f>
        <v>فبراير</v>
      </c>
      <c r="R215" s="40" t="str">
        <f aca="false">"الربع "&amp;ROUNDUP(MONTH(B215)/3,0)</f>
        <v>الربع 1</v>
      </c>
      <c r="S215" s="40" t="str">
        <f aca="false">IF(D215&lt;=12,"أطفال (0-12)",IF(D215&lt;=24,"شباب (13-24)",IF(D215&lt;=44,"بالغون (25-44)",IF(D215&lt;=64,"متوسطو العمر (45-64)","كبار السن (+65)"))))</f>
        <v>كبار السن (+65)</v>
      </c>
      <c r="T215" s="41" t="n">
        <f aca="false">IFERROR(L215/P215,0)</f>
        <v>1020.595</v>
      </c>
    </row>
    <row r="216" customFormat="false" ht="15" hidden="false" customHeight="false" outlineLevel="0" collapsed="false">
      <c r="A216" s="42" t="s">
        <v>1271</v>
      </c>
      <c r="B216" s="43" t="n">
        <v>45330</v>
      </c>
      <c r="C216" s="43" t="n">
        <v>45333</v>
      </c>
      <c r="D216" s="42" t="n">
        <v>25</v>
      </c>
      <c r="E216" s="42" t="s">
        <v>139</v>
      </c>
      <c r="F216" s="42" t="s">
        <v>149</v>
      </c>
      <c r="G216" s="42" t="s">
        <v>224</v>
      </c>
      <c r="H216" s="42" t="s">
        <v>186</v>
      </c>
      <c r="I216" s="42" t="s">
        <v>143</v>
      </c>
      <c r="J216" s="42" t="s">
        <v>176</v>
      </c>
      <c r="K216" s="42" t="s">
        <v>145</v>
      </c>
      <c r="L216" s="44" t="n">
        <v>15108.3</v>
      </c>
      <c r="M216" s="42" t="n">
        <v>4</v>
      </c>
      <c r="N216" s="42" t="s">
        <v>146</v>
      </c>
      <c r="O216" s="42" t="s">
        <v>247</v>
      </c>
      <c r="P216" s="39" t="n">
        <f aca="false">C216-B216</f>
        <v>3</v>
      </c>
      <c r="Q216" s="40" t="str">
        <f aca="false">CHOOSE(MONTH(B216),"يناير","فبراير","مارس","أبريل","مايو","يونيو","يوليو","أغسطس","سبتمبر","أكتوبر","نوفمبر","ديسمبر")</f>
        <v>فبراير</v>
      </c>
      <c r="R216" s="40" t="str">
        <f aca="false">"الربع "&amp;ROUNDUP(MONTH(B216)/3,0)</f>
        <v>الربع 1</v>
      </c>
      <c r="S216" s="40" t="str">
        <f aca="false">IF(D216&lt;=12,"أطفال (0-12)",IF(D216&lt;=24,"شباب (13-24)",IF(D216&lt;=44,"بالغون (25-44)",IF(D216&lt;=64,"متوسطو العمر (45-64)","كبار السن (+65)"))))</f>
        <v>بالغون (25-44)</v>
      </c>
      <c r="T216" s="41" t="n">
        <f aca="false">IFERROR(L216/P216,0)</f>
        <v>5036.1</v>
      </c>
    </row>
    <row r="217" customFormat="false" ht="15" hidden="false" customHeight="false" outlineLevel="0" collapsed="false">
      <c r="A217" s="33" t="s">
        <v>1034</v>
      </c>
      <c r="B217" s="34" t="n">
        <v>45330</v>
      </c>
      <c r="C217" s="34" t="n">
        <v>45338</v>
      </c>
      <c r="D217" s="33" t="n">
        <v>46</v>
      </c>
      <c r="E217" s="33" t="s">
        <v>154</v>
      </c>
      <c r="F217" s="33" t="s">
        <v>169</v>
      </c>
      <c r="G217" s="33" t="s">
        <v>170</v>
      </c>
      <c r="H217" s="33" t="s">
        <v>171</v>
      </c>
      <c r="I217" s="33" t="s">
        <v>143</v>
      </c>
      <c r="J217" s="33" t="s">
        <v>159</v>
      </c>
      <c r="K217" s="33" t="s">
        <v>184</v>
      </c>
      <c r="L217" s="35" t="n">
        <v>9882.14</v>
      </c>
      <c r="M217" s="33" t="n">
        <v>4</v>
      </c>
      <c r="N217" s="33" t="s">
        <v>146</v>
      </c>
      <c r="O217" s="33" t="s">
        <v>147</v>
      </c>
      <c r="P217" s="39" t="n">
        <f aca="false">C217-B217</f>
        <v>8</v>
      </c>
      <c r="Q217" s="40" t="str">
        <f aca="false">CHOOSE(MONTH(B217),"يناير","فبراير","مارس","أبريل","مايو","يونيو","يوليو","أغسطس","سبتمبر","أكتوبر","نوفمبر","ديسمبر")</f>
        <v>فبراير</v>
      </c>
      <c r="R217" s="40" t="str">
        <f aca="false">"الربع "&amp;ROUNDUP(MONTH(B217)/3,0)</f>
        <v>الربع 1</v>
      </c>
      <c r="S217" s="40" t="str">
        <f aca="false">IF(D217&lt;=12,"أطفال (0-12)",IF(D217&lt;=24,"شباب (13-24)",IF(D217&lt;=44,"بالغون (25-44)",IF(D217&lt;=64,"متوسطو العمر (45-64)","كبار السن (+65)"))))</f>
        <v>متوسطو العمر (45-64)</v>
      </c>
      <c r="T217" s="41" t="n">
        <f aca="false">IFERROR(L217/P217,0)</f>
        <v>1235.2675</v>
      </c>
    </row>
    <row r="218" customFormat="false" ht="15" hidden="false" customHeight="false" outlineLevel="0" collapsed="false">
      <c r="A218" s="42" t="s">
        <v>938</v>
      </c>
      <c r="B218" s="43" t="n">
        <v>45330</v>
      </c>
      <c r="C218" s="43" t="n">
        <v>45332</v>
      </c>
      <c r="D218" s="42" t="n">
        <v>21</v>
      </c>
      <c r="E218" s="42" t="s">
        <v>154</v>
      </c>
      <c r="F218" s="42" t="s">
        <v>203</v>
      </c>
      <c r="G218" s="42" t="s">
        <v>241</v>
      </c>
      <c r="H218" s="42" t="s">
        <v>233</v>
      </c>
      <c r="I218" s="42" t="s">
        <v>143</v>
      </c>
      <c r="J218" s="42" t="s">
        <v>144</v>
      </c>
      <c r="K218" s="42" t="s">
        <v>160</v>
      </c>
      <c r="L218" s="44" t="n">
        <v>3095.94</v>
      </c>
      <c r="M218" s="42" t="n">
        <v>5</v>
      </c>
      <c r="N218" s="42" t="s">
        <v>146</v>
      </c>
      <c r="O218" s="42" t="s">
        <v>147</v>
      </c>
      <c r="P218" s="39" t="n">
        <f aca="false">C218-B218</f>
        <v>2</v>
      </c>
      <c r="Q218" s="40" t="str">
        <f aca="false">CHOOSE(MONTH(B218),"يناير","فبراير","مارس","أبريل","مايو","يونيو","يوليو","أغسطس","سبتمبر","أكتوبر","نوفمبر","ديسمبر")</f>
        <v>فبراير</v>
      </c>
      <c r="R218" s="40" t="str">
        <f aca="false">"الربع "&amp;ROUNDUP(MONTH(B218)/3,0)</f>
        <v>الربع 1</v>
      </c>
      <c r="S218" s="40" t="str">
        <f aca="false">IF(D218&lt;=12,"أطفال (0-12)",IF(D218&lt;=24,"شباب (13-24)",IF(D218&lt;=44,"بالغون (25-44)",IF(D218&lt;=64,"متوسطو العمر (45-64)","كبار السن (+65)"))))</f>
        <v>شباب (13-24)</v>
      </c>
      <c r="T218" s="41" t="n">
        <f aca="false">IFERROR(L218/P218,0)</f>
        <v>1547.97</v>
      </c>
    </row>
    <row r="219" customFormat="false" ht="15" hidden="false" customHeight="false" outlineLevel="0" collapsed="false">
      <c r="A219" s="33" t="s">
        <v>1076</v>
      </c>
      <c r="B219" s="34" t="n">
        <v>45330</v>
      </c>
      <c r="C219" s="34" t="n">
        <v>45332</v>
      </c>
      <c r="D219" s="33" t="n">
        <v>90</v>
      </c>
      <c r="E219" s="33" t="s">
        <v>154</v>
      </c>
      <c r="F219" s="33" t="s">
        <v>173</v>
      </c>
      <c r="G219" s="33" t="s">
        <v>198</v>
      </c>
      <c r="H219" s="33" t="s">
        <v>175</v>
      </c>
      <c r="I219" s="33" t="s">
        <v>143</v>
      </c>
      <c r="J219" s="33" t="s">
        <v>159</v>
      </c>
      <c r="K219" s="33" t="s">
        <v>160</v>
      </c>
      <c r="L219" s="35" t="n">
        <v>4809.43</v>
      </c>
      <c r="M219" s="33" t="n">
        <v>4</v>
      </c>
      <c r="N219" s="33" t="s">
        <v>146</v>
      </c>
      <c r="O219" s="33" t="s">
        <v>147</v>
      </c>
      <c r="P219" s="39" t="n">
        <f aca="false">C219-B219</f>
        <v>2</v>
      </c>
      <c r="Q219" s="40" t="str">
        <f aca="false">CHOOSE(MONTH(B219),"يناير","فبراير","مارس","أبريل","مايو","يونيو","يوليو","أغسطس","سبتمبر","أكتوبر","نوفمبر","ديسمبر")</f>
        <v>فبراير</v>
      </c>
      <c r="R219" s="40" t="str">
        <f aca="false">"الربع "&amp;ROUNDUP(MONTH(B219)/3,0)</f>
        <v>الربع 1</v>
      </c>
      <c r="S219" s="40" t="str">
        <f aca="false">IF(D219&lt;=12,"أطفال (0-12)",IF(D219&lt;=24,"شباب (13-24)",IF(D219&lt;=44,"بالغون (25-44)",IF(D219&lt;=64,"متوسطو العمر (45-64)","كبار السن (+65)"))))</f>
        <v>كبار السن (+65)</v>
      </c>
      <c r="T219" s="41" t="n">
        <f aca="false">IFERROR(L219/P219,0)</f>
        <v>2404.715</v>
      </c>
    </row>
    <row r="220" customFormat="false" ht="15" hidden="false" customHeight="false" outlineLevel="0" collapsed="false">
      <c r="A220" s="42" t="s">
        <v>1889</v>
      </c>
      <c r="B220" s="43" t="n">
        <v>45330</v>
      </c>
      <c r="C220" s="43" t="n">
        <v>45332</v>
      </c>
      <c r="D220" s="42" t="n">
        <v>37</v>
      </c>
      <c r="E220" s="42" t="s">
        <v>139</v>
      </c>
      <c r="F220" s="42" t="s">
        <v>149</v>
      </c>
      <c r="G220" s="42" t="s">
        <v>224</v>
      </c>
      <c r="H220" s="42" t="s">
        <v>151</v>
      </c>
      <c r="I220" s="42" t="s">
        <v>143</v>
      </c>
      <c r="J220" s="42" t="s">
        <v>159</v>
      </c>
      <c r="K220" s="42" t="s">
        <v>184</v>
      </c>
      <c r="L220" s="44" t="n">
        <v>3222.26</v>
      </c>
      <c r="M220" s="42" t="n">
        <v>4</v>
      </c>
      <c r="N220" s="42" t="s">
        <v>146</v>
      </c>
      <c r="O220" s="42" t="s">
        <v>147</v>
      </c>
      <c r="P220" s="39" t="n">
        <f aca="false">C220-B220</f>
        <v>2</v>
      </c>
      <c r="Q220" s="40" t="str">
        <f aca="false">CHOOSE(MONTH(B220),"يناير","فبراير","مارس","أبريل","مايو","يونيو","يوليو","أغسطس","سبتمبر","أكتوبر","نوفمبر","ديسمبر")</f>
        <v>فبراير</v>
      </c>
      <c r="R220" s="40" t="str">
        <f aca="false">"الربع "&amp;ROUNDUP(MONTH(B220)/3,0)</f>
        <v>الربع 1</v>
      </c>
      <c r="S220" s="40" t="str">
        <f aca="false">IF(D220&lt;=12,"أطفال (0-12)",IF(D220&lt;=24,"شباب (13-24)",IF(D220&lt;=44,"بالغون (25-44)",IF(D220&lt;=64,"متوسطو العمر (45-64)","كبار السن (+65)"))))</f>
        <v>بالغون (25-44)</v>
      </c>
      <c r="T220" s="41" t="n">
        <f aca="false">IFERROR(L220/P220,0)</f>
        <v>1611.13</v>
      </c>
    </row>
    <row r="221" customFormat="false" ht="15" hidden="false" customHeight="false" outlineLevel="0" collapsed="false">
      <c r="A221" s="33" t="s">
        <v>461</v>
      </c>
      <c r="B221" s="34" t="n">
        <v>45331</v>
      </c>
      <c r="C221" s="34" t="n">
        <v>45332</v>
      </c>
      <c r="D221" s="33" t="n">
        <v>58</v>
      </c>
      <c r="E221" s="33" t="s">
        <v>154</v>
      </c>
      <c r="F221" s="33" t="s">
        <v>203</v>
      </c>
      <c r="G221" s="33" t="s">
        <v>204</v>
      </c>
      <c r="H221" s="33" t="s">
        <v>205</v>
      </c>
      <c r="I221" s="33" t="s">
        <v>143</v>
      </c>
      <c r="J221" s="33" t="s">
        <v>159</v>
      </c>
      <c r="K221" s="33" t="s">
        <v>160</v>
      </c>
      <c r="L221" s="35" t="n">
        <v>857.71</v>
      </c>
      <c r="M221" s="33" t="n">
        <v>3</v>
      </c>
      <c r="N221" s="33" t="s">
        <v>146</v>
      </c>
      <c r="O221" s="33" t="s">
        <v>147</v>
      </c>
      <c r="P221" s="39" t="n">
        <f aca="false">C221-B221</f>
        <v>1</v>
      </c>
      <c r="Q221" s="40" t="str">
        <f aca="false">CHOOSE(MONTH(B221),"يناير","فبراير","مارس","أبريل","مايو","يونيو","يوليو","أغسطس","سبتمبر","أكتوبر","نوفمبر","ديسمبر")</f>
        <v>فبراير</v>
      </c>
      <c r="R221" s="40" t="str">
        <f aca="false">"الربع "&amp;ROUNDUP(MONTH(B221)/3,0)</f>
        <v>الربع 1</v>
      </c>
      <c r="S221" s="40" t="str">
        <f aca="false">IF(D221&lt;=12,"أطفال (0-12)",IF(D221&lt;=24,"شباب (13-24)",IF(D221&lt;=44,"بالغون (25-44)",IF(D221&lt;=64,"متوسطو العمر (45-64)","كبار السن (+65)"))))</f>
        <v>متوسطو العمر (45-64)</v>
      </c>
      <c r="T221" s="41" t="n">
        <f aca="false">IFERROR(L221/P221,0)</f>
        <v>857.71</v>
      </c>
    </row>
    <row r="222" customFormat="false" ht="15" hidden="false" customHeight="false" outlineLevel="0" collapsed="false">
      <c r="A222" s="42" t="s">
        <v>1106</v>
      </c>
      <c r="B222" s="43" t="n">
        <v>45331</v>
      </c>
      <c r="C222" s="43" t="n">
        <v>45335</v>
      </c>
      <c r="D222" s="42" t="n">
        <v>82</v>
      </c>
      <c r="E222" s="42" t="s">
        <v>139</v>
      </c>
      <c r="F222" s="42" t="s">
        <v>181</v>
      </c>
      <c r="G222" s="42" t="s">
        <v>182</v>
      </c>
      <c r="H222" s="42" t="s">
        <v>245</v>
      </c>
      <c r="I222" s="42" t="s">
        <v>152</v>
      </c>
      <c r="J222" s="42" t="s">
        <v>159</v>
      </c>
      <c r="K222" s="42" t="s">
        <v>160</v>
      </c>
      <c r="L222" s="44" t="n">
        <v>9797.27</v>
      </c>
      <c r="M222" s="42" t="n">
        <v>4</v>
      </c>
      <c r="N222" s="42" t="s">
        <v>146</v>
      </c>
      <c r="O222" s="42" t="s">
        <v>147</v>
      </c>
      <c r="P222" s="39" t="n">
        <f aca="false">C222-B222</f>
        <v>4</v>
      </c>
      <c r="Q222" s="40" t="str">
        <f aca="false">CHOOSE(MONTH(B222),"يناير","فبراير","مارس","أبريل","مايو","يونيو","يوليو","أغسطس","سبتمبر","أكتوبر","نوفمبر","ديسمبر")</f>
        <v>فبراير</v>
      </c>
      <c r="R222" s="40" t="str">
        <f aca="false">"الربع "&amp;ROUNDUP(MONTH(B222)/3,0)</f>
        <v>الربع 1</v>
      </c>
      <c r="S222" s="40" t="str">
        <f aca="false">IF(D222&lt;=12,"أطفال (0-12)",IF(D222&lt;=24,"شباب (13-24)",IF(D222&lt;=44,"بالغون (25-44)",IF(D222&lt;=64,"متوسطو العمر (45-64)","كبار السن (+65)"))))</f>
        <v>كبار السن (+65)</v>
      </c>
      <c r="T222" s="41" t="n">
        <f aca="false">IFERROR(L222/P222,0)</f>
        <v>2449.3175</v>
      </c>
    </row>
    <row r="223" customFormat="false" ht="15" hidden="false" customHeight="false" outlineLevel="0" collapsed="false">
      <c r="A223" s="33" t="s">
        <v>710</v>
      </c>
      <c r="B223" s="34" t="n">
        <v>45331</v>
      </c>
      <c r="C223" s="34" t="n">
        <v>45332</v>
      </c>
      <c r="D223" s="33" t="n">
        <v>45</v>
      </c>
      <c r="E223" s="33" t="s">
        <v>154</v>
      </c>
      <c r="F223" s="33" t="s">
        <v>203</v>
      </c>
      <c r="G223" s="33" t="s">
        <v>241</v>
      </c>
      <c r="H223" s="33" t="s">
        <v>205</v>
      </c>
      <c r="I223" s="33" t="s">
        <v>143</v>
      </c>
      <c r="J223" s="33" t="s">
        <v>159</v>
      </c>
      <c r="K223" s="33" t="s">
        <v>145</v>
      </c>
      <c r="L223" s="35" t="n">
        <v>994.84</v>
      </c>
      <c r="M223" s="33" t="n">
        <v>3</v>
      </c>
      <c r="N223" s="33" t="s">
        <v>146</v>
      </c>
      <c r="O223" s="33" t="s">
        <v>147</v>
      </c>
      <c r="P223" s="39" t="n">
        <f aca="false">C223-B223</f>
        <v>1</v>
      </c>
      <c r="Q223" s="40" t="str">
        <f aca="false">CHOOSE(MONTH(B223),"يناير","فبراير","مارس","أبريل","مايو","يونيو","يوليو","أغسطس","سبتمبر","أكتوبر","نوفمبر","ديسمبر")</f>
        <v>فبراير</v>
      </c>
      <c r="R223" s="40" t="str">
        <f aca="false">"الربع "&amp;ROUNDUP(MONTH(B223)/3,0)</f>
        <v>الربع 1</v>
      </c>
      <c r="S223" s="40" t="str">
        <f aca="false">IF(D223&lt;=12,"أطفال (0-12)",IF(D223&lt;=24,"شباب (13-24)",IF(D223&lt;=44,"بالغون (25-44)",IF(D223&lt;=64,"متوسطو العمر (45-64)","كبار السن (+65)"))))</f>
        <v>متوسطو العمر (45-64)</v>
      </c>
      <c r="T223" s="41" t="n">
        <f aca="false">IFERROR(L223/P223,0)</f>
        <v>994.84</v>
      </c>
    </row>
    <row r="224" customFormat="false" ht="15" hidden="false" customHeight="false" outlineLevel="0" collapsed="false">
      <c r="A224" s="42" t="s">
        <v>1122</v>
      </c>
      <c r="B224" s="43" t="n">
        <v>45331</v>
      </c>
      <c r="C224" s="43" t="n">
        <v>45332</v>
      </c>
      <c r="D224" s="42" t="n">
        <v>50</v>
      </c>
      <c r="E224" s="42" t="s">
        <v>139</v>
      </c>
      <c r="F224" s="42" t="s">
        <v>169</v>
      </c>
      <c r="G224" s="42" t="s">
        <v>163</v>
      </c>
      <c r="H224" s="42" t="s">
        <v>164</v>
      </c>
      <c r="I224" s="42" t="s">
        <v>152</v>
      </c>
      <c r="J224" s="42" t="s">
        <v>144</v>
      </c>
      <c r="K224" s="42" t="s">
        <v>160</v>
      </c>
      <c r="L224" s="44" t="n">
        <v>1206.05</v>
      </c>
      <c r="M224" s="42" t="n">
        <v>3</v>
      </c>
      <c r="N224" s="42" t="s">
        <v>146</v>
      </c>
      <c r="O224" s="42" t="s">
        <v>147</v>
      </c>
      <c r="P224" s="39" t="n">
        <f aca="false">C224-B224</f>
        <v>1</v>
      </c>
      <c r="Q224" s="40" t="str">
        <f aca="false">CHOOSE(MONTH(B224),"يناير","فبراير","مارس","أبريل","مايو","يونيو","يوليو","أغسطس","سبتمبر","أكتوبر","نوفمبر","ديسمبر")</f>
        <v>فبراير</v>
      </c>
      <c r="R224" s="40" t="str">
        <f aca="false">"الربع "&amp;ROUNDUP(MONTH(B224)/3,0)</f>
        <v>الربع 1</v>
      </c>
      <c r="S224" s="40" t="str">
        <f aca="false">IF(D224&lt;=12,"أطفال (0-12)",IF(D224&lt;=24,"شباب (13-24)",IF(D224&lt;=44,"بالغون (25-44)",IF(D224&lt;=64,"متوسطو العمر (45-64)","كبار السن (+65)"))))</f>
        <v>متوسطو العمر (45-64)</v>
      </c>
      <c r="T224" s="41" t="n">
        <f aca="false">IFERROR(L224/P224,0)</f>
        <v>1206.05</v>
      </c>
    </row>
    <row r="225" customFormat="false" ht="15" hidden="false" customHeight="false" outlineLevel="0" collapsed="false">
      <c r="A225" s="33" t="s">
        <v>1634</v>
      </c>
      <c r="B225" s="34" t="n">
        <v>45331</v>
      </c>
      <c r="C225" s="34" t="n">
        <v>45340</v>
      </c>
      <c r="D225" s="33" t="n">
        <v>43</v>
      </c>
      <c r="E225" s="33" t="s">
        <v>154</v>
      </c>
      <c r="F225" s="33" t="s">
        <v>169</v>
      </c>
      <c r="G225" s="33" t="s">
        <v>170</v>
      </c>
      <c r="H225" s="33" t="s">
        <v>164</v>
      </c>
      <c r="I225" s="33" t="s">
        <v>152</v>
      </c>
      <c r="J225" s="33" t="s">
        <v>159</v>
      </c>
      <c r="K225" s="33" t="s">
        <v>209</v>
      </c>
      <c r="L225" s="35" t="n">
        <v>10742.05</v>
      </c>
      <c r="M225" s="33" t="n">
        <v>5</v>
      </c>
      <c r="N225" s="33" t="s">
        <v>210</v>
      </c>
      <c r="O225" s="33" t="s">
        <v>147</v>
      </c>
      <c r="P225" s="39" t="n">
        <f aca="false">C225-B225</f>
        <v>9</v>
      </c>
      <c r="Q225" s="40" t="str">
        <f aca="false">CHOOSE(MONTH(B225),"يناير","فبراير","مارس","أبريل","مايو","يونيو","يوليو","أغسطس","سبتمبر","أكتوبر","نوفمبر","ديسمبر")</f>
        <v>فبراير</v>
      </c>
      <c r="R225" s="40" t="str">
        <f aca="false">"الربع "&amp;ROUNDUP(MONTH(B225)/3,0)</f>
        <v>الربع 1</v>
      </c>
      <c r="S225" s="40" t="str">
        <f aca="false">IF(D225&lt;=12,"أطفال (0-12)",IF(D225&lt;=24,"شباب (13-24)",IF(D225&lt;=44,"بالغون (25-44)",IF(D225&lt;=64,"متوسطو العمر (45-64)","كبار السن (+65)"))))</f>
        <v>بالغون (25-44)</v>
      </c>
      <c r="T225" s="41" t="n">
        <f aca="false">IFERROR(L225/P225,0)</f>
        <v>1193.56111111111</v>
      </c>
    </row>
    <row r="226" customFormat="false" ht="15" hidden="false" customHeight="false" outlineLevel="0" collapsed="false">
      <c r="A226" s="42" t="s">
        <v>2252</v>
      </c>
      <c r="B226" s="43" t="n">
        <v>45331</v>
      </c>
      <c r="C226" s="43" t="n">
        <v>45332</v>
      </c>
      <c r="D226" s="42" t="n">
        <v>30</v>
      </c>
      <c r="E226" s="42" t="s">
        <v>154</v>
      </c>
      <c r="F226" s="42" t="s">
        <v>203</v>
      </c>
      <c r="G226" s="42" t="s">
        <v>217</v>
      </c>
      <c r="H226" s="42" t="s">
        <v>205</v>
      </c>
      <c r="I226" s="42" t="s">
        <v>143</v>
      </c>
      <c r="J226" s="42" t="s">
        <v>144</v>
      </c>
      <c r="K226" s="42" t="s">
        <v>209</v>
      </c>
      <c r="L226" s="44" t="n">
        <v>1540.4</v>
      </c>
      <c r="M226" s="42" t="n">
        <v>3</v>
      </c>
      <c r="N226" s="42" t="s">
        <v>146</v>
      </c>
      <c r="O226" s="42" t="s">
        <v>147</v>
      </c>
      <c r="P226" s="39" t="n">
        <f aca="false">C226-B226</f>
        <v>1</v>
      </c>
      <c r="Q226" s="40" t="str">
        <f aca="false">CHOOSE(MONTH(B226),"يناير","فبراير","مارس","أبريل","مايو","يونيو","يوليو","أغسطس","سبتمبر","أكتوبر","نوفمبر","ديسمبر")</f>
        <v>فبراير</v>
      </c>
      <c r="R226" s="40" t="str">
        <f aca="false">"الربع "&amp;ROUNDUP(MONTH(B226)/3,0)</f>
        <v>الربع 1</v>
      </c>
      <c r="S226" s="40" t="str">
        <f aca="false">IF(D226&lt;=12,"أطفال (0-12)",IF(D226&lt;=24,"شباب (13-24)",IF(D226&lt;=44,"بالغون (25-44)",IF(D226&lt;=64,"متوسطو العمر (45-64)","كبار السن (+65)"))))</f>
        <v>بالغون (25-44)</v>
      </c>
      <c r="T226" s="41" t="n">
        <f aca="false">IFERROR(L226/P226,0)</f>
        <v>1540.4</v>
      </c>
    </row>
    <row r="227" customFormat="false" ht="15" hidden="false" customHeight="false" outlineLevel="0" collapsed="false">
      <c r="A227" s="33" t="s">
        <v>1581</v>
      </c>
      <c r="B227" s="34" t="n">
        <v>45331</v>
      </c>
      <c r="C227" s="34" t="n">
        <v>45332</v>
      </c>
      <c r="D227" s="33" t="n">
        <v>66</v>
      </c>
      <c r="E227" s="33" t="s">
        <v>139</v>
      </c>
      <c r="F227" s="33" t="s">
        <v>169</v>
      </c>
      <c r="G227" s="33" t="s">
        <v>170</v>
      </c>
      <c r="H227" s="33" t="s">
        <v>171</v>
      </c>
      <c r="I227" s="33" t="s">
        <v>158</v>
      </c>
      <c r="J227" s="33" t="s">
        <v>176</v>
      </c>
      <c r="K227" s="33" t="s">
        <v>145</v>
      </c>
      <c r="L227" s="35" t="n">
        <v>3129.47</v>
      </c>
      <c r="M227" s="33" t="n">
        <v>4</v>
      </c>
      <c r="N227" s="33" t="s">
        <v>210</v>
      </c>
      <c r="O227" s="33" t="s">
        <v>147</v>
      </c>
      <c r="P227" s="39" t="n">
        <f aca="false">C227-B227</f>
        <v>1</v>
      </c>
      <c r="Q227" s="40" t="str">
        <f aca="false">CHOOSE(MONTH(B227),"يناير","فبراير","مارس","أبريل","مايو","يونيو","يوليو","أغسطس","سبتمبر","أكتوبر","نوفمبر","ديسمبر")</f>
        <v>فبراير</v>
      </c>
      <c r="R227" s="40" t="str">
        <f aca="false">"الربع "&amp;ROUNDUP(MONTH(B227)/3,0)</f>
        <v>الربع 1</v>
      </c>
      <c r="S227" s="40" t="str">
        <f aca="false">IF(D227&lt;=12,"أطفال (0-12)",IF(D227&lt;=24,"شباب (13-24)",IF(D227&lt;=44,"بالغون (25-44)",IF(D227&lt;=64,"متوسطو العمر (45-64)","كبار السن (+65)"))))</f>
        <v>كبار السن (+65)</v>
      </c>
      <c r="T227" s="41" t="n">
        <f aca="false">IFERROR(L227/P227,0)</f>
        <v>3129.47</v>
      </c>
    </row>
    <row r="228" customFormat="false" ht="15" hidden="false" customHeight="false" outlineLevel="0" collapsed="false">
      <c r="A228" s="42" t="s">
        <v>1732</v>
      </c>
      <c r="B228" s="43" t="n">
        <v>45332</v>
      </c>
      <c r="C228" s="43" t="n">
        <v>45333</v>
      </c>
      <c r="D228" s="42" t="n">
        <v>33</v>
      </c>
      <c r="E228" s="42" t="s">
        <v>139</v>
      </c>
      <c r="F228" s="42" t="s">
        <v>149</v>
      </c>
      <c r="G228" s="42" t="s">
        <v>243</v>
      </c>
      <c r="H228" s="42" t="s">
        <v>151</v>
      </c>
      <c r="I228" s="42" t="s">
        <v>152</v>
      </c>
      <c r="J228" s="42" t="s">
        <v>144</v>
      </c>
      <c r="K228" s="42" t="s">
        <v>145</v>
      </c>
      <c r="L228" s="44" t="n">
        <v>3250.81</v>
      </c>
      <c r="M228" s="42" t="n">
        <v>4</v>
      </c>
      <c r="N228" s="42" t="s">
        <v>146</v>
      </c>
      <c r="O228" s="42" t="s">
        <v>147</v>
      </c>
      <c r="P228" s="39" t="n">
        <f aca="false">C228-B228</f>
        <v>1</v>
      </c>
      <c r="Q228" s="40" t="str">
        <f aca="false">CHOOSE(MONTH(B228),"يناير","فبراير","مارس","أبريل","مايو","يونيو","يوليو","أغسطس","سبتمبر","أكتوبر","نوفمبر","ديسمبر")</f>
        <v>فبراير</v>
      </c>
      <c r="R228" s="40" t="str">
        <f aca="false">"الربع "&amp;ROUNDUP(MONTH(B228)/3,0)</f>
        <v>الربع 1</v>
      </c>
      <c r="S228" s="40" t="str">
        <f aca="false">IF(D228&lt;=12,"أطفال (0-12)",IF(D228&lt;=24,"شباب (13-24)",IF(D228&lt;=44,"بالغون (25-44)",IF(D228&lt;=64,"متوسطو العمر (45-64)","كبار السن (+65)"))))</f>
        <v>بالغون (25-44)</v>
      </c>
      <c r="T228" s="41" t="n">
        <f aca="false">IFERROR(L228/P228,0)</f>
        <v>3250.81</v>
      </c>
    </row>
    <row r="229" customFormat="false" ht="15" hidden="false" customHeight="false" outlineLevel="0" collapsed="false">
      <c r="A229" s="33" t="s">
        <v>1301</v>
      </c>
      <c r="B229" s="34" t="n">
        <v>45332</v>
      </c>
      <c r="C229" s="34" t="n">
        <v>45333</v>
      </c>
      <c r="D229" s="33" t="n">
        <v>4</v>
      </c>
      <c r="E229" s="33" t="s">
        <v>154</v>
      </c>
      <c r="F229" s="33" t="s">
        <v>155</v>
      </c>
      <c r="G229" s="33" t="s">
        <v>156</v>
      </c>
      <c r="H229" s="33" t="s">
        <v>157</v>
      </c>
      <c r="I229" s="33" t="s">
        <v>143</v>
      </c>
      <c r="J229" s="33" t="s">
        <v>144</v>
      </c>
      <c r="K229" s="33" t="s">
        <v>145</v>
      </c>
      <c r="L229" s="35" t="n">
        <v>1478.7</v>
      </c>
      <c r="M229" s="33" t="n">
        <v>5</v>
      </c>
      <c r="N229" s="33" t="s">
        <v>146</v>
      </c>
      <c r="O229" s="33" t="s">
        <v>247</v>
      </c>
      <c r="P229" s="39" t="n">
        <f aca="false">C229-B229</f>
        <v>1</v>
      </c>
      <c r="Q229" s="40" t="str">
        <f aca="false">CHOOSE(MONTH(B229),"يناير","فبراير","مارس","أبريل","مايو","يونيو","يوليو","أغسطس","سبتمبر","أكتوبر","نوفمبر","ديسمبر")</f>
        <v>فبراير</v>
      </c>
      <c r="R229" s="40" t="str">
        <f aca="false">"الربع "&amp;ROUNDUP(MONTH(B229)/3,0)</f>
        <v>الربع 1</v>
      </c>
      <c r="S229" s="40" t="str">
        <f aca="false">IF(D229&lt;=12,"أطفال (0-12)",IF(D229&lt;=24,"شباب (13-24)",IF(D229&lt;=44,"بالغون (25-44)",IF(D229&lt;=64,"متوسطو العمر (45-64)","كبار السن (+65)"))))</f>
        <v>أطفال (0-12)</v>
      </c>
      <c r="T229" s="41" t="n">
        <f aca="false">IFERROR(L229/P229,0)</f>
        <v>1478.7</v>
      </c>
    </row>
    <row r="230" customFormat="false" ht="15" hidden="false" customHeight="false" outlineLevel="0" collapsed="false">
      <c r="A230" s="42" t="s">
        <v>839</v>
      </c>
      <c r="B230" s="43" t="n">
        <v>45332</v>
      </c>
      <c r="C230" s="43" t="n">
        <v>45333</v>
      </c>
      <c r="D230" s="42" t="n">
        <v>46</v>
      </c>
      <c r="E230" s="42" t="s">
        <v>154</v>
      </c>
      <c r="F230" s="42" t="s">
        <v>173</v>
      </c>
      <c r="G230" s="42" t="s">
        <v>198</v>
      </c>
      <c r="H230" s="42" t="s">
        <v>199</v>
      </c>
      <c r="I230" s="42" t="s">
        <v>143</v>
      </c>
      <c r="J230" s="42" t="s">
        <v>159</v>
      </c>
      <c r="K230" s="42" t="s">
        <v>209</v>
      </c>
      <c r="L230" s="44" t="n">
        <v>2854.46</v>
      </c>
      <c r="M230" s="42" t="n">
        <v>4</v>
      </c>
      <c r="N230" s="42" t="s">
        <v>146</v>
      </c>
      <c r="O230" s="42" t="s">
        <v>147</v>
      </c>
      <c r="P230" s="39" t="n">
        <f aca="false">C230-B230</f>
        <v>1</v>
      </c>
      <c r="Q230" s="40" t="str">
        <f aca="false">CHOOSE(MONTH(B230),"يناير","فبراير","مارس","أبريل","مايو","يونيو","يوليو","أغسطس","سبتمبر","أكتوبر","نوفمبر","ديسمبر")</f>
        <v>فبراير</v>
      </c>
      <c r="R230" s="40" t="str">
        <f aca="false">"الربع "&amp;ROUNDUP(MONTH(B230)/3,0)</f>
        <v>الربع 1</v>
      </c>
      <c r="S230" s="40" t="str">
        <f aca="false">IF(D230&lt;=12,"أطفال (0-12)",IF(D230&lt;=24,"شباب (13-24)",IF(D230&lt;=44,"بالغون (25-44)",IF(D230&lt;=64,"متوسطو العمر (45-64)","كبار السن (+65)"))))</f>
        <v>متوسطو العمر (45-64)</v>
      </c>
      <c r="T230" s="41" t="n">
        <f aca="false">IFERROR(L230/P230,0)</f>
        <v>2854.46</v>
      </c>
    </row>
    <row r="231" customFormat="false" ht="15" hidden="false" customHeight="false" outlineLevel="0" collapsed="false">
      <c r="A231" s="33" t="s">
        <v>1869</v>
      </c>
      <c r="B231" s="34" t="n">
        <v>45332</v>
      </c>
      <c r="C231" s="34" t="n">
        <v>45334</v>
      </c>
      <c r="D231" s="33" t="n">
        <v>26</v>
      </c>
      <c r="E231" s="33" t="s">
        <v>139</v>
      </c>
      <c r="F231" s="33" t="s">
        <v>149</v>
      </c>
      <c r="G231" s="33" t="s">
        <v>243</v>
      </c>
      <c r="H231" s="33" t="s">
        <v>186</v>
      </c>
      <c r="I231" s="33" t="s">
        <v>143</v>
      </c>
      <c r="J231" s="33" t="s">
        <v>144</v>
      </c>
      <c r="K231" s="33" t="s">
        <v>184</v>
      </c>
      <c r="L231" s="35" t="n">
        <v>4359.14</v>
      </c>
      <c r="M231" s="33" t="n">
        <v>4</v>
      </c>
      <c r="N231" s="33" t="s">
        <v>146</v>
      </c>
      <c r="O231" s="33" t="s">
        <v>295</v>
      </c>
      <c r="P231" s="39" t="n">
        <f aca="false">C231-B231</f>
        <v>2</v>
      </c>
      <c r="Q231" s="40" t="str">
        <f aca="false">CHOOSE(MONTH(B231),"يناير","فبراير","مارس","أبريل","مايو","يونيو","يوليو","أغسطس","سبتمبر","أكتوبر","نوفمبر","ديسمبر")</f>
        <v>فبراير</v>
      </c>
      <c r="R231" s="40" t="str">
        <f aca="false">"الربع "&amp;ROUNDUP(MONTH(B231)/3,0)</f>
        <v>الربع 1</v>
      </c>
      <c r="S231" s="40" t="str">
        <f aca="false">IF(D231&lt;=12,"أطفال (0-12)",IF(D231&lt;=24,"شباب (13-24)",IF(D231&lt;=44,"بالغون (25-44)",IF(D231&lt;=64,"متوسطو العمر (45-64)","كبار السن (+65)"))))</f>
        <v>بالغون (25-44)</v>
      </c>
      <c r="T231" s="41" t="n">
        <f aca="false">IFERROR(L231/P231,0)</f>
        <v>2179.57</v>
      </c>
    </row>
    <row r="232" customFormat="false" ht="15" hidden="false" customHeight="false" outlineLevel="0" collapsed="false">
      <c r="A232" s="42" t="s">
        <v>1770</v>
      </c>
      <c r="B232" s="43" t="n">
        <v>45332</v>
      </c>
      <c r="C232" s="43" t="n">
        <v>45340</v>
      </c>
      <c r="D232" s="42" t="n">
        <v>46</v>
      </c>
      <c r="E232" s="42" t="s">
        <v>139</v>
      </c>
      <c r="F232" s="42" t="s">
        <v>226</v>
      </c>
      <c r="G232" s="42" t="s">
        <v>386</v>
      </c>
      <c r="H232" s="42" t="s">
        <v>228</v>
      </c>
      <c r="I232" s="42" t="s">
        <v>152</v>
      </c>
      <c r="J232" s="42" t="s">
        <v>159</v>
      </c>
      <c r="K232" s="42" t="s">
        <v>145</v>
      </c>
      <c r="L232" s="44" t="n">
        <v>28337.79</v>
      </c>
      <c r="M232" s="42" t="n">
        <v>4</v>
      </c>
      <c r="N232" s="42" t="s">
        <v>146</v>
      </c>
      <c r="O232" s="42" t="s">
        <v>147</v>
      </c>
      <c r="P232" s="39" t="n">
        <f aca="false">C232-B232</f>
        <v>8</v>
      </c>
      <c r="Q232" s="40" t="str">
        <f aca="false">CHOOSE(MONTH(B232),"يناير","فبراير","مارس","أبريل","مايو","يونيو","يوليو","أغسطس","سبتمبر","أكتوبر","نوفمبر","ديسمبر")</f>
        <v>فبراير</v>
      </c>
      <c r="R232" s="40" t="str">
        <f aca="false">"الربع "&amp;ROUNDUP(MONTH(B232)/3,0)</f>
        <v>الربع 1</v>
      </c>
      <c r="S232" s="40" t="str">
        <f aca="false">IF(D232&lt;=12,"أطفال (0-12)",IF(D232&lt;=24,"شباب (13-24)",IF(D232&lt;=44,"بالغون (25-44)",IF(D232&lt;=64,"متوسطو العمر (45-64)","كبار السن (+65)"))))</f>
        <v>متوسطو العمر (45-64)</v>
      </c>
      <c r="T232" s="41" t="n">
        <f aca="false">IFERROR(L232/P232,0)</f>
        <v>3542.22375</v>
      </c>
    </row>
    <row r="233" customFormat="false" ht="15" hidden="false" customHeight="false" outlineLevel="0" collapsed="false">
      <c r="A233" s="33" t="s">
        <v>327</v>
      </c>
      <c r="B233" s="34" t="n">
        <v>45332</v>
      </c>
      <c r="C233" s="34" t="n">
        <v>45334</v>
      </c>
      <c r="D233" s="33" t="n">
        <v>48</v>
      </c>
      <c r="E233" s="33" t="s">
        <v>139</v>
      </c>
      <c r="F233" s="33" t="s">
        <v>173</v>
      </c>
      <c r="G233" s="33" t="s">
        <v>178</v>
      </c>
      <c r="H233" s="33" t="s">
        <v>199</v>
      </c>
      <c r="I233" s="33" t="s">
        <v>143</v>
      </c>
      <c r="J233" s="33" t="s">
        <v>159</v>
      </c>
      <c r="K233" s="33" t="s">
        <v>145</v>
      </c>
      <c r="L233" s="35" t="n">
        <v>4861.05</v>
      </c>
      <c r="M233" s="33" t="n">
        <v>3</v>
      </c>
      <c r="N233" s="33" t="s">
        <v>146</v>
      </c>
      <c r="O233" s="33" t="s">
        <v>147</v>
      </c>
      <c r="P233" s="39" t="n">
        <f aca="false">C233-B233</f>
        <v>2</v>
      </c>
      <c r="Q233" s="40" t="str">
        <f aca="false">CHOOSE(MONTH(B233),"يناير","فبراير","مارس","أبريل","مايو","يونيو","يوليو","أغسطس","سبتمبر","أكتوبر","نوفمبر","ديسمبر")</f>
        <v>فبراير</v>
      </c>
      <c r="R233" s="40" t="str">
        <f aca="false">"الربع "&amp;ROUNDUP(MONTH(B233)/3,0)</f>
        <v>الربع 1</v>
      </c>
      <c r="S233" s="40" t="str">
        <f aca="false">IF(D233&lt;=12,"أطفال (0-12)",IF(D233&lt;=24,"شباب (13-24)",IF(D233&lt;=44,"بالغون (25-44)",IF(D233&lt;=64,"متوسطو العمر (45-64)","كبار السن (+65)"))))</f>
        <v>متوسطو العمر (45-64)</v>
      </c>
      <c r="T233" s="41" t="n">
        <f aca="false">IFERROR(L233/P233,0)</f>
        <v>2430.525</v>
      </c>
    </row>
    <row r="234" customFormat="false" ht="15" hidden="false" customHeight="false" outlineLevel="0" collapsed="false">
      <c r="A234" s="42" t="s">
        <v>1681</v>
      </c>
      <c r="B234" s="43" t="n">
        <v>45333</v>
      </c>
      <c r="C234" s="43" t="n">
        <v>45337</v>
      </c>
      <c r="D234" s="42" t="n">
        <v>28</v>
      </c>
      <c r="E234" s="42" t="s">
        <v>139</v>
      </c>
      <c r="F234" s="42" t="s">
        <v>149</v>
      </c>
      <c r="G234" s="42" t="s">
        <v>150</v>
      </c>
      <c r="H234" s="42" t="s">
        <v>151</v>
      </c>
      <c r="I234" s="42" t="s">
        <v>152</v>
      </c>
      <c r="J234" s="42" t="s">
        <v>159</v>
      </c>
      <c r="K234" s="42" t="s">
        <v>184</v>
      </c>
      <c r="L234" s="44" t="n">
        <v>5479.56</v>
      </c>
      <c r="M234" s="42" t="n">
        <v>5</v>
      </c>
      <c r="N234" s="42" t="s">
        <v>210</v>
      </c>
      <c r="O234" s="42" t="s">
        <v>147</v>
      </c>
      <c r="P234" s="39" t="n">
        <f aca="false">C234-B234</f>
        <v>4</v>
      </c>
      <c r="Q234" s="40" t="str">
        <f aca="false">CHOOSE(MONTH(B234),"يناير","فبراير","مارس","أبريل","مايو","يونيو","يوليو","أغسطس","سبتمبر","أكتوبر","نوفمبر","ديسمبر")</f>
        <v>فبراير</v>
      </c>
      <c r="R234" s="40" t="str">
        <f aca="false">"الربع "&amp;ROUNDUP(MONTH(B234)/3,0)</f>
        <v>الربع 1</v>
      </c>
      <c r="S234" s="40" t="str">
        <f aca="false">IF(D234&lt;=12,"أطفال (0-12)",IF(D234&lt;=24,"شباب (13-24)",IF(D234&lt;=44,"بالغون (25-44)",IF(D234&lt;=64,"متوسطو العمر (45-64)","كبار السن (+65)"))))</f>
        <v>بالغون (25-44)</v>
      </c>
      <c r="T234" s="41" t="n">
        <f aca="false">IFERROR(L234/P234,0)</f>
        <v>1369.89</v>
      </c>
    </row>
    <row r="235" customFormat="false" ht="15" hidden="false" customHeight="false" outlineLevel="0" collapsed="false">
      <c r="A235" s="33" t="s">
        <v>1093</v>
      </c>
      <c r="B235" s="34" t="n">
        <v>45333</v>
      </c>
      <c r="C235" s="34" t="n">
        <v>45334</v>
      </c>
      <c r="D235" s="33" t="n">
        <v>48</v>
      </c>
      <c r="E235" s="33" t="s">
        <v>139</v>
      </c>
      <c r="F235" s="33" t="s">
        <v>203</v>
      </c>
      <c r="G235" s="33" t="s">
        <v>241</v>
      </c>
      <c r="H235" s="33" t="s">
        <v>205</v>
      </c>
      <c r="I235" s="33" t="s">
        <v>143</v>
      </c>
      <c r="J235" s="33" t="s">
        <v>159</v>
      </c>
      <c r="K235" s="33" t="s">
        <v>160</v>
      </c>
      <c r="L235" s="35" t="n">
        <v>699.48</v>
      </c>
      <c r="M235" s="33" t="n">
        <v>3</v>
      </c>
      <c r="N235" s="33" t="s">
        <v>146</v>
      </c>
      <c r="O235" s="33" t="s">
        <v>147</v>
      </c>
      <c r="P235" s="39" t="n">
        <f aca="false">C235-B235</f>
        <v>1</v>
      </c>
      <c r="Q235" s="40" t="str">
        <f aca="false">CHOOSE(MONTH(B235),"يناير","فبراير","مارس","أبريل","مايو","يونيو","يوليو","أغسطس","سبتمبر","أكتوبر","نوفمبر","ديسمبر")</f>
        <v>فبراير</v>
      </c>
      <c r="R235" s="40" t="str">
        <f aca="false">"الربع "&amp;ROUNDUP(MONTH(B235)/3,0)</f>
        <v>الربع 1</v>
      </c>
      <c r="S235" s="40" t="str">
        <f aca="false">IF(D235&lt;=12,"أطفال (0-12)",IF(D235&lt;=24,"شباب (13-24)",IF(D235&lt;=44,"بالغون (25-44)",IF(D235&lt;=64,"متوسطو العمر (45-64)","كبار السن (+65)"))))</f>
        <v>متوسطو العمر (45-64)</v>
      </c>
      <c r="T235" s="41" t="n">
        <f aca="false">IFERROR(L235/P235,0)</f>
        <v>699.48</v>
      </c>
    </row>
    <row r="236" customFormat="false" ht="15" hidden="false" customHeight="false" outlineLevel="0" collapsed="false">
      <c r="A236" s="42" t="s">
        <v>1571</v>
      </c>
      <c r="B236" s="43" t="n">
        <v>45333</v>
      </c>
      <c r="C236" s="43" t="n">
        <v>45336</v>
      </c>
      <c r="D236" s="42" t="n">
        <v>3</v>
      </c>
      <c r="E236" s="42" t="s">
        <v>139</v>
      </c>
      <c r="F236" s="42" t="s">
        <v>155</v>
      </c>
      <c r="G236" s="42" t="s">
        <v>302</v>
      </c>
      <c r="H236" s="42" t="s">
        <v>157</v>
      </c>
      <c r="I236" s="42" t="s">
        <v>143</v>
      </c>
      <c r="J236" s="42" t="s">
        <v>144</v>
      </c>
      <c r="K236" s="42" t="s">
        <v>160</v>
      </c>
      <c r="L236" s="44" t="n">
        <v>4083.82</v>
      </c>
      <c r="M236" s="42" t="n">
        <v>4</v>
      </c>
      <c r="N236" s="42" t="s">
        <v>146</v>
      </c>
      <c r="O236" s="42" t="s">
        <v>147</v>
      </c>
      <c r="P236" s="39" t="n">
        <f aca="false">C236-B236</f>
        <v>3</v>
      </c>
      <c r="Q236" s="40" t="str">
        <f aca="false">CHOOSE(MONTH(B236),"يناير","فبراير","مارس","أبريل","مايو","يونيو","يوليو","أغسطس","سبتمبر","أكتوبر","نوفمبر","ديسمبر")</f>
        <v>فبراير</v>
      </c>
      <c r="R236" s="40" t="str">
        <f aca="false">"الربع "&amp;ROUNDUP(MONTH(B236)/3,0)</f>
        <v>الربع 1</v>
      </c>
      <c r="S236" s="40" t="str">
        <f aca="false">IF(D236&lt;=12,"أطفال (0-12)",IF(D236&lt;=24,"شباب (13-24)",IF(D236&lt;=44,"بالغون (25-44)",IF(D236&lt;=64,"متوسطو العمر (45-64)","كبار السن (+65)"))))</f>
        <v>أطفال (0-12)</v>
      </c>
      <c r="T236" s="41" t="n">
        <f aca="false">IFERROR(L236/P236,0)</f>
        <v>1361.27333333333</v>
      </c>
    </row>
    <row r="237" customFormat="false" ht="15" hidden="false" customHeight="false" outlineLevel="0" collapsed="false">
      <c r="A237" s="33" t="s">
        <v>811</v>
      </c>
      <c r="B237" s="34" t="n">
        <v>45333</v>
      </c>
      <c r="C237" s="34" t="n">
        <v>45338</v>
      </c>
      <c r="D237" s="33" t="n">
        <v>67</v>
      </c>
      <c r="E237" s="33" t="s">
        <v>139</v>
      </c>
      <c r="F237" s="33" t="s">
        <v>226</v>
      </c>
      <c r="G237" s="33" t="s">
        <v>258</v>
      </c>
      <c r="H237" s="33" t="s">
        <v>263</v>
      </c>
      <c r="I237" s="33" t="s">
        <v>143</v>
      </c>
      <c r="J237" s="33" t="s">
        <v>176</v>
      </c>
      <c r="K237" s="33" t="s">
        <v>145</v>
      </c>
      <c r="L237" s="35" t="n">
        <v>49535.79</v>
      </c>
      <c r="M237" s="33" t="n">
        <v>3</v>
      </c>
      <c r="N237" s="33" t="s">
        <v>146</v>
      </c>
      <c r="O237" s="33" t="s">
        <v>147</v>
      </c>
      <c r="P237" s="39" t="n">
        <f aca="false">C237-B237</f>
        <v>5</v>
      </c>
      <c r="Q237" s="40" t="str">
        <f aca="false">CHOOSE(MONTH(B237),"يناير","فبراير","مارس","أبريل","مايو","يونيو","يوليو","أغسطس","سبتمبر","أكتوبر","نوفمبر","ديسمبر")</f>
        <v>فبراير</v>
      </c>
      <c r="R237" s="40" t="str">
        <f aca="false">"الربع "&amp;ROUNDUP(MONTH(B237)/3,0)</f>
        <v>الربع 1</v>
      </c>
      <c r="S237" s="40" t="str">
        <f aca="false">IF(D237&lt;=12,"أطفال (0-12)",IF(D237&lt;=24,"شباب (13-24)",IF(D237&lt;=44,"بالغون (25-44)",IF(D237&lt;=64,"متوسطو العمر (45-64)","كبار السن (+65)"))))</f>
        <v>كبار السن (+65)</v>
      </c>
      <c r="T237" s="41" t="n">
        <f aca="false">IFERROR(L237/P237,0)</f>
        <v>9907.158</v>
      </c>
    </row>
    <row r="238" customFormat="false" ht="15" hidden="false" customHeight="false" outlineLevel="0" collapsed="false">
      <c r="A238" s="42" t="s">
        <v>1645</v>
      </c>
      <c r="B238" s="43" t="n">
        <v>45333</v>
      </c>
      <c r="C238" s="43" t="n">
        <v>45336</v>
      </c>
      <c r="D238" s="42" t="n">
        <v>6</v>
      </c>
      <c r="E238" s="42" t="s">
        <v>139</v>
      </c>
      <c r="F238" s="42" t="s">
        <v>173</v>
      </c>
      <c r="G238" s="42" t="s">
        <v>198</v>
      </c>
      <c r="H238" s="42" t="s">
        <v>199</v>
      </c>
      <c r="I238" s="42" t="s">
        <v>143</v>
      </c>
      <c r="J238" s="42" t="s">
        <v>159</v>
      </c>
      <c r="K238" s="42" t="s">
        <v>145</v>
      </c>
      <c r="L238" s="44" t="n">
        <v>8164.14</v>
      </c>
      <c r="M238" s="42" t="n">
        <v>4</v>
      </c>
      <c r="N238" s="42" t="s">
        <v>146</v>
      </c>
      <c r="O238" s="42" t="s">
        <v>147</v>
      </c>
      <c r="P238" s="39" t="n">
        <f aca="false">C238-B238</f>
        <v>3</v>
      </c>
      <c r="Q238" s="40" t="str">
        <f aca="false">CHOOSE(MONTH(B238),"يناير","فبراير","مارس","أبريل","مايو","يونيو","يوليو","أغسطس","سبتمبر","أكتوبر","نوفمبر","ديسمبر")</f>
        <v>فبراير</v>
      </c>
      <c r="R238" s="40" t="str">
        <f aca="false">"الربع "&amp;ROUNDUP(MONTH(B238)/3,0)</f>
        <v>الربع 1</v>
      </c>
      <c r="S238" s="40" t="str">
        <f aca="false">IF(D238&lt;=12,"أطفال (0-12)",IF(D238&lt;=24,"شباب (13-24)",IF(D238&lt;=44,"بالغون (25-44)",IF(D238&lt;=64,"متوسطو العمر (45-64)","كبار السن (+65)"))))</f>
        <v>أطفال (0-12)</v>
      </c>
      <c r="T238" s="41" t="n">
        <f aca="false">IFERROR(L238/P238,0)</f>
        <v>2721.38</v>
      </c>
    </row>
    <row r="239" customFormat="false" ht="15" hidden="false" customHeight="false" outlineLevel="0" collapsed="false">
      <c r="A239" s="33" t="s">
        <v>971</v>
      </c>
      <c r="B239" s="34" t="n">
        <v>45333</v>
      </c>
      <c r="C239" s="34" t="n">
        <v>45335</v>
      </c>
      <c r="D239" s="33" t="n">
        <v>26</v>
      </c>
      <c r="E239" s="33" t="s">
        <v>139</v>
      </c>
      <c r="F239" s="33" t="s">
        <v>203</v>
      </c>
      <c r="G239" s="33" t="s">
        <v>241</v>
      </c>
      <c r="H239" s="33" t="s">
        <v>233</v>
      </c>
      <c r="I239" s="33" t="s">
        <v>143</v>
      </c>
      <c r="J239" s="33" t="s">
        <v>159</v>
      </c>
      <c r="K239" s="33" t="s">
        <v>145</v>
      </c>
      <c r="L239" s="35" t="n">
        <v>1722.24</v>
      </c>
      <c r="M239" s="33" t="n">
        <v>2</v>
      </c>
      <c r="N239" s="33" t="s">
        <v>146</v>
      </c>
      <c r="O239" s="33" t="s">
        <v>147</v>
      </c>
      <c r="P239" s="39" t="n">
        <f aca="false">C239-B239</f>
        <v>2</v>
      </c>
      <c r="Q239" s="40" t="str">
        <f aca="false">CHOOSE(MONTH(B239),"يناير","فبراير","مارس","أبريل","مايو","يونيو","يوليو","أغسطس","سبتمبر","أكتوبر","نوفمبر","ديسمبر")</f>
        <v>فبراير</v>
      </c>
      <c r="R239" s="40" t="str">
        <f aca="false">"الربع "&amp;ROUNDUP(MONTH(B239)/3,0)</f>
        <v>الربع 1</v>
      </c>
      <c r="S239" s="40" t="str">
        <f aca="false">IF(D239&lt;=12,"أطفال (0-12)",IF(D239&lt;=24,"شباب (13-24)",IF(D239&lt;=44,"بالغون (25-44)",IF(D239&lt;=64,"متوسطو العمر (45-64)","كبار السن (+65)"))))</f>
        <v>بالغون (25-44)</v>
      </c>
      <c r="T239" s="41" t="n">
        <f aca="false">IFERROR(L239/P239,0)</f>
        <v>861.12</v>
      </c>
    </row>
    <row r="240" customFormat="false" ht="15" hidden="false" customHeight="false" outlineLevel="0" collapsed="false">
      <c r="A240" s="42" t="s">
        <v>977</v>
      </c>
      <c r="B240" s="43" t="n">
        <v>45333</v>
      </c>
      <c r="C240" s="43" t="n">
        <v>45334</v>
      </c>
      <c r="D240" s="42" t="n">
        <v>53</v>
      </c>
      <c r="E240" s="42" t="s">
        <v>139</v>
      </c>
      <c r="F240" s="42" t="s">
        <v>169</v>
      </c>
      <c r="G240" s="42" t="s">
        <v>230</v>
      </c>
      <c r="H240" s="42" t="s">
        <v>171</v>
      </c>
      <c r="I240" s="42" t="s">
        <v>143</v>
      </c>
      <c r="J240" s="42" t="s">
        <v>159</v>
      </c>
      <c r="K240" s="42" t="s">
        <v>184</v>
      </c>
      <c r="L240" s="44" t="n">
        <v>988.44</v>
      </c>
      <c r="M240" s="42" t="n">
        <v>5</v>
      </c>
      <c r="N240" s="42" t="s">
        <v>146</v>
      </c>
      <c r="O240" s="42" t="s">
        <v>147</v>
      </c>
      <c r="P240" s="39" t="n">
        <f aca="false">C240-B240</f>
        <v>1</v>
      </c>
      <c r="Q240" s="40" t="str">
        <f aca="false">CHOOSE(MONTH(B240),"يناير","فبراير","مارس","أبريل","مايو","يونيو","يوليو","أغسطس","سبتمبر","أكتوبر","نوفمبر","ديسمبر")</f>
        <v>فبراير</v>
      </c>
      <c r="R240" s="40" t="str">
        <f aca="false">"الربع "&amp;ROUNDUP(MONTH(B240)/3,0)</f>
        <v>الربع 1</v>
      </c>
      <c r="S240" s="40" t="str">
        <f aca="false">IF(D240&lt;=12,"أطفال (0-12)",IF(D240&lt;=24,"شباب (13-24)",IF(D240&lt;=44,"بالغون (25-44)",IF(D240&lt;=64,"متوسطو العمر (45-64)","كبار السن (+65)"))))</f>
        <v>متوسطو العمر (45-64)</v>
      </c>
      <c r="T240" s="41" t="n">
        <f aca="false">IFERROR(L240/P240,0)</f>
        <v>988.44</v>
      </c>
    </row>
    <row r="241" customFormat="false" ht="15" hidden="false" customHeight="false" outlineLevel="0" collapsed="false">
      <c r="A241" s="33" t="s">
        <v>2008</v>
      </c>
      <c r="B241" s="34" t="n">
        <v>45334</v>
      </c>
      <c r="C241" s="34" t="n">
        <v>45340</v>
      </c>
      <c r="D241" s="33" t="n">
        <v>56</v>
      </c>
      <c r="E241" s="33" t="s">
        <v>154</v>
      </c>
      <c r="F241" s="33" t="s">
        <v>226</v>
      </c>
      <c r="G241" s="33" t="s">
        <v>386</v>
      </c>
      <c r="H241" s="33" t="s">
        <v>263</v>
      </c>
      <c r="I241" s="33" t="s">
        <v>152</v>
      </c>
      <c r="J241" s="33" t="s">
        <v>176</v>
      </c>
      <c r="K241" s="33" t="s">
        <v>160</v>
      </c>
      <c r="L241" s="35" t="n">
        <v>67641.14</v>
      </c>
      <c r="M241" s="33" t="n">
        <v>5</v>
      </c>
      <c r="N241" s="33" t="s">
        <v>146</v>
      </c>
      <c r="O241" s="33" t="s">
        <v>147</v>
      </c>
      <c r="P241" s="39" t="n">
        <f aca="false">C241-B241</f>
        <v>6</v>
      </c>
      <c r="Q241" s="40" t="str">
        <f aca="false">CHOOSE(MONTH(B241),"يناير","فبراير","مارس","أبريل","مايو","يونيو","يوليو","أغسطس","سبتمبر","أكتوبر","نوفمبر","ديسمبر")</f>
        <v>فبراير</v>
      </c>
      <c r="R241" s="40" t="str">
        <f aca="false">"الربع "&amp;ROUNDUP(MONTH(B241)/3,0)</f>
        <v>الربع 1</v>
      </c>
      <c r="S241" s="40" t="str">
        <f aca="false">IF(D241&lt;=12,"أطفال (0-12)",IF(D241&lt;=24,"شباب (13-24)",IF(D241&lt;=44,"بالغون (25-44)",IF(D241&lt;=64,"متوسطو العمر (45-64)","كبار السن (+65)"))))</f>
        <v>متوسطو العمر (45-64)</v>
      </c>
      <c r="T241" s="41" t="n">
        <f aca="false">IFERROR(L241/P241,0)</f>
        <v>11273.5233333333</v>
      </c>
    </row>
    <row r="242" customFormat="false" ht="15" hidden="false" customHeight="false" outlineLevel="0" collapsed="false">
      <c r="A242" s="42" t="s">
        <v>1891</v>
      </c>
      <c r="B242" s="43" t="n">
        <v>45334</v>
      </c>
      <c r="C242" s="43" t="n">
        <v>45338</v>
      </c>
      <c r="D242" s="42" t="n">
        <v>53</v>
      </c>
      <c r="E242" s="42" t="s">
        <v>139</v>
      </c>
      <c r="F242" s="42" t="s">
        <v>173</v>
      </c>
      <c r="G242" s="42" t="s">
        <v>198</v>
      </c>
      <c r="H242" s="42" t="s">
        <v>199</v>
      </c>
      <c r="I242" s="42" t="s">
        <v>143</v>
      </c>
      <c r="J242" s="42" t="s">
        <v>144</v>
      </c>
      <c r="K242" s="42" t="s">
        <v>160</v>
      </c>
      <c r="L242" s="44" t="n">
        <v>19433.45</v>
      </c>
      <c r="M242" s="42" t="n">
        <v>4</v>
      </c>
      <c r="N242" s="42" t="s">
        <v>146</v>
      </c>
      <c r="O242" s="42" t="s">
        <v>147</v>
      </c>
      <c r="P242" s="39" t="n">
        <f aca="false">C242-B242</f>
        <v>4</v>
      </c>
      <c r="Q242" s="40" t="str">
        <f aca="false">CHOOSE(MONTH(B242),"يناير","فبراير","مارس","أبريل","مايو","يونيو","يوليو","أغسطس","سبتمبر","أكتوبر","نوفمبر","ديسمبر")</f>
        <v>فبراير</v>
      </c>
      <c r="R242" s="40" t="str">
        <f aca="false">"الربع "&amp;ROUNDUP(MONTH(B242)/3,0)</f>
        <v>الربع 1</v>
      </c>
      <c r="S242" s="40" t="str">
        <f aca="false">IF(D242&lt;=12,"أطفال (0-12)",IF(D242&lt;=24,"شباب (13-24)",IF(D242&lt;=44,"بالغون (25-44)",IF(D242&lt;=64,"متوسطو العمر (45-64)","كبار السن (+65)"))))</f>
        <v>متوسطو العمر (45-64)</v>
      </c>
      <c r="T242" s="41" t="n">
        <f aca="false">IFERROR(L242/P242,0)</f>
        <v>4858.3625</v>
      </c>
    </row>
    <row r="243" customFormat="false" ht="15" hidden="false" customHeight="false" outlineLevel="0" collapsed="false">
      <c r="A243" s="33" t="s">
        <v>1056</v>
      </c>
      <c r="B243" s="34" t="n">
        <v>45334</v>
      </c>
      <c r="C243" s="34" t="n">
        <v>45336</v>
      </c>
      <c r="D243" s="33" t="n">
        <v>34</v>
      </c>
      <c r="E243" s="33" t="s">
        <v>154</v>
      </c>
      <c r="F243" s="33" t="s">
        <v>203</v>
      </c>
      <c r="G243" s="33" t="s">
        <v>192</v>
      </c>
      <c r="H243" s="33" t="s">
        <v>193</v>
      </c>
      <c r="I243" s="33" t="s">
        <v>143</v>
      </c>
      <c r="J243" s="33" t="s">
        <v>159</v>
      </c>
      <c r="K243" s="33" t="s">
        <v>209</v>
      </c>
      <c r="L243" s="35" t="n">
        <v>2185.23</v>
      </c>
      <c r="M243" s="33" t="n">
        <v>1</v>
      </c>
      <c r="N243" s="33" t="s">
        <v>146</v>
      </c>
      <c r="O243" s="33" t="s">
        <v>147</v>
      </c>
      <c r="P243" s="39" t="n">
        <f aca="false">C243-B243</f>
        <v>2</v>
      </c>
      <c r="Q243" s="40" t="str">
        <f aca="false">CHOOSE(MONTH(B243),"يناير","فبراير","مارس","أبريل","مايو","يونيو","يوليو","أغسطس","سبتمبر","أكتوبر","نوفمبر","ديسمبر")</f>
        <v>فبراير</v>
      </c>
      <c r="R243" s="40" t="str">
        <f aca="false">"الربع "&amp;ROUNDUP(MONTH(B243)/3,0)</f>
        <v>الربع 1</v>
      </c>
      <c r="S243" s="40" t="str">
        <f aca="false">IF(D243&lt;=12,"أطفال (0-12)",IF(D243&lt;=24,"شباب (13-24)",IF(D243&lt;=44,"بالغون (25-44)",IF(D243&lt;=64,"متوسطو العمر (45-64)","كبار السن (+65)"))))</f>
        <v>بالغون (25-44)</v>
      </c>
      <c r="T243" s="41" t="n">
        <f aca="false">IFERROR(L243/P243,0)</f>
        <v>1092.615</v>
      </c>
    </row>
    <row r="244" customFormat="false" ht="15" hidden="false" customHeight="false" outlineLevel="0" collapsed="false">
      <c r="A244" s="42" t="s">
        <v>2318</v>
      </c>
      <c r="B244" s="43" t="n">
        <v>45334</v>
      </c>
      <c r="C244" s="43" t="n">
        <v>45336</v>
      </c>
      <c r="D244" s="42" t="n">
        <v>43</v>
      </c>
      <c r="E244" s="42" t="s">
        <v>139</v>
      </c>
      <c r="F244" s="42" t="s">
        <v>169</v>
      </c>
      <c r="G244" s="42" t="s">
        <v>163</v>
      </c>
      <c r="H244" s="42" t="s">
        <v>164</v>
      </c>
      <c r="I244" s="42" t="s">
        <v>152</v>
      </c>
      <c r="J244" s="42" t="s">
        <v>144</v>
      </c>
      <c r="K244" s="42" t="s">
        <v>145</v>
      </c>
      <c r="L244" s="44" t="n">
        <v>4464.97</v>
      </c>
      <c r="M244" s="42" t="n">
        <v>4</v>
      </c>
      <c r="N244" s="42" t="s">
        <v>146</v>
      </c>
      <c r="O244" s="42" t="s">
        <v>147</v>
      </c>
      <c r="P244" s="39" t="n">
        <f aca="false">C244-B244</f>
        <v>2</v>
      </c>
      <c r="Q244" s="40" t="str">
        <f aca="false">CHOOSE(MONTH(B244),"يناير","فبراير","مارس","أبريل","مايو","يونيو","يوليو","أغسطس","سبتمبر","أكتوبر","نوفمبر","ديسمبر")</f>
        <v>فبراير</v>
      </c>
      <c r="R244" s="40" t="str">
        <f aca="false">"الربع "&amp;ROUNDUP(MONTH(B244)/3,0)</f>
        <v>الربع 1</v>
      </c>
      <c r="S244" s="40" t="str">
        <f aca="false">IF(D244&lt;=12,"أطفال (0-12)",IF(D244&lt;=24,"شباب (13-24)",IF(D244&lt;=44,"بالغون (25-44)",IF(D244&lt;=64,"متوسطو العمر (45-64)","كبار السن (+65)"))))</f>
        <v>بالغون (25-44)</v>
      </c>
      <c r="T244" s="41" t="n">
        <f aca="false">IFERROR(L244/P244,0)</f>
        <v>2232.485</v>
      </c>
    </row>
    <row r="245" customFormat="false" ht="15" hidden="false" customHeight="false" outlineLevel="0" collapsed="false">
      <c r="A245" s="33" t="s">
        <v>1172</v>
      </c>
      <c r="B245" s="34" t="n">
        <v>45335</v>
      </c>
      <c r="C245" s="34" t="n">
        <v>45336</v>
      </c>
      <c r="D245" s="33" t="n">
        <v>88</v>
      </c>
      <c r="E245" s="33" t="s">
        <v>139</v>
      </c>
      <c r="F245" s="33" t="s">
        <v>203</v>
      </c>
      <c r="G245" s="33" t="s">
        <v>192</v>
      </c>
      <c r="H245" s="33" t="s">
        <v>193</v>
      </c>
      <c r="I245" s="33" t="s">
        <v>143</v>
      </c>
      <c r="J245" s="33" t="s">
        <v>159</v>
      </c>
      <c r="K245" s="33" t="s">
        <v>160</v>
      </c>
      <c r="L245" s="35" t="n">
        <v>1007.66</v>
      </c>
      <c r="M245" s="33" t="n">
        <v>3</v>
      </c>
      <c r="N245" s="33" t="s">
        <v>146</v>
      </c>
      <c r="O245" s="33" t="s">
        <v>147</v>
      </c>
      <c r="P245" s="39" t="n">
        <f aca="false">C245-B245</f>
        <v>1</v>
      </c>
      <c r="Q245" s="40" t="str">
        <f aca="false">CHOOSE(MONTH(B245),"يناير","فبراير","مارس","أبريل","مايو","يونيو","يوليو","أغسطس","سبتمبر","أكتوبر","نوفمبر","ديسمبر")</f>
        <v>فبراير</v>
      </c>
      <c r="R245" s="40" t="str">
        <f aca="false">"الربع "&amp;ROUNDUP(MONTH(B245)/3,0)</f>
        <v>الربع 1</v>
      </c>
      <c r="S245" s="40" t="str">
        <f aca="false">IF(D245&lt;=12,"أطفال (0-12)",IF(D245&lt;=24,"شباب (13-24)",IF(D245&lt;=44,"بالغون (25-44)",IF(D245&lt;=64,"متوسطو العمر (45-64)","كبار السن (+65)"))))</f>
        <v>كبار السن (+65)</v>
      </c>
      <c r="T245" s="41" t="n">
        <f aca="false">IFERROR(L245/P245,0)</f>
        <v>1007.66</v>
      </c>
    </row>
    <row r="246" customFormat="false" ht="15" hidden="false" customHeight="false" outlineLevel="0" collapsed="false">
      <c r="A246" s="42" t="s">
        <v>562</v>
      </c>
      <c r="B246" s="43" t="n">
        <v>45335</v>
      </c>
      <c r="C246" s="43" t="n">
        <v>45337</v>
      </c>
      <c r="D246" s="42" t="n">
        <v>5</v>
      </c>
      <c r="E246" s="42" t="s">
        <v>154</v>
      </c>
      <c r="F246" s="42" t="s">
        <v>155</v>
      </c>
      <c r="G246" s="42" t="s">
        <v>156</v>
      </c>
      <c r="H246" s="42" t="s">
        <v>222</v>
      </c>
      <c r="I246" s="42" t="s">
        <v>143</v>
      </c>
      <c r="J246" s="42" t="s">
        <v>159</v>
      </c>
      <c r="K246" s="42" t="s">
        <v>184</v>
      </c>
      <c r="L246" s="44" t="n">
        <v>1961.28</v>
      </c>
      <c r="M246" s="42" t="n">
        <v>5</v>
      </c>
      <c r="N246" s="42" t="s">
        <v>146</v>
      </c>
      <c r="O246" s="42" t="s">
        <v>147</v>
      </c>
      <c r="P246" s="39" t="n">
        <f aca="false">C246-B246</f>
        <v>2</v>
      </c>
      <c r="Q246" s="40" t="str">
        <f aca="false">CHOOSE(MONTH(B246),"يناير","فبراير","مارس","أبريل","مايو","يونيو","يوليو","أغسطس","سبتمبر","أكتوبر","نوفمبر","ديسمبر")</f>
        <v>فبراير</v>
      </c>
      <c r="R246" s="40" t="str">
        <f aca="false">"الربع "&amp;ROUNDUP(MONTH(B246)/3,0)</f>
        <v>الربع 1</v>
      </c>
      <c r="S246" s="40" t="str">
        <f aca="false">IF(D246&lt;=12,"أطفال (0-12)",IF(D246&lt;=24,"شباب (13-24)",IF(D246&lt;=44,"بالغون (25-44)",IF(D246&lt;=64,"متوسطو العمر (45-64)","كبار السن (+65)"))))</f>
        <v>أطفال (0-12)</v>
      </c>
      <c r="T246" s="41" t="n">
        <f aca="false">IFERROR(L246/P246,0)</f>
        <v>980.64</v>
      </c>
    </row>
    <row r="247" customFormat="false" ht="15" hidden="false" customHeight="false" outlineLevel="0" collapsed="false">
      <c r="A247" s="33" t="s">
        <v>1937</v>
      </c>
      <c r="B247" s="34" t="n">
        <v>45335</v>
      </c>
      <c r="C247" s="34" t="n">
        <v>45338</v>
      </c>
      <c r="D247" s="33" t="n">
        <v>74</v>
      </c>
      <c r="E247" s="33" t="s">
        <v>139</v>
      </c>
      <c r="F247" s="33" t="s">
        <v>169</v>
      </c>
      <c r="G247" s="33" t="s">
        <v>163</v>
      </c>
      <c r="H247" s="33" t="s">
        <v>195</v>
      </c>
      <c r="I247" s="33" t="s">
        <v>143</v>
      </c>
      <c r="J247" s="33" t="s">
        <v>159</v>
      </c>
      <c r="K247" s="33" t="s">
        <v>184</v>
      </c>
      <c r="L247" s="35" t="n">
        <v>3564.16</v>
      </c>
      <c r="M247" s="33" t="n">
        <v>4</v>
      </c>
      <c r="N247" s="33" t="s">
        <v>146</v>
      </c>
      <c r="O247" s="33" t="s">
        <v>147</v>
      </c>
      <c r="P247" s="39" t="n">
        <f aca="false">C247-B247</f>
        <v>3</v>
      </c>
      <c r="Q247" s="40" t="str">
        <f aca="false">CHOOSE(MONTH(B247),"يناير","فبراير","مارس","أبريل","مايو","يونيو","يوليو","أغسطس","سبتمبر","أكتوبر","نوفمبر","ديسمبر")</f>
        <v>فبراير</v>
      </c>
      <c r="R247" s="40" t="str">
        <f aca="false">"الربع "&amp;ROUNDUP(MONTH(B247)/3,0)</f>
        <v>الربع 1</v>
      </c>
      <c r="S247" s="40" t="str">
        <f aca="false">IF(D247&lt;=12,"أطفال (0-12)",IF(D247&lt;=24,"شباب (13-24)",IF(D247&lt;=44,"بالغون (25-44)",IF(D247&lt;=64,"متوسطو العمر (45-64)","كبار السن (+65)"))))</f>
        <v>كبار السن (+65)</v>
      </c>
      <c r="T247" s="41" t="n">
        <f aca="false">IFERROR(L247/P247,0)</f>
        <v>1188.05333333333</v>
      </c>
    </row>
    <row r="248" customFormat="false" ht="15" hidden="false" customHeight="false" outlineLevel="0" collapsed="false">
      <c r="A248" s="42" t="s">
        <v>1934</v>
      </c>
      <c r="B248" s="43" t="n">
        <v>45335</v>
      </c>
      <c r="C248" s="43" t="n">
        <v>45336</v>
      </c>
      <c r="D248" s="42" t="n">
        <v>70</v>
      </c>
      <c r="E248" s="42" t="s">
        <v>154</v>
      </c>
      <c r="F248" s="42" t="s">
        <v>203</v>
      </c>
      <c r="G248" s="42" t="s">
        <v>217</v>
      </c>
      <c r="H248" s="42" t="s">
        <v>193</v>
      </c>
      <c r="I248" s="42" t="s">
        <v>143</v>
      </c>
      <c r="J248" s="42" t="s">
        <v>176</v>
      </c>
      <c r="K248" s="42" t="s">
        <v>209</v>
      </c>
      <c r="L248" s="44" t="n">
        <v>2793.96</v>
      </c>
      <c r="M248" s="42" t="n">
        <v>4</v>
      </c>
      <c r="N248" s="42" t="s">
        <v>146</v>
      </c>
      <c r="O248" s="42" t="s">
        <v>147</v>
      </c>
      <c r="P248" s="39" t="n">
        <f aca="false">C248-B248</f>
        <v>1</v>
      </c>
      <c r="Q248" s="40" t="str">
        <f aca="false">CHOOSE(MONTH(B248),"يناير","فبراير","مارس","أبريل","مايو","يونيو","يوليو","أغسطس","سبتمبر","أكتوبر","نوفمبر","ديسمبر")</f>
        <v>فبراير</v>
      </c>
      <c r="R248" s="40" t="str">
        <f aca="false">"الربع "&amp;ROUNDUP(MONTH(B248)/3,0)</f>
        <v>الربع 1</v>
      </c>
      <c r="S248" s="40" t="str">
        <f aca="false">IF(D248&lt;=12,"أطفال (0-12)",IF(D248&lt;=24,"شباب (13-24)",IF(D248&lt;=44,"بالغون (25-44)",IF(D248&lt;=64,"متوسطو العمر (45-64)","كبار السن (+65)"))))</f>
        <v>كبار السن (+65)</v>
      </c>
      <c r="T248" s="41" t="n">
        <f aca="false">IFERROR(L248/P248,0)</f>
        <v>2793.96</v>
      </c>
    </row>
    <row r="249" customFormat="false" ht="15" hidden="false" customHeight="false" outlineLevel="0" collapsed="false">
      <c r="A249" s="33" t="s">
        <v>1601</v>
      </c>
      <c r="B249" s="34" t="n">
        <v>45335</v>
      </c>
      <c r="C249" s="34" t="n">
        <v>45337</v>
      </c>
      <c r="D249" s="33" t="n">
        <v>30</v>
      </c>
      <c r="E249" s="33" t="s">
        <v>139</v>
      </c>
      <c r="F249" s="33" t="s">
        <v>140</v>
      </c>
      <c r="G249" s="33" t="s">
        <v>316</v>
      </c>
      <c r="H249" s="33" t="s">
        <v>290</v>
      </c>
      <c r="I249" s="33" t="s">
        <v>143</v>
      </c>
      <c r="J249" s="33" t="s">
        <v>159</v>
      </c>
      <c r="K249" s="33" t="s">
        <v>209</v>
      </c>
      <c r="L249" s="35" t="n">
        <v>5914.71</v>
      </c>
      <c r="M249" s="33" t="n">
        <v>4</v>
      </c>
      <c r="N249" s="33" t="s">
        <v>146</v>
      </c>
      <c r="O249" s="33" t="s">
        <v>147</v>
      </c>
      <c r="P249" s="39" t="n">
        <f aca="false">C249-B249</f>
        <v>2</v>
      </c>
      <c r="Q249" s="40" t="str">
        <f aca="false">CHOOSE(MONTH(B249),"يناير","فبراير","مارس","أبريل","مايو","يونيو","يوليو","أغسطس","سبتمبر","أكتوبر","نوفمبر","ديسمبر")</f>
        <v>فبراير</v>
      </c>
      <c r="R249" s="40" t="str">
        <f aca="false">"الربع "&amp;ROUNDUP(MONTH(B249)/3,0)</f>
        <v>الربع 1</v>
      </c>
      <c r="S249" s="40" t="str">
        <f aca="false">IF(D249&lt;=12,"أطفال (0-12)",IF(D249&lt;=24,"شباب (13-24)",IF(D249&lt;=44,"بالغون (25-44)",IF(D249&lt;=64,"متوسطو العمر (45-64)","كبار السن (+65)"))))</f>
        <v>بالغون (25-44)</v>
      </c>
      <c r="T249" s="41" t="n">
        <f aca="false">IFERROR(L249/P249,0)</f>
        <v>2957.355</v>
      </c>
    </row>
    <row r="250" customFormat="false" ht="15" hidden="false" customHeight="false" outlineLevel="0" collapsed="false">
      <c r="A250" s="42" t="s">
        <v>1349</v>
      </c>
      <c r="B250" s="43" t="n">
        <v>45335</v>
      </c>
      <c r="C250" s="43" t="n">
        <v>45337</v>
      </c>
      <c r="D250" s="42" t="n">
        <v>7</v>
      </c>
      <c r="E250" s="42" t="s">
        <v>154</v>
      </c>
      <c r="F250" s="42" t="s">
        <v>155</v>
      </c>
      <c r="G250" s="42" t="s">
        <v>302</v>
      </c>
      <c r="H250" s="42" t="s">
        <v>222</v>
      </c>
      <c r="I250" s="42" t="s">
        <v>143</v>
      </c>
      <c r="J250" s="42" t="s">
        <v>159</v>
      </c>
      <c r="K250" s="42" t="s">
        <v>145</v>
      </c>
      <c r="L250" s="44" t="n">
        <v>1870.04</v>
      </c>
      <c r="M250" s="42" t="n">
        <v>4</v>
      </c>
      <c r="N250" s="42" t="s">
        <v>146</v>
      </c>
      <c r="O250" s="42" t="s">
        <v>147</v>
      </c>
      <c r="P250" s="39" t="n">
        <f aca="false">C250-B250</f>
        <v>2</v>
      </c>
      <c r="Q250" s="40" t="str">
        <f aca="false">CHOOSE(MONTH(B250),"يناير","فبراير","مارس","أبريل","مايو","يونيو","يوليو","أغسطس","سبتمبر","أكتوبر","نوفمبر","ديسمبر")</f>
        <v>فبراير</v>
      </c>
      <c r="R250" s="40" t="str">
        <f aca="false">"الربع "&amp;ROUNDUP(MONTH(B250)/3,0)</f>
        <v>الربع 1</v>
      </c>
      <c r="S250" s="40" t="str">
        <f aca="false">IF(D250&lt;=12,"أطفال (0-12)",IF(D250&lt;=24,"شباب (13-24)",IF(D250&lt;=44,"بالغون (25-44)",IF(D250&lt;=64,"متوسطو العمر (45-64)","كبار السن (+65)"))))</f>
        <v>أطفال (0-12)</v>
      </c>
      <c r="T250" s="41" t="n">
        <f aca="false">IFERROR(L250/P250,0)</f>
        <v>935.02</v>
      </c>
    </row>
    <row r="251" customFormat="false" ht="15" hidden="false" customHeight="false" outlineLevel="0" collapsed="false">
      <c r="A251" s="33" t="s">
        <v>1431</v>
      </c>
      <c r="B251" s="34" t="n">
        <v>45335</v>
      </c>
      <c r="C251" s="34" t="n">
        <v>45336</v>
      </c>
      <c r="D251" s="33" t="n">
        <v>20</v>
      </c>
      <c r="E251" s="33" t="s">
        <v>154</v>
      </c>
      <c r="F251" s="33" t="s">
        <v>203</v>
      </c>
      <c r="G251" s="33" t="s">
        <v>204</v>
      </c>
      <c r="H251" s="33" t="s">
        <v>193</v>
      </c>
      <c r="I251" s="33" t="s">
        <v>143</v>
      </c>
      <c r="J251" s="33" t="s">
        <v>159</v>
      </c>
      <c r="K251" s="33" t="s">
        <v>145</v>
      </c>
      <c r="L251" s="35" t="n">
        <v>652.31</v>
      </c>
      <c r="M251" s="33" t="n">
        <v>4</v>
      </c>
      <c r="N251" s="33" t="s">
        <v>146</v>
      </c>
      <c r="O251" s="33" t="s">
        <v>147</v>
      </c>
      <c r="P251" s="39" t="n">
        <f aca="false">C251-B251</f>
        <v>1</v>
      </c>
      <c r="Q251" s="40" t="str">
        <f aca="false">CHOOSE(MONTH(B251),"يناير","فبراير","مارس","أبريل","مايو","يونيو","يوليو","أغسطس","سبتمبر","أكتوبر","نوفمبر","ديسمبر")</f>
        <v>فبراير</v>
      </c>
      <c r="R251" s="40" t="str">
        <f aca="false">"الربع "&amp;ROUNDUP(MONTH(B251)/3,0)</f>
        <v>الربع 1</v>
      </c>
      <c r="S251" s="40" t="str">
        <f aca="false">IF(D251&lt;=12,"أطفال (0-12)",IF(D251&lt;=24,"شباب (13-24)",IF(D251&lt;=44,"بالغون (25-44)",IF(D251&lt;=64,"متوسطو العمر (45-64)","كبار السن (+65)"))))</f>
        <v>شباب (13-24)</v>
      </c>
      <c r="T251" s="41" t="n">
        <f aca="false">IFERROR(L251/P251,0)</f>
        <v>652.31</v>
      </c>
    </row>
    <row r="252" customFormat="false" ht="15" hidden="false" customHeight="false" outlineLevel="0" collapsed="false">
      <c r="A252" s="42" t="s">
        <v>2233</v>
      </c>
      <c r="B252" s="43" t="n">
        <v>45335</v>
      </c>
      <c r="C252" s="43" t="n">
        <v>45341</v>
      </c>
      <c r="D252" s="42" t="n">
        <v>53</v>
      </c>
      <c r="E252" s="42" t="s">
        <v>139</v>
      </c>
      <c r="F252" s="42" t="s">
        <v>226</v>
      </c>
      <c r="G252" s="42" t="s">
        <v>258</v>
      </c>
      <c r="H252" s="42" t="s">
        <v>263</v>
      </c>
      <c r="I252" s="42" t="s">
        <v>152</v>
      </c>
      <c r="J252" s="42" t="s">
        <v>176</v>
      </c>
      <c r="K252" s="42" t="s">
        <v>145</v>
      </c>
      <c r="L252" s="44" t="n">
        <v>68449.05</v>
      </c>
      <c r="M252" s="42" t="n">
        <v>4</v>
      </c>
      <c r="N252" s="42" t="s">
        <v>210</v>
      </c>
      <c r="O252" s="42" t="s">
        <v>147</v>
      </c>
      <c r="P252" s="39" t="n">
        <f aca="false">C252-B252</f>
        <v>6</v>
      </c>
      <c r="Q252" s="40" t="str">
        <f aca="false">CHOOSE(MONTH(B252),"يناير","فبراير","مارس","أبريل","مايو","يونيو","يوليو","أغسطس","سبتمبر","أكتوبر","نوفمبر","ديسمبر")</f>
        <v>فبراير</v>
      </c>
      <c r="R252" s="40" t="str">
        <f aca="false">"الربع "&amp;ROUNDUP(MONTH(B252)/3,0)</f>
        <v>الربع 1</v>
      </c>
      <c r="S252" s="40" t="str">
        <f aca="false">IF(D252&lt;=12,"أطفال (0-12)",IF(D252&lt;=24,"شباب (13-24)",IF(D252&lt;=44,"بالغون (25-44)",IF(D252&lt;=64,"متوسطو العمر (45-64)","كبار السن (+65)"))))</f>
        <v>متوسطو العمر (45-64)</v>
      </c>
      <c r="T252" s="41" t="n">
        <f aca="false">IFERROR(L252/P252,0)</f>
        <v>11408.175</v>
      </c>
    </row>
    <row r="253" customFormat="false" ht="15" hidden="false" customHeight="false" outlineLevel="0" collapsed="false">
      <c r="A253" s="33" t="s">
        <v>2298</v>
      </c>
      <c r="B253" s="34" t="n">
        <v>45335</v>
      </c>
      <c r="C253" s="34" t="n">
        <v>45336</v>
      </c>
      <c r="D253" s="33" t="n">
        <v>46</v>
      </c>
      <c r="E253" s="33" t="s">
        <v>139</v>
      </c>
      <c r="F253" s="33" t="s">
        <v>203</v>
      </c>
      <c r="G253" s="33" t="s">
        <v>217</v>
      </c>
      <c r="H253" s="33" t="s">
        <v>205</v>
      </c>
      <c r="I253" s="33" t="s">
        <v>143</v>
      </c>
      <c r="J253" s="33" t="s">
        <v>159</v>
      </c>
      <c r="K253" s="33" t="s">
        <v>145</v>
      </c>
      <c r="L253" s="35" t="n">
        <v>946.28</v>
      </c>
      <c r="M253" s="33" t="n">
        <v>2</v>
      </c>
      <c r="N253" s="33" t="s">
        <v>146</v>
      </c>
      <c r="O253" s="33" t="s">
        <v>147</v>
      </c>
      <c r="P253" s="39" t="n">
        <f aca="false">C253-B253</f>
        <v>1</v>
      </c>
      <c r="Q253" s="40" t="str">
        <f aca="false">CHOOSE(MONTH(B253),"يناير","فبراير","مارس","أبريل","مايو","يونيو","يوليو","أغسطس","سبتمبر","أكتوبر","نوفمبر","ديسمبر")</f>
        <v>فبراير</v>
      </c>
      <c r="R253" s="40" t="str">
        <f aca="false">"الربع "&amp;ROUNDUP(MONTH(B253)/3,0)</f>
        <v>الربع 1</v>
      </c>
      <c r="S253" s="40" t="str">
        <f aca="false">IF(D253&lt;=12,"أطفال (0-12)",IF(D253&lt;=24,"شباب (13-24)",IF(D253&lt;=44,"بالغون (25-44)",IF(D253&lt;=64,"متوسطو العمر (45-64)","كبار السن (+65)"))))</f>
        <v>متوسطو العمر (45-64)</v>
      </c>
      <c r="T253" s="41" t="n">
        <f aca="false">IFERROR(L253/P253,0)</f>
        <v>946.28</v>
      </c>
    </row>
    <row r="254" customFormat="false" ht="15" hidden="false" customHeight="false" outlineLevel="0" collapsed="false">
      <c r="A254" s="42" t="s">
        <v>401</v>
      </c>
      <c r="B254" s="43" t="n">
        <v>45335</v>
      </c>
      <c r="C254" s="43" t="n">
        <v>45338</v>
      </c>
      <c r="D254" s="42" t="n">
        <v>38</v>
      </c>
      <c r="E254" s="42" t="s">
        <v>154</v>
      </c>
      <c r="F254" s="42" t="s">
        <v>226</v>
      </c>
      <c r="G254" s="42" t="s">
        <v>258</v>
      </c>
      <c r="H254" s="42" t="s">
        <v>228</v>
      </c>
      <c r="I254" s="42" t="s">
        <v>143</v>
      </c>
      <c r="J254" s="42" t="s">
        <v>144</v>
      </c>
      <c r="K254" s="42" t="s">
        <v>145</v>
      </c>
      <c r="L254" s="44" t="n">
        <v>15515.69</v>
      </c>
      <c r="M254" s="42" t="n">
        <v>4</v>
      </c>
      <c r="N254" s="42" t="s">
        <v>146</v>
      </c>
      <c r="O254" s="42" t="s">
        <v>147</v>
      </c>
      <c r="P254" s="39" t="n">
        <f aca="false">C254-B254</f>
        <v>3</v>
      </c>
      <c r="Q254" s="40" t="str">
        <f aca="false">CHOOSE(MONTH(B254),"يناير","فبراير","مارس","أبريل","مايو","يونيو","يوليو","أغسطس","سبتمبر","أكتوبر","نوفمبر","ديسمبر")</f>
        <v>فبراير</v>
      </c>
      <c r="R254" s="40" t="str">
        <f aca="false">"الربع "&amp;ROUNDUP(MONTH(B254)/3,0)</f>
        <v>الربع 1</v>
      </c>
      <c r="S254" s="40" t="str">
        <f aca="false">IF(D254&lt;=12,"أطفال (0-12)",IF(D254&lt;=24,"شباب (13-24)",IF(D254&lt;=44,"بالغون (25-44)",IF(D254&lt;=64,"متوسطو العمر (45-64)","كبار السن (+65)"))))</f>
        <v>بالغون (25-44)</v>
      </c>
      <c r="T254" s="41" t="n">
        <f aca="false">IFERROR(L254/P254,0)</f>
        <v>5171.89666666667</v>
      </c>
    </row>
    <row r="255" customFormat="false" ht="15" hidden="false" customHeight="false" outlineLevel="0" collapsed="false">
      <c r="A255" s="33" t="s">
        <v>1175</v>
      </c>
      <c r="B255" s="34" t="n">
        <v>45336</v>
      </c>
      <c r="C255" s="34" t="n">
        <v>45338</v>
      </c>
      <c r="D255" s="33" t="n">
        <v>41</v>
      </c>
      <c r="E255" s="33" t="s">
        <v>139</v>
      </c>
      <c r="F255" s="33" t="s">
        <v>203</v>
      </c>
      <c r="G255" s="33" t="s">
        <v>204</v>
      </c>
      <c r="H255" s="33" t="s">
        <v>233</v>
      </c>
      <c r="I255" s="33" t="s">
        <v>143</v>
      </c>
      <c r="J255" s="33" t="s">
        <v>159</v>
      </c>
      <c r="K255" s="33" t="s">
        <v>145</v>
      </c>
      <c r="L255" s="35" t="n">
        <v>2215.85</v>
      </c>
      <c r="M255" s="33" t="n">
        <v>3</v>
      </c>
      <c r="N255" s="33" t="s">
        <v>146</v>
      </c>
      <c r="O255" s="33" t="s">
        <v>147</v>
      </c>
      <c r="P255" s="39" t="n">
        <f aca="false">C255-B255</f>
        <v>2</v>
      </c>
      <c r="Q255" s="40" t="str">
        <f aca="false">CHOOSE(MONTH(B255),"يناير","فبراير","مارس","أبريل","مايو","يونيو","يوليو","أغسطس","سبتمبر","أكتوبر","نوفمبر","ديسمبر")</f>
        <v>فبراير</v>
      </c>
      <c r="R255" s="40" t="str">
        <f aca="false">"الربع "&amp;ROUNDUP(MONTH(B255)/3,0)</f>
        <v>الربع 1</v>
      </c>
      <c r="S255" s="40" t="str">
        <f aca="false">IF(D255&lt;=12,"أطفال (0-12)",IF(D255&lt;=24,"شباب (13-24)",IF(D255&lt;=44,"بالغون (25-44)",IF(D255&lt;=64,"متوسطو العمر (45-64)","كبار السن (+65)"))))</f>
        <v>بالغون (25-44)</v>
      </c>
      <c r="T255" s="41" t="n">
        <f aca="false">IFERROR(L255/P255,0)</f>
        <v>1107.925</v>
      </c>
    </row>
    <row r="256" customFormat="false" ht="15" hidden="false" customHeight="false" outlineLevel="0" collapsed="false">
      <c r="A256" s="42" t="s">
        <v>1568</v>
      </c>
      <c r="B256" s="43" t="n">
        <v>45336</v>
      </c>
      <c r="C256" s="43" t="n">
        <v>45350</v>
      </c>
      <c r="D256" s="42" t="n">
        <v>60</v>
      </c>
      <c r="E256" s="42" t="s">
        <v>154</v>
      </c>
      <c r="F256" s="42" t="s">
        <v>226</v>
      </c>
      <c r="G256" s="42" t="s">
        <v>386</v>
      </c>
      <c r="H256" s="42" t="s">
        <v>228</v>
      </c>
      <c r="I256" s="42" t="s">
        <v>143</v>
      </c>
      <c r="J256" s="42" t="s">
        <v>159</v>
      </c>
      <c r="K256" s="42" t="s">
        <v>145</v>
      </c>
      <c r="L256" s="44" t="n">
        <v>35210.7</v>
      </c>
      <c r="M256" s="42" t="n">
        <v>2</v>
      </c>
      <c r="N256" s="42" t="s">
        <v>146</v>
      </c>
      <c r="O256" s="42" t="s">
        <v>147</v>
      </c>
      <c r="P256" s="39" t="n">
        <f aca="false">C256-B256</f>
        <v>14</v>
      </c>
      <c r="Q256" s="40" t="str">
        <f aca="false">CHOOSE(MONTH(B256),"يناير","فبراير","مارس","أبريل","مايو","يونيو","يوليو","أغسطس","سبتمبر","أكتوبر","نوفمبر","ديسمبر")</f>
        <v>فبراير</v>
      </c>
      <c r="R256" s="40" t="str">
        <f aca="false">"الربع "&amp;ROUNDUP(MONTH(B256)/3,0)</f>
        <v>الربع 1</v>
      </c>
      <c r="S256" s="40" t="str">
        <f aca="false">IF(D256&lt;=12,"أطفال (0-12)",IF(D256&lt;=24,"شباب (13-24)",IF(D256&lt;=44,"بالغون (25-44)",IF(D256&lt;=64,"متوسطو العمر (45-64)","كبار السن (+65)"))))</f>
        <v>متوسطو العمر (45-64)</v>
      </c>
      <c r="T256" s="41" t="n">
        <f aca="false">IFERROR(L256/P256,0)</f>
        <v>2515.05</v>
      </c>
    </row>
    <row r="257" customFormat="false" ht="15" hidden="false" customHeight="false" outlineLevel="0" collapsed="false">
      <c r="A257" s="33" t="s">
        <v>1107</v>
      </c>
      <c r="B257" s="34" t="n">
        <v>45336</v>
      </c>
      <c r="C257" s="34" t="n">
        <v>45338</v>
      </c>
      <c r="D257" s="33" t="n">
        <v>39</v>
      </c>
      <c r="E257" s="33" t="s">
        <v>139</v>
      </c>
      <c r="F257" s="33" t="s">
        <v>203</v>
      </c>
      <c r="G257" s="33" t="s">
        <v>192</v>
      </c>
      <c r="H257" s="33" t="s">
        <v>193</v>
      </c>
      <c r="I257" s="33" t="s">
        <v>143</v>
      </c>
      <c r="J257" s="33" t="s">
        <v>144</v>
      </c>
      <c r="K257" s="33" t="s">
        <v>209</v>
      </c>
      <c r="L257" s="35" t="n">
        <v>3394.81</v>
      </c>
      <c r="M257" s="33" t="n">
        <v>4</v>
      </c>
      <c r="N257" s="33" t="s">
        <v>146</v>
      </c>
      <c r="O257" s="33" t="s">
        <v>147</v>
      </c>
      <c r="P257" s="39" t="n">
        <f aca="false">C257-B257</f>
        <v>2</v>
      </c>
      <c r="Q257" s="40" t="str">
        <f aca="false">CHOOSE(MONTH(B257),"يناير","فبراير","مارس","أبريل","مايو","يونيو","يوليو","أغسطس","سبتمبر","أكتوبر","نوفمبر","ديسمبر")</f>
        <v>فبراير</v>
      </c>
      <c r="R257" s="40" t="str">
        <f aca="false">"الربع "&amp;ROUNDUP(MONTH(B257)/3,0)</f>
        <v>الربع 1</v>
      </c>
      <c r="S257" s="40" t="str">
        <f aca="false">IF(D257&lt;=12,"أطفال (0-12)",IF(D257&lt;=24,"شباب (13-24)",IF(D257&lt;=44,"بالغون (25-44)",IF(D257&lt;=64,"متوسطو العمر (45-64)","كبار السن (+65)"))))</f>
        <v>بالغون (25-44)</v>
      </c>
      <c r="T257" s="41" t="n">
        <f aca="false">IFERROR(L257/P257,0)</f>
        <v>1697.405</v>
      </c>
    </row>
    <row r="258" customFormat="false" ht="15" hidden="false" customHeight="false" outlineLevel="0" collapsed="false">
      <c r="A258" s="42" t="s">
        <v>1219</v>
      </c>
      <c r="B258" s="43" t="n">
        <v>45336</v>
      </c>
      <c r="C258" s="43" t="n">
        <v>45337</v>
      </c>
      <c r="D258" s="42" t="n">
        <v>56</v>
      </c>
      <c r="E258" s="42" t="s">
        <v>154</v>
      </c>
      <c r="F258" s="42" t="s">
        <v>203</v>
      </c>
      <c r="G258" s="42" t="s">
        <v>217</v>
      </c>
      <c r="H258" s="42" t="s">
        <v>193</v>
      </c>
      <c r="I258" s="42" t="s">
        <v>143</v>
      </c>
      <c r="J258" s="42" t="s">
        <v>159</v>
      </c>
      <c r="K258" s="42" t="s">
        <v>145</v>
      </c>
      <c r="L258" s="44" t="n">
        <v>778.87</v>
      </c>
      <c r="M258" s="42" t="n">
        <v>4</v>
      </c>
      <c r="N258" s="42" t="s">
        <v>146</v>
      </c>
      <c r="O258" s="42" t="s">
        <v>147</v>
      </c>
      <c r="P258" s="39" t="n">
        <f aca="false">C258-B258</f>
        <v>1</v>
      </c>
      <c r="Q258" s="40" t="str">
        <f aca="false">CHOOSE(MONTH(B258),"يناير","فبراير","مارس","أبريل","مايو","يونيو","يوليو","أغسطس","سبتمبر","أكتوبر","نوفمبر","ديسمبر")</f>
        <v>فبراير</v>
      </c>
      <c r="R258" s="40" t="str">
        <f aca="false">"الربع "&amp;ROUNDUP(MONTH(B258)/3,0)</f>
        <v>الربع 1</v>
      </c>
      <c r="S258" s="40" t="str">
        <f aca="false">IF(D258&lt;=12,"أطفال (0-12)",IF(D258&lt;=24,"شباب (13-24)",IF(D258&lt;=44,"بالغون (25-44)",IF(D258&lt;=64,"متوسطو العمر (45-64)","كبار السن (+65)"))))</f>
        <v>متوسطو العمر (45-64)</v>
      </c>
      <c r="T258" s="41" t="n">
        <f aca="false">IFERROR(L258/P258,0)</f>
        <v>778.87</v>
      </c>
    </row>
    <row r="259" customFormat="false" ht="15" hidden="false" customHeight="false" outlineLevel="0" collapsed="false">
      <c r="A259" s="33" t="s">
        <v>1316</v>
      </c>
      <c r="B259" s="34" t="n">
        <v>45336</v>
      </c>
      <c r="C259" s="34" t="n">
        <v>45337</v>
      </c>
      <c r="D259" s="33" t="n">
        <v>25</v>
      </c>
      <c r="E259" s="33" t="s">
        <v>154</v>
      </c>
      <c r="F259" s="33" t="s">
        <v>203</v>
      </c>
      <c r="G259" s="33" t="s">
        <v>204</v>
      </c>
      <c r="H259" s="33" t="s">
        <v>193</v>
      </c>
      <c r="I259" s="33" t="s">
        <v>143</v>
      </c>
      <c r="J259" s="33" t="s">
        <v>159</v>
      </c>
      <c r="K259" s="33" t="s">
        <v>209</v>
      </c>
      <c r="L259" s="35" t="n">
        <v>945.16</v>
      </c>
      <c r="M259" s="33" t="n">
        <v>2</v>
      </c>
      <c r="N259" s="33" t="s">
        <v>210</v>
      </c>
      <c r="O259" s="33" t="s">
        <v>147</v>
      </c>
      <c r="P259" s="39" t="n">
        <f aca="false">C259-B259</f>
        <v>1</v>
      </c>
      <c r="Q259" s="40" t="str">
        <f aca="false">CHOOSE(MONTH(B259),"يناير","فبراير","مارس","أبريل","مايو","يونيو","يوليو","أغسطس","سبتمبر","أكتوبر","نوفمبر","ديسمبر")</f>
        <v>فبراير</v>
      </c>
      <c r="R259" s="40" t="str">
        <f aca="false">"الربع "&amp;ROUNDUP(MONTH(B259)/3,0)</f>
        <v>الربع 1</v>
      </c>
      <c r="S259" s="40" t="str">
        <f aca="false">IF(D259&lt;=12,"أطفال (0-12)",IF(D259&lt;=24,"شباب (13-24)",IF(D259&lt;=44,"بالغون (25-44)",IF(D259&lt;=64,"متوسطو العمر (45-64)","كبار السن (+65)"))))</f>
        <v>بالغون (25-44)</v>
      </c>
      <c r="T259" s="41" t="n">
        <f aca="false">IFERROR(L259/P259,0)</f>
        <v>945.16</v>
      </c>
    </row>
    <row r="260" customFormat="false" ht="15" hidden="false" customHeight="false" outlineLevel="0" collapsed="false">
      <c r="A260" s="42" t="s">
        <v>1857</v>
      </c>
      <c r="B260" s="43" t="n">
        <v>45336</v>
      </c>
      <c r="C260" s="43" t="n">
        <v>45337</v>
      </c>
      <c r="D260" s="42" t="n">
        <v>58</v>
      </c>
      <c r="E260" s="42" t="s">
        <v>139</v>
      </c>
      <c r="F260" s="42" t="s">
        <v>203</v>
      </c>
      <c r="G260" s="42" t="s">
        <v>232</v>
      </c>
      <c r="H260" s="42" t="s">
        <v>193</v>
      </c>
      <c r="I260" s="42" t="s">
        <v>158</v>
      </c>
      <c r="J260" s="42" t="s">
        <v>159</v>
      </c>
      <c r="K260" s="42" t="s">
        <v>160</v>
      </c>
      <c r="L260" s="44" t="n">
        <v>909.99</v>
      </c>
      <c r="M260" s="42" t="n">
        <v>3</v>
      </c>
      <c r="N260" s="42" t="s">
        <v>210</v>
      </c>
      <c r="O260" s="42" t="s">
        <v>147</v>
      </c>
      <c r="P260" s="39" t="n">
        <f aca="false">C260-B260</f>
        <v>1</v>
      </c>
      <c r="Q260" s="40" t="str">
        <f aca="false">CHOOSE(MONTH(B260),"يناير","فبراير","مارس","أبريل","مايو","يونيو","يوليو","أغسطس","سبتمبر","أكتوبر","نوفمبر","ديسمبر")</f>
        <v>فبراير</v>
      </c>
      <c r="R260" s="40" t="str">
        <f aca="false">"الربع "&amp;ROUNDUP(MONTH(B260)/3,0)</f>
        <v>الربع 1</v>
      </c>
      <c r="S260" s="40" t="str">
        <f aca="false">IF(D260&lt;=12,"أطفال (0-12)",IF(D260&lt;=24,"شباب (13-24)",IF(D260&lt;=44,"بالغون (25-44)",IF(D260&lt;=64,"متوسطو العمر (45-64)","كبار السن (+65)"))))</f>
        <v>متوسطو العمر (45-64)</v>
      </c>
      <c r="T260" s="41" t="n">
        <f aca="false">IFERROR(L260/P260,0)</f>
        <v>909.99</v>
      </c>
    </row>
    <row r="261" customFormat="false" ht="15" hidden="false" customHeight="false" outlineLevel="0" collapsed="false">
      <c r="A261" s="33" t="s">
        <v>973</v>
      </c>
      <c r="B261" s="34" t="n">
        <v>45336</v>
      </c>
      <c r="C261" s="34" t="n">
        <v>45354</v>
      </c>
      <c r="D261" s="33" t="n">
        <v>55</v>
      </c>
      <c r="E261" s="33" t="s">
        <v>139</v>
      </c>
      <c r="F261" s="33" t="s">
        <v>169</v>
      </c>
      <c r="G261" s="33" t="s">
        <v>213</v>
      </c>
      <c r="H261" s="33" t="s">
        <v>195</v>
      </c>
      <c r="I261" s="33" t="s">
        <v>158</v>
      </c>
      <c r="J261" s="33" t="s">
        <v>159</v>
      </c>
      <c r="K261" s="33" t="s">
        <v>184</v>
      </c>
      <c r="L261" s="35" t="n">
        <v>21941.63</v>
      </c>
      <c r="M261" s="33" t="n">
        <v>4</v>
      </c>
      <c r="N261" s="33" t="s">
        <v>146</v>
      </c>
      <c r="O261" s="33" t="s">
        <v>147</v>
      </c>
      <c r="P261" s="39" t="n">
        <f aca="false">C261-B261</f>
        <v>18</v>
      </c>
      <c r="Q261" s="40" t="str">
        <f aca="false">CHOOSE(MONTH(B261),"يناير","فبراير","مارس","أبريل","مايو","يونيو","يوليو","أغسطس","سبتمبر","أكتوبر","نوفمبر","ديسمبر")</f>
        <v>فبراير</v>
      </c>
      <c r="R261" s="40" t="str">
        <f aca="false">"الربع "&amp;ROUNDUP(MONTH(B261)/3,0)</f>
        <v>الربع 1</v>
      </c>
      <c r="S261" s="40" t="str">
        <f aca="false">IF(D261&lt;=12,"أطفال (0-12)",IF(D261&lt;=24,"شباب (13-24)",IF(D261&lt;=44,"بالغون (25-44)",IF(D261&lt;=64,"متوسطو العمر (45-64)","كبار السن (+65)"))))</f>
        <v>متوسطو العمر (45-64)</v>
      </c>
      <c r="T261" s="41" t="n">
        <f aca="false">IFERROR(L261/P261,0)</f>
        <v>1218.97944444444</v>
      </c>
    </row>
    <row r="262" customFormat="false" ht="15" hidden="false" customHeight="false" outlineLevel="0" collapsed="false">
      <c r="A262" s="42" t="s">
        <v>246</v>
      </c>
      <c r="B262" s="43" t="n">
        <v>45337</v>
      </c>
      <c r="C262" s="43" t="n">
        <v>45338</v>
      </c>
      <c r="D262" s="42" t="n">
        <v>7</v>
      </c>
      <c r="E262" s="42" t="s">
        <v>154</v>
      </c>
      <c r="F262" s="42" t="s">
        <v>203</v>
      </c>
      <c r="G262" s="42" t="s">
        <v>232</v>
      </c>
      <c r="H262" s="42" t="s">
        <v>233</v>
      </c>
      <c r="I262" s="42" t="s">
        <v>143</v>
      </c>
      <c r="J262" s="42" t="s">
        <v>176</v>
      </c>
      <c r="K262" s="42" t="s">
        <v>145</v>
      </c>
      <c r="L262" s="44" t="n">
        <v>3428.61</v>
      </c>
      <c r="M262" s="42" t="n">
        <v>4</v>
      </c>
      <c r="N262" s="42" t="s">
        <v>146</v>
      </c>
      <c r="O262" s="42" t="s">
        <v>247</v>
      </c>
      <c r="P262" s="39" t="n">
        <f aca="false">C262-B262</f>
        <v>1</v>
      </c>
      <c r="Q262" s="40" t="str">
        <f aca="false">CHOOSE(MONTH(B262),"يناير","فبراير","مارس","أبريل","مايو","يونيو","يوليو","أغسطس","سبتمبر","أكتوبر","نوفمبر","ديسمبر")</f>
        <v>فبراير</v>
      </c>
      <c r="R262" s="40" t="str">
        <f aca="false">"الربع "&amp;ROUNDUP(MONTH(B262)/3,0)</f>
        <v>الربع 1</v>
      </c>
      <c r="S262" s="40" t="str">
        <f aca="false">IF(D262&lt;=12,"أطفال (0-12)",IF(D262&lt;=24,"شباب (13-24)",IF(D262&lt;=44,"بالغون (25-44)",IF(D262&lt;=64,"متوسطو العمر (45-64)","كبار السن (+65)"))))</f>
        <v>أطفال (0-12)</v>
      </c>
      <c r="T262" s="41" t="n">
        <f aca="false">IFERROR(L262/P262,0)</f>
        <v>3428.61</v>
      </c>
    </row>
    <row r="263" customFormat="false" ht="15" hidden="false" customHeight="false" outlineLevel="0" collapsed="false">
      <c r="A263" s="33" t="s">
        <v>940</v>
      </c>
      <c r="B263" s="34" t="n">
        <v>45337</v>
      </c>
      <c r="C263" s="34" t="n">
        <v>45338</v>
      </c>
      <c r="D263" s="33" t="n">
        <v>42</v>
      </c>
      <c r="E263" s="33" t="s">
        <v>154</v>
      </c>
      <c r="F263" s="33" t="s">
        <v>140</v>
      </c>
      <c r="G263" s="33" t="s">
        <v>167</v>
      </c>
      <c r="H263" s="33" t="s">
        <v>142</v>
      </c>
      <c r="I263" s="33" t="s">
        <v>143</v>
      </c>
      <c r="J263" s="33" t="s">
        <v>159</v>
      </c>
      <c r="K263" s="33" t="s">
        <v>160</v>
      </c>
      <c r="L263" s="35" t="n">
        <v>2431.09</v>
      </c>
      <c r="M263" s="33" t="n">
        <v>3</v>
      </c>
      <c r="N263" s="33" t="s">
        <v>146</v>
      </c>
      <c r="O263" s="33" t="s">
        <v>147</v>
      </c>
      <c r="P263" s="39" t="n">
        <f aca="false">C263-B263</f>
        <v>1</v>
      </c>
      <c r="Q263" s="40" t="str">
        <f aca="false">CHOOSE(MONTH(B263),"يناير","فبراير","مارس","أبريل","مايو","يونيو","يوليو","أغسطس","سبتمبر","أكتوبر","نوفمبر","ديسمبر")</f>
        <v>فبراير</v>
      </c>
      <c r="R263" s="40" t="str">
        <f aca="false">"الربع "&amp;ROUNDUP(MONTH(B263)/3,0)</f>
        <v>الربع 1</v>
      </c>
      <c r="S263" s="40" t="str">
        <f aca="false">IF(D263&lt;=12,"أطفال (0-12)",IF(D263&lt;=24,"شباب (13-24)",IF(D263&lt;=44,"بالغون (25-44)",IF(D263&lt;=64,"متوسطو العمر (45-64)","كبار السن (+65)"))))</f>
        <v>بالغون (25-44)</v>
      </c>
      <c r="T263" s="41" t="n">
        <f aca="false">IFERROR(L263/P263,0)</f>
        <v>2431.09</v>
      </c>
    </row>
    <row r="264" customFormat="false" ht="15" hidden="false" customHeight="false" outlineLevel="0" collapsed="false">
      <c r="A264" s="42" t="s">
        <v>1795</v>
      </c>
      <c r="B264" s="43" t="n">
        <v>45337</v>
      </c>
      <c r="C264" s="43" t="n">
        <v>45340</v>
      </c>
      <c r="D264" s="42" t="n">
        <v>70</v>
      </c>
      <c r="E264" s="42" t="s">
        <v>154</v>
      </c>
      <c r="F264" s="42" t="s">
        <v>169</v>
      </c>
      <c r="G264" s="42" t="s">
        <v>230</v>
      </c>
      <c r="H264" s="42" t="s">
        <v>195</v>
      </c>
      <c r="I264" s="42" t="s">
        <v>152</v>
      </c>
      <c r="J264" s="42" t="s">
        <v>159</v>
      </c>
      <c r="K264" s="42" t="s">
        <v>145</v>
      </c>
      <c r="L264" s="44" t="n">
        <v>2368.16</v>
      </c>
      <c r="M264" s="42" t="n">
        <v>4</v>
      </c>
      <c r="N264" s="42" t="s">
        <v>146</v>
      </c>
      <c r="O264" s="42" t="s">
        <v>206</v>
      </c>
      <c r="P264" s="39" t="n">
        <f aca="false">C264-B264</f>
        <v>3</v>
      </c>
      <c r="Q264" s="40" t="str">
        <f aca="false">CHOOSE(MONTH(B264),"يناير","فبراير","مارس","أبريل","مايو","يونيو","يوليو","أغسطس","سبتمبر","أكتوبر","نوفمبر","ديسمبر")</f>
        <v>فبراير</v>
      </c>
      <c r="R264" s="40" t="str">
        <f aca="false">"الربع "&amp;ROUNDUP(MONTH(B264)/3,0)</f>
        <v>الربع 1</v>
      </c>
      <c r="S264" s="40" t="str">
        <f aca="false">IF(D264&lt;=12,"أطفال (0-12)",IF(D264&lt;=24,"شباب (13-24)",IF(D264&lt;=44,"بالغون (25-44)",IF(D264&lt;=64,"متوسطو العمر (45-64)","كبار السن (+65)"))))</f>
        <v>كبار السن (+65)</v>
      </c>
      <c r="T264" s="41" t="n">
        <f aca="false">IFERROR(L264/P264,0)</f>
        <v>789.386666666667</v>
      </c>
    </row>
    <row r="265" customFormat="false" ht="15" hidden="false" customHeight="false" outlineLevel="0" collapsed="false">
      <c r="A265" s="33" t="s">
        <v>1513</v>
      </c>
      <c r="B265" s="34" t="n">
        <v>45337</v>
      </c>
      <c r="C265" s="34" t="n">
        <v>45340</v>
      </c>
      <c r="D265" s="33" t="n">
        <v>6</v>
      </c>
      <c r="E265" s="33" t="s">
        <v>154</v>
      </c>
      <c r="F265" s="33" t="s">
        <v>169</v>
      </c>
      <c r="G265" s="33" t="s">
        <v>230</v>
      </c>
      <c r="H265" s="33" t="s">
        <v>195</v>
      </c>
      <c r="I265" s="33" t="s">
        <v>152</v>
      </c>
      <c r="J265" s="33" t="s">
        <v>144</v>
      </c>
      <c r="K265" s="33" t="s">
        <v>209</v>
      </c>
      <c r="L265" s="35" t="n">
        <v>6774.02</v>
      </c>
      <c r="M265" s="33" t="n">
        <v>3</v>
      </c>
      <c r="N265" s="33" t="s">
        <v>146</v>
      </c>
      <c r="O265" s="33" t="s">
        <v>147</v>
      </c>
      <c r="P265" s="39" t="n">
        <f aca="false">C265-B265</f>
        <v>3</v>
      </c>
      <c r="Q265" s="40" t="str">
        <f aca="false">CHOOSE(MONTH(B265),"يناير","فبراير","مارس","أبريل","مايو","يونيو","يوليو","أغسطس","سبتمبر","أكتوبر","نوفمبر","ديسمبر")</f>
        <v>فبراير</v>
      </c>
      <c r="R265" s="40" t="str">
        <f aca="false">"الربع "&amp;ROUNDUP(MONTH(B265)/3,0)</f>
        <v>الربع 1</v>
      </c>
      <c r="S265" s="40" t="str">
        <f aca="false">IF(D265&lt;=12,"أطفال (0-12)",IF(D265&lt;=24,"شباب (13-24)",IF(D265&lt;=44,"بالغون (25-44)",IF(D265&lt;=64,"متوسطو العمر (45-64)","كبار السن (+65)"))))</f>
        <v>أطفال (0-12)</v>
      </c>
      <c r="T265" s="41" t="n">
        <f aca="false">IFERROR(L265/P265,0)</f>
        <v>2258.00666666667</v>
      </c>
    </row>
    <row r="266" customFormat="false" ht="15" hidden="false" customHeight="false" outlineLevel="0" collapsed="false">
      <c r="A266" s="42" t="s">
        <v>2151</v>
      </c>
      <c r="B266" s="43" t="n">
        <v>45337</v>
      </c>
      <c r="C266" s="43" t="n">
        <v>45339</v>
      </c>
      <c r="D266" s="42" t="n">
        <v>47</v>
      </c>
      <c r="E266" s="42" t="s">
        <v>139</v>
      </c>
      <c r="F266" s="42" t="s">
        <v>140</v>
      </c>
      <c r="G266" s="42" t="s">
        <v>167</v>
      </c>
      <c r="H266" s="42" t="s">
        <v>142</v>
      </c>
      <c r="I266" s="42" t="s">
        <v>152</v>
      </c>
      <c r="J266" s="42" t="s">
        <v>159</v>
      </c>
      <c r="K266" s="42" t="s">
        <v>145</v>
      </c>
      <c r="L266" s="44" t="n">
        <v>4404.65</v>
      </c>
      <c r="M266" s="42" t="n">
        <v>5</v>
      </c>
      <c r="N266" s="42" t="s">
        <v>146</v>
      </c>
      <c r="O266" s="42" t="s">
        <v>147</v>
      </c>
      <c r="P266" s="39" t="n">
        <f aca="false">C266-B266</f>
        <v>2</v>
      </c>
      <c r="Q266" s="40" t="str">
        <f aca="false">CHOOSE(MONTH(B266),"يناير","فبراير","مارس","أبريل","مايو","يونيو","يوليو","أغسطس","سبتمبر","أكتوبر","نوفمبر","ديسمبر")</f>
        <v>فبراير</v>
      </c>
      <c r="R266" s="40" t="str">
        <f aca="false">"الربع "&amp;ROUNDUP(MONTH(B266)/3,0)</f>
        <v>الربع 1</v>
      </c>
      <c r="S266" s="40" t="str">
        <f aca="false">IF(D266&lt;=12,"أطفال (0-12)",IF(D266&lt;=24,"شباب (13-24)",IF(D266&lt;=44,"بالغون (25-44)",IF(D266&lt;=64,"متوسطو العمر (45-64)","كبار السن (+65)"))))</f>
        <v>متوسطو العمر (45-64)</v>
      </c>
      <c r="T266" s="41" t="n">
        <f aca="false">IFERROR(L266/P266,0)</f>
        <v>2202.325</v>
      </c>
    </row>
    <row r="267" customFormat="false" ht="15" hidden="false" customHeight="false" outlineLevel="0" collapsed="false">
      <c r="A267" s="33" t="s">
        <v>1221</v>
      </c>
      <c r="B267" s="34" t="n">
        <v>45338</v>
      </c>
      <c r="C267" s="34" t="n">
        <v>45342</v>
      </c>
      <c r="D267" s="33" t="n">
        <v>46</v>
      </c>
      <c r="E267" s="33" t="s">
        <v>139</v>
      </c>
      <c r="F267" s="33" t="s">
        <v>181</v>
      </c>
      <c r="G267" s="33" t="s">
        <v>188</v>
      </c>
      <c r="H267" s="33" t="s">
        <v>183</v>
      </c>
      <c r="I267" s="33" t="s">
        <v>143</v>
      </c>
      <c r="J267" s="33" t="s">
        <v>159</v>
      </c>
      <c r="K267" s="33" t="s">
        <v>184</v>
      </c>
      <c r="L267" s="35" t="n">
        <v>9924.64</v>
      </c>
      <c r="M267" s="33" t="n">
        <v>4</v>
      </c>
      <c r="N267" s="33" t="s">
        <v>146</v>
      </c>
      <c r="O267" s="33" t="s">
        <v>147</v>
      </c>
      <c r="P267" s="39" t="n">
        <f aca="false">C267-B267</f>
        <v>4</v>
      </c>
      <c r="Q267" s="40" t="str">
        <f aca="false">CHOOSE(MONTH(B267),"يناير","فبراير","مارس","أبريل","مايو","يونيو","يوليو","أغسطس","سبتمبر","أكتوبر","نوفمبر","ديسمبر")</f>
        <v>فبراير</v>
      </c>
      <c r="R267" s="40" t="str">
        <f aca="false">"الربع "&amp;ROUNDUP(MONTH(B267)/3,0)</f>
        <v>الربع 1</v>
      </c>
      <c r="S267" s="40" t="str">
        <f aca="false">IF(D267&lt;=12,"أطفال (0-12)",IF(D267&lt;=24,"شباب (13-24)",IF(D267&lt;=44,"بالغون (25-44)",IF(D267&lt;=64,"متوسطو العمر (45-64)","كبار السن (+65)"))))</f>
        <v>متوسطو العمر (45-64)</v>
      </c>
      <c r="T267" s="41" t="n">
        <f aca="false">IFERROR(L267/P267,0)</f>
        <v>2481.16</v>
      </c>
    </row>
    <row r="268" customFormat="false" ht="15" hidden="false" customHeight="false" outlineLevel="0" collapsed="false">
      <c r="A268" s="42" t="s">
        <v>2088</v>
      </c>
      <c r="B268" s="43" t="n">
        <v>45338</v>
      </c>
      <c r="C268" s="43" t="n">
        <v>45347</v>
      </c>
      <c r="D268" s="42" t="n">
        <v>35</v>
      </c>
      <c r="E268" s="42" t="s">
        <v>139</v>
      </c>
      <c r="F268" s="42" t="s">
        <v>169</v>
      </c>
      <c r="G268" s="42" t="s">
        <v>213</v>
      </c>
      <c r="H268" s="42" t="s">
        <v>171</v>
      </c>
      <c r="I268" s="42" t="s">
        <v>152</v>
      </c>
      <c r="J268" s="42" t="s">
        <v>144</v>
      </c>
      <c r="K268" s="42" t="s">
        <v>160</v>
      </c>
      <c r="L268" s="44" t="n">
        <v>15506.72</v>
      </c>
      <c r="M268" s="42" t="n">
        <v>4</v>
      </c>
      <c r="N268" s="42" t="s">
        <v>146</v>
      </c>
      <c r="O268" s="42" t="s">
        <v>147</v>
      </c>
      <c r="P268" s="39" t="n">
        <f aca="false">C268-B268</f>
        <v>9</v>
      </c>
      <c r="Q268" s="40" t="str">
        <f aca="false">CHOOSE(MONTH(B268),"يناير","فبراير","مارس","أبريل","مايو","يونيو","يوليو","أغسطس","سبتمبر","أكتوبر","نوفمبر","ديسمبر")</f>
        <v>فبراير</v>
      </c>
      <c r="R268" s="40" t="str">
        <f aca="false">"الربع "&amp;ROUNDUP(MONTH(B268)/3,0)</f>
        <v>الربع 1</v>
      </c>
      <c r="S268" s="40" t="str">
        <f aca="false">IF(D268&lt;=12,"أطفال (0-12)",IF(D268&lt;=24,"شباب (13-24)",IF(D268&lt;=44,"بالغون (25-44)",IF(D268&lt;=64,"متوسطو العمر (45-64)","كبار السن (+65)"))))</f>
        <v>بالغون (25-44)</v>
      </c>
      <c r="T268" s="41" t="n">
        <f aca="false">IFERROR(L268/P268,0)</f>
        <v>1722.96888888889</v>
      </c>
    </row>
    <row r="269" customFormat="false" ht="15" hidden="false" customHeight="false" outlineLevel="0" collapsed="false">
      <c r="A269" s="33" t="s">
        <v>211</v>
      </c>
      <c r="B269" s="34" t="n">
        <v>45338</v>
      </c>
      <c r="C269" s="34" t="n">
        <v>45341</v>
      </c>
      <c r="D269" s="33" t="n">
        <v>46</v>
      </c>
      <c r="E269" s="33" t="s">
        <v>154</v>
      </c>
      <c r="F269" s="33" t="s">
        <v>169</v>
      </c>
      <c r="G269" s="33" t="s">
        <v>213</v>
      </c>
      <c r="H269" s="33" t="s">
        <v>195</v>
      </c>
      <c r="I269" s="33" t="s">
        <v>152</v>
      </c>
      <c r="J269" s="33" t="s">
        <v>159</v>
      </c>
      <c r="K269" s="33" t="s">
        <v>160</v>
      </c>
      <c r="L269" s="35" t="n">
        <v>2836.96</v>
      </c>
      <c r="M269" s="33" t="n">
        <v>4</v>
      </c>
      <c r="N269" s="33" t="s">
        <v>146</v>
      </c>
      <c r="O269" s="33" t="s">
        <v>147</v>
      </c>
      <c r="P269" s="39" t="n">
        <f aca="false">C269-B269</f>
        <v>3</v>
      </c>
      <c r="Q269" s="40" t="str">
        <f aca="false">CHOOSE(MONTH(B269),"يناير","فبراير","مارس","أبريل","مايو","يونيو","يوليو","أغسطس","سبتمبر","أكتوبر","نوفمبر","ديسمبر")</f>
        <v>فبراير</v>
      </c>
      <c r="R269" s="40" t="str">
        <f aca="false">"الربع "&amp;ROUNDUP(MONTH(B269)/3,0)</f>
        <v>الربع 1</v>
      </c>
      <c r="S269" s="40" t="str">
        <f aca="false">IF(D269&lt;=12,"أطفال (0-12)",IF(D269&lt;=24,"شباب (13-24)",IF(D269&lt;=44,"بالغون (25-44)",IF(D269&lt;=64,"متوسطو العمر (45-64)","كبار السن (+65)"))))</f>
        <v>متوسطو العمر (45-64)</v>
      </c>
      <c r="T269" s="41" t="n">
        <f aca="false">IFERROR(L269/P269,0)</f>
        <v>945.653333333333</v>
      </c>
    </row>
    <row r="270" customFormat="false" ht="15" hidden="false" customHeight="false" outlineLevel="0" collapsed="false">
      <c r="A270" s="42" t="s">
        <v>690</v>
      </c>
      <c r="B270" s="43" t="n">
        <v>45338</v>
      </c>
      <c r="C270" s="43" t="n">
        <v>45340</v>
      </c>
      <c r="D270" s="42" t="n">
        <v>46</v>
      </c>
      <c r="E270" s="42" t="s">
        <v>139</v>
      </c>
      <c r="F270" s="42" t="s">
        <v>140</v>
      </c>
      <c r="G270" s="42" t="s">
        <v>316</v>
      </c>
      <c r="H270" s="42" t="s">
        <v>290</v>
      </c>
      <c r="I270" s="42" t="s">
        <v>143</v>
      </c>
      <c r="J270" s="42" t="s">
        <v>159</v>
      </c>
      <c r="K270" s="42" t="s">
        <v>145</v>
      </c>
      <c r="L270" s="44" t="n">
        <v>4726.4</v>
      </c>
      <c r="M270" s="42" t="n">
        <v>5</v>
      </c>
      <c r="N270" s="42" t="s">
        <v>146</v>
      </c>
      <c r="O270" s="42" t="s">
        <v>147</v>
      </c>
      <c r="P270" s="39" t="n">
        <f aca="false">C270-B270</f>
        <v>2</v>
      </c>
      <c r="Q270" s="40" t="str">
        <f aca="false">CHOOSE(MONTH(B270),"يناير","فبراير","مارس","أبريل","مايو","يونيو","يوليو","أغسطس","سبتمبر","أكتوبر","نوفمبر","ديسمبر")</f>
        <v>فبراير</v>
      </c>
      <c r="R270" s="40" t="str">
        <f aca="false">"الربع "&amp;ROUNDUP(MONTH(B270)/3,0)</f>
        <v>الربع 1</v>
      </c>
      <c r="S270" s="40" t="str">
        <f aca="false">IF(D270&lt;=12,"أطفال (0-12)",IF(D270&lt;=24,"شباب (13-24)",IF(D270&lt;=44,"بالغون (25-44)",IF(D270&lt;=64,"متوسطو العمر (45-64)","كبار السن (+65)"))))</f>
        <v>متوسطو العمر (45-64)</v>
      </c>
      <c r="T270" s="41" t="n">
        <f aca="false">IFERROR(L270/P270,0)</f>
        <v>2363.2</v>
      </c>
    </row>
    <row r="271" customFormat="false" ht="15" hidden="false" customHeight="false" outlineLevel="0" collapsed="false">
      <c r="A271" s="33" t="s">
        <v>715</v>
      </c>
      <c r="B271" s="34" t="n">
        <v>45338</v>
      </c>
      <c r="C271" s="34" t="n">
        <v>45344</v>
      </c>
      <c r="D271" s="33" t="n">
        <v>56</v>
      </c>
      <c r="E271" s="33" t="s">
        <v>154</v>
      </c>
      <c r="F271" s="33" t="s">
        <v>169</v>
      </c>
      <c r="G271" s="33" t="s">
        <v>163</v>
      </c>
      <c r="H271" s="33" t="s">
        <v>171</v>
      </c>
      <c r="I271" s="33" t="s">
        <v>152</v>
      </c>
      <c r="J271" s="33" t="s">
        <v>176</v>
      </c>
      <c r="K271" s="33" t="s">
        <v>160</v>
      </c>
      <c r="L271" s="35" t="n">
        <v>19857.06</v>
      </c>
      <c r="M271" s="33" t="n">
        <v>5</v>
      </c>
      <c r="N271" s="33" t="s">
        <v>146</v>
      </c>
      <c r="O271" s="33" t="s">
        <v>147</v>
      </c>
      <c r="P271" s="39" t="n">
        <f aca="false">C271-B271</f>
        <v>6</v>
      </c>
      <c r="Q271" s="40" t="str">
        <f aca="false">CHOOSE(MONTH(B271),"يناير","فبراير","مارس","أبريل","مايو","يونيو","يوليو","أغسطس","سبتمبر","أكتوبر","نوفمبر","ديسمبر")</f>
        <v>فبراير</v>
      </c>
      <c r="R271" s="40" t="str">
        <f aca="false">"الربع "&amp;ROUNDUP(MONTH(B271)/3,0)</f>
        <v>الربع 1</v>
      </c>
      <c r="S271" s="40" t="str">
        <f aca="false">IF(D271&lt;=12,"أطفال (0-12)",IF(D271&lt;=24,"شباب (13-24)",IF(D271&lt;=44,"بالغون (25-44)",IF(D271&lt;=64,"متوسطو العمر (45-64)","كبار السن (+65)"))))</f>
        <v>متوسطو العمر (45-64)</v>
      </c>
      <c r="T271" s="41" t="n">
        <f aca="false">IFERROR(L271/P271,0)</f>
        <v>3309.51</v>
      </c>
    </row>
    <row r="272" customFormat="false" ht="15" hidden="false" customHeight="false" outlineLevel="0" collapsed="false">
      <c r="A272" s="42" t="s">
        <v>1693</v>
      </c>
      <c r="B272" s="43" t="n">
        <v>45338</v>
      </c>
      <c r="C272" s="43" t="n">
        <v>45342</v>
      </c>
      <c r="D272" s="42" t="n">
        <v>72</v>
      </c>
      <c r="E272" s="42" t="s">
        <v>139</v>
      </c>
      <c r="F272" s="42" t="s">
        <v>169</v>
      </c>
      <c r="G272" s="42" t="s">
        <v>163</v>
      </c>
      <c r="H272" s="42" t="s">
        <v>171</v>
      </c>
      <c r="I272" s="42" t="s">
        <v>143</v>
      </c>
      <c r="J272" s="42" t="s">
        <v>159</v>
      </c>
      <c r="K272" s="42" t="s">
        <v>145</v>
      </c>
      <c r="L272" s="44" t="n">
        <v>4918</v>
      </c>
      <c r="M272" s="42" t="n">
        <v>5</v>
      </c>
      <c r="N272" s="42" t="s">
        <v>146</v>
      </c>
      <c r="O272" s="42" t="s">
        <v>147</v>
      </c>
      <c r="P272" s="39" t="n">
        <f aca="false">C272-B272</f>
        <v>4</v>
      </c>
      <c r="Q272" s="40" t="str">
        <f aca="false">CHOOSE(MONTH(B272),"يناير","فبراير","مارس","أبريل","مايو","يونيو","يوليو","أغسطس","سبتمبر","أكتوبر","نوفمبر","ديسمبر")</f>
        <v>فبراير</v>
      </c>
      <c r="R272" s="40" t="str">
        <f aca="false">"الربع "&amp;ROUNDUP(MONTH(B272)/3,0)</f>
        <v>الربع 1</v>
      </c>
      <c r="S272" s="40" t="str">
        <f aca="false">IF(D272&lt;=12,"أطفال (0-12)",IF(D272&lt;=24,"شباب (13-24)",IF(D272&lt;=44,"بالغون (25-44)",IF(D272&lt;=64,"متوسطو العمر (45-64)","كبار السن (+65)"))))</f>
        <v>كبار السن (+65)</v>
      </c>
      <c r="T272" s="41" t="n">
        <f aca="false">IFERROR(L272/P272,0)</f>
        <v>1229.5</v>
      </c>
    </row>
    <row r="273" customFormat="false" ht="15" hidden="false" customHeight="false" outlineLevel="0" collapsed="false">
      <c r="A273" s="33" t="s">
        <v>2040</v>
      </c>
      <c r="B273" s="34" t="n">
        <v>45338</v>
      </c>
      <c r="C273" s="34" t="n">
        <v>45341</v>
      </c>
      <c r="D273" s="33" t="n">
        <v>0</v>
      </c>
      <c r="E273" s="33" t="s">
        <v>139</v>
      </c>
      <c r="F273" s="33" t="s">
        <v>155</v>
      </c>
      <c r="G273" s="33" t="s">
        <v>220</v>
      </c>
      <c r="H273" s="33" t="s">
        <v>222</v>
      </c>
      <c r="I273" s="33" t="s">
        <v>143</v>
      </c>
      <c r="J273" s="33" t="s">
        <v>159</v>
      </c>
      <c r="K273" s="33" t="s">
        <v>145</v>
      </c>
      <c r="L273" s="35" t="n">
        <v>1966.86</v>
      </c>
      <c r="M273" s="33" t="n">
        <v>4</v>
      </c>
      <c r="N273" s="33" t="s">
        <v>146</v>
      </c>
      <c r="O273" s="33" t="s">
        <v>147</v>
      </c>
      <c r="P273" s="39" t="n">
        <f aca="false">C273-B273</f>
        <v>3</v>
      </c>
      <c r="Q273" s="40" t="str">
        <f aca="false">CHOOSE(MONTH(B273),"يناير","فبراير","مارس","أبريل","مايو","يونيو","يوليو","أغسطس","سبتمبر","أكتوبر","نوفمبر","ديسمبر")</f>
        <v>فبراير</v>
      </c>
      <c r="R273" s="40" t="str">
        <f aca="false">"الربع "&amp;ROUNDUP(MONTH(B273)/3,0)</f>
        <v>الربع 1</v>
      </c>
      <c r="S273" s="40" t="str">
        <f aca="false">IF(D273&lt;=12,"أطفال (0-12)",IF(D273&lt;=24,"شباب (13-24)",IF(D273&lt;=44,"بالغون (25-44)",IF(D273&lt;=64,"متوسطو العمر (45-64)","كبار السن (+65)"))))</f>
        <v>أطفال (0-12)</v>
      </c>
      <c r="T273" s="41" t="n">
        <f aca="false">IFERROR(L273/P273,0)</f>
        <v>655.62</v>
      </c>
    </row>
    <row r="274" customFormat="false" ht="15" hidden="false" customHeight="false" outlineLevel="0" collapsed="false">
      <c r="A274" s="42" t="s">
        <v>2109</v>
      </c>
      <c r="B274" s="43" t="n">
        <v>45338</v>
      </c>
      <c r="C274" s="43" t="n">
        <v>45340</v>
      </c>
      <c r="D274" s="42" t="n">
        <v>73</v>
      </c>
      <c r="E274" s="42" t="s">
        <v>139</v>
      </c>
      <c r="F274" s="42" t="s">
        <v>181</v>
      </c>
      <c r="G274" s="42" t="s">
        <v>188</v>
      </c>
      <c r="H274" s="42" t="s">
        <v>183</v>
      </c>
      <c r="I274" s="42" t="s">
        <v>152</v>
      </c>
      <c r="J274" s="42" t="s">
        <v>144</v>
      </c>
      <c r="K274" s="42" t="s">
        <v>160</v>
      </c>
      <c r="L274" s="44" t="n">
        <v>8528.09</v>
      </c>
      <c r="M274" s="42" t="n">
        <v>4</v>
      </c>
      <c r="N274" s="42" t="s">
        <v>146</v>
      </c>
      <c r="O274" s="42" t="s">
        <v>147</v>
      </c>
      <c r="P274" s="39" t="n">
        <f aca="false">C274-B274</f>
        <v>2</v>
      </c>
      <c r="Q274" s="40" t="str">
        <f aca="false">CHOOSE(MONTH(B274),"يناير","فبراير","مارس","أبريل","مايو","يونيو","يوليو","أغسطس","سبتمبر","أكتوبر","نوفمبر","ديسمبر")</f>
        <v>فبراير</v>
      </c>
      <c r="R274" s="40" t="str">
        <f aca="false">"الربع "&amp;ROUNDUP(MONTH(B274)/3,0)</f>
        <v>الربع 1</v>
      </c>
      <c r="S274" s="40" t="str">
        <f aca="false">IF(D274&lt;=12,"أطفال (0-12)",IF(D274&lt;=24,"شباب (13-24)",IF(D274&lt;=44,"بالغون (25-44)",IF(D274&lt;=64,"متوسطو العمر (45-64)","كبار السن (+65)"))))</f>
        <v>كبار السن (+65)</v>
      </c>
      <c r="T274" s="41" t="n">
        <f aca="false">IFERROR(L274/P274,0)</f>
        <v>4264.045</v>
      </c>
    </row>
    <row r="275" customFormat="false" ht="15" hidden="false" customHeight="false" outlineLevel="0" collapsed="false">
      <c r="A275" s="33" t="s">
        <v>2123</v>
      </c>
      <c r="B275" s="34" t="n">
        <v>45338</v>
      </c>
      <c r="C275" s="34" t="n">
        <v>45339</v>
      </c>
      <c r="D275" s="33" t="n">
        <v>31</v>
      </c>
      <c r="E275" s="33" t="s">
        <v>154</v>
      </c>
      <c r="F275" s="33" t="s">
        <v>203</v>
      </c>
      <c r="G275" s="33" t="s">
        <v>192</v>
      </c>
      <c r="H275" s="33" t="s">
        <v>233</v>
      </c>
      <c r="I275" s="33" t="s">
        <v>143</v>
      </c>
      <c r="J275" s="33" t="s">
        <v>176</v>
      </c>
      <c r="K275" s="33" t="s">
        <v>209</v>
      </c>
      <c r="L275" s="35" t="n">
        <v>2309.18</v>
      </c>
      <c r="M275" s="33" t="n">
        <v>4</v>
      </c>
      <c r="N275" s="33" t="s">
        <v>210</v>
      </c>
      <c r="O275" s="33" t="s">
        <v>147</v>
      </c>
      <c r="P275" s="39" t="n">
        <f aca="false">C275-B275</f>
        <v>1</v>
      </c>
      <c r="Q275" s="40" t="str">
        <f aca="false">CHOOSE(MONTH(B275),"يناير","فبراير","مارس","أبريل","مايو","يونيو","يوليو","أغسطس","سبتمبر","أكتوبر","نوفمبر","ديسمبر")</f>
        <v>فبراير</v>
      </c>
      <c r="R275" s="40" t="str">
        <f aca="false">"الربع "&amp;ROUNDUP(MONTH(B275)/3,0)</f>
        <v>الربع 1</v>
      </c>
      <c r="S275" s="40" t="str">
        <f aca="false">IF(D275&lt;=12,"أطفال (0-12)",IF(D275&lt;=24,"شباب (13-24)",IF(D275&lt;=44,"بالغون (25-44)",IF(D275&lt;=64,"متوسطو العمر (45-64)","كبار السن (+65)"))))</f>
        <v>بالغون (25-44)</v>
      </c>
      <c r="T275" s="41" t="n">
        <f aca="false">IFERROR(L275/P275,0)</f>
        <v>2309.18</v>
      </c>
    </row>
    <row r="276" customFormat="false" ht="15" hidden="false" customHeight="false" outlineLevel="0" collapsed="false">
      <c r="A276" s="42" t="s">
        <v>2000</v>
      </c>
      <c r="B276" s="43" t="n">
        <v>45339</v>
      </c>
      <c r="C276" s="43" t="n">
        <v>45343</v>
      </c>
      <c r="D276" s="42" t="n">
        <v>3</v>
      </c>
      <c r="E276" s="42" t="s">
        <v>139</v>
      </c>
      <c r="F276" s="42" t="s">
        <v>155</v>
      </c>
      <c r="G276" s="42" t="s">
        <v>156</v>
      </c>
      <c r="H276" s="42" t="s">
        <v>157</v>
      </c>
      <c r="I276" s="42" t="s">
        <v>152</v>
      </c>
      <c r="J276" s="42" t="s">
        <v>159</v>
      </c>
      <c r="K276" s="42" t="s">
        <v>184</v>
      </c>
      <c r="L276" s="44" t="n">
        <v>3160.89</v>
      </c>
      <c r="M276" s="42" t="n">
        <v>4</v>
      </c>
      <c r="N276" s="42" t="s">
        <v>146</v>
      </c>
      <c r="O276" s="42" t="s">
        <v>147</v>
      </c>
      <c r="P276" s="39" t="n">
        <f aca="false">C276-B276</f>
        <v>4</v>
      </c>
      <c r="Q276" s="40" t="str">
        <f aca="false">CHOOSE(MONTH(B276),"يناير","فبراير","مارس","أبريل","مايو","يونيو","يوليو","أغسطس","سبتمبر","أكتوبر","نوفمبر","ديسمبر")</f>
        <v>فبراير</v>
      </c>
      <c r="R276" s="40" t="str">
        <f aca="false">"الربع "&amp;ROUNDUP(MONTH(B276)/3,0)</f>
        <v>الربع 1</v>
      </c>
      <c r="S276" s="40" t="str">
        <f aca="false">IF(D276&lt;=12,"أطفال (0-12)",IF(D276&lt;=24,"شباب (13-24)",IF(D276&lt;=44,"بالغون (25-44)",IF(D276&lt;=64,"متوسطو العمر (45-64)","كبار السن (+65)"))))</f>
        <v>أطفال (0-12)</v>
      </c>
      <c r="T276" s="41" t="n">
        <f aca="false">IFERROR(L276/P276,0)</f>
        <v>790.2225</v>
      </c>
    </row>
    <row r="277" customFormat="false" ht="15" hidden="false" customHeight="false" outlineLevel="0" collapsed="false">
      <c r="A277" s="33" t="s">
        <v>2034</v>
      </c>
      <c r="B277" s="34" t="n">
        <v>45339</v>
      </c>
      <c r="C277" s="34" t="n">
        <v>45344</v>
      </c>
      <c r="D277" s="33" t="n">
        <v>12</v>
      </c>
      <c r="E277" s="33" t="s">
        <v>154</v>
      </c>
      <c r="F277" s="33" t="s">
        <v>155</v>
      </c>
      <c r="G277" s="33" t="s">
        <v>302</v>
      </c>
      <c r="H277" s="33" t="s">
        <v>157</v>
      </c>
      <c r="I277" s="33" t="s">
        <v>158</v>
      </c>
      <c r="J277" s="33" t="s">
        <v>159</v>
      </c>
      <c r="K277" s="33" t="s">
        <v>160</v>
      </c>
      <c r="L277" s="35" t="n">
        <v>4130.51</v>
      </c>
      <c r="M277" s="33" t="n">
        <v>3</v>
      </c>
      <c r="N277" s="33" t="s">
        <v>146</v>
      </c>
      <c r="O277" s="33" t="s">
        <v>147</v>
      </c>
      <c r="P277" s="39" t="n">
        <f aca="false">C277-B277</f>
        <v>5</v>
      </c>
      <c r="Q277" s="40" t="str">
        <f aca="false">CHOOSE(MONTH(B277),"يناير","فبراير","مارس","أبريل","مايو","يونيو","يوليو","أغسطس","سبتمبر","أكتوبر","نوفمبر","ديسمبر")</f>
        <v>فبراير</v>
      </c>
      <c r="R277" s="40" t="str">
        <f aca="false">"الربع "&amp;ROUNDUP(MONTH(B277)/3,0)</f>
        <v>الربع 1</v>
      </c>
      <c r="S277" s="40" t="str">
        <f aca="false">IF(D277&lt;=12,"أطفال (0-12)",IF(D277&lt;=24,"شباب (13-24)",IF(D277&lt;=44,"بالغون (25-44)",IF(D277&lt;=64,"متوسطو العمر (45-64)","كبار السن (+65)"))))</f>
        <v>أطفال (0-12)</v>
      </c>
      <c r="T277" s="41" t="n">
        <f aca="false">IFERROR(L277/P277,0)</f>
        <v>826.102</v>
      </c>
    </row>
    <row r="278" customFormat="false" ht="15" hidden="false" customHeight="false" outlineLevel="0" collapsed="false">
      <c r="A278" s="42" t="s">
        <v>495</v>
      </c>
      <c r="B278" s="43" t="n">
        <v>45339</v>
      </c>
      <c r="C278" s="43" t="n">
        <v>45341</v>
      </c>
      <c r="D278" s="42" t="n">
        <v>45</v>
      </c>
      <c r="E278" s="42" t="s">
        <v>139</v>
      </c>
      <c r="F278" s="42" t="s">
        <v>169</v>
      </c>
      <c r="G278" s="42" t="s">
        <v>163</v>
      </c>
      <c r="H278" s="42" t="s">
        <v>195</v>
      </c>
      <c r="I278" s="42" t="s">
        <v>143</v>
      </c>
      <c r="J278" s="42" t="s">
        <v>144</v>
      </c>
      <c r="K278" s="42" t="s">
        <v>160</v>
      </c>
      <c r="L278" s="44" t="n">
        <v>3720.8</v>
      </c>
      <c r="M278" s="42" t="n">
        <v>3</v>
      </c>
      <c r="N278" s="42" t="s">
        <v>146</v>
      </c>
      <c r="O278" s="42" t="s">
        <v>147</v>
      </c>
      <c r="P278" s="39" t="n">
        <f aca="false">C278-B278</f>
        <v>2</v>
      </c>
      <c r="Q278" s="40" t="str">
        <f aca="false">CHOOSE(MONTH(B278),"يناير","فبراير","مارس","أبريل","مايو","يونيو","يوليو","أغسطس","سبتمبر","أكتوبر","نوفمبر","ديسمبر")</f>
        <v>فبراير</v>
      </c>
      <c r="R278" s="40" t="str">
        <f aca="false">"الربع "&amp;ROUNDUP(MONTH(B278)/3,0)</f>
        <v>الربع 1</v>
      </c>
      <c r="S278" s="40" t="str">
        <f aca="false">IF(D278&lt;=12,"أطفال (0-12)",IF(D278&lt;=24,"شباب (13-24)",IF(D278&lt;=44,"بالغون (25-44)",IF(D278&lt;=64,"متوسطو العمر (45-64)","كبار السن (+65)"))))</f>
        <v>متوسطو العمر (45-64)</v>
      </c>
      <c r="T278" s="41" t="n">
        <f aca="false">IFERROR(L278/P278,0)</f>
        <v>1860.4</v>
      </c>
    </row>
    <row r="279" customFormat="false" ht="15" hidden="false" customHeight="false" outlineLevel="0" collapsed="false">
      <c r="A279" s="33" t="s">
        <v>2293</v>
      </c>
      <c r="B279" s="34" t="n">
        <v>45339</v>
      </c>
      <c r="C279" s="34" t="n">
        <v>45341</v>
      </c>
      <c r="D279" s="33" t="n">
        <v>44</v>
      </c>
      <c r="E279" s="33" t="s">
        <v>139</v>
      </c>
      <c r="F279" s="33" t="s">
        <v>169</v>
      </c>
      <c r="G279" s="33" t="s">
        <v>170</v>
      </c>
      <c r="H279" s="33" t="s">
        <v>171</v>
      </c>
      <c r="I279" s="33" t="s">
        <v>143</v>
      </c>
      <c r="J279" s="33" t="s">
        <v>159</v>
      </c>
      <c r="K279" s="33" t="s">
        <v>145</v>
      </c>
      <c r="L279" s="35" t="n">
        <v>2141.97</v>
      </c>
      <c r="M279" s="33" t="n">
        <v>3</v>
      </c>
      <c r="N279" s="33" t="s">
        <v>146</v>
      </c>
      <c r="O279" s="33" t="s">
        <v>147</v>
      </c>
      <c r="P279" s="39" t="n">
        <f aca="false">C279-B279</f>
        <v>2</v>
      </c>
      <c r="Q279" s="40" t="str">
        <f aca="false">CHOOSE(MONTH(B279),"يناير","فبراير","مارس","أبريل","مايو","يونيو","يوليو","أغسطس","سبتمبر","أكتوبر","نوفمبر","ديسمبر")</f>
        <v>فبراير</v>
      </c>
      <c r="R279" s="40" t="str">
        <f aca="false">"الربع "&amp;ROUNDUP(MONTH(B279)/3,0)</f>
        <v>الربع 1</v>
      </c>
      <c r="S279" s="40" t="str">
        <f aca="false">IF(D279&lt;=12,"أطفال (0-12)",IF(D279&lt;=24,"شباب (13-24)",IF(D279&lt;=44,"بالغون (25-44)",IF(D279&lt;=64,"متوسطو العمر (45-64)","كبار السن (+65)"))))</f>
        <v>بالغون (25-44)</v>
      </c>
      <c r="T279" s="41" t="n">
        <f aca="false">IFERROR(L279/P279,0)</f>
        <v>1070.985</v>
      </c>
    </row>
    <row r="280" customFormat="false" ht="15" hidden="false" customHeight="false" outlineLevel="0" collapsed="false">
      <c r="A280" s="42" t="s">
        <v>2176</v>
      </c>
      <c r="B280" s="43" t="n">
        <v>45339</v>
      </c>
      <c r="C280" s="43" t="n">
        <v>45341</v>
      </c>
      <c r="D280" s="42" t="n">
        <v>31</v>
      </c>
      <c r="E280" s="42" t="s">
        <v>139</v>
      </c>
      <c r="F280" s="42" t="s">
        <v>140</v>
      </c>
      <c r="G280" s="42" t="s">
        <v>141</v>
      </c>
      <c r="H280" s="42" t="s">
        <v>290</v>
      </c>
      <c r="I280" s="42" t="s">
        <v>152</v>
      </c>
      <c r="J280" s="42" t="s">
        <v>144</v>
      </c>
      <c r="K280" s="42" t="s">
        <v>160</v>
      </c>
      <c r="L280" s="44" t="n">
        <v>7773.08</v>
      </c>
      <c r="M280" s="42" t="n">
        <v>4</v>
      </c>
      <c r="N280" s="42" t="s">
        <v>146</v>
      </c>
      <c r="O280" s="42" t="s">
        <v>147</v>
      </c>
      <c r="P280" s="39" t="n">
        <f aca="false">C280-B280</f>
        <v>2</v>
      </c>
      <c r="Q280" s="40" t="str">
        <f aca="false">CHOOSE(MONTH(B280),"يناير","فبراير","مارس","أبريل","مايو","يونيو","يوليو","أغسطس","سبتمبر","أكتوبر","نوفمبر","ديسمبر")</f>
        <v>فبراير</v>
      </c>
      <c r="R280" s="40" t="str">
        <f aca="false">"الربع "&amp;ROUNDUP(MONTH(B280)/3,0)</f>
        <v>الربع 1</v>
      </c>
      <c r="S280" s="40" t="str">
        <f aca="false">IF(D280&lt;=12,"أطفال (0-12)",IF(D280&lt;=24,"شباب (13-24)",IF(D280&lt;=44,"بالغون (25-44)",IF(D280&lt;=64,"متوسطو العمر (45-64)","كبار السن (+65)"))))</f>
        <v>بالغون (25-44)</v>
      </c>
      <c r="T280" s="41" t="n">
        <f aca="false">IFERROR(L280/P280,0)</f>
        <v>3886.54</v>
      </c>
    </row>
    <row r="281" customFormat="false" ht="15" hidden="false" customHeight="false" outlineLevel="0" collapsed="false">
      <c r="A281" s="33" t="s">
        <v>457</v>
      </c>
      <c r="B281" s="34" t="n">
        <v>45339</v>
      </c>
      <c r="C281" s="34" t="n">
        <v>45340</v>
      </c>
      <c r="D281" s="33" t="n">
        <v>12</v>
      </c>
      <c r="E281" s="33" t="s">
        <v>139</v>
      </c>
      <c r="F281" s="33" t="s">
        <v>203</v>
      </c>
      <c r="G281" s="33" t="s">
        <v>232</v>
      </c>
      <c r="H281" s="33" t="s">
        <v>205</v>
      </c>
      <c r="I281" s="33" t="s">
        <v>143</v>
      </c>
      <c r="J281" s="33" t="s">
        <v>159</v>
      </c>
      <c r="K281" s="33" t="s">
        <v>184</v>
      </c>
      <c r="L281" s="35" t="n">
        <v>717.48</v>
      </c>
      <c r="M281" s="33" t="n">
        <v>3</v>
      </c>
      <c r="N281" s="33" t="s">
        <v>146</v>
      </c>
      <c r="O281" s="33" t="s">
        <v>147</v>
      </c>
      <c r="P281" s="39" t="n">
        <f aca="false">C281-B281</f>
        <v>1</v>
      </c>
      <c r="Q281" s="40" t="str">
        <f aca="false">CHOOSE(MONTH(B281),"يناير","فبراير","مارس","أبريل","مايو","يونيو","يوليو","أغسطس","سبتمبر","أكتوبر","نوفمبر","ديسمبر")</f>
        <v>فبراير</v>
      </c>
      <c r="R281" s="40" t="str">
        <f aca="false">"الربع "&amp;ROUNDUP(MONTH(B281)/3,0)</f>
        <v>الربع 1</v>
      </c>
      <c r="S281" s="40" t="str">
        <f aca="false">IF(D281&lt;=12,"أطفال (0-12)",IF(D281&lt;=24,"شباب (13-24)",IF(D281&lt;=44,"بالغون (25-44)",IF(D281&lt;=64,"متوسطو العمر (45-64)","كبار السن (+65)"))))</f>
        <v>أطفال (0-12)</v>
      </c>
      <c r="T281" s="41" t="n">
        <f aca="false">IFERROR(L281/P281,0)</f>
        <v>717.48</v>
      </c>
    </row>
    <row r="282" customFormat="false" ht="15" hidden="false" customHeight="false" outlineLevel="0" collapsed="false">
      <c r="A282" s="42" t="s">
        <v>1165</v>
      </c>
      <c r="B282" s="43" t="n">
        <v>45340</v>
      </c>
      <c r="C282" s="43" t="n">
        <v>45345</v>
      </c>
      <c r="D282" s="42" t="n">
        <v>43</v>
      </c>
      <c r="E282" s="42" t="s">
        <v>139</v>
      </c>
      <c r="F282" s="42" t="s">
        <v>140</v>
      </c>
      <c r="G282" s="42" t="s">
        <v>141</v>
      </c>
      <c r="H282" s="42" t="s">
        <v>290</v>
      </c>
      <c r="I282" s="42" t="s">
        <v>143</v>
      </c>
      <c r="J282" s="42" t="s">
        <v>159</v>
      </c>
      <c r="K282" s="42" t="s">
        <v>184</v>
      </c>
      <c r="L282" s="44" t="n">
        <v>12145.9</v>
      </c>
      <c r="M282" s="42" t="n">
        <v>4</v>
      </c>
      <c r="N282" s="42" t="s">
        <v>146</v>
      </c>
      <c r="O282" s="42" t="s">
        <v>147</v>
      </c>
      <c r="P282" s="39" t="n">
        <f aca="false">C282-B282</f>
        <v>5</v>
      </c>
      <c r="Q282" s="40" t="str">
        <f aca="false">CHOOSE(MONTH(B282),"يناير","فبراير","مارس","أبريل","مايو","يونيو","يوليو","أغسطس","سبتمبر","أكتوبر","نوفمبر","ديسمبر")</f>
        <v>فبراير</v>
      </c>
      <c r="R282" s="40" t="str">
        <f aca="false">"الربع "&amp;ROUNDUP(MONTH(B282)/3,0)</f>
        <v>الربع 1</v>
      </c>
      <c r="S282" s="40" t="str">
        <f aca="false">IF(D282&lt;=12,"أطفال (0-12)",IF(D282&lt;=24,"شباب (13-24)",IF(D282&lt;=44,"بالغون (25-44)",IF(D282&lt;=64,"متوسطو العمر (45-64)","كبار السن (+65)"))))</f>
        <v>بالغون (25-44)</v>
      </c>
      <c r="T282" s="41" t="n">
        <f aca="false">IFERROR(L282/P282,0)</f>
        <v>2429.18</v>
      </c>
    </row>
    <row r="283" customFormat="false" ht="15" hidden="false" customHeight="false" outlineLevel="0" collapsed="false">
      <c r="A283" s="33" t="s">
        <v>1840</v>
      </c>
      <c r="B283" s="34" t="n">
        <v>45340</v>
      </c>
      <c r="C283" s="34" t="n">
        <v>45343</v>
      </c>
      <c r="D283" s="33" t="n">
        <v>6</v>
      </c>
      <c r="E283" s="33" t="s">
        <v>139</v>
      </c>
      <c r="F283" s="33" t="s">
        <v>169</v>
      </c>
      <c r="G283" s="33" t="s">
        <v>230</v>
      </c>
      <c r="H283" s="33" t="s">
        <v>171</v>
      </c>
      <c r="I283" s="33" t="s">
        <v>152</v>
      </c>
      <c r="J283" s="33" t="s">
        <v>159</v>
      </c>
      <c r="K283" s="33" t="s">
        <v>145</v>
      </c>
      <c r="L283" s="35" t="n">
        <v>3067.16</v>
      </c>
      <c r="M283" s="33" t="n">
        <v>4</v>
      </c>
      <c r="N283" s="33" t="s">
        <v>146</v>
      </c>
      <c r="O283" s="33" t="s">
        <v>147</v>
      </c>
      <c r="P283" s="39" t="n">
        <f aca="false">C283-B283</f>
        <v>3</v>
      </c>
      <c r="Q283" s="40" t="str">
        <f aca="false">CHOOSE(MONTH(B283),"يناير","فبراير","مارس","أبريل","مايو","يونيو","يوليو","أغسطس","سبتمبر","أكتوبر","نوفمبر","ديسمبر")</f>
        <v>فبراير</v>
      </c>
      <c r="R283" s="40" t="str">
        <f aca="false">"الربع "&amp;ROUNDUP(MONTH(B283)/3,0)</f>
        <v>الربع 1</v>
      </c>
      <c r="S283" s="40" t="str">
        <f aca="false">IF(D283&lt;=12,"أطفال (0-12)",IF(D283&lt;=24,"شباب (13-24)",IF(D283&lt;=44,"بالغون (25-44)",IF(D283&lt;=64,"متوسطو العمر (45-64)","كبار السن (+65)"))))</f>
        <v>أطفال (0-12)</v>
      </c>
      <c r="T283" s="41" t="n">
        <f aca="false">IFERROR(L283/P283,0)</f>
        <v>1022.38666666667</v>
      </c>
    </row>
    <row r="284" customFormat="false" ht="15" hidden="false" customHeight="false" outlineLevel="0" collapsed="false">
      <c r="A284" s="42" t="s">
        <v>2165</v>
      </c>
      <c r="B284" s="43" t="n">
        <v>45340</v>
      </c>
      <c r="C284" s="43" t="n">
        <v>45341</v>
      </c>
      <c r="D284" s="42" t="n">
        <v>46</v>
      </c>
      <c r="E284" s="42" t="s">
        <v>154</v>
      </c>
      <c r="F284" s="42" t="s">
        <v>203</v>
      </c>
      <c r="G284" s="42" t="s">
        <v>232</v>
      </c>
      <c r="H284" s="42" t="s">
        <v>205</v>
      </c>
      <c r="I284" s="42" t="s">
        <v>143</v>
      </c>
      <c r="J284" s="42" t="s">
        <v>176</v>
      </c>
      <c r="K284" s="42" t="s">
        <v>160</v>
      </c>
      <c r="L284" s="44" t="n">
        <v>2913</v>
      </c>
      <c r="M284" s="42" t="n">
        <v>5</v>
      </c>
      <c r="N284" s="42" t="s">
        <v>146</v>
      </c>
      <c r="O284" s="42" t="s">
        <v>147</v>
      </c>
      <c r="P284" s="39" t="n">
        <f aca="false">C284-B284</f>
        <v>1</v>
      </c>
      <c r="Q284" s="40" t="str">
        <f aca="false">CHOOSE(MONTH(B284),"يناير","فبراير","مارس","أبريل","مايو","يونيو","يوليو","أغسطس","سبتمبر","أكتوبر","نوفمبر","ديسمبر")</f>
        <v>فبراير</v>
      </c>
      <c r="R284" s="40" t="str">
        <f aca="false">"الربع "&amp;ROUNDUP(MONTH(B284)/3,0)</f>
        <v>الربع 1</v>
      </c>
      <c r="S284" s="40" t="str">
        <f aca="false">IF(D284&lt;=12,"أطفال (0-12)",IF(D284&lt;=24,"شباب (13-24)",IF(D284&lt;=44,"بالغون (25-44)",IF(D284&lt;=64,"متوسطو العمر (45-64)","كبار السن (+65)"))))</f>
        <v>متوسطو العمر (45-64)</v>
      </c>
      <c r="T284" s="41" t="n">
        <f aca="false">IFERROR(L284/P284,0)</f>
        <v>2913</v>
      </c>
    </row>
    <row r="285" customFormat="false" ht="15" hidden="false" customHeight="false" outlineLevel="0" collapsed="false">
      <c r="A285" s="33" t="s">
        <v>633</v>
      </c>
      <c r="B285" s="34" t="n">
        <v>45340</v>
      </c>
      <c r="C285" s="34" t="n">
        <v>45342</v>
      </c>
      <c r="D285" s="33" t="n">
        <v>4</v>
      </c>
      <c r="E285" s="33" t="s">
        <v>139</v>
      </c>
      <c r="F285" s="33" t="s">
        <v>155</v>
      </c>
      <c r="G285" s="33" t="s">
        <v>302</v>
      </c>
      <c r="H285" s="33" t="s">
        <v>222</v>
      </c>
      <c r="I285" s="33" t="s">
        <v>143</v>
      </c>
      <c r="J285" s="33" t="s">
        <v>159</v>
      </c>
      <c r="K285" s="33" t="s">
        <v>209</v>
      </c>
      <c r="L285" s="35" t="n">
        <v>1444.03</v>
      </c>
      <c r="M285" s="33" t="n">
        <v>4</v>
      </c>
      <c r="N285" s="33" t="s">
        <v>210</v>
      </c>
      <c r="O285" s="33" t="s">
        <v>147</v>
      </c>
      <c r="P285" s="39" t="n">
        <f aca="false">C285-B285</f>
        <v>2</v>
      </c>
      <c r="Q285" s="40" t="str">
        <f aca="false">CHOOSE(MONTH(B285),"يناير","فبراير","مارس","أبريل","مايو","يونيو","يوليو","أغسطس","سبتمبر","أكتوبر","نوفمبر","ديسمبر")</f>
        <v>فبراير</v>
      </c>
      <c r="R285" s="40" t="str">
        <f aca="false">"الربع "&amp;ROUNDUP(MONTH(B285)/3,0)</f>
        <v>الربع 1</v>
      </c>
      <c r="S285" s="40" t="str">
        <f aca="false">IF(D285&lt;=12,"أطفال (0-12)",IF(D285&lt;=24,"شباب (13-24)",IF(D285&lt;=44,"بالغون (25-44)",IF(D285&lt;=64,"متوسطو العمر (45-64)","كبار السن (+65)"))))</f>
        <v>أطفال (0-12)</v>
      </c>
      <c r="T285" s="41" t="n">
        <f aca="false">IFERROR(L285/P285,0)</f>
        <v>722.015</v>
      </c>
    </row>
    <row r="286" customFormat="false" ht="15" hidden="false" customHeight="false" outlineLevel="0" collapsed="false">
      <c r="A286" s="42" t="s">
        <v>909</v>
      </c>
      <c r="B286" s="43" t="n">
        <v>45340</v>
      </c>
      <c r="C286" s="43" t="n">
        <v>45347</v>
      </c>
      <c r="D286" s="42" t="n">
        <v>46</v>
      </c>
      <c r="E286" s="42" t="s">
        <v>154</v>
      </c>
      <c r="F286" s="42" t="s">
        <v>226</v>
      </c>
      <c r="G286" s="42" t="s">
        <v>258</v>
      </c>
      <c r="H286" s="42" t="s">
        <v>228</v>
      </c>
      <c r="I286" s="42" t="s">
        <v>143</v>
      </c>
      <c r="J286" s="42" t="s">
        <v>144</v>
      </c>
      <c r="K286" s="42" t="s">
        <v>184</v>
      </c>
      <c r="L286" s="44" t="n">
        <v>39277.02</v>
      </c>
      <c r="M286" s="42" t="n">
        <v>3</v>
      </c>
      <c r="N286" s="42" t="s">
        <v>146</v>
      </c>
      <c r="O286" s="42" t="s">
        <v>147</v>
      </c>
      <c r="P286" s="39" t="n">
        <f aca="false">C286-B286</f>
        <v>7</v>
      </c>
      <c r="Q286" s="40" t="str">
        <f aca="false">CHOOSE(MONTH(B286),"يناير","فبراير","مارس","أبريل","مايو","يونيو","يوليو","أغسطس","سبتمبر","أكتوبر","نوفمبر","ديسمبر")</f>
        <v>فبراير</v>
      </c>
      <c r="R286" s="40" t="str">
        <f aca="false">"الربع "&amp;ROUNDUP(MONTH(B286)/3,0)</f>
        <v>الربع 1</v>
      </c>
      <c r="S286" s="40" t="str">
        <f aca="false">IF(D286&lt;=12,"أطفال (0-12)",IF(D286&lt;=24,"شباب (13-24)",IF(D286&lt;=44,"بالغون (25-44)",IF(D286&lt;=64,"متوسطو العمر (45-64)","كبار السن (+65)"))))</f>
        <v>متوسطو العمر (45-64)</v>
      </c>
      <c r="T286" s="41" t="n">
        <f aca="false">IFERROR(L286/P286,0)</f>
        <v>5611.00285714286</v>
      </c>
    </row>
    <row r="287" customFormat="false" ht="15" hidden="false" customHeight="false" outlineLevel="0" collapsed="false">
      <c r="A287" s="33" t="s">
        <v>1782</v>
      </c>
      <c r="B287" s="34" t="n">
        <v>45340</v>
      </c>
      <c r="C287" s="34" t="n">
        <v>45345</v>
      </c>
      <c r="D287" s="33" t="n">
        <v>0</v>
      </c>
      <c r="E287" s="33" t="s">
        <v>139</v>
      </c>
      <c r="F287" s="33" t="s">
        <v>173</v>
      </c>
      <c r="G287" s="33" t="s">
        <v>178</v>
      </c>
      <c r="H287" s="33" t="s">
        <v>199</v>
      </c>
      <c r="I287" s="33" t="s">
        <v>152</v>
      </c>
      <c r="J287" s="33" t="s">
        <v>159</v>
      </c>
      <c r="K287" s="33" t="s">
        <v>160</v>
      </c>
      <c r="L287" s="35" t="n">
        <v>11002.13</v>
      </c>
      <c r="M287" s="33" t="n">
        <v>3</v>
      </c>
      <c r="N287" s="33" t="s">
        <v>146</v>
      </c>
      <c r="O287" s="33" t="s">
        <v>147</v>
      </c>
      <c r="P287" s="39" t="n">
        <f aca="false">C287-B287</f>
        <v>5</v>
      </c>
      <c r="Q287" s="40" t="str">
        <f aca="false">CHOOSE(MONTH(B287),"يناير","فبراير","مارس","أبريل","مايو","يونيو","يوليو","أغسطس","سبتمبر","أكتوبر","نوفمبر","ديسمبر")</f>
        <v>فبراير</v>
      </c>
      <c r="R287" s="40" t="str">
        <f aca="false">"الربع "&amp;ROUNDUP(MONTH(B287)/3,0)</f>
        <v>الربع 1</v>
      </c>
      <c r="S287" s="40" t="str">
        <f aca="false">IF(D287&lt;=12,"أطفال (0-12)",IF(D287&lt;=24,"شباب (13-24)",IF(D287&lt;=44,"بالغون (25-44)",IF(D287&lt;=64,"متوسطو العمر (45-64)","كبار السن (+65)"))))</f>
        <v>أطفال (0-12)</v>
      </c>
      <c r="T287" s="41" t="n">
        <f aca="false">IFERROR(L287/P287,0)</f>
        <v>2200.426</v>
      </c>
    </row>
    <row r="288" customFormat="false" ht="15" hidden="false" customHeight="false" outlineLevel="0" collapsed="false">
      <c r="A288" s="42" t="s">
        <v>2116</v>
      </c>
      <c r="B288" s="43" t="n">
        <v>45341</v>
      </c>
      <c r="C288" s="43" t="n">
        <v>45347</v>
      </c>
      <c r="D288" s="42" t="n">
        <v>61</v>
      </c>
      <c r="E288" s="42" t="s">
        <v>139</v>
      </c>
      <c r="F288" s="42" t="s">
        <v>181</v>
      </c>
      <c r="G288" s="42" t="s">
        <v>237</v>
      </c>
      <c r="H288" s="42" t="s">
        <v>245</v>
      </c>
      <c r="I288" s="42" t="s">
        <v>152</v>
      </c>
      <c r="J288" s="42" t="s">
        <v>159</v>
      </c>
      <c r="K288" s="42" t="s">
        <v>145</v>
      </c>
      <c r="L288" s="44" t="n">
        <v>13688.34</v>
      </c>
      <c r="M288" s="42" t="n">
        <v>3</v>
      </c>
      <c r="N288" s="42" t="s">
        <v>146</v>
      </c>
      <c r="O288" s="42" t="s">
        <v>147</v>
      </c>
      <c r="P288" s="39" t="n">
        <f aca="false">C288-B288</f>
        <v>6</v>
      </c>
      <c r="Q288" s="40" t="str">
        <f aca="false">CHOOSE(MONTH(B288),"يناير","فبراير","مارس","أبريل","مايو","يونيو","يوليو","أغسطس","سبتمبر","أكتوبر","نوفمبر","ديسمبر")</f>
        <v>فبراير</v>
      </c>
      <c r="R288" s="40" t="str">
        <f aca="false">"الربع "&amp;ROUNDUP(MONTH(B288)/3,0)</f>
        <v>الربع 1</v>
      </c>
      <c r="S288" s="40" t="str">
        <f aca="false">IF(D288&lt;=12,"أطفال (0-12)",IF(D288&lt;=24,"شباب (13-24)",IF(D288&lt;=44,"بالغون (25-44)",IF(D288&lt;=64,"متوسطو العمر (45-64)","كبار السن (+65)"))))</f>
        <v>متوسطو العمر (45-64)</v>
      </c>
      <c r="T288" s="41" t="n">
        <f aca="false">IFERROR(L288/P288,0)</f>
        <v>2281.39</v>
      </c>
    </row>
    <row r="289" customFormat="false" ht="15" hidden="false" customHeight="false" outlineLevel="0" collapsed="false">
      <c r="A289" s="33" t="s">
        <v>1709</v>
      </c>
      <c r="B289" s="34" t="n">
        <v>45341</v>
      </c>
      <c r="C289" s="34" t="n">
        <v>45342</v>
      </c>
      <c r="D289" s="33" t="n">
        <v>55</v>
      </c>
      <c r="E289" s="33" t="s">
        <v>154</v>
      </c>
      <c r="F289" s="33" t="s">
        <v>203</v>
      </c>
      <c r="G289" s="33" t="s">
        <v>217</v>
      </c>
      <c r="H289" s="33" t="s">
        <v>205</v>
      </c>
      <c r="I289" s="33" t="s">
        <v>143</v>
      </c>
      <c r="J289" s="33" t="s">
        <v>144</v>
      </c>
      <c r="K289" s="33" t="s">
        <v>184</v>
      </c>
      <c r="L289" s="35" t="n">
        <v>1702.79</v>
      </c>
      <c r="M289" s="33" t="n">
        <v>4</v>
      </c>
      <c r="N289" s="33" t="s">
        <v>146</v>
      </c>
      <c r="O289" s="33" t="s">
        <v>147</v>
      </c>
      <c r="P289" s="39" t="n">
        <f aca="false">C289-B289</f>
        <v>1</v>
      </c>
      <c r="Q289" s="40" t="str">
        <f aca="false">CHOOSE(MONTH(B289),"يناير","فبراير","مارس","أبريل","مايو","يونيو","يوليو","أغسطس","سبتمبر","أكتوبر","نوفمبر","ديسمبر")</f>
        <v>فبراير</v>
      </c>
      <c r="R289" s="40" t="str">
        <f aca="false">"الربع "&amp;ROUNDUP(MONTH(B289)/3,0)</f>
        <v>الربع 1</v>
      </c>
      <c r="S289" s="40" t="str">
        <f aca="false">IF(D289&lt;=12,"أطفال (0-12)",IF(D289&lt;=24,"شباب (13-24)",IF(D289&lt;=44,"بالغون (25-44)",IF(D289&lt;=64,"متوسطو العمر (45-64)","كبار السن (+65)"))))</f>
        <v>متوسطو العمر (45-64)</v>
      </c>
      <c r="T289" s="41" t="n">
        <f aca="false">IFERROR(L289/P289,0)</f>
        <v>1702.79</v>
      </c>
    </row>
    <row r="290" customFormat="false" ht="15" hidden="false" customHeight="false" outlineLevel="0" collapsed="false">
      <c r="A290" s="42" t="s">
        <v>1077</v>
      </c>
      <c r="B290" s="43" t="n">
        <v>45341</v>
      </c>
      <c r="C290" s="43" t="n">
        <v>45343</v>
      </c>
      <c r="D290" s="42" t="n">
        <v>31</v>
      </c>
      <c r="E290" s="42" t="s">
        <v>154</v>
      </c>
      <c r="F290" s="42" t="s">
        <v>203</v>
      </c>
      <c r="G290" s="42" t="s">
        <v>204</v>
      </c>
      <c r="H290" s="42" t="s">
        <v>205</v>
      </c>
      <c r="I290" s="42" t="s">
        <v>143</v>
      </c>
      <c r="J290" s="42" t="s">
        <v>159</v>
      </c>
      <c r="K290" s="42" t="s">
        <v>160</v>
      </c>
      <c r="L290" s="44" t="n">
        <v>1926.31</v>
      </c>
      <c r="M290" s="42" t="n">
        <v>3</v>
      </c>
      <c r="N290" s="42" t="s">
        <v>146</v>
      </c>
      <c r="O290" s="42" t="s">
        <v>147</v>
      </c>
      <c r="P290" s="39" t="n">
        <f aca="false">C290-B290</f>
        <v>2</v>
      </c>
      <c r="Q290" s="40" t="str">
        <f aca="false">CHOOSE(MONTH(B290),"يناير","فبراير","مارس","أبريل","مايو","يونيو","يوليو","أغسطس","سبتمبر","أكتوبر","نوفمبر","ديسمبر")</f>
        <v>فبراير</v>
      </c>
      <c r="R290" s="40" t="str">
        <f aca="false">"الربع "&amp;ROUNDUP(MONTH(B290)/3,0)</f>
        <v>الربع 1</v>
      </c>
      <c r="S290" s="40" t="str">
        <f aca="false">IF(D290&lt;=12,"أطفال (0-12)",IF(D290&lt;=24,"شباب (13-24)",IF(D290&lt;=44,"بالغون (25-44)",IF(D290&lt;=64,"متوسطو العمر (45-64)","كبار السن (+65)"))))</f>
        <v>بالغون (25-44)</v>
      </c>
      <c r="T290" s="41" t="n">
        <f aca="false">IFERROR(L290/P290,0)</f>
        <v>963.155</v>
      </c>
    </row>
    <row r="291" customFormat="false" ht="15" hidden="false" customHeight="false" outlineLevel="0" collapsed="false">
      <c r="A291" s="33" t="s">
        <v>569</v>
      </c>
      <c r="B291" s="34" t="n">
        <v>45341</v>
      </c>
      <c r="C291" s="34" t="n">
        <v>45343</v>
      </c>
      <c r="D291" s="33" t="n">
        <v>25</v>
      </c>
      <c r="E291" s="33" t="s">
        <v>139</v>
      </c>
      <c r="F291" s="33" t="s">
        <v>149</v>
      </c>
      <c r="G291" s="33" t="s">
        <v>150</v>
      </c>
      <c r="H291" s="33" t="s">
        <v>186</v>
      </c>
      <c r="I291" s="33" t="s">
        <v>152</v>
      </c>
      <c r="J291" s="33" t="s">
        <v>159</v>
      </c>
      <c r="K291" s="33" t="s">
        <v>184</v>
      </c>
      <c r="L291" s="35" t="n">
        <v>2789.32</v>
      </c>
      <c r="M291" s="33" t="n">
        <v>5</v>
      </c>
      <c r="N291" s="33" t="s">
        <v>146</v>
      </c>
      <c r="O291" s="33" t="s">
        <v>147</v>
      </c>
      <c r="P291" s="39" t="n">
        <f aca="false">C291-B291</f>
        <v>2</v>
      </c>
      <c r="Q291" s="40" t="str">
        <f aca="false">CHOOSE(MONTH(B291),"يناير","فبراير","مارس","أبريل","مايو","يونيو","يوليو","أغسطس","سبتمبر","أكتوبر","نوفمبر","ديسمبر")</f>
        <v>فبراير</v>
      </c>
      <c r="R291" s="40" t="str">
        <f aca="false">"الربع "&amp;ROUNDUP(MONTH(B291)/3,0)</f>
        <v>الربع 1</v>
      </c>
      <c r="S291" s="40" t="str">
        <f aca="false">IF(D291&lt;=12,"أطفال (0-12)",IF(D291&lt;=24,"شباب (13-24)",IF(D291&lt;=44,"بالغون (25-44)",IF(D291&lt;=64,"متوسطو العمر (45-64)","كبار السن (+65)"))))</f>
        <v>بالغون (25-44)</v>
      </c>
      <c r="T291" s="41" t="n">
        <f aca="false">IFERROR(L291/P291,0)</f>
        <v>1394.66</v>
      </c>
    </row>
    <row r="292" customFormat="false" ht="15" hidden="false" customHeight="false" outlineLevel="0" collapsed="false">
      <c r="A292" s="42" t="s">
        <v>937</v>
      </c>
      <c r="B292" s="43" t="n">
        <v>45341</v>
      </c>
      <c r="C292" s="43" t="n">
        <v>45342</v>
      </c>
      <c r="D292" s="42" t="n">
        <v>68</v>
      </c>
      <c r="E292" s="42" t="s">
        <v>139</v>
      </c>
      <c r="F292" s="42" t="s">
        <v>203</v>
      </c>
      <c r="G292" s="42" t="s">
        <v>232</v>
      </c>
      <c r="H292" s="42" t="s">
        <v>193</v>
      </c>
      <c r="I292" s="42" t="s">
        <v>143</v>
      </c>
      <c r="J292" s="42" t="s">
        <v>159</v>
      </c>
      <c r="K292" s="42" t="s">
        <v>184</v>
      </c>
      <c r="L292" s="44" t="n">
        <v>838.51</v>
      </c>
      <c r="M292" s="42" t="n">
        <v>4</v>
      </c>
      <c r="N292" s="42" t="s">
        <v>146</v>
      </c>
      <c r="O292" s="42" t="s">
        <v>147</v>
      </c>
      <c r="P292" s="39" t="n">
        <f aca="false">C292-B292</f>
        <v>1</v>
      </c>
      <c r="Q292" s="40" t="str">
        <f aca="false">CHOOSE(MONTH(B292),"يناير","فبراير","مارس","أبريل","مايو","يونيو","يوليو","أغسطس","سبتمبر","أكتوبر","نوفمبر","ديسمبر")</f>
        <v>فبراير</v>
      </c>
      <c r="R292" s="40" t="str">
        <f aca="false">"الربع "&amp;ROUNDUP(MONTH(B292)/3,0)</f>
        <v>الربع 1</v>
      </c>
      <c r="S292" s="40" t="str">
        <f aca="false">IF(D292&lt;=12,"أطفال (0-12)",IF(D292&lt;=24,"شباب (13-24)",IF(D292&lt;=44,"بالغون (25-44)",IF(D292&lt;=64,"متوسطو العمر (45-64)","كبار السن (+65)"))))</f>
        <v>كبار السن (+65)</v>
      </c>
      <c r="T292" s="41" t="n">
        <f aca="false">IFERROR(L292/P292,0)</f>
        <v>838.51</v>
      </c>
    </row>
    <row r="293" customFormat="false" ht="15" hidden="false" customHeight="false" outlineLevel="0" collapsed="false">
      <c r="A293" s="33" t="s">
        <v>1776</v>
      </c>
      <c r="B293" s="34" t="n">
        <v>45341</v>
      </c>
      <c r="C293" s="34" t="n">
        <v>45343</v>
      </c>
      <c r="D293" s="33" t="n">
        <v>63</v>
      </c>
      <c r="E293" s="33" t="s">
        <v>154</v>
      </c>
      <c r="F293" s="33" t="s">
        <v>203</v>
      </c>
      <c r="G293" s="33" t="s">
        <v>204</v>
      </c>
      <c r="H293" s="33" t="s">
        <v>205</v>
      </c>
      <c r="I293" s="33" t="s">
        <v>158</v>
      </c>
      <c r="J293" s="33" t="s">
        <v>159</v>
      </c>
      <c r="K293" s="33" t="s">
        <v>160</v>
      </c>
      <c r="L293" s="35" t="n">
        <v>1920.9</v>
      </c>
      <c r="M293" s="33" t="n">
        <v>3</v>
      </c>
      <c r="N293" s="33" t="s">
        <v>146</v>
      </c>
      <c r="O293" s="33" t="s">
        <v>147</v>
      </c>
      <c r="P293" s="39" t="n">
        <f aca="false">C293-B293</f>
        <v>2</v>
      </c>
      <c r="Q293" s="40" t="str">
        <f aca="false">CHOOSE(MONTH(B293),"يناير","فبراير","مارس","أبريل","مايو","يونيو","يوليو","أغسطس","سبتمبر","أكتوبر","نوفمبر","ديسمبر")</f>
        <v>فبراير</v>
      </c>
      <c r="R293" s="40" t="str">
        <f aca="false">"الربع "&amp;ROUNDUP(MONTH(B293)/3,0)</f>
        <v>الربع 1</v>
      </c>
      <c r="S293" s="40" t="str">
        <f aca="false">IF(D293&lt;=12,"أطفال (0-12)",IF(D293&lt;=24,"شباب (13-24)",IF(D293&lt;=44,"بالغون (25-44)",IF(D293&lt;=64,"متوسطو العمر (45-64)","كبار السن (+65)"))))</f>
        <v>متوسطو العمر (45-64)</v>
      </c>
      <c r="T293" s="41" t="n">
        <f aca="false">IFERROR(L293/P293,0)</f>
        <v>960.45</v>
      </c>
    </row>
    <row r="294" customFormat="false" ht="15" hidden="false" customHeight="false" outlineLevel="0" collapsed="false">
      <c r="A294" s="42" t="s">
        <v>2247</v>
      </c>
      <c r="B294" s="43" t="n">
        <v>45342</v>
      </c>
      <c r="C294" s="43" t="n">
        <v>45344</v>
      </c>
      <c r="D294" s="42" t="n">
        <v>33</v>
      </c>
      <c r="E294" s="42" t="s">
        <v>154</v>
      </c>
      <c r="F294" s="42" t="s">
        <v>173</v>
      </c>
      <c r="G294" s="42" t="s">
        <v>178</v>
      </c>
      <c r="H294" s="42" t="s">
        <v>199</v>
      </c>
      <c r="I294" s="42" t="s">
        <v>158</v>
      </c>
      <c r="J294" s="42" t="s">
        <v>159</v>
      </c>
      <c r="K294" s="42" t="s">
        <v>184</v>
      </c>
      <c r="L294" s="44" t="n">
        <v>4902.23</v>
      </c>
      <c r="M294" s="42" t="n">
        <v>3</v>
      </c>
      <c r="N294" s="42" t="s">
        <v>146</v>
      </c>
      <c r="O294" s="42" t="s">
        <v>147</v>
      </c>
      <c r="P294" s="39" t="n">
        <f aca="false">C294-B294</f>
        <v>2</v>
      </c>
      <c r="Q294" s="40" t="str">
        <f aca="false">CHOOSE(MONTH(B294),"يناير","فبراير","مارس","أبريل","مايو","يونيو","يوليو","أغسطس","سبتمبر","أكتوبر","نوفمبر","ديسمبر")</f>
        <v>فبراير</v>
      </c>
      <c r="R294" s="40" t="str">
        <f aca="false">"الربع "&amp;ROUNDUP(MONTH(B294)/3,0)</f>
        <v>الربع 1</v>
      </c>
      <c r="S294" s="40" t="str">
        <f aca="false">IF(D294&lt;=12,"أطفال (0-12)",IF(D294&lt;=24,"شباب (13-24)",IF(D294&lt;=44,"بالغون (25-44)",IF(D294&lt;=64,"متوسطو العمر (45-64)","كبار السن (+65)"))))</f>
        <v>بالغون (25-44)</v>
      </c>
      <c r="T294" s="41" t="n">
        <f aca="false">IFERROR(L294/P294,0)</f>
        <v>2451.115</v>
      </c>
    </row>
    <row r="295" customFormat="false" ht="15" hidden="false" customHeight="false" outlineLevel="0" collapsed="false">
      <c r="A295" s="33" t="s">
        <v>2285</v>
      </c>
      <c r="B295" s="34" t="n">
        <v>45342</v>
      </c>
      <c r="C295" s="34" t="n">
        <v>45347</v>
      </c>
      <c r="D295" s="33" t="n">
        <v>41</v>
      </c>
      <c r="E295" s="33" t="s">
        <v>154</v>
      </c>
      <c r="F295" s="33" t="s">
        <v>173</v>
      </c>
      <c r="G295" s="33" t="s">
        <v>178</v>
      </c>
      <c r="H295" s="33" t="s">
        <v>199</v>
      </c>
      <c r="I295" s="33" t="s">
        <v>143</v>
      </c>
      <c r="J295" s="33" t="s">
        <v>159</v>
      </c>
      <c r="K295" s="33" t="s">
        <v>145</v>
      </c>
      <c r="L295" s="35" t="n">
        <v>12548.52</v>
      </c>
      <c r="M295" s="33" t="n">
        <v>5</v>
      </c>
      <c r="N295" s="33" t="s">
        <v>146</v>
      </c>
      <c r="O295" s="33" t="s">
        <v>147</v>
      </c>
      <c r="P295" s="39" t="n">
        <f aca="false">C295-B295</f>
        <v>5</v>
      </c>
      <c r="Q295" s="40" t="str">
        <f aca="false">CHOOSE(MONTH(B295),"يناير","فبراير","مارس","أبريل","مايو","يونيو","يوليو","أغسطس","سبتمبر","أكتوبر","نوفمبر","ديسمبر")</f>
        <v>فبراير</v>
      </c>
      <c r="R295" s="40" t="str">
        <f aca="false">"الربع "&amp;ROUNDUP(MONTH(B295)/3,0)</f>
        <v>الربع 1</v>
      </c>
      <c r="S295" s="40" t="str">
        <f aca="false">IF(D295&lt;=12,"أطفال (0-12)",IF(D295&lt;=24,"شباب (13-24)",IF(D295&lt;=44,"بالغون (25-44)",IF(D295&lt;=64,"متوسطو العمر (45-64)","كبار السن (+65)"))))</f>
        <v>بالغون (25-44)</v>
      </c>
      <c r="T295" s="41" t="n">
        <f aca="false">IFERROR(L295/P295,0)</f>
        <v>2509.704</v>
      </c>
    </row>
    <row r="296" customFormat="false" ht="15" hidden="false" customHeight="false" outlineLevel="0" collapsed="false">
      <c r="A296" s="42" t="s">
        <v>944</v>
      </c>
      <c r="B296" s="43" t="n">
        <v>45342</v>
      </c>
      <c r="C296" s="43" t="n">
        <v>45345</v>
      </c>
      <c r="D296" s="42" t="n">
        <v>27</v>
      </c>
      <c r="E296" s="42" t="s">
        <v>139</v>
      </c>
      <c r="F296" s="42" t="s">
        <v>203</v>
      </c>
      <c r="G296" s="42" t="s">
        <v>192</v>
      </c>
      <c r="H296" s="42" t="s">
        <v>193</v>
      </c>
      <c r="I296" s="42" t="s">
        <v>143</v>
      </c>
      <c r="J296" s="42" t="s">
        <v>144</v>
      </c>
      <c r="K296" s="42" t="s">
        <v>145</v>
      </c>
      <c r="L296" s="44" t="n">
        <v>4143.73</v>
      </c>
      <c r="M296" s="42" t="n">
        <v>3</v>
      </c>
      <c r="N296" s="42" t="s">
        <v>146</v>
      </c>
      <c r="O296" s="42" t="s">
        <v>147</v>
      </c>
      <c r="P296" s="39" t="n">
        <f aca="false">C296-B296</f>
        <v>3</v>
      </c>
      <c r="Q296" s="40" t="str">
        <f aca="false">CHOOSE(MONTH(B296),"يناير","فبراير","مارس","أبريل","مايو","يونيو","يوليو","أغسطس","سبتمبر","أكتوبر","نوفمبر","ديسمبر")</f>
        <v>فبراير</v>
      </c>
      <c r="R296" s="40" t="str">
        <f aca="false">"الربع "&amp;ROUNDUP(MONTH(B296)/3,0)</f>
        <v>الربع 1</v>
      </c>
      <c r="S296" s="40" t="str">
        <f aca="false">IF(D296&lt;=12,"أطفال (0-12)",IF(D296&lt;=24,"شباب (13-24)",IF(D296&lt;=44,"بالغون (25-44)",IF(D296&lt;=64,"متوسطو العمر (45-64)","كبار السن (+65)"))))</f>
        <v>بالغون (25-44)</v>
      </c>
      <c r="T296" s="41" t="n">
        <f aca="false">IFERROR(L296/P296,0)</f>
        <v>1381.24333333333</v>
      </c>
    </row>
    <row r="297" customFormat="false" ht="15" hidden="false" customHeight="false" outlineLevel="0" collapsed="false">
      <c r="A297" s="33" t="s">
        <v>505</v>
      </c>
      <c r="B297" s="34" t="n">
        <v>45342</v>
      </c>
      <c r="C297" s="34" t="n">
        <v>45349</v>
      </c>
      <c r="D297" s="33" t="n">
        <v>17</v>
      </c>
      <c r="E297" s="33" t="s">
        <v>154</v>
      </c>
      <c r="F297" s="33" t="s">
        <v>169</v>
      </c>
      <c r="G297" s="33" t="s">
        <v>230</v>
      </c>
      <c r="H297" s="33" t="s">
        <v>164</v>
      </c>
      <c r="I297" s="33" t="s">
        <v>143</v>
      </c>
      <c r="J297" s="33" t="s">
        <v>159</v>
      </c>
      <c r="K297" s="33" t="s">
        <v>145</v>
      </c>
      <c r="L297" s="35" t="n">
        <v>8124.8</v>
      </c>
      <c r="M297" s="33" t="n">
        <v>5</v>
      </c>
      <c r="N297" s="33" t="s">
        <v>146</v>
      </c>
      <c r="O297" s="33" t="s">
        <v>147</v>
      </c>
      <c r="P297" s="39" t="n">
        <f aca="false">C297-B297</f>
        <v>7</v>
      </c>
      <c r="Q297" s="40" t="str">
        <f aca="false">CHOOSE(MONTH(B297),"يناير","فبراير","مارس","أبريل","مايو","يونيو","يوليو","أغسطس","سبتمبر","أكتوبر","نوفمبر","ديسمبر")</f>
        <v>فبراير</v>
      </c>
      <c r="R297" s="40" t="str">
        <f aca="false">"الربع "&amp;ROUNDUP(MONTH(B297)/3,0)</f>
        <v>الربع 1</v>
      </c>
      <c r="S297" s="40" t="str">
        <f aca="false">IF(D297&lt;=12,"أطفال (0-12)",IF(D297&lt;=24,"شباب (13-24)",IF(D297&lt;=44,"بالغون (25-44)",IF(D297&lt;=64,"متوسطو العمر (45-64)","كبار السن (+65)"))))</f>
        <v>شباب (13-24)</v>
      </c>
      <c r="T297" s="41" t="n">
        <f aca="false">IFERROR(L297/P297,0)</f>
        <v>1160.68571428571</v>
      </c>
    </row>
    <row r="298" customFormat="false" ht="15" hidden="false" customHeight="false" outlineLevel="0" collapsed="false">
      <c r="A298" s="42" t="s">
        <v>570</v>
      </c>
      <c r="B298" s="43" t="n">
        <v>45342</v>
      </c>
      <c r="C298" s="43" t="n">
        <v>45347</v>
      </c>
      <c r="D298" s="42" t="n">
        <v>62</v>
      </c>
      <c r="E298" s="42" t="s">
        <v>154</v>
      </c>
      <c r="F298" s="42" t="s">
        <v>181</v>
      </c>
      <c r="G298" s="42" t="s">
        <v>188</v>
      </c>
      <c r="H298" s="42" t="s">
        <v>183</v>
      </c>
      <c r="I298" s="42" t="s">
        <v>152</v>
      </c>
      <c r="J298" s="42" t="s">
        <v>144</v>
      </c>
      <c r="K298" s="42" t="s">
        <v>184</v>
      </c>
      <c r="L298" s="44" t="n">
        <v>20646.59</v>
      </c>
      <c r="M298" s="42" t="n">
        <v>5</v>
      </c>
      <c r="N298" s="42" t="s">
        <v>146</v>
      </c>
      <c r="O298" s="42" t="s">
        <v>147</v>
      </c>
      <c r="P298" s="39" t="n">
        <f aca="false">C298-B298</f>
        <v>5</v>
      </c>
      <c r="Q298" s="40" t="str">
        <f aca="false">CHOOSE(MONTH(B298),"يناير","فبراير","مارس","أبريل","مايو","يونيو","يوليو","أغسطس","سبتمبر","أكتوبر","نوفمبر","ديسمبر")</f>
        <v>فبراير</v>
      </c>
      <c r="R298" s="40" t="str">
        <f aca="false">"الربع "&amp;ROUNDUP(MONTH(B298)/3,0)</f>
        <v>الربع 1</v>
      </c>
      <c r="S298" s="40" t="str">
        <f aca="false">IF(D298&lt;=12,"أطفال (0-12)",IF(D298&lt;=24,"شباب (13-24)",IF(D298&lt;=44,"بالغون (25-44)",IF(D298&lt;=64,"متوسطو العمر (45-64)","كبار السن (+65)"))))</f>
        <v>متوسطو العمر (45-64)</v>
      </c>
      <c r="T298" s="41" t="n">
        <f aca="false">IFERROR(L298/P298,0)</f>
        <v>4129.318</v>
      </c>
    </row>
    <row r="299" customFormat="false" ht="15" hidden="false" customHeight="false" outlineLevel="0" collapsed="false">
      <c r="A299" s="33" t="s">
        <v>395</v>
      </c>
      <c r="B299" s="34" t="n">
        <v>45343</v>
      </c>
      <c r="C299" s="34" t="n">
        <v>45345</v>
      </c>
      <c r="D299" s="33" t="n">
        <v>56</v>
      </c>
      <c r="E299" s="33" t="s">
        <v>139</v>
      </c>
      <c r="F299" s="33" t="s">
        <v>169</v>
      </c>
      <c r="G299" s="33" t="s">
        <v>230</v>
      </c>
      <c r="H299" s="33" t="s">
        <v>171</v>
      </c>
      <c r="I299" s="33" t="s">
        <v>152</v>
      </c>
      <c r="J299" s="33" t="s">
        <v>159</v>
      </c>
      <c r="K299" s="33" t="s">
        <v>145</v>
      </c>
      <c r="L299" s="35" t="n">
        <v>2436.02</v>
      </c>
      <c r="M299" s="33" t="n">
        <v>3</v>
      </c>
      <c r="N299" s="33" t="s">
        <v>146</v>
      </c>
      <c r="O299" s="33" t="s">
        <v>147</v>
      </c>
      <c r="P299" s="39" t="n">
        <f aca="false">C299-B299</f>
        <v>2</v>
      </c>
      <c r="Q299" s="40" t="str">
        <f aca="false">CHOOSE(MONTH(B299),"يناير","فبراير","مارس","أبريل","مايو","يونيو","يوليو","أغسطس","سبتمبر","أكتوبر","نوفمبر","ديسمبر")</f>
        <v>فبراير</v>
      </c>
      <c r="R299" s="40" t="str">
        <f aca="false">"الربع "&amp;ROUNDUP(MONTH(B299)/3,0)</f>
        <v>الربع 1</v>
      </c>
      <c r="S299" s="40" t="str">
        <f aca="false">IF(D299&lt;=12,"أطفال (0-12)",IF(D299&lt;=24,"شباب (13-24)",IF(D299&lt;=44,"بالغون (25-44)",IF(D299&lt;=64,"متوسطو العمر (45-64)","كبار السن (+65)"))))</f>
        <v>متوسطو العمر (45-64)</v>
      </c>
      <c r="T299" s="41" t="n">
        <f aca="false">IFERROR(L299/P299,0)</f>
        <v>1218.01</v>
      </c>
    </row>
    <row r="300" customFormat="false" ht="15" hidden="false" customHeight="false" outlineLevel="0" collapsed="false">
      <c r="A300" s="42" t="s">
        <v>168</v>
      </c>
      <c r="B300" s="43" t="n">
        <v>45343</v>
      </c>
      <c r="C300" s="43" t="n">
        <v>45346</v>
      </c>
      <c r="D300" s="42" t="n">
        <v>12</v>
      </c>
      <c r="E300" s="42" t="s">
        <v>154</v>
      </c>
      <c r="F300" s="42" t="s">
        <v>169</v>
      </c>
      <c r="G300" s="42" t="s">
        <v>170</v>
      </c>
      <c r="H300" s="42" t="s">
        <v>171</v>
      </c>
      <c r="I300" s="42" t="s">
        <v>143</v>
      </c>
      <c r="J300" s="42" t="s">
        <v>144</v>
      </c>
      <c r="K300" s="42" t="s">
        <v>160</v>
      </c>
      <c r="L300" s="44" t="n">
        <v>6467.63</v>
      </c>
      <c r="M300" s="42" t="n">
        <v>4</v>
      </c>
      <c r="N300" s="42" t="s">
        <v>146</v>
      </c>
      <c r="O300" s="42" t="s">
        <v>147</v>
      </c>
      <c r="P300" s="39" t="n">
        <f aca="false">C300-B300</f>
        <v>3</v>
      </c>
      <c r="Q300" s="40" t="str">
        <f aca="false">CHOOSE(MONTH(B300),"يناير","فبراير","مارس","أبريل","مايو","يونيو","يوليو","أغسطس","سبتمبر","أكتوبر","نوفمبر","ديسمبر")</f>
        <v>فبراير</v>
      </c>
      <c r="R300" s="40" t="str">
        <f aca="false">"الربع "&amp;ROUNDUP(MONTH(B300)/3,0)</f>
        <v>الربع 1</v>
      </c>
      <c r="S300" s="40" t="str">
        <f aca="false">IF(D300&lt;=12,"أطفال (0-12)",IF(D300&lt;=24,"شباب (13-24)",IF(D300&lt;=44,"بالغون (25-44)",IF(D300&lt;=64,"متوسطو العمر (45-64)","كبار السن (+65)"))))</f>
        <v>أطفال (0-12)</v>
      </c>
      <c r="T300" s="41" t="n">
        <f aca="false">IFERROR(L300/P300,0)</f>
        <v>2155.87666666667</v>
      </c>
    </row>
    <row r="301" customFormat="false" ht="15" hidden="false" customHeight="false" outlineLevel="0" collapsed="false">
      <c r="A301" s="33" t="s">
        <v>2129</v>
      </c>
      <c r="B301" s="34" t="n">
        <v>45343</v>
      </c>
      <c r="C301" s="34" t="n">
        <v>45345</v>
      </c>
      <c r="D301" s="33" t="n">
        <v>0</v>
      </c>
      <c r="E301" s="33" t="s">
        <v>154</v>
      </c>
      <c r="F301" s="33" t="s">
        <v>155</v>
      </c>
      <c r="G301" s="33" t="s">
        <v>156</v>
      </c>
      <c r="H301" s="33" t="s">
        <v>222</v>
      </c>
      <c r="I301" s="33" t="s">
        <v>152</v>
      </c>
      <c r="J301" s="33" t="s">
        <v>159</v>
      </c>
      <c r="K301" s="33" t="s">
        <v>184</v>
      </c>
      <c r="L301" s="35" t="n">
        <v>1622.93</v>
      </c>
      <c r="M301" s="33" t="n">
        <v>3</v>
      </c>
      <c r="N301" s="33" t="s">
        <v>146</v>
      </c>
      <c r="O301" s="33" t="s">
        <v>295</v>
      </c>
      <c r="P301" s="39" t="n">
        <f aca="false">C301-B301</f>
        <v>2</v>
      </c>
      <c r="Q301" s="40" t="str">
        <f aca="false">CHOOSE(MONTH(B301),"يناير","فبراير","مارس","أبريل","مايو","يونيو","يوليو","أغسطس","سبتمبر","أكتوبر","نوفمبر","ديسمبر")</f>
        <v>فبراير</v>
      </c>
      <c r="R301" s="40" t="str">
        <f aca="false">"الربع "&amp;ROUNDUP(MONTH(B301)/3,0)</f>
        <v>الربع 1</v>
      </c>
      <c r="S301" s="40" t="str">
        <f aca="false">IF(D301&lt;=12,"أطفال (0-12)",IF(D301&lt;=24,"شباب (13-24)",IF(D301&lt;=44,"بالغون (25-44)",IF(D301&lt;=64,"متوسطو العمر (45-64)","كبار السن (+65)"))))</f>
        <v>أطفال (0-12)</v>
      </c>
      <c r="T301" s="41" t="n">
        <f aca="false">IFERROR(L301/P301,0)</f>
        <v>811.465</v>
      </c>
    </row>
    <row r="302" customFormat="false" ht="15" hidden="false" customHeight="false" outlineLevel="0" collapsed="false">
      <c r="A302" s="42" t="s">
        <v>1503</v>
      </c>
      <c r="B302" s="43" t="n">
        <v>45343</v>
      </c>
      <c r="C302" s="43" t="n">
        <v>45353</v>
      </c>
      <c r="D302" s="42" t="n">
        <v>68</v>
      </c>
      <c r="E302" s="42" t="s">
        <v>139</v>
      </c>
      <c r="F302" s="42" t="s">
        <v>173</v>
      </c>
      <c r="G302" s="42" t="s">
        <v>174</v>
      </c>
      <c r="H302" s="42" t="s">
        <v>175</v>
      </c>
      <c r="I302" s="42" t="s">
        <v>158</v>
      </c>
      <c r="J302" s="42" t="s">
        <v>159</v>
      </c>
      <c r="K302" s="42" t="s">
        <v>184</v>
      </c>
      <c r="L302" s="44" t="n">
        <v>17645.35</v>
      </c>
      <c r="M302" s="42" t="n">
        <v>5</v>
      </c>
      <c r="N302" s="42" t="s">
        <v>146</v>
      </c>
      <c r="O302" s="42" t="s">
        <v>147</v>
      </c>
      <c r="P302" s="39" t="n">
        <f aca="false">C302-B302</f>
        <v>10</v>
      </c>
      <c r="Q302" s="40" t="str">
        <f aca="false">CHOOSE(MONTH(B302),"يناير","فبراير","مارس","أبريل","مايو","يونيو","يوليو","أغسطس","سبتمبر","أكتوبر","نوفمبر","ديسمبر")</f>
        <v>فبراير</v>
      </c>
      <c r="R302" s="40" t="str">
        <f aca="false">"الربع "&amp;ROUNDUP(MONTH(B302)/3,0)</f>
        <v>الربع 1</v>
      </c>
      <c r="S302" s="40" t="str">
        <f aca="false">IF(D302&lt;=12,"أطفال (0-12)",IF(D302&lt;=24,"شباب (13-24)",IF(D302&lt;=44,"بالغون (25-44)",IF(D302&lt;=64,"متوسطو العمر (45-64)","كبار السن (+65)"))))</f>
        <v>كبار السن (+65)</v>
      </c>
      <c r="T302" s="41" t="n">
        <f aca="false">IFERROR(L302/P302,0)</f>
        <v>1764.535</v>
      </c>
    </row>
    <row r="303" customFormat="false" ht="15" hidden="false" customHeight="false" outlineLevel="0" collapsed="false">
      <c r="A303" s="33" t="s">
        <v>560</v>
      </c>
      <c r="B303" s="34" t="n">
        <v>45343</v>
      </c>
      <c r="C303" s="34" t="n">
        <v>45344</v>
      </c>
      <c r="D303" s="33" t="n">
        <v>82</v>
      </c>
      <c r="E303" s="33" t="s">
        <v>139</v>
      </c>
      <c r="F303" s="33" t="s">
        <v>203</v>
      </c>
      <c r="G303" s="33" t="s">
        <v>217</v>
      </c>
      <c r="H303" s="33" t="s">
        <v>205</v>
      </c>
      <c r="I303" s="33" t="s">
        <v>143</v>
      </c>
      <c r="J303" s="33" t="s">
        <v>159</v>
      </c>
      <c r="K303" s="33" t="s">
        <v>145</v>
      </c>
      <c r="L303" s="35" t="n">
        <v>1068.15</v>
      </c>
      <c r="M303" s="33" t="n">
        <v>3</v>
      </c>
      <c r="N303" s="33" t="s">
        <v>146</v>
      </c>
      <c r="O303" s="33" t="s">
        <v>147</v>
      </c>
      <c r="P303" s="39" t="n">
        <f aca="false">C303-B303</f>
        <v>1</v>
      </c>
      <c r="Q303" s="40" t="str">
        <f aca="false">CHOOSE(MONTH(B303),"يناير","فبراير","مارس","أبريل","مايو","يونيو","يوليو","أغسطس","سبتمبر","أكتوبر","نوفمبر","ديسمبر")</f>
        <v>فبراير</v>
      </c>
      <c r="R303" s="40" t="str">
        <f aca="false">"الربع "&amp;ROUNDUP(MONTH(B303)/3,0)</f>
        <v>الربع 1</v>
      </c>
      <c r="S303" s="40" t="str">
        <f aca="false">IF(D303&lt;=12,"أطفال (0-12)",IF(D303&lt;=24,"شباب (13-24)",IF(D303&lt;=44,"بالغون (25-44)",IF(D303&lt;=64,"متوسطو العمر (45-64)","كبار السن (+65)"))))</f>
        <v>كبار السن (+65)</v>
      </c>
      <c r="T303" s="41" t="n">
        <f aca="false">IFERROR(L303/P303,0)</f>
        <v>1068.15</v>
      </c>
    </row>
    <row r="304" customFormat="false" ht="15" hidden="false" customHeight="false" outlineLevel="0" collapsed="false">
      <c r="A304" s="42" t="s">
        <v>606</v>
      </c>
      <c r="B304" s="43" t="n">
        <v>45343</v>
      </c>
      <c r="C304" s="43" t="n">
        <v>45348</v>
      </c>
      <c r="D304" s="42" t="n">
        <v>3</v>
      </c>
      <c r="E304" s="42" t="s">
        <v>139</v>
      </c>
      <c r="F304" s="42" t="s">
        <v>155</v>
      </c>
      <c r="G304" s="42" t="s">
        <v>302</v>
      </c>
      <c r="H304" s="42" t="s">
        <v>157</v>
      </c>
      <c r="I304" s="42" t="s">
        <v>143</v>
      </c>
      <c r="J304" s="42" t="s">
        <v>159</v>
      </c>
      <c r="K304" s="42" t="s">
        <v>160</v>
      </c>
      <c r="L304" s="44" t="n">
        <v>3694.87</v>
      </c>
      <c r="M304" s="42" t="n">
        <v>4</v>
      </c>
      <c r="N304" s="42" t="s">
        <v>146</v>
      </c>
      <c r="O304" s="42" t="s">
        <v>147</v>
      </c>
      <c r="P304" s="39" t="n">
        <f aca="false">C304-B304</f>
        <v>5</v>
      </c>
      <c r="Q304" s="40" t="str">
        <f aca="false">CHOOSE(MONTH(B304),"يناير","فبراير","مارس","أبريل","مايو","يونيو","يوليو","أغسطس","سبتمبر","أكتوبر","نوفمبر","ديسمبر")</f>
        <v>فبراير</v>
      </c>
      <c r="R304" s="40" t="str">
        <f aca="false">"الربع "&amp;ROUNDUP(MONTH(B304)/3,0)</f>
        <v>الربع 1</v>
      </c>
      <c r="S304" s="40" t="str">
        <f aca="false">IF(D304&lt;=12,"أطفال (0-12)",IF(D304&lt;=24,"شباب (13-24)",IF(D304&lt;=44,"بالغون (25-44)",IF(D304&lt;=64,"متوسطو العمر (45-64)","كبار السن (+65)"))))</f>
        <v>أطفال (0-12)</v>
      </c>
      <c r="T304" s="41" t="n">
        <f aca="false">IFERROR(L304/P304,0)</f>
        <v>738.974</v>
      </c>
    </row>
    <row r="305" customFormat="false" ht="15" hidden="false" customHeight="false" outlineLevel="0" collapsed="false">
      <c r="A305" s="33" t="s">
        <v>1258</v>
      </c>
      <c r="B305" s="34" t="n">
        <v>45343</v>
      </c>
      <c r="C305" s="34" t="n">
        <v>45344</v>
      </c>
      <c r="D305" s="33" t="n">
        <v>42</v>
      </c>
      <c r="E305" s="33" t="s">
        <v>139</v>
      </c>
      <c r="F305" s="33" t="s">
        <v>203</v>
      </c>
      <c r="G305" s="33" t="s">
        <v>192</v>
      </c>
      <c r="H305" s="33" t="s">
        <v>193</v>
      </c>
      <c r="I305" s="33" t="s">
        <v>143</v>
      </c>
      <c r="J305" s="33" t="s">
        <v>159</v>
      </c>
      <c r="K305" s="33" t="s">
        <v>145</v>
      </c>
      <c r="L305" s="35" t="n">
        <v>911.05</v>
      </c>
      <c r="M305" s="33" t="n">
        <v>3</v>
      </c>
      <c r="N305" s="33" t="s">
        <v>146</v>
      </c>
      <c r="O305" s="33" t="s">
        <v>147</v>
      </c>
      <c r="P305" s="39" t="n">
        <f aca="false">C305-B305</f>
        <v>1</v>
      </c>
      <c r="Q305" s="40" t="str">
        <f aca="false">CHOOSE(MONTH(B305),"يناير","فبراير","مارس","أبريل","مايو","يونيو","يوليو","أغسطس","سبتمبر","أكتوبر","نوفمبر","ديسمبر")</f>
        <v>فبراير</v>
      </c>
      <c r="R305" s="40" t="str">
        <f aca="false">"الربع "&amp;ROUNDUP(MONTH(B305)/3,0)</f>
        <v>الربع 1</v>
      </c>
      <c r="S305" s="40" t="str">
        <f aca="false">IF(D305&lt;=12,"أطفال (0-12)",IF(D305&lt;=24,"شباب (13-24)",IF(D305&lt;=44,"بالغون (25-44)",IF(D305&lt;=64,"متوسطو العمر (45-64)","كبار السن (+65)"))))</f>
        <v>بالغون (25-44)</v>
      </c>
      <c r="T305" s="41" t="n">
        <f aca="false">IFERROR(L305/P305,0)</f>
        <v>911.05</v>
      </c>
    </row>
    <row r="306" customFormat="false" ht="15" hidden="false" customHeight="false" outlineLevel="0" collapsed="false">
      <c r="A306" s="42" t="s">
        <v>1090</v>
      </c>
      <c r="B306" s="43" t="n">
        <v>45343</v>
      </c>
      <c r="C306" s="43" t="n">
        <v>45344</v>
      </c>
      <c r="D306" s="42" t="n">
        <v>46</v>
      </c>
      <c r="E306" s="42" t="s">
        <v>139</v>
      </c>
      <c r="F306" s="42" t="s">
        <v>203</v>
      </c>
      <c r="G306" s="42" t="s">
        <v>217</v>
      </c>
      <c r="H306" s="42" t="s">
        <v>233</v>
      </c>
      <c r="I306" s="42" t="s">
        <v>143</v>
      </c>
      <c r="J306" s="42" t="s">
        <v>144</v>
      </c>
      <c r="K306" s="42" t="s">
        <v>184</v>
      </c>
      <c r="L306" s="44" t="n">
        <v>1726.99</v>
      </c>
      <c r="M306" s="42" t="n">
        <v>3</v>
      </c>
      <c r="N306" s="42" t="s">
        <v>146</v>
      </c>
      <c r="O306" s="42" t="s">
        <v>147</v>
      </c>
      <c r="P306" s="39" t="n">
        <f aca="false">C306-B306</f>
        <v>1</v>
      </c>
      <c r="Q306" s="40" t="str">
        <f aca="false">CHOOSE(MONTH(B306),"يناير","فبراير","مارس","أبريل","مايو","يونيو","يوليو","أغسطس","سبتمبر","أكتوبر","نوفمبر","ديسمبر")</f>
        <v>فبراير</v>
      </c>
      <c r="R306" s="40" t="str">
        <f aca="false">"الربع "&amp;ROUNDUP(MONTH(B306)/3,0)</f>
        <v>الربع 1</v>
      </c>
      <c r="S306" s="40" t="str">
        <f aca="false">IF(D306&lt;=12,"أطفال (0-12)",IF(D306&lt;=24,"شباب (13-24)",IF(D306&lt;=44,"بالغون (25-44)",IF(D306&lt;=64,"متوسطو العمر (45-64)","كبار السن (+65)"))))</f>
        <v>متوسطو العمر (45-64)</v>
      </c>
      <c r="T306" s="41" t="n">
        <f aca="false">IFERROR(L306/P306,0)</f>
        <v>1726.99</v>
      </c>
    </row>
    <row r="307" customFormat="false" ht="15" hidden="false" customHeight="false" outlineLevel="0" collapsed="false">
      <c r="A307" s="33" t="s">
        <v>404</v>
      </c>
      <c r="B307" s="34" t="n">
        <v>45343</v>
      </c>
      <c r="C307" s="34" t="n">
        <v>45345</v>
      </c>
      <c r="D307" s="33" t="n">
        <v>71</v>
      </c>
      <c r="E307" s="33" t="s">
        <v>139</v>
      </c>
      <c r="F307" s="33" t="s">
        <v>203</v>
      </c>
      <c r="G307" s="33" t="s">
        <v>241</v>
      </c>
      <c r="H307" s="33" t="s">
        <v>233</v>
      </c>
      <c r="I307" s="33" t="s">
        <v>143</v>
      </c>
      <c r="J307" s="33" t="s">
        <v>144</v>
      </c>
      <c r="K307" s="33" t="s">
        <v>145</v>
      </c>
      <c r="L307" s="35" t="n">
        <v>3042.72</v>
      </c>
      <c r="M307" s="33" t="n">
        <v>3</v>
      </c>
      <c r="N307" s="33" t="s">
        <v>146</v>
      </c>
      <c r="O307" s="33" t="s">
        <v>147</v>
      </c>
      <c r="P307" s="39" t="n">
        <f aca="false">C307-B307</f>
        <v>2</v>
      </c>
      <c r="Q307" s="40" t="str">
        <f aca="false">CHOOSE(MONTH(B307),"يناير","فبراير","مارس","أبريل","مايو","يونيو","يوليو","أغسطس","سبتمبر","أكتوبر","نوفمبر","ديسمبر")</f>
        <v>فبراير</v>
      </c>
      <c r="R307" s="40" t="str">
        <f aca="false">"الربع "&amp;ROUNDUP(MONTH(B307)/3,0)</f>
        <v>الربع 1</v>
      </c>
      <c r="S307" s="40" t="str">
        <f aca="false">IF(D307&lt;=12,"أطفال (0-12)",IF(D307&lt;=24,"شباب (13-24)",IF(D307&lt;=44,"بالغون (25-44)",IF(D307&lt;=64,"متوسطو العمر (45-64)","كبار السن (+65)"))))</f>
        <v>كبار السن (+65)</v>
      </c>
      <c r="T307" s="41" t="n">
        <f aca="false">IFERROR(L307/P307,0)</f>
        <v>1521.36</v>
      </c>
    </row>
    <row r="308" customFormat="false" ht="15" hidden="false" customHeight="false" outlineLevel="0" collapsed="false">
      <c r="A308" s="42" t="s">
        <v>368</v>
      </c>
      <c r="B308" s="43" t="n">
        <v>45343</v>
      </c>
      <c r="C308" s="43" t="n">
        <v>45350</v>
      </c>
      <c r="D308" s="42" t="n">
        <v>58</v>
      </c>
      <c r="E308" s="42" t="s">
        <v>154</v>
      </c>
      <c r="F308" s="42" t="s">
        <v>181</v>
      </c>
      <c r="G308" s="42" t="s">
        <v>182</v>
      </c>
      <c r="H308" s="42" t="s">
        <v>183</v>
      </c>
      <c r="I308" s="42" t="s">
        <v>143</v>
      </c>
      <c r="J308" s="42" t="s">
        <v>159</v>
      </c>
      <c r="K308" s="42" t="s">
        <v>145</v>
      </c>
      <c r="L308" s="44" t="n">
        <v>18982.02</v>
      </c>
      <c r="M308" s="42" t="n">
        <v>4</v>
      </c>
      <c r="N308" s="42" t="s">
        <v>146</v>
      </c>
      <c r="O308" s="42" t="s">
        <v>147</v>
      </c>
      <c r="P308" s="39" t="n">
        <f aca="false">C308-B308</f>
        <v>7</v>
      </c>
      <c r="Q308" s="40" t="str">
        <f aca="false">CHOOSE(MONTH(B308),"يناير","فبراير","مارس","أبريل","مايو","يونيو","يوليو","أغسطس","سبتمبر","أكتوبر","نوفمبر","ديسمبر")</f>
        <v>فبراير</v>
      </c>
      <c r="R308" s="40" t="str">
        <f aca="false">"الربع "&amp;ROUNDUP(MONTH(B308)/3,0)</f>
        <v>الربع 1</v>
      </c>
      <c r="S308" s="40" t="str">
        <f aca="false">IF(D308&lt;=12,"أطفال (0-12)",IF(D308&lt;=24,"شباب (13-24)",IF(D308&lt;=44,"بالغون (25-44)",IF(D308&lt;=64,"متوسطو العمر (45-64)","كبار السن (+65)"))))</f>
        <v>متوسطو العمر (45-64)</v>
      </c>
      <c r="T308" s="41" t="n">
        <f aca="false">IFERROR(L308/P308,0)</f>
        <v>2711.71714285714</v>
      </c>
    </row>
    <row r="309" customFormat="false" ht="15" hidden="false" customHeight="false" outlineLevel="0" collapsed="false">
      <c r="A309" s="33" t="s">
        <v>1050</v>
      </c>
      <c r="B309" s="34" t="n">
        <v>45344</v>
      </c>
      <c r="C309" s="34" t="n">
        <v>45346</v>
      </c>
      <c r="D309" s="33" t="n">
        <v>3</v>
      </c>
      <c r="E309" s="33" t="s">
        <v>154</v>
      </c>
      <c r="F309" s="33" t="s">
        <v>155</v>
      </c>
      <c r="G309" s="33" t="s">
        <v>220</v>
      </c>
      <c r="H309" s="33" t="s">
        <v>222</v>
      </c>
      <c r="I309" s="33" t="s">
        <v>143</v>
      </c>
      <c r="J309" s="33" t="s">
        <v>159</v>
      </c>
      <c r="K309" s="33" t="s">
        <v>209</v>
      </c>
      <c r="L309" s="35" t="n">
        <v>1757.01</v>
      </c>
      <c r="M309" s="33" t="n">
        <v>4</v>
      </c>
      <c r="N309" s="33" t="s">
        <v>146</v>
      </c>
      <c r="O309" s="33" t="s">
        <v>147</v>
      </c>
      <c r="P309" s="39" t="n">
        <f aca="false">C309-B309</f>
        <v>2</v>
      </c>
      <c r="Q309" s="40" t="str">
        <f aca="false">CHOOSE(MONTH(B309),"يناير","فبراير","مارس","أبريل","مايو","يونيو","يوليو","أغسطس","سبتمبر","أكتوبر","نوفمبر","ديسمبر")</f>
        <v>فبراير</v>
      </c>
      <c r="R309" s="40" t="str">
        <f aca="false">"الربع "&amp;ROUNDUP(MONTH(B309)/3,0)</f>
        <v>الربع 1</v>
      </c>
      <c r="S309" s="40" t="str">
        <f aca="false">IF(D309&lt;=12,"أطفال (0-12)",IF(D309&lt;=24,"شباب (13-24)",IF(D309&lt;=44,"بالغون (25-44)",IF(D309&lt;=64,"متوسطو العمر (45-64)","كبار السن (+65)"))))</f>
        <v>أطفال (0-12)</v>
      </c>
      <c r="T309" s="41" t="n">
        <f aca="false">IFERROR(L309/P309,0)</f>
        <v>878.505</v>
      </c>
    </row>
    <row r="310" customFormat="false" ht="15" hidden="false" customHeight="false" outlineLevel="0" collapsed="false">
      <c r="A310" s="42" t="s">
        <v>399</v>
      </c>
      <c r="B310" s="43" t="n">
        <v>45344</v>
      </c>
      <c r="C310" s="43" t="n">
        <v>45350</v>
      </c>
      <c r="D310" s="42" t="n">
        <v>60</v>
      </c>
      <c r="E310" s="42" t="s">
        <v>139</v>
      </c>
      <c r="F310" s="42" t="s">
        <v>181</v>
      </c>
      <c r="G310" s="42" t="s">
        <v>188</v>
      </c>
      <c r="H310" s="42" t="s">
        <v>245</v>
      </c>
      <c r="I310" s="42" t="s">
        <v>152</v>
      </c>
      <c r="J310" s="42" t="s">
        <v>159</v>
      </c>
      <c r="K310" s="42" t="s">
        <v>145</v>
      </c>
      <c r="L310" s="44" t="n">
        <v>16299.07</v>
      </c>
      <c r="M310" s="42" t="n">
        <v>5</v>
      </c>
      <c r="N310" s="42" t="s">
        <v>146</v>
      </c>
      <c r="O310" s="42" t="s">
        <v>147</v>
      </c>
      <c r="P310" s="39" t="n">
        <f aca="false">C310-B310</f>
        <v>6</v>
      </c>
      <c r="Q310" s="40" t="str">
        <f aca="false">CHOOSE(MONTH(B310),"يناير","فبراير","مارس","أبريل","مايو","يونيو","يوليو","أغسطس","سبتمبر","أكتوبر","نوفمبر","ديسمبر")</f>
        <v>فبراير</v>
      </c>
      <c r="R310" s="40" t="str">
        <f aca="false">"الربع "&amp;ROUNDUP(MONTH(B310)/3,0)</f>
        <v>الربع 1</v>
      </c>
      <c r="S310" s="40" t="str">
        <f aca="false">IF(D310&lt;=12,"أطفال (0-12)",IF(D310&lt;=24,"شباب (13-24)",IF(D310&lt;=44,"بالغون (25-44)",IF(D310&lt;=64,"متوسطو العمر (45-64)","كبار السن (+65)"))))</f>
        <v>متوسطو العمر (45-64)</v>
      </c>
      <c r="T310" s="41" t="n">
        <f aca="false">IFERROR(L310/P310,0)</f>
        <v>2716.51166666667</v>
      </c>
    </row>
    <row r="311" customFormat="false" ht="15" hidden="false" customHeight="false" outlineLevel="0" collapsed="false">
      <c r="A311" s="33" t="s">
        <v>345</v>
      </c>
      <c r="B311" s="34" t="n">
        <v>45344</v>
      </c>
      <c r="C311" s="34" t="n">
        <v>45350</v>
      </c>
      <c r="D311" s="33" t="n">
        <v>52</v>
      </c>
      <c r="E311" s="33" t="s">
        <v>139</v>
      </c>
      <c r="F311" s="33" t="s">
        <v>181</v>
      </c>
      <c r="G311" s="33" t="s">
        <v>237</v>
      </c>
      <c r="H311" s="33" t="s">
        <v>245</v>
      </c>
      <c r="I311" s="33" t="s">
        <v>152</v>
      </c>
      <c r="J311" s="33" t="s">
        <v>176</v>
      </c>
      <c r="K311" s="33" t="s">
        <v>184</v>
      </c>
      <c r="L311" s="35" t="n">
        <v>50018.3</v>
      </c>
      <c r="M311" s="33" t="n">
        <v>4</v>
      </c>
      <c r="N311" s="33" t="s">
        <v>146</v>
      </c>
      <c r="O311" s="33" t="s">
        <v>147</v>
      </c>
      <c r="P311" s="39" t="n">
        <f aca="false">C311-B311</f>
        <v>6</v>
      </c>
      <c r="Q311" s="40" t="str">
        <f aca="false">CHOOSE(MONTH(B311),"يناير","فبراير","مارس","أبريل","مايو","يونيو","يوليو","أغسطس","سبتمبر","أكتوبر","نوفمبر","ديسمبر")</f>
        <v>فبراير</v>
      </c>
      <c r="R311" s="40" t="str">
        <f aca="false">"الربع "&amp;ROUNDUP(MONTH(B311)/3,0)</f>
        <v>الربع 1</v>
      </c>
      <c r="S311" s="40" t="str">
        <f aca="false">IF(D311&lt;=12,"أطفال (0-12)",IF(D311&lt;=24,"شباب (13-24)",IF(D311&lt;=44,"بالغون (25-44)",IF(D311&lt;=64,"متوسطو العمر (45-64)","كبار السن (+65)"))))</f>
        <v>متوسطو العمر (45-64)</v>
      </c>
      <c r="T311" s="41" t="n">
        <f aca="false">IFERROR(L311/P311,0)</f>
        <v>8336.38333333333</v>
      </c>
    </row>
    <row r="312" customFormat="false" ht="15" hidden="false" customHeight="false" outlineLevel="0" collapsed="false">
      <c r="A312" s="42" t="s">
        <v>355</v>
      </c>
      <c r="B312" s="43" t="n">
        <v>45344</v>
      </c>
      <c r="C312" s="43" t="n">
        <v>45346</v>
      </c>
      <c r="D312" s="42" t="n">
        <v>48</v>
      </c>
      <c r="E312" s="42" t="s">
        <v>139</v>
      </c>
      <c r="F312" s="42" t="s">
        <v>181</v>
      </c>
      <c r="G312" s="42" t="s">
        <v>188</v>
      </c>
      <c r="H312" s="42" t="s">
        <v>183</v>
      </c>
      <c r="I312" s="42" t="s">
        <v>152</v>
      </c>
      <c r="J312" s="42" t="s">
        <v>159</v>
      </c>
      <c r="K312" s="42" t="s">
        <v>160</v>
      </c>
      <c r="L312" s="44" t="n">
        <v>4785.23</v>
      </c>
      <c r="M312" s="42" t="n">
        <v>4</v>
      </c>
      <c r="N312" s="42" t="s">
        <v>146</v>
      </c>
      <c r="O312" s="42" t="s">
        <v>147</v>
      </c>
      <c r="P312" s="39" t="n">
        <f aca="false">C312-B312</f>
        <v>2</v>
      </c>
      <c r="Q312" s="40" t="str">
        <f aca="false">CHOOSE(MONTH(B312),"يناير","فبراير","مارس","أبريل","مايو","يونيو","يوليو","أغسطس","سبتمبر","أكتوبر","نوفمبر","ديسمبر")</f>
        <v>فبراير</v>
      </c>
      <c r="R312" s="40" t="str">
        <f aca="false">"الربع "&amp;ROUNDUP(MONTH(B312)/3,0)</f>
        <v>الربع 1</v>
      </c>
      <c r="S312" s="40" t="str">
        <f aca="false">IF(D312&lt;=12,"أطفال (0-12)",IF(D312&lt;=24,"شباب (13-24)",IF(D312&lt;=44,"بالغون (25-44)",IF(D312&lt;=64,"متوسطو العمر (45-64)","كبار السن (+65)"))))</f>
        <v>متوسطو العمر (45-64)</v>
      </c>
      <c r="T312" s="41" t="n">
        <f aca="false">IFERROR(L312/P312,0)</f>
        <v>2392.615</v>
      </c>
    </row>
    <row r="313" customFormat="false" ht="15" hidden="false" customHeight="false" outlineLevel="0" collapsed="false">
      <c r="A313" s="33" t="s">
        <v>1176</v>
      </c>
      <c r="B313" s="34" t="n">
        <v>45344</v>
      </c>
      <c r="C313" s="34" t="n">
        <v>45345</v>
      </c>
      <c r="D313" s="33" t="n">
        <v>40</v>
      </c>
      <c r="E313" s="33" t="s">
        <v>154</v>
      </c>
      <c r="F313" s="33" t="s">
        <v>181</v>
      </c>
      <c r="G313" s="33" t="s">
        <v>182</v>
      </c>
      <c r="H313" s="33" t="s">
        <v>183</v>
      </c>
      <c r="I313" s="33" t="s">
        <v>152</v>
      </c>
      <c r="J313" s="33" t="s">
        <v>159</v>
      </c>
      <c r="K313" s="33" t="s">
        <v>145</v>
      </c>
      <c r="L313" s="35" t="n">
        <v>2423.1</v>
      </c>
      <c r="M313" s="33" t="n">
        <v>4</v>
      </c>
      <c r="N313" s="33" t="s">
        <v>146</v>
      </c>
      <c r="O313" s="33" t="s">
        <v>147</v>
      </c>
      <c r="P313" s="39" t="n">
        <f aca="false">C313-B313</f>
        <v>1</v>
      </c>
      <c r="Q313" s="40" t="str">
        <f aca="false">CHOOSE(MONTH(B313),"يناير","فبراير","مارس","أبريل","مايو","يونيو","يوليو","أغسطس","سبتمبر","أكتوبر","نوفمبر","ديسمبر")</f>
        <v>فبراير</v>
      </c>
      <c r="R313" s="40" t="str">
        <f aca="false">"الربع "&amp;ROUNDUP(MONTH(B313)/3,0)</f>
        <v>الربع 1</v>
      </c>
      <c r="S313" s="40" t="str">
        <f aca="false">IF(D313&lt;=12,"أطفال (0-12)",IF(D313&lt;=24,"شباب (13-24)",IF(D313&lt;=44,"بالغون (25-44)",IF(D313&lt;=64,"متوسطو العمر (45-64)","كبار السن (+65)"))))</f>
        <v>بالغون (25-44)</v>
      </c>
      <c r="T313" s="41" t="n">
        <f aca="false">IFERROR(L313/P313,0)</f>
        <v>2423.1</v>
      </c>
    </row>
    <row r="314" customFormat="false" ht="15" hidden="false" customHeight="false" outlineLevel="0" collapsed="false">
      <c r="A314" s="42" t="s">
        <v>2132</v>
      </c>
      <c r="B314" s="43" t="n">
        <v>45344</v>
      </c>
      <c r="C314" s="43" t="n">
        <v>45353</v>
      </c>
      <c r="D314" s="42" t="n">
        <v>36</v>
      </c>
      <c r="E314" s="42" t="s">
        <v>154</v>
      </c>
      <c r="F314" s="42" t="s">
        <v>173</v>
      </c>
      <c r="G314" s="42" t="s">
        <v>174</v>
      </c>
      <c r="H314" s="42" t="s">
        <v>175</v>
      </c>
      <c r="I314" s="42" t="s">
        <v>143</v>
      </c>
      <c r="J314" s="42" t="s">
        <v>176</v>
      </c>
      <c r="K314" s="42" t="s">
        <v>145</v>
      </c>
      <c r="L314" s="44" t="n">
        <v>75132.53</v>
      </c>
      <c r="M314" s="42" t="n">
        <v>5</v>
      </c>
      <c r="N314" s="42" t="s">
        <v>146</v>
      </c>
      <c r="O314" s="42" t="s">
        <v>147</v>
      </c>
      <c r="P314" s="39" t="n">
        <f aca="false">C314-B314</f>
        <v>9</v>
      </c>
      <c r="Q314" s="40" t="str">
        <f aca="false">CHOOSE(MONTH(B314),"يناير","فبراير","مارس","أبريل","مايو","يونيو","يوليو","أغسطس","سبتمبر","أكتوبر","نوفمبر","ديسمبر")</f>
        <v>فبراير</v>
      </c>
      <c r="R314" s="40" t="str">
        <f aca="false">"الربع "&amp;ROUNDUP(MONTH(B314)/3,0)</f>
        <v>الربع 1</v>
      </c>
      <c r="S314" s="40" t="str">
        <f aca="false">IF(D314&lt;=12,"أطفال (0-12)",IF(D314&lt;=24,"شباب (13-24)",IF(D314&lt;=44,"بالغون (25-44)",IF(D314&lt;=64,"متوسطو العمر (45-64)","كبار السن (+65)"))))</f>
        <v>بالغون (25-44)</v>
      </c>
      <c r="T314" s="41" t="n">
        <f aca="false">IFERROR(L314/P314,0)</f>
        <v>8348.05888888889</v>
      </c>
    </row>
    <row r="315" customFormat="false" ht="15" hidden="false" customHeight="false" outlineLevel="0" collapsed="false">
      <c r="A315" s="33" t="s">
        <v>1063</v>
      </c>
      <c r="B315" s="34" t="n">
        <v>45344</v>
      </c>
      <c r="C315" s="34" t="n">
        <v>45346</v>
      </c>
      <c r="D315" s="33" t="n">
        <v>9</v>
      </c>
      <c r="E315" s="33" t="s">
        <v>139</v>
      </c>
      <c r="F315" s="33" t="s">
        <v>203</v>
      </c>
      <c r="G315" s="33" t="s">
        <v>232</v>
      </c>
      <c r="H315" s="33" t="s">
        <v>205</v>
      </c>
      <c r="I315" s="33" t="s">
        <v>143</v>
      </c>
      <c r="J315" s="33" t="s">
        <v>144</v>
      </c>
      <c r="K315" s="33" t="s">
        <v>145</v>
      </c>
      <c r="L315" s="35" t="n">
        <v>3192.52</v>
      </c>
      <c r="M315" s="33" t="n">
        <v>4</v>
      </c>
      <c r="N315" s="33" t="s">
        <v>146</v>
      </c>
      <c r="O315" s="33" t="s">
        <v>147</v>
      </c>
      <c r="P315" s="39" t="n">
        <f aca="false">C315-B315</f>
        <v>2</v>
      </c>
      <c r="Q315" s="40" t="str">
        <f aca="false">CHOOSE(MONTH(B315),"يناير","فبراير","مارس","أبريل","مايو","يونيو","يوليو","أغسطس","سبتمبر","أكتوبر","نوفمبر","ديسمبر")</f>
        <v>فبراير</v>
      </c>
      <c r="R315" s="40" t="str">
        <f aca="false">"الربع "&amp;ROUNDUP(MONTH(B315)/3,0)</f>
        <v>الربع 1</v>
      </c>
      <c r="S315" s="40" t="str">
        <f aca="false">IF(D315&lt;=12,"أطفال (0-12)",IF(D315&lt;=24,"شباب (13-24)",IF(D315&lt;=44,"بالغون (25-44)",IF(D315&lt;=64,"متوسطو العمر (45-64)","كبار السن (+65)"))))</f>
        <v>أطفال (0-12)</v>
      </c>
      <c r="T315" s="41" t="n">
        <f aca="false">IFERROR(L315/P315,0)</f>
        <v>1596.26</v>
      </c>
    </row>
    <row r="316" customFormat="false" ht="15" hidden="false" customHeight="false" outlineLevel="0" collapsed="false">
      <c r="A316" s="42" t="s">
        <v>459</v>
      </c>
      <c r="B316" s="43" t="n">
        <v>45344</v>
      </c>
      <c r="C316" s="43" t="n">
        <v>45345</v>
      </c>
      <c r="D316" s="42" t="n">
        <v>23</v>
      </c>
      <c r="E316" s="42" t="s">
        <v>154</v>
      </c>
      <c r="F316" s="42" t="s">
        <v>203</v>
      </c>
      <c r="G316" s="42" t="s">
        <v>232</v>
      </c>
      <c r="H316" s="42" t="s">
        <v>193</v>
      </c>
      <c r="I316" s="42" t="s">
        <v>143</v>
      </c>
      <c r="J316" s="42" t="s">
        <v>159</v>
      </c>
      <c r="K316" s="42" t="s">
        <v>160</v>
      </c>
      <c r="L316" s="44" t="n">
        <v>825.52</v>
      </c>
      <c r="M316" s="42" t="n">
        <v>3</v>
      </c>
      <c r="N316" s="42" t="s">
        <v>146</v>
      </c>
      <c r="O316" s="42" t="s">
        <v>206</v>
      </c>
      <c r="P316" s="39" t="n">
        <f aca="false">C316-B316</f>
        <v>1</v>
      </c>
      <c r="Q316" s="40" t="str">
        <f aca="false">CHOOSE(MONTH(B316),"يناير","فبراير","مارس","أبريل","مايو","يونيو","يوليو","أغسطس","سبتمبر","أكتوبر","نوفمبر","ديسمبر")</f>
        <v>فبراير</v>
      </c>
      <c r="R316" s="40" t="str">
        <f aca="false">"الربع "&amp;ROUNDUP(MONTH(B316)/3,0)</f>
        <v>الربع 1</v>
      </c>
      <c r="S316" s="40" t="str">
        <f aca="false">IF(D316&lt;=12,"أطفال (0-12)",IF(D316&lt;=24,"شباب (13-24)",IF(D316&lt;=44,"بالغون (25-44)",IF(D316&lt;=64,"متوسطو العمر (45-64)","كبار السن (+65)"))))</f>
        <v>شباب (13-24)</v>
      </c>
      <c r="T316" s="41" t="n">
        <f aca="false">IFERROR(L316/P316,0)</f>
        <v>825.52</v>
      </c>
    </row>
    <row r="317" customFormat="false" ht="15" hidden="false" customHeight="false" outlineLevel="0" collapsed="false">
      <c r="A317" s="33" t="s">
        <v>138</v>
      </c>
      <c r="B317" s="34" t="n">
        <v>45345</v>
      </c>
      <c r="C317" s="34" t="n">
        <v>45347</v>
      </c>
      <c r="D317" s="33" t="n">
        <v>43</v>
      </c>
      <c r="E317" s="33" t="s">
        <v>139</v>
      </c>
      <c r="F317" s="33" t="s">
        <v>140</v>
      </c>
      <c r="G317" s="33" t="s">
        <v>141</v>
      </c>
      <c r="H317" s="33" t="s">
        <v>142</v>
      </c>
      <c r="I317" s="33" t="s">
        <v>143</v>
      </c>
      <c r="J317" s="33" t="s">
        <v>144</v>
      </c>
      <c r="K317" s="33" t="s">
        <v>145</v>
      </c>
      <c r="L317" s="35" t="n">
        <v>7827.45</v>
      </c>
      <c r="M317" s="33" t="n">
        <v>4</v>
      </c>
      <c r="N317" s="33" t="s">
        <v>146</v>
      </c>
      <c r="O317" s="33" t="s">
        <v>147</v>
      </c>
      <c r="P317" s="39" t="n">
        <f aca="false">C317-B317</f>
        <v>2</v>
      </c>
      <c r="Q317" s="40" t="str">
        <f aca="false">CHOOSE(MONTH(B317),"يناير","فبراير","مارس","أبريل","مايو","يونيو","يوليو","أغسطس","سبتمبر","أكتوبر","نوفمبر","ديسمبر")</f>
        <v>فبراير</v>
      </c>
      <c r="R317" s="40" t="str">
        <f aca="false">"الربع "&amp;ROUNDUP(MONTH(B317)/3,0)</f>
        <v>الربع 1</v>
      </c>
      <c r="S317" s="40" t="str">
        <f aca="false">IF(D317&lt;=12,"أطفال (0-12)",IF(D317&lt;=24,"شباب (13-24)",IF(D317&lt;=44,"بالغون (25-44)",IF(D317&lt;=64,"متوسطو العمر (45-64)","كبار السن (+65)"))))</f>
        <v>بالغون (25-44)</v>
      </c>
      <c r="T317" s="41" t="n">
        <f aca="false">IFERROR(L317/P317,0)</f>
        <v>3913.725</v>
      </c>
    </row>
    <row r="318" customFormat="false" ht="15" hidden="false" customHeight="false" outlineLevel="0" collapsed="false">
      <c r="A318" s="42" t="s">
        <v>1387</v>
      </c>
      <c r="B318" s="43" t="n">
        <v>45345</v>
      </c>
      <c r="C318" s="43" t="n">
        <v>45349</v>
      </c>
      <c r="D318" s="42" t="n">
        <v>29</v>
      </c>
      <c r="E318" s="42" t="s">
        <v>139</v>
      </c>
      <c r="F318" s="42" t="s">
        <v>149</v>
      </c>
      <c r="G318" s="42" t="s">
        <v>150</v>
      </c>
      <c r="H318" s="42" t="s">
        <v>151</v>
      </c>
      <c r="I318" s="42" t="s">
        <v>152</v>
      </c>
      <c r="J318" s="42" t="s">
        <v>159</v>
      </c>
      <c r="K318" s="42" t="s">
        <v>184</v>
      </c>
      <c r="L318" s="44" t="n">
        <v>5367.15</v>
      </c>
      <c r="M318" s="42" t="n">
        <v>4</v>
      </c>
      <c r="N318" s="42" t="s">
        <v>146</v>
      </c>
      <c r="O318" s="42" t="s">
        <v>147</v>
      </c>
      <c r="P318" s="39" t="n">
        <f aca="false">C318-B318</f>
        <v>4</v>
      </c>
      <c r="Q318" s="40" t="str">
        <f aca="false">CHOOSE(MONTH(B318),"يناير","فبراير","مارس","أبريل","مايو","يونيو","يوليو","أغسطس","سبتمبر","أكتوبر","نوفمبر","ديسمبر")</f>
        <v>فبراير</v>
      </c>
      <c r="R318" s="40" t="str">
        <f aca="false">"الربع "&amp;ROUNDUP(MONTH(B318)/3,0)</f>
        <v>الربع 1</v>
      </c>
      <c r="S318" s="40" t="str">
        <f aca="false">IF(D318&lt;=12,"أطفال (0-12)",IF(D318&lt;=24,"شباب (13-24)",IF(D318&lt;=44,"بالغون (25-44)",IF(D318&lt;=64,"متوسطو العمر (45-64)","كبار السن (+65)"))))</f>
        <v>بالغون (25-44)</v>
      </c>
      <c r="T318" s="41" t="n">
        <f aca="false">IFERROR(L318/P318,0)</f>
        <v>1341.7875</v>
      </c>
    </row>
    <row r="319" customFormat="false" ht="15" hidden="false" customHeight="false" outlineLevel="0" collapsed="false">
      <c r="A319" s="33" t="s">
        <v>2105</v>
      </c>
      <c r="B319" s="34" t="n">
        <v>45345</v>
      </c>
      <c r="C319" s="34" t="n">
        <v>45349</v>
      </c>
      <c r="D319" s="33" t="n">
        <v>32</v>
      </c>
      <c r="E319" s="33" t="s">
        <v>139</v>
      </c>
      <c r="F319" s="33" t="s">
        <v>169</v>
      </c>
      <c r="G319" s="33" t="s">
        <v>170</v>
      </c>
      <c r="H319" s="33" t="s">
        <v>164</v>
      </c>
      <c r="I319" s="33" t="s">
        <v>143</v>
      </c>
      <c r="J319" s="33" t="s">
        <v>159</v>
      </c>
      <c r="K319" s="33" t="s">
        <v>160</v>
      </c>
      <c r="L319" s="35" t="n">
        <v>4875.96</v>
      </c>
      <c r="M319" s="33" t="n">
        <v>3</v>
      </c>
      <c r="N319" s="33" t="s">
        <v>146</v>
      </c>
      <c r="O319" s="33" t="s">
        <v>147</v>
      </c>
      <c r="P319" s="39" t="n">
        <f aca="false">C319-B319</f>
        <v>4</v>
      </c>
      <c r="Q319" s="40" t="str">
        <f aca="false">CHOOSE(MONTH(B319),"يناير","فبراير","مارس","أبريل","مايو","يونيو","يوليو","أغسطس","سبتمبر","أكتوبر","نوفمبر","ديسمبر")</f>
        <v>فبراير</v>
      </c>
      <c r="R319" s="40" t="str">
        <f aca="false">"الربع "&amp;ROUNDUP(MONTH(B319)/3,0)</f>
        <v>الربع 1</v>
      </c>
      <c r="S319" s="40" t="str">
        <f aca="false">IF(D319&lt;=12,"أطفال (0-12)",IF(D319&lt;=24,"شباب (13-24)",IF(D319&lt;=44,"بالغون (25-44)",IF(D319&lt;=64,"متوسطو العمر (45-64)","كبار السن (+65)"))))</f>
        <v>بالغون (25-44)</v>
      </c>
      <c r="T319" s="41" t="n">
        <f aca="false">IFERROR(L319/P319,0)</f>
        <v>1218.99</v>
      </c>
    </row>
    <row r="320" customFormat="false" ht="15" hidden="false" customHeight="false" outlineLevel="0" collapsed="false">
      <c r="A320" s="42" t="s">
        <v>1564</v>
      </c>
      <c r="B320" s="43" t="n">
        <v>45346</v>
      </c>
      <c r="C320" s="43" t="n">
        <v>45347</v>
      </c>
      <c r="D320" s="42" t="n">
        <v>46</v>
      </c>
      <c r="E320" s="42" t="s">
        <v>139</v>
      </c>
      <c r="F320" s="42" t="s">
        <v>140</v>
      </c>
      <c r="G320" s="42" t="s">
        <v>167</v>
      </c>
      <c r="H320" s="42" t="s">
        <v>142</v>
      </c>
      <c r="I320" s="42" t="s">
        <v>158</v>
      </c>
      <c r="J320" s="42" t="s">
        <v>159</v>
      </c>
      <c r="K320" s="42" t="s">
        <v>145</v>
      </c>
      <c r="L320" s="44" t="n">
        <v>2117.4</v>
      </c>
      <c r="M320" s="42" t="n">
        <v>5</v>
      </c>
      <c r="N320" s="42" t="s">
        <v>146</v>
      </c>
      <c r="O320" s="42" t="s">
        <v>147</v>
      </c>
      <c r="P320" s="39" t="n">
        <f aca="false">C320-B320</f>
        <v>1</v>
      </c>
      <c r="Q320" s="40" t="str">
        <f aca="false">CHOOSE(MONTH(B320),"يناير","فبراير","مارس","أبريل","مايو","يونيو","يوليو","أغسطس","سبتمبر","أكتوبر","نوفمبر","ديسمبر")</f>
        <v>فبراير</v>
      </c>
      <c r="R320" s="40" t="str">
        <f aca="false">"الربع "&amp;ROUNDUP(MONTH(B320)/3,0)</f>
        <v>الربع 1</v>
      </c>
      <c r="S320" s="40" t="str">
        <f aca="false">IF(D320&lt;=12,"أطفال (0-12)",IF(D320&lt;=24,"شباب (13-24)",IF(D320&lt;=44,"بالغون (25-44)",IF(D320&lt;=64,"متوسطو العمر (45-64)","كبار السن (+65)"))))</f>
        <v>متوسطو العمر (45-64)</v>
      </c>
      <c r="T320" s="41" t="n">
        <f aca="false">IFERROR(L320/P320,0)</f>
        <v>2117.4</v>
      </c>
    </row>
    <row r="321" customFormat="false" ht="15" hidden="false" customHeight="false" outlineLevel="0" collapsed="false">
      <c r="A321" s="33" t="s">
        <v>857</v>
      </c>
      <c r="B321" s="34" t="n">
        <v>45346</v>
      </c>
      <c r="C321" s="34" t="n">
        <v>45350</v>
      </c>
      <c r="D321" s="33" t="n">
        <v>73</v>
      </c>
      <c r="E321" s="33" t="s">
        <v>154</v>
      </c>
      <c r="F321" s="33" t="s">
        <v>181</v>
      </c>
      <c r="G321" s="33" t="s">
        <v>188</v>
      </c>
      <c r="H321" s="33" t="s">
        <v>245</v>
      </c>
      <c r="I321" s="33" t="s">
        <v>143</v>
      </c>
      <c r="J321" s="33" t="s">
        <v>159</v>
      </c>
      <c r="K321" s="33" t="s">
        <v>145</v>
      </c>
      <c r="L321" s="35" t="n">
        <v>11143.37</v>
      </c>
      <c r="M321" s="33" t="n">
        <v>5</v>
      </c>
      <c r="N321" s="33" t="s">
        <v>210</v>
      </c>
      <c r="O321" s="33" t="s">
        <v>147</v>
      </c>
      <c r="P321" s="39" t="n">
        <f aca="false">C321-B321</f>
        <v>4</v>
      </c>
      <c r="Q321" s="40" t="str">
        <f aca="false">CHOOSE(MONTH(B321),"يناير","فبراير","مارس","أبريل","مايو","يونيو","يوليو","أغسطس","سبتمبر","أكتوبر","نوفمبر","ديسمبر")</f>
        <v>فبراير</v>
      </c>
      <c r="R321" s="40" t="str">
        <f aca="false">"الربع "&amp;ROUNDUP(MONTH(B321)/3,0)</f>
        <v>الربع 1</v>
      </c>
      <c r="S321" s="40" t="str">
        <f aca="false">IF(D321&lt;=12,"أطفال (0-12)",IF(D321&lt;=24,"شباب (13-24)",IF(D321&lt;=44,"بالغون (25-44)",IF(D321&lt;=64,"متوسطو العمر (45-64)","كبار السن (+65)"))))</f>
        <v>كبار السن (+65)</v>
      </c>
      <c r="T321" s="41" t="n">
        <f aca="false">IFERROR(L321/P321,0)</f>
        <v>2785.8425</v>
      </c>
    </row>
    <row r="322" customFormat="false" ht="15" hidden="false" customHeight="false" outlineLevel="0" collapsed="false">
      <c r="A322" s="42" t="s">
        <v>1236</v>
      </c>
      <c r="B322" s="43" t="n">
        <v>45346</v>
      </c>
      <c r="C322" s="43" t="n">
        <v>45348</v>
      </c>
      <c r="D322" s="42" t="n">
        <v>46</v>
      </c>
      <c r="E322" s="42" t="s">
        <v>154</v>
      </c>
      <c r="F322" s="42" t="s">
        <v>173</v>
      </c>
      <c r="G322" s="42" t="s">
        <v>178</v>
      </c>
      <c r="H322" s="42" t="s">
        <v>175</v>
      </c>
      <c r="I322" s="42" t="s">
        <v>143</v>
      </c>
      <c r="J322" s="42" t="s">
        <v>144</v>
      </c>
      <c r="K322" s="42" t="s">
        <v>184</v>
      </c>
      <c r="L322" s="44" t="n">
        <v>10130.25</v>
      </c>
      <c r="M322" s="42" t="n">
        <v>5</v>
      </c>
      <c r="N322" s="42" t="s">
        <v>146</v>
      </c>
      <c r="O322" s="42" t="s">
        <v>147</v>
      </c>
      <c r="P322" s="39" t="n">
        <f aca="false">C322-B322</f>
        <v>2</v>
      </c>
      <c r="Q322" s="40" t="str">
        <f aca="false">CHOOSE(MONTH(B322),"يناير","فبراير","مارس","أبريل","مايو","يونيو","يوليو","أغسطس","سبتمبر","أكتوبر","نوفمبر","ديسمبر")</f>
        <v>فبراير</v>
      </c>
      <c r="R322" s="40" t="str">
        <f aca="false">"الربع "&amp;ROUNDUP(MONTH(B322)/3,0)</f>
        <v>الربع 1</v>
      </c>
      <c r="S322" s="40" t="str">
        <f aca="false">IF(D322&lt;=12,"أطفال (0-12)",IF(D322&lt;=24,"شباب (13-24)",IF(D322&lt;=44,"بالغون (25-44)",IF(D322&lt;=64,"متوسطو العمر (45-64)","كبار السن (+65)"))))</f>
        <v>متوسطو العمر (45-64)</v>
      </c>
      <c r="T322" s="41" t="n">
        <f aca="false">IFERROR(L322/P322,0)</f>
        <v>5065.125</v>
      </c>
    </row>
    <row r="323" customFormat="false" ht="15" hidden="false" customHeight="false" outlineLevel="0" collapsed="false">
      <c r="A323" s="33" t="s">
        <v>866</v>
      </c>
      <c r="B323" s="34" t="n">
        <v>45346</v>
      </c>
      <c r="C323" s="34" t="n">
        <v>45353</v>
      </c>
      <c r="D323" s="33" t="n">
        <v>27</v>
      </c>
      <c r="E323" s="33" t="s">
        <v>139</v>
      </c>
      <c r="F323" s="33" t="s">
        <v>149</v>
      </c>
      <c r="G323" s="33" t="s">
        <v>243</v>
      </c>
      <c r="H323" s="33" t="s">
        <v>151</v>
      </c>
      <c r="I323" s="33" t="s">
        <v>143</v>
      </c>
      <c r="J323" s="33" t="s">
        <v>144</v>
      </c>
      <c r="K323" s="33" t="s">
        <v>184</v>
      </c>
      <c r="L323" s="35" t="n">
        <v>17142.97</v>
      </c>
      <c r="M323" s="33" t="n">
        <v>3</v>
      </c>
      <c r="N323" s="33" t="s">
        <v>146</v>
      </c>
      <c r="O323" s="33" t="s">
        <v>147</v>
      </c>
      <c r="P323" s="39" t="n">
        <f aca="false">C323-B323</f>
        <v>7</v>
      </c>
      <c r="Q323" s="40" t="str">
        <f aca="false">CHOOSE(MONTH(B323),"يناير","فبراير","مارس","أبريل","مايو","يونيو","يوليو","أغسطس","سبتمبر","أكتوبر","نوفمبر","ديسمبر")</f>
        <v>فبراير</v>
      </c>
      <c r="R323" s="40" t="str">
        <f aca="false">"الربع "&amp;ROUNDUP(MONTH(B323)/3,0)</f>
        <v>الربع 1</v>
      </c>
      <c r="S323" s="40" t="str">
        <f aca="false">IF(D323&lt;=12,"أطفال (0-12)",IF(D323&lt;=24,"شباب (13-24)",IF(D323&lt;=44,"بالغون (25-44)",IF(D323&lt;=64,"متوسطو العمر (45-64)","كبار السن (+65)"))))</f>
        <v>بالغون (25-44)</v>
      </c>
      <c r="T323" s="41" t="n">
        <f aca="false">IFERROR(L323/P323,0)</f>
        <v>2448.99571428571</v>
      </c>
    </row>
    <row r="324" customFormat="false" ht="15" hidden="false" customHeight="false" outlineLevel="0" collapsed="false">
      <c r="A324" s="42" t="s">
        <v>1917</v>
      </c>
      <c r="B324" s="43" t="n">
        <v>45346</v>
      </c>
      <c r="C324" s="43" t="n">
        <v>45348</v>
      </c>
      <c r="D324" s="42" t="n">
        <v>34</v>
      </c>
      <c r="E324" s="42" t="s">
        <v>139</v>
      </c>
      <c r="F324" s="42" t="s">
        <v>149</v>
      </c>
      <c r="G324" s="42" t="s">
        <v>150</v>
      </c>
      <c r="H324" s="42" t="s">
        <v>186</v>
      </c>
      <c r="I324" s="42" t="s">
        <v>158</v>
      </c>
      <c r="J324" s="42" t="s">
        <v>159</v>
      </c>
      <c r="K324" s="42" t="s">
        <v>145</v>
      </c>
      <c r="L324" s="44" t="n">
        <v>3346.27</v>
      </c>
      <c r="M324" s="42" t="n">
        <v>4</v>
      </c>
      <c r="N324" s="42" t="s">
        <v>146</v>
      </c>
      <c r="O324" s="42" t="s">
        <v>147</v>
      </c>
      <c r="P324" s="39" t="n">
        <f aca="false">C324-B324</f>
        <v>2</v>
      </c>
      <c r="Q324" s="40" t="str">
        <f aca="false">CHOOSE(MONTH(B324),"يناير","فبراير","مارس","أبريل","مايو","يونيو","يوليو","أغسطس","سبتمبر","أكتوبر","نوفمبر","ديسمبر")</f>
        <v>فبراير</v>
      </c>
      <c r="R324" s="40" t="str">
        <f aca="false">"الربع "&amp;ROUNDUP(MONTH(B324)/3,0)</f>
        <v>الربع 1</v>
      </c>
      <c r="S324" s="40" t="str">
        <f aca="false">IF(D324&lt;=12,"أطفال (0-12)",IF(D324&lt;=24,"شباب (13-24)",IF(D324&lt;=44,"بالغون (25-44)",IF(D324&lt;=64,"متوسطو العمر (45-64)","كبار السن (+65)"))))</f>
        <v>بالغون (25-44)</v>
      </c>
      <c r="T324" s="41" t="n">
        <f aca="false">IFERROR(L324/P324,0)</f>
        <v>1673.135</v>
      </c>
    </row>
    <row r="325" customFormat="false" ht="15" hidden="false" customHeight="false" outlineLevel="0" collapsed="false">
      <c r="A325" s="33" t="s">
        <v>1773</v>
      </c>
      <c r="B325" s="34" t="n">
        <v>45346</v>
      </c>
      <c r="C325" s="34" t="n">
        <v>45348</v>
      </c>
      <c r="D325" s="33" t="n">
        <v>60</v>
      </c>
      <c r="E325" s="33" t="s">
        <v>154</v>
      </c>
      <c r="F325" s="33" t="s">
        <v>140</v>
      </c>
      <c r="G325" s="33" t="s">
        <v>141</v>
      </c>
      <c r="H325" s="33" t="s">
        <v>142</v>
      </c>
      <c r="I325" s="33" t="s">
        <v>143</v>
      </c>
      <c r="J325" s="33" t="s">
        <v>159</v>
      </c>
      <c r="K325" s="33" t="s">
        <v>160</v>
      </c>
      <c r="L325" s="35" t="n">
        <v>4306.29</v>
      </c>
      <c r="M325" s="33" t="n">
        <v>4</v>
      </c>
      <c r="N325" s="33" t="s">
        <v>146</v>
      </c>
      <c r="O325" s="33" t="s">
        <v>147</v>
      </c>
      <c r="P325" s="39" t="n">
        <f aca="false">C325-B325</f>
        <v>2</v>
      </c>
      <c r="Q325" s="40" t="str">
        <f aca="false">CHOOSE(MONTH(B325),"يناير","فبراير","مارس","أبريل","مايو","يونيو","يوليو","أغسطس","سبتمبر","أكتوبر","نوفمبر","ديسمبر")</f>
        <v>فبراير</v>
      </c>
      <c r="R325" s="40" t="str">
        <f aca="false">"الربع "&amp;ROUNDUP(MONTH(B325)/3,0)</f>
        <v>الربع 1</v>
      </c>
      <c r="S325" s="40" t="str">
        <f aca="false">IF(D325&lt;=12,"أطفال (0-12)",IF(D325&lt;=24,"شباب (13-24)",IF(D325&lt;=44,"بالغون (25-44)",IF(D325&lt;=64,"متوسطو العمر (45-64)","كبار السن (+65)"))))</f>
        <v>متوسطو العمر (45-64)</v>
      </c>
      <c r="T325" s="41" t="n">
        <f aca="false">IFERROR(L325/P325,0)</f>
        <v>2153.145</v>
      </c>
    </row>
    <row r="326" customFormat="false" ht="15" hidden="false" customHeight="false" outlineLevel="0" collapsed="false">
      <c r="A326" s="42" t="s">
        <v>1515</v>
      </c>
      <c r="B326" s="43" t="n">
        <v>45346</v>
      </c>
      <c r="C326" s="43" t="n">
        <v>45355</v>
      </c>
      <c r="D326" s="42" t="n">
        <v>61</v>
      </c>
      <c r="E326" s="42" t="s">
        <v>139</v>
      </c>
      <c r="F326" s="42" t="s">
        <v>181</v>
      </c>
      <c r="G326" s="42" t="s">
        <v>237</v>
      </c>
      <c r="H326" s="42" t="s">
        <v>245</v>
      </c>
      <c r="I326" s="42" t="s">
        <v>143</v>
      </c>
      <c r="J326" s="42" t="s">
        <v>159</v>
      </c>
      <c r="K326" s="42" t="s">
        <v>184</v>
      </c>
      <c r="L326" s="44" t="n">
        <v>22263.67</v>
      </c>
      <c r="M326" s="42" t="n">
        <v>5</v>
      </c>
      <c r="N326" s="42" t="s">
        <v>146</v>
      </c>
      <c r="O326" s="42" t="s">
        <v>147</v>
      </c>
      <c r="P326" s="39" t="n">
        <f aca="false">C326-B326</f>
        <v>9</v>
      </c>
      <c r="Q326" s="40" t="str">
        <f aca="false">CHOOSE(MONTH(B326),"يناير","فبراير","مارس","أبريل","مايو","يونيو","يوليو","أغسطس","سبتمبر","أكتوبر","نوفمبر","ديسمبر")</f>
        <v>فبراير</v>
      </c>
      <c r="R326" s="40" t="str">
        <f aca="false">"الربع "&amp;ROUNDUP(MONTH(B326)/3,0)</f>
        <v>الربع 1</v>
      </c>
      <c r="S326" s="40" t="str">
        <f aca="false">IF(D326&lt;=12,"أطفال (0-12)",IF(D326&lt;=24,"شباب (13-24)",IF(D326&lt;=44,"بالغون (25-44)",IF(D326&lt;=64,"متوسطو العمر (45-64)","كبار السن (+65)"))))</f>
        <v>متوسطو العمر (45-64)</v>
      </c>
      <c r="T326" s="41" t="n">
        <f aca="false">IFERROR(L326/P326,0)</f>
        <v>2473.74111111111</v>
      </c>
    </row>
    <row r="327" customFormat="false" ht="15" hidden="false" customHeight="false" outlineLevel="0" collapsed="false">
      <c r="A327" s="33" t="s">
        <v>1973</v>
      </c>
      <c r="B327" s="34" t="n">
        <v>45346</v>
      </c>
      <c r="C327" s="34" t="n">
        <v>45353</v>
      </c>
      <c r="D327" s="33" t="n">
        <v>39</v>
      </c>
      <c r="E327" s="33" t="s">
        <v>139</v>
      </c>
      <c r="F327" s="33" t="s">
        <v>173</v>
      </c>
      <c r="G327" s="33" t="s">
        <v>174</v>
      </c>
      <c r="H327" s="33" t="s">
        <v>175</v>
      </c>
      <c r="I327" s="33" t="s">
        <v>152</v>
      </c>
      <c r="J327" s="33" t="s">
        <v>159</v>
      </c>
      <c r="K327" s="33" t="s">
        <v>160</v>
      </c>
      <c r="L327" s="35" t="n">
        <v>18231.43</v>
      </c>
      <c r="M327" s="33" t="n">
        <v>4</v>
      </c>
      <c r="N327" s="33" t="s">
        <v>146</v>
      </c>
      <c r="O327" s="33" t="s">
        <v>147</v>
      </c>
      <c r="P327" s="39" t="n">
        <f aca="false">C327-B327</f>
        <v>7</v>
      </c>
      <c r="Q327" s="40" t="str">
        <f aca="false">CHOOSE(MONTH(B327),"يناير","فبراير","مارس","أبريل","مايو","يونيو","يوليو","أغسطس","سبتمبر","أكتوبر","نوفمبر","ديسمبر")</f>
        <v>فبراير</v>
      </c>
      <c r="R327" s="40" t="str">
        <f aca="false">"الربع "&amp;ROUNDUP(MONTH(B327)/3,0)</f>
        <v>الربع 1</v>
      </c>
      <c r="S327" s="40" t="str">
        <f aca="false">IF(D327&lt;=12,"أطفال (0-12)",IF(D327&lt;=24,"شباب (13-24)",IF(D327&lt;=44,"بالغون (25-44)",IF(D327&lt;=64,"متوسطو العمر (45-64)","كبار السن (+65)"))))</f>
        <v>بالغون (25-44)</v>
      </c>
      <c r="T327" s="41" t="n">
        <f aca="false">IFERROR(L327/P327,0)</f>
        <v>2604.49</v>
      </c>
    </row>
    <row r="328" customFormat="false" ht="15" hidden="false" customHeight="false" outlineLevel="0" collapsed="false">
      <c r="A328" s="42" t="s">
        <v>1855</v>
      </c>
      <c r="B328" s="43" t="n">
        <v>45346</v>
      </c>
      <c r="C328" s="43" t="n">
        <v>45351</v>
      </c>
      <c r="D328" s="42" t="n">
        <v>72</v>
      </c>
      <c r="E328" s="42" t="s">
        <v>154</v>
      </c>
      <c r="F328" s="42" t="s">
        <v>173</v>
      </c>
      <c r="G328" s="42" t="s">
        <v>178</v>
      </c>
      <c r="H328" s="42" t="s">
        <v>199</v>
      </c>
      <c r="I328" s="42" t="s">
        <v>152</v>
      </c>
      <c r="J328" s="42" t="s">
        <v>159</v>
      </c>
      <c r="K328" s="42" t="s">
        <v>145</v>
      </c>
      <c r="L328" s="44" t="n">
        <v>14962.63</v>
      </c>
      <c r="M328" s="42" t="n">
        <v>4</v>
      </c>
      <c r="N328" s="42" t="s">
        <v>146</v>
      </c>
      <c r="O328" s="42" t="s">
        <v>147</v>
      </c>
      <c r="P328" s="39" t="n">
        <f aca="false">C328-B328</f>
        <v>5</v>
      </c>
      <c r="Q328" s="40" t="str">
        <f aca="false">CHOOSE(MONTH(B328),"يناير","فبراير","مارس","أبريل","مايو","يونيو","يوليو","أغسطس","سبتمبر","أكتوبر","نوفمبر","ديسمبر")</f>
        <v>فبراير</v>
      </c>
      <c r="R328" s="40" t="str">
        <f aca="false">"الربع "&amp;ROUNDUP(MONTH(B328)/3,0)</f>
        <v>الربع 1</v>
      </c>
      <c r="S328" s="40" t="str">
        <f aca="false">IF(D328&lt;=12,"أطفال (0-12)",IF(D328&lt;=24,"شباب (13-24)",IF(D328&lt;=44,"بالغون (25-44)",IF(D328&lt;=64,"متوسطو العمر (45-64)","كبار السن (+65)"))))</f>
        <v>كبار السن (+65)</v>
      </c>
      <c r="T328" s="41" t="n">
        <f aca="false">IFERROR(L328/P328,0)</f>
        <v>2992.526</v>
      </c>
    </row>
    <row r="329" customFormat="false" ht="15" hidden="false" customHeight="false" outlineLevel="0" collapsed="false">
      <c r="A329" s="33" t="s">
        <v>642</v>
      </c>
      <c r="B329" s="34" t="n">
        <v>45347</v>
      </c>
      <c r="C329" s="34" t="n">
        <v>45352</v>
      </c>
      <c r="D329" s="33" t="n">
        <v>57</v>
      </c>
      <c r="E329" s="33" t="s">
        <v>139</v>
      </c>
      <c r="F329" s="33" t="s">
        <v>226</v>
      </c>
      <c r="G329" s="33" t="s">
        <v>386</v>
      </c>
      <c r="H329" s="33" t="s">
        <v>228</v>
      </c>
      <c r="I329" s="33" t="s">
        <v>143</v>
      </c>
      <c r="J329" s="33" t="s">
        <v>159</v>
      </c>
      <c r="K329" s="33" t="s">
        <v>209</v>
      </c>
      <c r="L329" s="35" t="n">
        <v>18013.96</v>
      </c>
      <c r="M329" s="33" t="n">
        <v>3</v>
      </c>
      <c r="N329" s="33" t="s">
        <v>146</v>
      </c>
      <c r="O329" s="33" t="s">
        <v>147</v>
      </c>
      <c r="P329" s="39" t="n">
        <f aca="false">C329-B329</f>
        <v>5</v>
      </c>
      <c r="Q329" s="40" t="str">
        <f aca="false">CHOOSE(MONTH(B329),"يناير","فبراير","مارس","أبريل","مايو","يونيو","يوليو","أغسطس","سبتمبر","أكتوبر","نوفمبر","ديسمبر")</f>
        <v>فبراير</v>
      </c>
      <c r="R329" s="40" t="str">
        <f aca="false">"الربع "&amp;ROUNDUP(MONTH(B329)/3,0)</f>
        <v>الربع 1</v>
      </c>
      <c r="S329" s="40" t="str">
        <f aca="false">IF(D329&lt;=12,"أطفال (0-12)",IF(D329&lt;=24,"شباب (13-24)",IF(D329&lt;=44,"بالغون (25-44)",IF(D329&lt;=64,"متوسطو العمر (45-64)","كبار السن (+65)"))))</f>
        <v>متوسطو العمر (45-64)</v>
      </c>
      <c r="T329" s="41" t="n">
        <f aca="false">IFERROR(L329/P329,0)</f>
        <v>3602.792</v>
      </c>
    </row>
    <row r="330" customFormat="false" ht="15" hidden="false" customHeight="false" outlineLevel="0" collapsed="false">
      <c r="A330" s="42" t="s">
        <v>1390</v>
      </c>
      <c r="B330" s="43" t="n">
        <v>45347</v>
      </c>
      <c r="C330" s="43" t="n">
        <v>45353</v>
      </c>
      <c r="D330" s="42" t="n">
        <v>46</v>
      </c>
      <c r="E330" s="42" t="s">
        <v>139</v>
      </c>
      <c r="F330" s="42" t="s">
        <v>181</v>
      </c>
      <c r="G330" s="42" t="s">
        <v>188</v>
      </c>
      <c r="H330" s="42" t="s">
        <v>245</v>
      </c>
      <c r="I330" s="42" t="s">
        <v>158</v>
      </c>
      <c r="J330" s="42" t="s">
        <v>144</v>
      </c>
      <c r="K330" s="42" t="s">
        <v>160</v>
      </c>
      <c r="L330" s="44" t="n">
        <v>25917.75</v>
      </c>
      <c r="M330" s="42" t="n">
        <v>4</v>
      </c>
      <c r="N330" s="42" t="s">
        <v>146</v>
      </c>
      <c r="O330" s="42" t="s">
        <v>147</v>
      </c>
      <c r="P330" s="39" t="n">
        <f aca="false">C330-B330</f>
        <v>6</v>
      </c>
      <c r="Q330" s="40" t="str">
        <f aca="false">CHOOSE(MONTH(B330),"يناير","فبراير","مارس","أبريل","مايو","يونيو","يوليو","أغسطس","سبتمبر","أكتوبر","نوفمبر","ديسمبر")</f>
        <v>فبراير</v>
      </c>
      <c r="R330" s="40" t="str">
        <f aca="false">"الربع "&amp;ROUNDUP(MONTH(B330)/3,0)</f>
        <v>الربع 1</v>
      </c>
      <c r="S330" s="40" t="str">
        <f aca="false">IF(D330&lt;=12,"أطفال (0-12)",IF(D330&lt;=24,"شباب (13-24)",IF(D330&lt;=44,"بالغون (25-44)",IF(D330&lt;=64,"متوسطو العمر (45-64)","كبار السن (+65)"))))</f>
        <v>متوسطو العمر (45-64)</v>
      </c>
      <c r="T330" s="41" t="n">
        <f aca="false">IFERROR(L330/P330,0)</f>
        <v>4319.625</v>
      </c>
    </row>
    <row r="331" customFormat="false" ht="15" hidden="false" customHeight="false" outlineLevel="0" collapsed="false">
      <c r="A331" s="33" t="s">
        <v>1304</v>
      </c>
      <c r="B331" s="34" t="n">
        <v>45347</v>
      </c>
      <c r="C331" s="34" t="n">
        <v>45350</v>
      </c>
      <c r="D331" s="33" t="n">
        <v>33</v>
      </c>
      <c r="E331" s="33" t="s">
        <v>154</v>
      </c>
      <c r="F331" s="33" t="s">
        <v>181</v>
      </c>
      <c r="G331" s="33" t="s">
        <v>188</v>
      </c>
      <c r="H331" s="33" t="s">
        <v>245</v>
      </c>
      <c r="I331" s="33" t="s">
        <v>152</v>
      </c>
      <c r="J331" s="33" t="s">
        <v>144</v>
      </c>
      <c r="K331" s="33" t="s">
        <v>145</v>
      </c>
      <c r="L331" s="35" t="n">
        <v>10926.32</v>
      </c>
      <c r="M331" s="33" t="n">
        <v>4</v>
      </c>
      <c r="N331" s="33" t="s">
        <v>146</v>
      </c>
      <c r="O331" s="33" t="s">
        <v>147</v>
      </c>
      <c r="P331" s="39" t="n">
        <f aca="false">C331-B331</f>
        <v>3</v>
      </c>
      <c r="Q331" s="40" t="str">
        <f aca="false">CHOOSE(MONTH(B331),"يناير","فبراير","مارس","أبريل","مايو","يونيو","يوليو","أغسطس","سبتمبر","أكتوبر","نوفمبر","ديسمبر")</f>
        <v>فبراير</v>
      </c>
      <c r="R331" s="40" t="str">
        <f aca="false">"الربع "&amp;ROUNDUP(MONTH(B331)/3,0)</f>
        <v>الربع 1</v>
      </c>
      <c r="S331" s="40" t="str">
        <f aca="false">IF(D331&lt;=12,"أطفال (0-12)",IF(D331&lt;=24,"شباب (13-24)",IF(D331&lt;=44,"بالغون (25-44)",IF(D331&lt;=64,"متوسطو العمر (45-64)","كبار السن (+65)"))))</f>
        <v>بالغون (25-44)</v>
      </c>
      <c r="T331" s="41" t="n">
        <f aca="false">IFERROR(L331/P331,0)</f>
        <v>3642.10666666667</v>
      </c>
    </row>
    <row r="332" customFormat="false" ht="15" hidden="false" customHeight="false" outlineLevel="0" collapsed="false">
      <c r="A332" s="42" t="s">
        <v>1849</v>
      </c>
      <c r="B332" s="43" t="n">
        <v>45347</v>
      </c>
      <c r="C332" s="43" t="n">
        <v>45350</v>
      </c>
      <c r="D332" s="42" t="n">
        <v>32</v>
      </c>
      <c r="E332" s="42" t="s">
        <v>154</v>
      </c>
      <c r="F332" s="42" t="s">
        <v>140</v>
      </c>
      <c r="G332" s="42" t="s">
        <v>316</v>
      </c>
      <c r="H332" s="42" t="s">
        <v>142</v>
      </c>
      <c r="I332" s="42" t="s">
        <v>152</v>
      </c>
      <c r="J332" s="42" t="s">
        <v>159</v>
      </c>
      <c r="K332" s="42" t="s">
        <v>145</v>
      </c>
      <c r="L332" s="44" t="n">
        <v>7039.17</v>
      </c>
      <c r="M332" s="42" t="n">
        <v>5</v>
      </c>
      <c r="N332" s="42" t="s">
        <v>146</v>
      </c>
      <c r="O332" s="42" t="s">
        <v>147</v>
      </c>
      <c r="P332" s="39" t="n">
        <f aca="false">C332-B332</f>
        <v>3</v>
      </c>
      <c r="Q332" s="40" t="str">
        <f aca="false">CHOOSE(MONTH(B332),"يناير","فبراير","مارس","أبريل","مايو","يونيو","يوليو","أغسطس","سبتمبر","أكتوبر","نوفمبر","ديسمبر")</f>
        <v>فبراير</v>
      </c>
      <c r="R332" s="40" t="str">
        <f aca="false">"الربع "&amp;ROUNDUP(MONTH(B332)/3,0)</f>
        <v>الربع 1</v>
      </c>
      <c r="S332" s="40" t="str">
        <f aca="false">IF(D332&lt;=12,"أطفال (0-12)",IF(D332&lt;=24,"شباب (13-24)",IF(D332&lt;=44,"بالغون (25-44)",IF(D332&lt;=64,"متوسطو العمر (45-64)","كبار السن (+65)"))))</f>
        <v>بالغون (25-44)</v>
      </c>
      <c r="T332" s="41" t="n">
        <f aca="false">IFERROR(L332/P332,0)</f>
        <v>2346.39</v>
      </c>
    </row>
    <row r="333" customFormat="false" ht="15" hidden="false" customHeight="false" outlineLevel="0" collapsed="false">
      <c r="A333" s="33" t="s">
        <v>406</v>
      </c>
      <c r="B333" s="34" t="n">
        <v>45347</v>
      </c>
      <c r="C333" s="34" t="n">
        <v>45351</v>
      </c>
      <c r="D333" s="33" t="n">
        <v>68</v>
      </c>
      <c r="E333" s="33" t="s">
        <v>139</v>
      </c>
      <c r="F333" s="33" t="s">
        <v>173</v>
      </c>
      <c r="G333" s="33" t="s">
        <v>198</v>
      </c>
      <c r="H333" s="33" t="s">
        <v>199</v>
      </c>
      <c r="I333" s="33" t="s">
        <v>152</v>
      </c>
      <c r="J333" s="33" t="s">
        <v>159</v>
      </c>
      <c r="K333" s="33" t="s">
        <v>209</v>
      </c>
      <c r="L333" s="35" t="n">
        <v>9162.45</v>
      </c>
      <c r="M333" s="33" t="n">
        <v>4</v>
      </c>
      <c r="N333" s="33" t="s">
        <v>146</v>
      </c>
      <c r="O333" s="33" t="s">
        <v>147</v>
      </c>
      <c r="P333" s="39" t="n">
        <f aca="false">C333-B333</f>
        <v>4</v>
      </c>
      <c r="Q333" s="40" t="str">
        <f aca="false">CHOOSE(MONTH(B333),"يناير","فبراير","مارس","أبريل","مايو","يونيو","يوليو","أغسطس","سبتمبر","أكتوبر","نوفمبر","ديسمبر")</f>
        <v>فبراير</v>
      </c>
      <c r="R333" s="40" t="str">
        <f aca="false">"الربع "&amp;ROUNDUP(MONTH(B333)/3,0)</f>
        <v>الربع 1</v>
      </c>
      <c r="S333" s="40" t="str">
        <f aca="false">IF(D333&lt;=12,"أطفال (0-12)",IF(D333&lt;=24,"شباب (13-24)",IF(D333&lt;=44,"بالغون (25-44)",IF(D333&lt;=64,"متوسطو العمر (45-64)","كبار السن (+65)"))))</f>
        <v>كبار السن (+65)</v>
      </c>
      <c r="T333" s="41" t="n">
        <f aca="false">IFERROR(L333/P333,0)</f>
        <v>2290.6125</v>
      </c>
    </row>
    <row r="334" customFormat="false" ht="15" hidden="false" customHeight="false" outlineLevel="0" collapsed="false">
      <c r="A334" s="42" t="s">
        <v>1818</v>
      </c>
      <c r="B334" s="43" t="n">
        <v>45347</v>
      </c>
      <c r="C334" s="43" t="n">
        <v>45350</v>
      </c>
      <c r="D334" s="42" t="n">
        <v>3</v>
      </c>
      <c r="E334" s="42" t="s">
        <v>139</v>
      </c>
      <c r="F334" s="42" t="s">
        <v>140</v>
      </c>
      <c r="G334" s="42" t="s">
        <v>141</v>
      </c>
      <c r="H334" s="42" t="s">
        <v>290</v>
      </c>
      <c r="I334" s="42" t="s">
        <v>143</v>
      </c>
      <c r="J334" s="42" t="s">
        <v>159</v>
      </c>
      <c r="K334" s="42" t="s">
        <v>160</v>
      </c>
      <c r="L334" s="44" t="n">
        <v>5745.47</v>
      </c>
      <c r="M334" s="42" t="n">
        <v>4</v>
      </c>
      <c r="N334" s="42" t="s">
        <v>210</v>
      </c>
      <c r="O334" s="42" t="s">
        <v>147</v>
      </c>
      <c r="P334" s="39" t="n">
        <f aca="false">C334-B334</f>
        <v>3</v>
      </c>
      <c r="Q334" s="40" t="str">
        <f aca="false">CHOOSE(MONTH(B334),"يناير","فبراير","مارس","أبريل","مايو","يونيو","يوليو","أغسطس","سبتمبر","أكتوبر","نوفمبر","ديسمبر")</f>
        <v>فبراير</v>
      </c>
      <c r="R334" s="40" t="str">
        <f aca="false">"الربع "&amp;ROUNDUP(MONTH(B334)/3,0)</f>
        <v>الربع 1</v>
      </c>
      <c r="S334" s="40" t="str">
        <f aca="false">IF(D334&lt;=12,"أطفال (0-12)",IF(D334&lt;=24,"شباب (13-24)",IF(D334&lt;=44,"بالغون (25-44)",IF(D334&lt;=64,"متوسطو العمر (45-64)","كبار السن (+65)"))))</f>
        <v>أطفال (0-12)</v>
      </c>
      <c r="T334" s="41" t="n">
        <f aca="false">IFERROR(L334/P334,0)</f>
        <v>1915.15666666667</v>
      </c>
    </row>
    <row r="335" customFormat="false" ht="15" hidden="false" customHeight="false" outlineLevel="0" collapsed="false">
      <c r="A335" s="33" t="s">
        <v>1241</v>
      </c>
      <c r="B335" s="34" t="n">
        <v>45347</v>
      </c>
      <c r="C335" s="34" t="n">
        <v>45357</v>
      </c>
      <c r="D335" s="33" t="n">
        <v>39</v>
      </c>
      <c r="E335" s="33" t="s">
        <v>139</v>
      </c>
      <c r="F335" s="33" t="s">
        <v>140</v>
      </c>
      <c r="G335" s="33" t="s">
        <v>316</v>
      </c>
      <c r="H335" s="33" t="s">
        <v>290</v>
      </c>
      <c r="I335" s="33" t="s">
        <v>143</v>
      </c>
      <c r="J335" s="33" t="s">
        <v>159</v>
      </c>
      <c r="K335" s="33" t="s">
        <v>145</v>
      </c>
      <c r="L335" s="35" t="n">
        <v>23992.36</v>
      </c>
      <c r="M335" s="33" t="n">
        <v>3</v>
      </c>
      <c r="N335" s="33" t="s">
        <v>146</v>
      </c>
      <c r="O335" s="33" t="s">
        <v>147</v>
      </c>
      <c r="P335" s="39" t="n">
        <f aca="false">C335-B335</f>
        <v>10</v>
      </c>
      <c r="Q335" s="40" t="str">
        <f aca="false">CHOOSE(MONTH(B335),"يناير","فبراير","مارس","أبريل","مايو","يونيو","يوليو","أغسطس","سبتمبر","أكتوبر","نوفمبر","ديسمبر")</f>
        <v>فبراير</v>
      </c>
      <c r="R335" s="40" t="str">
        <f aca="false">"الربع "&amp;ROUNDUP(MONTH(B335)/3,0)</f>
        <v>الربع 1</v>
      </c>
      <c r="S335" s="40" t="str">
        <f aca="false">IF(D335&lt;=12,"أطفال (0-12)",IF(D335&lt;=24,"شباب (13-24)",IF(D335&lt;=44,"بالغون (25-44)",IF(D335&lt;=64,"متوسطو العمر (45-64)","كبار السن (+65)"))))</f>
        <v>بالغون (25-44)</v>
      </c>
      <c r="T335" s="41" t="n">
        <f aca="false">IFERROR(L335/P335,0)</f>
        <v>2399.236</v>
      </c>
    </row>
    <row r="336" customFormat="false" ht="15" hidden="false" customHeight="false" outlineLevel="0" collapsed="false">
      <c r="A336" s="42" t="s">
        <v>922</v>
      </c>
      <c r="B336" s="43" t="n">
        <v>45347</v>
      </c>
      <c r="C336" s="43" t="n">
        <v>45353</v>
      </c>
      <c r="D336" s="42" t="n">
        <v>7</v>
      </c>
      <c r="E336" s="42" t="s">
        <v>154</v>
      </c>
      <c r="F336" s="42" t="s">
        <v>155</v>
      </c>
      <c r="G336" s="42" t="s">
        <v>302</v>
      </c>
      <c r="H336" s="42" t="s">
        <v>157</v>
      </c>
      <c r="I336" s="42" t="s">
        <v>152</v>
      </c>
      <c r="J336" s="42" t="s">
        <v>176</v>
      </c>
      <c r="K336" s="42" t="s">
        <v>145</v>
      </c>
      <c r="L336" s="44" t="n">
        <v>14585.04</v>
      </c>
      <c r="M336" s="42" t="n">
        <v>5</v>
      </c>
      <c r="N336" s="42" t="s">
        <v>146</v>
      </c>
      <c r="O336" s="42" t="s">
        <v>147</v>
      </c>
      <c r="P336" s="39" t="n">
        <f aca="false">C336-B336</f>
        <v>6</v>
      </c>
      <c r="Q336" s="40" t="str">
        <f aca="false">CHOOSE(MONTH(B336),"يناير","فبراير","مارس","أبريل","مايو","يونيو","يوليو","أغسطس","سبتمبر","أكتوبر","نوفمبر","ديسمبر")</f>
        <v>فبراير</v>
      </c>
      <c r="R336" s="40" t="str">
        <f aca="false">"الربع "&amp;ROUNDUP(MONTH(B336)/3,0)</f>
        <v>الربع 1</v>
      </c>
      <c r="S336" s="40" t="str">
        <f aca="false">IF(D336&lt;=12,"أطفال (0-12)",IF(D336&lt;=24,"شباب (13-24)",IF(D336&lt;=44,"بالغون (25-44)",IF(D336&lt;=64,"متوسطو العمر (45-64)","كبار السن (+65)"))))</f>
        <v>أطفال (0-12)</v>
      </c>
      <c r="T336" s="41" t="n">
        <f aca="false">IFERROR(L336/P336,0)</f>
        <v>2430.84</v>
      </c>
    </row>
    <row r="337" customFormat="false" ht="15" hidden="false" customHeight="false" outlineLevel="0" collapsed="false">
      <c r="A337" s="33" t="s">
        <v>1757</v>
      </c>
      <c r="B337" s="34" t="n">
        <v>45348</v>
      </c>
      <c r="C337" s="34" t="n">
        <v>45350</v>
      </c>
      <c r="D337" s="33" t="n">
        <v>0</v>
      </c>
      <c r="E337" s="33" t="s">
        <v>139</v>
      </c>
      <c r="F337" s="33" t="s">
        <v>155</v>
      </c>
      <c r="G337" s="33" t="s">
        <v>156</v>
      </c>
      <c r="H337" s="33" t="s">
        <v>222</v>
      </c>
      <c r="I337" s="33" t="s">
        <v>152</v>
      </c>
      <c r="J337" s="33" t="s">
        <v>144</v>
      </c>
      <c r="K337" s="33" t="s">
        <v>160</v>
      </c>
      <c r="L337" s="35" t="n">
        <v>2990.03</v>
      </c>
      <c r="M337" s="33" t="n">
        <v>5</v>
      </c>
      <c r="N337" s="33" t="s">
        <v>146</v>
      </c>
      <c r="O337" s="33" t="s">
        <v>147</v>
      </c>
      <c r="P337" s="39" t="n">
        <f aca="false">C337-B337</f>
        <v>2</v>
      </c>
      <c r="Q337" s="40" t="str">
        <f aca="false">CHOOSE(MONTH(B337),"يناير","فبراير","مارس","أبريل","مايو","يونيو","يوليو","أغسطس","سبتمبر","أكتوبر","نوفمبر","ديسمبر")</f>
        <v>فبراير</v>
      </c>
      <c r="R337" s="40" t="str">
        <f aca="false">"الربع "&amp;ROUNDUP(MONTH(B337)/3,0)</f>
        <v>الربع 1</v>
      </c>
      <c r="S337" s="40" t="str">
        <f aca="false">IF(D337&lt;=12,"أطفال (0-12)",IF(D337&lt;=24,"شباب (13-24)",IF(D337&lt;=44,"بالغون (25-44)",IF(D337&lt;=64,"متوسطو العمر (45-64)","كبار السن (+65)"))))</f>
        <v>أطفال (0-12)</v>
      </c>
      <c r="T337" s="41" t="n">
        <f aca="false">IFERROR(L337/P337,0)</f>
        <v>1495.015</v>
      </c>
    </row>
    <row r="338" customFormat="false" ht="15" hidden="false" customHeight="false" outlineLevel="0" collapsed="false">
      <c r="A338" s="42" t="s">
        <v>770</v>
      </c>
      <c r="B338" s="43" t="n">
        <v>45348</v>
      </c>
      <c r="C338" s="43" t="n">
        <v>45351</v>
      </c>
      <c r="D338" s="42" t="n">
        <v>60</v>
      </c>
      <c r="E338" s="42" t="s">
        <v>154</v>
      </c>
      <c r="F338" s="42" t="s">
        <v>169</v>
      </c>
      <c r="G338" s="42" t="s">
        <v>170</v>
      </c>
      <c r="H338" s="42" t="s">
        <v>164</v>
      </c>
      <c r="I338" s="42" t="s">
        <v>143</v>
      </c>
      <c r="J338" s="42" t="s">
        <v>159</v>
      </c>
      <c r="K338" s="42" t="s">
        <v>145</v>
      </c>
      <c r="L338" s="44" t="n">
        <v>3103.65</v>
      </c>
      <c r="M338" s="42" t="n">
        <v>5</v>
      </c>
      <c r="N338" s="42" t="s">
        <v>146</v>
      </c>
      <c r="O338" s="42" t="s">
        <v>147</v>
      </c>
      <c r="P338" s="39" t="n">
        <f aca="false">C338-B338</f>
        <v>3</v>
      </c>
      <c r="Q338" s="40" t="str">
        <f aca="false">CHOOSE(MONTH(B338),"يناير","فبراير","مارس","أبريل","مايو","يونيو","يوليو","أغسطس","سبتمبر","أكتوبر","نوفمبر","ديسمبر")</f>
        <v>فبراير</v>
      </c>
      <c r="R338" s="40" t="str">
        <f aca="false">"الربع "&amp;ROUNDUP(MONTH(B338)/3,0)</f>
        <v>الربع 1</v>
      </c>
      <c r="S338" s="40" t="str">
        <f aca="false">IF(D338&lt;=12,"أطفال (0-12)",IF(D338&lt;=24,"شباب (13-24)",IF(D338&lt;=44,"بالغون (25-44)",IF(D338&lt;=64,"متوسطو العمر (45-64)","كبار السن (+65)"))))</f>
        <v>متوسطو العمر (45-64)</v>
      </c>
      <c r="T338" s="41" t="n">
        <f aca="false">IFERROR(L338/P338,0)</f>
        <v>1034.55</v>
      </c>
    </row>
    <row r="339" customFormat="false" ht="15" hidden="false" customHeight="false" outlineLevel="0" collapsed="false">
      <c r="A339" s="33" t="s">
        <v>855</v>
      </c>
      <c r="B339" s="34" t="n">
        <v>45348</v>
      </c>
      <c r="C339" s="34" t="n">
        <v>45358</v>
      </c>
      <c r="D339" s="33" t="n">
        <v>0</v>
      </c>
      <c r="E339" s="33" t="s">
        <v>154</v>
      </c>
      <c r="F339" s="33" t="s">
        <v>140</v>
      </c>
      <c r="G339" s="33" t="s">
        <v>316</v>
      </c>
      <c r="H339" s="33" t="s">
        <v>142</v>
      </c>
      <c r="I339" s="33" t="s">
        <v>143</v>
      </c>
      <c r="J339" s="33" t="s">
        <v>159</v>
      </c>
      <c r="K339" s="33" t="s">
        <v>184</v>
      </c>
      <c r="L339" s="35" t="n">
        <v>25164.49</v>
      </c>
      <c r="M339" s="33" t="n">
        <v>4</v>
      </c>
      <c r="N339" s="33" t="s">
        <v>146</v>
      </c>
      <c r="O339" s="33" t="s">
        <v>147</v>
      </c>
      <c r="P339" s="39" t="n">
        <f aca="false">C339-B339</f>
        <v>10</v>
      </c>
      <c r="Q339" s="40" t="str">
        <f aca="false">CHOOSE(MONTH(B339),"يناير","فبراير","مارس","أبريل","مايو","يونيو","يوليو","أغسطس","سبتمبر","أكتوبر","نوفمبر","ديسمبر")</f>
        <v>فبراير</v>
      </c>
      <c r="R339" s="40" t="str">
        <f aca="false">"الربع "&amp;ROUNDUP(MONTH(B339)/3,0)</f>
        <v>الربع 1</v>
      </c>
      <c r="S339" s="40" t="str">
        <f aca="false">IF(D339&lt;=12,"أطفال (0-12)",IF(D339&lt;=24,"شباب (13-24)",IF(D339&lt;=44,"بالغون (25-44)",IF(D339&lt;=64,"متوسطو العمر (45-64)","كبار السن (+65)"))))</f>
        <v>أطفال (0-12)</v>
      </c>
      <c r="T339" s="41" t="n">
        <f aca="false">IFERROR(L339/P339,0)</f>
        <v>2516.449</v>
      </c>
    </row>
    <row r="340" customFormat="false" ht="15" hidden="false" customHeight="false" outlineLevel="0" collapsed="false">
      <c r="A340" s="42" t="s">
        <v>280</v>
      </c>
      <c r="B340" s="43" t="n">
        <v>45348</v>
      </c>
      <c r="C340" s="43" t="n">
        <v>45352</v>
      </c>
      <c r="D340" s="42" t="n">
        <v>16</v>
      </c>
      <c r="E340" s="42" t="s">
        <v>139</v>
      </c>
      <c r="F340" s="42" t="s">
        <v>169</v>
      </c>
      <c r="G340" s="42" t="s">
        <v>213</v>
      </c>
      <c r="H340" s="42" t="s">
        <v>171</v>
      </c>
      <c r="I340" s="42" t="s">
        <v>143</v>
      </c>
      <c r="J340" s="42" t="s">
        <v>159</v>
      </c>
      <c r="K340" s="42" t="s">
        <v>160</v>
      </c>
      <c r="L340" s="44" t="n">
        <v>4175.45</v>
      </c>
      <c r="M340" s="42" t="n">
        <v>4</v>
      </c>
      <c r="N340" s="42" t="s">
        <v>146</v>
      </c>
      <c r="O340" s="42" t="s">
        <v>147</v>
      </c>
      <c r="P340" s="39" t="n">
        <f aca="false">C340-B340</f>
        <v>4</v>
      </c>
      <c r="Q340" s="40" t="str">
        <f aca="false">CHOOSE(MONTH(B340),"يناير","فبراير","مارس","أبريل","مايو","يونيو","يوليو","أغسطس","سبتمبر","أكتوبر","نوفمبر","ديسمبر")</f>
        <v>فبراير</v>
      </c>
      <c r="R340" s="40" t="str">
        <f aca="false">"الربع "&amp;ROUNDUP(MONTH(B340)/3,0)</f>
        <v>الربع 1</v>
      </c>
      <c r="S340" s="40" t="str">
        <f aca="false">IF(D340&lt;=12,"أطفال (0-12)",IF(D340&lt;=24,"شباب (13-24)",IF(D340&lt;=44,"بالغون (25-44)",IF(D340&lt;=64,"متوسطو العمر (45-64)","كبار السن (+65)"))))</f>
        <v>شباب (13-24)</v>
      </c>
      <c r="T340" s="41" t="n">
        <f aca="false">IFERROR(L340/P340,0)</f>
        <v>1043.8625</v>
      </c>
    </row>
    <row r="341" customFormat="false" ht="15" hidden="false" customHeight="false" outlineLevel="0" collapsed="false">
      <c r="A341" s="33" t="s">
        <v>1171</v>
      </c>
      <c r="B341" s="34" t="n">
        <v>45348</v>
      </c>
      <c r="C341" s="34" t="n">
        <v>45355</v>
      </c>
      <c r="D341" s="33" t="n">
        <v>69</v>
      </c>
      <c r="E341" s="33" t="s">
        <v>154</v>
      </c>
      <c r="F341" s="33" t="s">
        <v>181</v>
      </c>
      <c r="G341" s="33" t="s">
        <v>237</v>
      </c>
      <c r="H341" s="33" t="s">
        <v>183</v>
      </c>
      <c r="I341" s="33" t="s">
        <v>152</v>
      </c>
      <c r="J341" s="33" t="s">
        <v>176</v>
      </c>
      <c r="K341" s="33" t="s">
        <v>160</v>
      </c>
      <c r="L341" s="35" t="n">
        <v>55018.85</v>
      </c>
      <c r="M341" s="33" t="n">
        <v>4</v>
      </c>
      <c r="N341" s="33" t="s">
        <v>146</v>
      </c>
      <c r="O341" s="33" t="s">
        <v>147</v>
      </c>
      <c r="P341" s="39" t="n">
        <f aca="false">C341-B341</f>
        <v>7</v>
      </c>
      <c r="Q341" s="40" t="str">
        <f aca="false">CHOOSE(MONTH(B341),"يناير","فبراير","مارس","أبريل","مايو","يونيو","يوليو","أغسطس","سبتمبر","أكتوبر","نوفمبر","ديسمبر")</f>
        <v>فبراير</v>
      </c>
      <c r="R341" s="40" t="str">
        <f aca="false">"الربع "&amp;ROUNDUP(MONTH(B341)/3,0)</f>
        <v>الربع 1</v>
      </c>
      <c r="S341" s="40" t="str">
        <f aca="false">IF(D341&lt;=12,"أطفال (0-12)",IF(D341&lt;=24,"شباب (13-24)",IF(D341&lt;=44,"بالغون (25-44)",IF(D341&lt;=64,"متوسطو العمر (45-64)","كبار السن (+65)"))))</f>
        <v>كبار السن (+65)</v>
      </c>
      <c r="T341" s="41" t="n">
        <f aca="false">IFERROR(L341/P341,0)</f>
        <v>7859.83571428571</v>
      </c>
    </row>
    <row r="342" customFormat="false" ht="15" hidden="false" customHeight="false" outlineLevel="0" collapsed="false">
      <c r="A342" s="42" t="s">
        <v>1789</v>
      </c>
      <c r="B342" s="43" t="n">
        <v>45348</v>
      </c>
      <c r="C342" s="43" t="n">
        <v>45350</v>
      </c>
      <c r="D342" s="42" t="n">
        <v>62</v>
      </c>
      <c r="E342" s="42" t="s">
        <v>139</v>
      </c>
      <c r="F342" s="42" t="s">
        <v>203</v>
      </c>
      <c r="G342" s="42" t="s">
        <v>232</v>
      </c>
      <c r="H342" s="42" t="s">
        <v>233</v>
      </c>
      <c r="I342" s="42" t="s">
        <v>143</v>
      </c>
      <c r="J342" s="42" t="s">
        <v>144</v>
      </c>
      <c r="K342" s="42" t="s">
        <v>160</v>
      </c>
      <c r="L342" s="44" t="n">
        <v>3535.23</v>
      </c>
      <c r="M342" s="42" t="n">
        <v>4</v>
      </c>
      <c r="N342" s="42" t="s">
        <v>146</v>
      </c>
      <c r="O342" s="42" t="s">
        <v>147</v>
      </c>
      <c r="P342" s="39" t="n">
        <f aca="false">C342-B342</f>
        <v>2</v>
      </c>
      <c r="Q342" s="40" t="str">
        <f aca="false">CHOOSE(MONTH(B342),"يناير","فبراير","مارس","أبريل","مايو","يونيو","يوليو","أغسطس","سبتمبر","أكتوبر","نوفمبر","ديسمبر")</f>
        <v>فبراير</v>
      </c>
      <c r="R342" s="40" t="str">
        <f aca="false">"الربع "&amp;ROUNDUP(MONTH(B342)/3,0)</f>
        <v>الربع 1</v>
      </c>
      <c r="S342" s="40" t="str">
        <f aca="false">IF(D342&lt;=12,"أطفال (0-12)",IF(D342&lt;=24,"شباب (13-24)",IF(D342&lt;=44,"بالغون (25-44)",IF(D342&lt;=64,"متوسطو العمر (45-64)","كبار السن (+65)"))))</f>
        <v>متوسطو العمر (45-64)</v>
      </c>
      <c r="T342" s="41" t="n">
        <f aca="false">IFERROR(L342/P342,0)</f>
        <v>1767.615</v>
      </c>
    </row>
    <row r="343" customFormat="false" ht="15" hidden="false" customHeight="false" outlineLevel="0" collapsed="false">
      <c r="A343" s="33" t="s">
        <v>1417</v>
      </c>
      <c r="B343" s="34" t="n">
        <v>45348</v>
      </c>
      <c r="C343" s="34" t="n">
        <v>45349</v>
      </c>
      <c r="D343" s="33" t="n">
        <v>22</v>
      </c>
      <c r="E343" s="33" t="s">
        <v>139</v>
      </c>
      <c r="F343" s="33" t="s">
        <v>149</v>
      </c>
      <c r="G343" s="33" t="s">
        <v>224</v>
      </c>
      <c r="H343" s="33" t="s">
        <v>151</v>
      </c>
      <c r="I343" s="33" t="s">
        <v>143</v>
      </c>
      <c r="J343" s="33" t="s">
        <v>159</v>
      </c>
      <c r="K343" s="33" t="s">
        <v>160</v>
      </c>
      <c r="L343" s="35" t="n">
        <v>1293.81</v>
      </c>
      <c r="M343" s="33" t="n">
        <v>5</v>
      </c>
      <c r="N343" s="33" t="s">
        <v>146</v>
      </c>
      <c r="O343" s="33" t="s">
        <v>147</v>
      </c>
      <c r="P343" s="39" t="n">
        <f aca="false">C343-B343</f>
        <v>1</v>
      </c>
      <c r="Q343" s="40" t="str">
        <f aca="false">CHOOSE(MONTH(B343),"يناير","فبراير","مارس","أبريل","مايو","يونيو","يوليو","أغسطس","سبتمبر","أكتوبر","نوفمبر","ديسمبر")</f>
        <v>فبراير</v>
      </c>
      <c r="R343" s="40" t="str">
        <f aca="false">"الربع "&amp;ROUNDUP(MONTH(B343)/3,0)</f>
        <v>الربع 1</v>
      </c>
      <c r="S343" s="40" t="str">
        <f aca="false">IF(D343&lt;=12,"أطفال (0-12)",IF(D343&lt;=24,"شباب (13-24)",IF(D343&lt;=44,"بالغون (25-44)",IF(D343&lt;=64,"متوسطو العمر (45-64)","كبار السن (+65)"))))</f>
        <v>شباب (13-24)</v>
      </c>
      <c r="T343" s="41" t="n">
        <f aca="false">IFERROR(L343/P343,0)</f>
        <v>1293.81</v>
      </c>
    </row>
    <row r="344" customFormat="false" ht="15" hidden="false" customHeight="false" outlineLevel="0" collapsed="false">
      <c r="A344" s="42" t="s">
        <v>1865</v>
      </c>
      <c r="B344" s="43" t="n">
        <v>45348</v>
      </c>
      <c r="C344" s="43" t="n">
        <v>45355</v>
      </c>
      <c r="D344" s="42" t="n">
        <v>72</v>
      </c>
      <c r="E344" s="42" t="s">
        <v>154</v>
      </c>
      <c r="F344" s="42" t="s">
        <v>181</v>
      </c>
      <c r="G344" s="42" t="s">
        <v>188</v>
      </c>
      <c r="H344" s="42" t="s">
        <v>245</v>
      </c>
      <c r="I344" s="42" t="s">
        <v>143</v>
      </c>
      <c r="J344" s="42" t="s">
        <v>144</v>
      </c>
      <c r="K344" s="42" t="s">
        <v>145</v>
      </c>
      <c r="L344" s="44" t="n">
        <v>29709.3</v>
      </c>
      <c r="M344" s="42" t="n">
        <v>4</v>
      </c>
      <c r="N344" s="42" t="s">
        <v>146</v>
      </c>
      <c r="O344" s="42" t="s">
        <v>247</v>
      </c>
      <c r="P344" s="39" t="n">
        <f aca="false">C344-B344</f>
        <v>7</v>
      </c>
      <c r="Q344" s="40" t="str">
        <f aca="false">CHOOSE(MONTH(B344),"يناير","فبراير","مارس","أبريل","مايو","يونيو","يوليو","أغسطس","سبتمبر","أكتوبر","نوفمبر","ديسمبر")</f>
        <v>فبراير</v>
      </c>
      <c r="R344" s="40" t="str">
        <f aca="false">"الربع "&amp;ROUNDUP(MONTH(B344)/3,0)</f>
        <v>الربع 1</v>
      </c>
      <c r="S344" s="40" t="str">
        <f aca="false">IF(D344&lt;=12,"أطفال (0-12)",IF(D344&lt;=24,"شباب (13-24)",IF(D344&lt;=44,"بالغون (25-44)",IF(D344&lt;=64,"متوسطو العمر (45-64)","كبار السن (+65)"))))</f>
        <v>كبار السن (+65)</v>
      </c>
      <c r="T344" s="41" t="n">
        <f aca="false">IFERROR(L344/P344,0)</f>
        <v>4244.18571428571</v>
      </c>
    </row>
    <row r="345" customFormat="false" ht="15" hidden="false" customHeight="false" outlineLevel="0" collapsed="false">
      <c r="A345" s="33" t="s">
        <v>1362</v>
      </c>
      <c r="B345" s="34" t="n">
        <v>45348</v>
      </c>
      <c r="C345" s="34" t="n">
        <v>45356</v>
      </c>
      <c r="D345" s="33" t="n">
        <v>53</v>
      </c>
      <c r="E345" s="33" t="s">
        <v>139</v>
      </c>
      <c r="F345" s="33" t="s">
        <v>181</v>
      </c>
      <c r="G345" s="33" t="s">
        <v>182</v>
      </c>
      <c r="H345" s="33" t="s">
        <v>183</v>
      </c>
      <c r="I345" s="33" t="s">
        <v>143</v>
      </c>
      <c r="J345" s="33" t="s">
        <v>176</v>
      </c>
      <c r="K345" s="33" t="s">
        <v>160</v>
      </c>
      <c r="L345" s="35" t="n">
        <v>60138.25</v>
      </c>
      <c r="M345" s="33" t="n">
        <v>5</v>
      </c>
      <c r="N345" s="33" t="s">
        <v>146</v>
      </c>
      <c r="O345" s="33" t="s">
        <v>147</v>
      </c>
      <c r="P345" s="39" t="n">
        <f aca="false">C345-B345</f>
        <v>8</v>
      </c>
      <c r="Q345" s="40" t="str">
        <f aca="false">CHOOSE(MONTH(B345),"يناير","فبراير","مارس","أبريل","مايو","يونيو","يوليو","أغسطس","سبتمبر","أكتوبر","نوفمبر","ديسمبر")</f>
        <v>فبراير</v>
      </c>
      <c r="R345" s="40" t="str">
        <f aca="false">"الربع "&amp;ROUNDUP(MONTH(B345)/3,0)</f>
        <v>الربع 1</v>
      </c>
      <c r="S345" s="40" t="str">
        <f aca="false">IF(D345&lt;=12,"أطفال (0-12)",IF(D345&lt;=24,"شباب (13-24)",IF(D345&lt;=44,"بالغون (25-44)",IF(D345&lt;=64,"متوسطو العمر (45-64)","كبار السن (+65)"))))</f>
        <v>متوسطو العمر (45-64)</v>
      </c>
      <c r="T345" s="41" t="n">
        <f aca="false">IFERROR(L345/P345,0)</f>
        <v>7517.28125</v>
      </c>
    </row>
    <row r="346" customFormat="false" ht="15" hidden="false" customHeight="false" outlineLevel="0" collapsed="false">
      <c r="A346" s="42" t="s">
        <v>1733</v>
      </c>
      <c r="B346" s="43" t="n">
        <v>45348</v>
      </c>
      <c r="C346" s="43" t="n">
        <v>45354</v>
      </c>
      <c r="D346" s="42" t="n">
        <v>32</v>
      </c>
      <c r="E346" s="42" t="s">
        <v>139</v>
      </c>
      <c r="F346" s="42" t="s">
        <v>140</v>
      </c>
      <c r="G346" s="42" t="s">
        <v>141</v>
      </c>
      <c r="H346" s="42" t="s">
        <v>290</v>
      </c>
      <c r="I346" s="42" t="s">
        <v>152</v>
      </c>
      <c r="J346" s="42" t="s">
        <v>159</v>
      </c>
      <c r="K346" s="42" t="s">
        <v>145</v>
      </c>
      <c r="L346" s="44" t="n">
        <v>13659.48</v>
      </c>
      <c r="M346" s="42" t="n">
        <v>5</v>
      </c>
      <c r="N346" s="42" t="s">
        <v>210</v>
      </c>
      <c r="O346" s="42" t="s">
        <v>147</v>
      </c>
      <c r="P346" s="39" t="n">
        <f aca="false">C346-B346</f>
        <v>6</v>
      </c>
      <c r="Q346" s="40" t="str">
        <f aca="false">CHOOSE(MONTH(B346),"يناير","فبراير","مارس","أبريل","مايو","يونيو","يوليو","أغسطس","سبتمبر","أكتوبر","نوفمبر","ديسمبر")</f>
        <v>فبراير</v>
      </c>
      <c r="R346" s="40" t="str">
        <f aca="false">"الربع "&amp;ROUNDUP(MONTH(B346)/3,0)</f>
        <v>الربع 1</v>
      </c>
      <c r="S346" s="40" t="str">
        <f aca="false">IF(D346&lt;=12,"أطفال (0-12)",IF(D346&lt;=24,"شباب (13-24)",IF(D346&lt;=44,"بالغون (25-44)",IF(D346&lt;=64,"متوسطو العمر (45-64)","كبار السن (+65)"))))</f>
        <v>بالغون (25-44)</v>
      </c>
      <c r="T346" s="41" t="n">
        <f aca="false">IFERROR(L346/P346,0)</f>
        <v>2276.58</v>
      </c>
    </row>
    <row r="347" customFormat="false" ht="15" hidden="false" customHeight="false" outlineLevel="0" collapsed="false">
      <c r="A347" s="33" t="s">
        <v>1919</v>
      </c>
      <c r="B347" s="34" t="n">
        <v>45349</v>
      </c>
      <c r="C347" s="34" t="n">
        <v>45352</v>
      </c>
      <c r="D347" s="33" t="n">
        <v>57</v>
      </c>
      <c r="E347" s="33" t="s">
        <v>154</v>
      </c>
      <c r="F347" s="33" t="s">
        <v>203</v>
      </c>
      <c r="G347" s="33" t="s">
        <v>232</v>
      </c>
      <c r="H347" s="33" t="s">
        <v>193</v>
      </c>
      <c r="I347" s="33" t="s">
        <v>143</v>
      </c>
      <c r="J347" s="33" t="s">
        <v>144</v>
      </c>
      <c r="K347" s="33" t="s">
        <v>184</v>
      </c>
      <c r="L347" s="35" t="n">
        <v>4368.39</v>
      </c>
      <c r="M347" s="33" t="n">
        <v>3</v>
      </c>
      <c r="N347" s="33" t="s">
        <v>146</v>
      </c>
      <c r="O347" s="33" t="s">
        <v>147</v>
      </c>
      <c r="P347" s="39" t="n">
        <f aca="false">C347-B347</f>
        <v>3</v>
      </c>
      <c r="Q347" s="40" t="str">
        <f aca="false">CHOOSE(MONTH(B347),"يناير","فبراير","مارس","أبريل","مايو","يونيو","يوليو","أغسطس","سبتمبر","أكتوبر","نوفمبر","ديسمبر")</f>
        <v>فبراير</v>
      </c>
      <c r="R347" s="40" t="str">
        <f aca="false">"الربع "&amp;ROUNDUP(MONTH(B347)/3,0)</f>
        <v>الربع 1</v>
      </c>
      <c r="S347" s="40" t="str">
        <f aca="false">IF(D347&lt;=12,"أطفال (0-12)",IF(D347&lt;=24,"شباب (13-24)",IF(D347&lt;=44,"بالغون (25-44)",IF(D347&lt;=64,"متوسطو العمر (45-64)","كبار السن (+65)"))))</f>
        <v>متوسطو العمر (45-64)</v>
      </c>
      <c r="T347" s="41" t="n">
        <f aca="false">IFERROR(L347/P347,0)</f>
        <v>1456.13</v>
      </c>
    </row>
    <row r="348" customFormat="false" ht="15" hidden="false" customHeight="false" outlineLevel="0" collapsed="false">
      <c r="A348" s="42" t="s">
        <v>966</v>
      </c>
      <c r="B348" s="43" t="n">
        <v>45349</v>
      </c>
      <c r="C348" s="43" t="n">
        <v>45350</v>
      </c>
      <c r="D348" s="42" t="n">
        <v>32</v>
      </c>
      <c r="E348" s="42" t="s">
        <v>139</v>
      </c>
      <c r="F348" s="42" t="s">
        <v>149</v>
      </c>
      <c r="G348" s="42" t="s">
        <v>243</v>
      </c>
      <c r="H348" s="42" t="s">
        <v>151</v>
      </c>
      <c r="I348" s="42" t="s">
        <v>143</v>
      </c>
      <c r="J348" s="42" t="s">
        <v>159</v>
      </c>
      <c r="K348" s="42" t="s">
        <v>160</v>
      </c>
      <c r="L348" s="44" t="n">
        <v>1473.45</v>
      </c>
      <c r="M348" s="42" t="n">
        <v>4</v>
      </c>
      <c r="N348" s="42" t="s">
        <v>146</v>
      </c>
      <c r="O348" s="42" t="s">
        <v>147</v>
      </c>
      <c r="P348" s="39" t="n">
        <f aca="false">C348-B348</f>
        <v>1</v>
      </c>
      <c r="Q348" s="40" t="str">
        <f aca="false">CHOOSE(MONTH(B348),"يناير","فبراير","مارس","أبريل","مايو","يونيو","يوليو","أغسطس","سبتمبر","أكتوبر","نوفمبر","ديسمبر")</f>
        <v>فبراير</v>
      </c>
      <c r="R348" s="40" t="str">
        <f aca="false">"الربع "&amp;ROUNDUP(MONTH(B348)/3,0)</f>
        <v>الربع 1</v>
      </c>
      <c r="S348" s="40" t="str">
        <f aca="false">IF(D348&lt;=12,"أطفال (0-12)",IF(D348&lt;=24,"شباب (13-24)",IF(D348&lt;=44,"بالغون (25-44)",IF(D348&lt;=64,"متوسطو العمر (45-64)","كبار السن (+65)"))))</f>
        <v>بالغون (25-44)</v>
      </c>
      <c r="T348" s="41" t="n">
        <f aca="false">IFERROR(L348/P348,0)</f>
        <v>1473.45</v>
      </c>
    </row>
    <row r="349" customFormat="false" ht="15" hidden="false" customHeight="false" outlineLevel="0" collapsed="false">
      <c r="A349" s="33" t="s">
        <v>303</v>
      </c>
      <c r="B349" s="34" t="n">
        <v>45349</v>
      </c>
      <c r="C349" s="34" t="n">
        <v>45353</v>
      </c>
      <c r="D349" s="33" t="n">
        <v>58</v>
      </c>
      <c r="E349" s="33" t="s">
        <v>139</v>
      </c>
      <c r="F349" s="33" t="s">
        <v>181</v>
      </c>
      <c r="G349" s="33" t="s">
        <v>182</v>
      </c>
      <c r="H349" s="33" t="s">
        <v>183</v>
      </c>
      <c r="I349" s="33" t="s">
        <v>152</v>
      </c>
      <c r="J349" s="33" t="s">
        <v>144</v>
      </c>
      <c r="K349" s="33" t="s">
        <v>145</v>
      </c>
      <c r="L349" s="35" t="n">
        <v>18955.15</v>
      </c>
      <c r="M349" s="33" t="n">
        <v>4</v>
      </c>
      <c r="N349" s="33" t="s">
        <v>146</v>
      </c>
      <c r="O349" s="33" t="s">
        <v>147</v>
      </c>
      <c r="P349" s="39" t="n">
        <f aca="false">C349-B349</f>
        <v>4</v>
      </c>
      <c r="Q349" s="40" t="str">
        <f aca="false">CHOOSE(MONTH(B349),"يناير","فبراير","مارس","أبريل","مايو","يونيو","يوليو","أغسطس","سبتمبر","أكتوبر","نوفمبر","ديسمبر")</f>
        <v>فبراير</v>
      </c>
      <c r="R349" s="40" t="str">
        <f aca="false">"الربع "&amp;ROUNDUP(MONTH(B349)/3,0)</f>
        <v>الربع 1</v>
      </c>
      <c r="S349" s="40" t="str">
        <f aca="false">IF(D349&lt;=12,"أطفال (0-12)",IF(D349&lt;=24,"شباب (13-24)",IF(D349&lt;=44,"بالغون (25-44)",IF(D349&lt;=64,"متوسطو العمر (45-64)","كبار السن (+65)"))))</f>
        <v>متوسطو العمر (45-64)</v>
      </c>
      <c r="T349" s="41" t="n">
        <f aca="false">IFERROR(L349/P349,0)</f>
        <v>4738.7875</v>
      </c>
    </row>
    <row r="350" customFormat="false" ht="15" hidden="false" customHeight="false" outlineLevel="0" collapsed="false">
      <c r="A350" s="42" t="s">
        <v>1579</v>
      </c>
      <c r="B350" s="43" t="n">
        <v>45349</v>
      </c>
      <c r="C350" s="43" t="n">
        <v>45350</v>
      </c>
      <c r="D350" s="42" t="n">
        <v>23</v>
      </c>
      <c r="E350" s="42" t="s">
        <v>139</v>
      </c>
      <c r="F350" s="42" t="s">
        <v>149</v>
      </c>
      <c r="G350" s="42" t="s">
        <v>150</v>
      </c>
      <c r="H350" s="42" t="s">
        <v>186</v>
      </c>
      <c r="I350" s="42" t="s">
        <v>143</v>
      </c>
      <c r="J350" s="42" t="s">
        <v>159</v>
      </c>
      <c r="K350" s="42" t="s">
        <v>160</v>
      </c>
      <c r="L350" s="44" t="n">
        <v>1473.7</v>
      </c>
      <c r="M350" s="42" t="n">
        <v>3</v>
      </c>
      <c r="N350" s="42" t="s">
        <v>146</v>
      </c>
      <c r="O350" s="42" t="s">
        <v>147</v>
      </c>
      <c r="P350" s="39" t="n">
        <f aca="false">C350-B350</f>
        <v>1</v>
      </c>
      <c r="Q350" s="40" t="str">
        <f aca="false">CHOOSE(MONTH(B350),"يناير","فبراير","مارس","أبريل","مايو","يونيو","يوليو","أغسطس","سبتمبر","أكتوبر","نوفمبر","ديسمبر")</f>
        <v>فبراير</v>
      </c>
      <c r="R350" s="40" t="str">
        <f aca="false">"الربع "&amp;ROUNDUP(MONTH(B350)/3,0)</f>
        <v>الربع 1</v>
      </c>
      <c r="S350" s="40" t="str">
        <f aca="false">IF(D350&lt;=12,"أطفال (0-12)",IF(D350&lt;=24,"شباب (13-24)",IF(D350&lt;=44,"بالغون (25-44)",IF(D350&lt;=64,"متوسطو العمر (45-64)","كبار السن (+65)"))))</f>
        <v>شباب (13-24)</v>
      </c>
      <c r="T350" s="41" t="n">
        <f aca="false">IFERROR(L350/P350,0)</f>
        <v>1473.7</v>
      </c>
    </row>
    <row r="351" customFormat="false" ht="15" hidden="false" customHeight="false" outlineLevel="0" collapsed="false">
      <c r="A351" s="33" t="s">
        <v>2077</v>
      </c>
      <c r="B351" s="34" t="n">
        <v>45349</v>
      </c>
      <c r="C351" s="34" t="n">
        <v>45350</v>
      </c>
      <c r="D351" s="33" t="n">
        <v>34</v>
      </c>
      <c r="E351" s="33" t="s">
        <v>139</v>
      </c>
      <c r="F351" s="33" t="s">
        <v>203</v>
      </c>
      <c r="G351" s="33" t="s">
        <v>241</v>
      </c>
      <c r="H351" s="33" t="s">
        <v>233</v>
      </c>
      <c r="I351" s="33" t="s">
        <v>143</v>
      </c>
      <c r="J351" s="33" t="s">
        <v>159</v>
      </c>
      <c r="K351" s="33" t="s">
        <v>145</v>
      </c>
      <c r="L351" s="35" t="n">
        <v>768.77</v>
      </c>
      <c r="M351" s="33" t="n">
        <v>3</v>
      </c>
      <c r="N351" s="33" t="s">
        <v>210</v>
      </c>
      <c r="O351" s="33" t="s">
        <v>147</v>
      </c>
      <c r="P351" s="39" t="n">
        <f aca="false">C351-B351</f>
        <v>1</v>
      </c>
      <c r="Q351" s="40" t="str">
        <f aca="false">CHOOSE(MONTH(B351),"يناير","فبراير","مارس","أبريل","مايو","يونيو","يوليو","أغسطس","سبتمبر","أكتوبر","نوفمبر","ديسمبر")</f>
        <v>فبراير</v>
      </c>
      <c r="R351" s="40" t="str">
        <f aca="false">"الربع "&amp;ROUNDUP(MONTH(B351)/3,0)</f>
        <v>الربع 1</v>
      </c>
      <c r="S351" s="40" t="str">
        <f aca="false">IF(D351&lt;=12,"أطفال (0-12)",IF(D351&lt;=24,"شباب (13-24)",IF(D351&lt;=44,"بالغون (25-44)",IF(D351&lt;=64,"متوسطو العمر (45-64)","كبار السن (+65)"))))</f>
        <v>بالغون (25-44)</v>
      </c>
      <c r="T351" s="41" t="n">
        <f aca="false">IFERROR(L351/P351,0)</f>
        <v>768.77</v>
      </c>
    </row>
    <row r="352" customFormat="false" ht="15" hidden="false" customHeight="false" outlineLevel="0" collapsed="false">
      <c r="A352" s="42" t="s">
        <v>1451</v>
      </c>
      <c r="B352" s="43" t="n">
        <v>45349</v>
      </c>
      <c r="C352" s="43" t="n">
        <v>45353</v>
      </c>
      <c r="D352" s="42" t="n">
        <v>56</v>
      </c>
      <c r="E352" s="42" t="s">
        <v>139</v>
      </c>
      <c r="F352" s="42" t="s">
        <v>226</v>
      </c>
      <c r="G352" s="42" t="s">
        <v>258</v>
      </c>
      <c r="H352" s="42" t="s">
        <v>263</v>
      </c>
      <c r="I352" s="42" t="s">
        <v>143</v>
      </c>
      <c r="J352" s="42" t="s">
        <v>159</v>
      </c>
      <c r="K352" s="42" t="s">
        <v>160</v>
      </c>
      <c r="L352" s="44" t="n">
        <v>13586.11</v>
      </c>
      <c r="M352" s="42" t="n">
        <v>3</v>
      </c>
      <c r="N352" s="42" t="s">
        <v>146</v>
      </c>
      <c r="O352" s="42" t="s">
        <v>147</v>
      </c>
      <c r="P352" s="39" t="n">
        <f aca="false">C352-B352</f>
        <v>4</v>
      </c>
      <c r="Q352" s="40" t="str">
        <f aca="false">CHOOSE(MONTH(B352),"يناير","فبراير","مارس","أبريل","مايو","يونيو","يوليو","أغسطس","سبتمبر","أكتوبر","نوفمبر","ديسمبر")</f>
        <v>فبراير</v>
      </c>
      <c r="R352" s="40" t="str">
        <f aca="false">"الربع "&amp;ROUNDUP(MONTH(B352)/3,0)</f>
        <v>الربع 1</v>
      </c>
      <c r="S352" s="40" t="str">
        <f aca="false">IF(D352&lt;=12,"أطفال (0-12)",IF(D352&lt;=24,"شباب (13-24)",IF(D352&lt;=44,"بالغون (25-44)",IF(D352&lt;=64,"متوسطو العمر (45-64)","كبار السن (+65)"))))</f>
        <v>متوسطو العمر (45-64)</v>
      </c>
      <c r="T352" s="41" t="n">
        <f aca="false">IFERROR(L352/P352,0)</f>
        <v>3396.5275</v>
      </c>
    </row>
    <row r="353" customFormat="false" ht="15" hidden="false" customHeight="false" outlineLevel="0" collapsed="false">
      <c r="A353" s="33" t="s">
        <v>706</v>
      </c>
      <c r="B353" s="34" t="n">
        <v>45350</v>
      </c>
      <c r="C353" s="34" t="n">
        <v>45355</v>
      </c>
      <c r="D353" s="33" t="n">
        <v>46</v>
      </c>
      <c r="E353" s="33" t="s">
        <v>139</v>
      </c>
      <c r="F353" s="33" t="s">
        <v>226</v>
      </c>
      <c r="G353" s="33" t="s">
        <v>386</v>
      </c>
      <c r="H353" s="33" t="s">
        <v>228</v>
      </c>
      <c r="I353" s="33" t="s">
        <v>152</v>
      </c>
      <c r="J353" s="33" t="s">
        <v>144</v>
      </c>
      <c r="K353" s="33" t="s">
        <v>145</v>
      </c>
      <c r="L353" s="35" t="n">
        <v>29323.64</v>
      </c>
      <c r="M353" s="33" t="n">
        <v>5</v>
      </c>
      <c r="N353" s="33" t="s">
        <v>146</v>
      </c>
      <c r="O353" s="33" t="s">
        <v>147</v>
      </c>
      <c r="P353" s="39" t="n">
        <f aca="false">C353-B353</f>
        <v>5</v>
      </c>
      <c r="Q353" s="40" t="str">
        <f aca="false">CHOOSE(MONTH(B353),"يناير","فبراير","مارس","أبريل","مايو","يونيو","يوليو","أغسطس","سبتمبر","أكتوبر","نوفمبر","ديسمبر")</f>
        <v>فبراير</v>
      </c>
      <c r="R353" s="40" t="str">
        <f aca="false">"الربع "&amp;ROUNDUP(MONTH(B353)/3,0)</f>
        <v>الربع 1</v>
      </c>
      <c r="S353" s="40" t="str">
        <f aca="false">IF(D353&lt;=12,"أطفال (0-12)",IF(D353&lt;=24,"شباب (13-24)",IF(D353&lt;=44,"بالغون (25-44)",IF(D353&lt;=64,"متوسطو العمر (45-64)","كبار السن (+65)"))))</f>
        <v>متوسطو العمر (45-64)</v>
      </c>
      <c r="T353" s="41" t="n">
        <f aca="false">IFERROR(L353/P353,0)</f>
        <v>5864.728</v>
      </c>
    </row>
    <row r="354" customFormat="false" ht="15" hidden="false" customHeight="false" outlineLevel="0" collapsed="false">
      <c r="A354" s="42" t="s">
        <v>2086</v>
      </c>
      <c r="B354" s="43" t="n">
        <v>45350</v>
      </c>
      <c r="C354" s="43" t="n">
        <v>45351</v>
      </c>
      <c r="D354" s="42" t="n">
        <v>23</v>
      </c>
      <c r="E354" s="42" t="s">
        <v>139</v>
      </c>
      <c r="F354" s="42" t="s">
        <v>149</v>
      </c>
      <c r="G354" s="42" t="s">
        <v>224</v>
      </c>
      <c r="H354" s="42" t="s">
        <v>186</v>
      </c>
      <c r="I354" s="42" t="s">
        <v>143</v>
      </c>
      <c r="J354" s="42" t="s">
        <v>144</v>
      </c>
      <c r="K354" s="42" t="s">
        <v>160</v>
      </c>
      <c r="L354" s="44" t="n">
        <v>2235.67</v>
      </c>
      <c r="M354" s="42" t="n">
        <v>3</v>
      </c>
      <c r="N354" s="42" t="s">
        <v>146</v>
      </c>
      <c r="O354" s="42" t="s">
        <v>147</v>
      </c>
      <c r="P354" s="39" t="n">
        <f aca="false">C354-B354</f>
        <v>1</v>
      </c>
      <c r="Q354" s="40" t="str">
        <f aca="false">CHOOSE(MONTH(B354),"يناير","فبراير","مارس","أبريل","مايو","يونيو","يوليو","أغسطس","سبتمبر","أكتوبر","نوفمبر","ديسمبر")</f>
        <v>فبراير</v>
      </c>
      <c r="R354" s="40" t="str">
        <f aca="false">"الربع "&amp;ROUNDUP(MONTH(B354)/3,0)</f>
        <v>الربع 1</v>
      </c>
      <c r="S354" s="40" t="str">
        <f aca="false">IF(D354&lt;=12,"أطفال (0-12)",IF(D354&lt;=24,"شباب (13-24)",IF(D354&lt;=44,"بالغون (25-44)",IF(D354&lt;=64,"متوسطو العمر (45-64)","كبار السن (+65)"))))</f>
        <v>شباب (13-24)</v>
      </c>
      <c r="T354" s="41" t="n">
        <f aca="false">IFERROR(L354/P354,0)</f>
        <v>2235.67</v>
      </c>
    </row>
    <row r="355" customFormat="false" ht="15" hidden="false" customHeight="false" outlineLevel="0" collapsed="false">
      <c r="A355" s="33" t="s">
        <v>1768</v>
      </c>
      <c r="B355" s="34" t="n">
        <v>45350</v>
      </c>
      <c r="C355" s="34" t="n">
        <v>45353</v>
      </c>
      <c r="D355" s="33" t="n">
        <v>44</v>
      </c>
      <c r="E355" s="33" t="s">
        <v>154</v>
      </c>
      <c r="F355" s="33" t="s">
        <v>173</v>
      </c>
      <c r="G355" s="33" t="s">
        <v>198</v>
      </c>
      <c r="H355" s="33" t="s">
        <v>199</v>
      </c>
      <c r="I355" s="33" t="s">
        <v>143</v>
      </c>
      <c r="J355" s="33" t="s">
        <v>159</v>
      </c>
      <c r="K355" s="33" t="s">
        <v>145</v>
      </c>
      <c r="L355" s="35" t="n">
        <v>7555.18</v>
      </c>
      <c r="M355" s="33" t="n">
        <v>4</v>
      </c>
      <c r="N355" s="33" t="s">
        <v>146</v>
      </c>
      <c r="O355" s="33" t="s">
        <v>147</v>
      </c>
      <c r="P355" s="39" t="n">
        <f aca="false">C355-B355</f>
        <v>3</v>
      </c>
      <c r="Q355" s="40" t="str">
        <f aca="false">CHOOSE(MONTH(B355),"يناير","فبراير","مارس","أبريل","مايو","يونيو","يوليو","أغسطس","سبتمبر","أكتوبر","نوفمبر","ديسمبر")</f>
        <v>فبراير</v>
      </c>
      <c r="R355" s="40" t="str">
        <f aca="false">"الربع "&amp;ROUNDUP(MONTH(B355)/3,0)</f>
        <v>الربع 1</v>
      </c>
      <c r="S355" s="40" t="str">
        <f aca="false">IF(D355&lt;=12,"أطفال (0-12)",IF(D355&lt;=24,"شباب (13-24)",IF(D355&lt;=44,"بالغون (25-44)",IF(D355&lt;=64,"متوسطو العمر (45-64)","كبار السن (+65)"))))</f>
        <v>بالغون (25-44)</v>
      </c>
      <c r="T355" s="41" t="n">
        <f aca="false">IFERROR(L355/P355,0)</f>
        <v>2518.39333333333</v>
      </c>
    </row>
    <row r="356" customFormat="false" ht="15" hidden="false" customHeight="false" outlineLevel="0" collapsed="false">
      <c r="A356" s="42" t="s">
        <v>2189</v>
      </c>
      <c r="B356" s="43" t="n">
        <v>45350</v>
      </c>
      <c r="C356" s="43" t="n">
        <v>45355</v>
      </c>
      <c r="D356" s="42" t="n">
        <v>84</v>
      </c>
      <c r="E356" s="42" t="s">
        <v>154</v>
      </c>
      <c r="F356" s="42" t="s">
        <v>181</v>
      </c>
      <c r="G356" s="42" t="s">
        <v>237</v>
      </c>
      <c r="H356" s="42" t="s">
        <v>245</v>
      </c>
      <c r="I356" s="42" t="s">
        <v>152</v>
      </c>
      <c r="J356" s="42" t="s">
        <v>159</v>
      </c>
      <c r="K356" s="42" t="s">
        <v>145</v>
      </c>
      <c r="L356" s="44" t="n">
        <v>11759.97</v>
      </c>
      <c r="M356" s="42" t="n">
        <v>5</v>
      </c>
      <c r="N356" s="42" t="s">
        <v>146</v>
      </c>
      <c r="O356" s="42" t="s">
        <v>147</v>
      </c>
      <c r="P356" s="39" t="n">
        <f aca="false">C356-B356</f>
        <v>5</v>
      </c>
      <c r="Q356" s="40" t="str">
        <f aca="false">CHOOSE(MONTH(B356),"يناير","فبراير","مارس","أبريل","مايو","يونيو","يوليو","أغسطس","سبتمبر","أكتوبر","نوفمبر","ديسمبر")</f>
        <v>فبراير</v>
      </c>
      <c r="R356" s="40" t="str">
        <f aca="false">"الربع "&amp;ROUNDUP(MONTH(B356)/3,0)</f>
        <v>الربع 1</v>
      </c>
      <c r="S356" s="40" t="str">
        <f aca="false">IF(D356&lt;=12,"أطفال (0-12)",IF(D356&lt;=24,"شباب (13-24)",IF(D356&lt;=44,"بالغون (25-44)",IF(D356&lt;=64,"متوسطو العمر (45-64)","كبار السن (+65)"))))</f>
        <v>كبار السن (+65)</v>
      </c>
      <c r="T356" s="41" t="n">
        <f aca="false">IFERROR(L356/P356,0)</f>
        <v>2351.994</v>
      </c>
    </row>
    <row r="357" customFormat="false" ht="15" hidden="false" customHeight="false" outlineLevel="0" collapsed="false">
      <c r="A357" s="33" t="s">
        <v>887</v>
      </c>
      <c r="B357" s="34" t="n">
        <v>45351</v>
      </c>
      <c r="C357" s="34" t="n">
        <v>45352</v>
      </c>
      <c r="D357" s="33" t="n">
        <v>5</v>
      </c>
      <c r="E357" s="33" t="s">
        <v>154</v>
      </c>
      <c r="F357" s="33" t="s">
        <v>155</v>
      </c>
      <c r="G357" s="33" t="s">
        <v>220</v>
      </c>
      <c r="H357" s="33" t="s">
        <v>157</v>
      </c>
      <c r="I357" s="33" t="s">
        <v>152</v>
      </c>
      <c r="J357" s="33" t="s">
        <v>159</v>
      </c>
      <c r="K357" s="33" t="s">
        <v>160</v>
      </c>
      <c r="L357" s="35" t="n">
        <v>899.59</v>
      </c>
      <c r="M357" s="33" t="n">
        <v>5</v>
      </c>
      <c r="N357" s="33" t="s">
        <v>146</v>
      </c>
      <c r="O357" s="33" t="s">
        <v>147</v>
      </c>
      <c r="P357" s="39" t="n">
        <f aca="false">C357-B357</f>
        <v>1</v>
      </c>
      <c r="Q357" s="40" t="str">
        <f aca="false">CHOOSE(MONTH(B357),"يناير","فبراير","مارس","أبريل","مايو","يونيو","يوليو","أغسطس","سبتمبر","أكتوبر","نوفمبر","ديسمبر")</f>
        <v>فبراير</v>
      </c>
      <c r="R357" s="40" t="str">
        <f aca="false">"الربع "&amp;ROUNDUP(MONTH(B357)/3,0)</f>
        <v>الربع 1</v>
      </c>
      <c r="S357" s="40" t="str">
        <f aca="false">IF(D357&lt;=12,"أطفال (0-12)",IF(D357&lt;=24,"شباب (13-24)",IF(D357&lt;=44,"بالغون (25-44)",IF(D357&lt;=64,"متوسطو العمر (45-64)","كبار السن (+65)"))))</f>
        <v>أطفال (0-12)</v>
      </c>
      <c r="T357" s="41" t="n">
        <f aca="false">IFERROR(L357/P357,0)</f>
        <v>899.59</v>
      </c>
    </row>
    <row r="358" customFormat="false" ht="15" hidden="false" customHeight="false" outlineLevel="0" collapsed="false">
      <c r="A358" s="42" t="s">
        <v>1278</v>
      </c>
      <c r="B358" s="43" t="n">
        <v>45351</v>
      </c>
      <c r="C358" s="43" t="n">
        <v>45356</v>
      </c>
      <c r="D358" s="42" t="n">
        <v>53</v>
      </c>
      <c r="E358" s="42" t="s">
        <v>154</v>
      </c>
      <c r="F358" s="42" t="s">
        <v>140</v>
      </c>
      <c r="G358" s="42" t="s">
        <v>141</v>
      </c>
      <c r="H358" s="42" t="s">
        <v>142</v>
      </c>
      <c r="I358" s="42" t="s">
        <v>143</v>
      </c>
      <c r="J358" s="42" t="s">
        <v>159</v>
      </c>
      <c r="K358" s="42" t="s">
        <v>209</v>
      </c>
      <c r="L358" s="44" t="n">
        <v>13044.92</v>
      </c>
      <c r="M358" s="42" t="n">
        <v>4</v>
      </c>
      <c r="N358" s="42" t="s">
        <v>210</v>
      </c>
      <c r="O358" s="42" t="s">
        <v>147</v>
      </c>
      <c r="P358" s="39" t="n">
        <f aca="false">C358-B358</f>
        <v>5</v>
      </c>
      <c r="Q358" s="40" t="str">
        <f aca="false">CHOOSE(MONTH(B358),"يناير","فبراير","مارس","أبريل","مايو","يونيو","يوليو","أغسطس","سبتمبر","أكتوبر","نوفمبر","ديسمبر")</f>
        <v>فبراير</v>
      </c>
      <c r="R358" s="40" t="str">
        <f aca="false">"الربع "&amp;ROUNDUP(MONTH(B358)/3,0)</f>
        <v>الربع 1</v>
      </c>
      <c r="S358" s="40" t="str">
        <f aca="false">IF(D358&lt;=12,"أطفال (0-12)",IF(D358&lt;=24,"شباب (13-24)",IF(D358&lt;=44,"بالغون (25-44)",IF(D358&lt;=64,"متوسطو العمر (45-64)","كبار السن (+65)"))))</f>
        <v>متوسطو العمر (45-64)</v>
      </c>
      <c r="T358" s="41" t="n">
        <f aca="false">IFERROR(L358/P358,0)</f>
        <v>2608.984</v>
      </c>
    </row>
    <row r="359" customFormat="false" ht="15" hidden="false" customHeight="false" outlineLevel="0" collapsed="false">
      <c r="A359" s="33" t="s">
        <v>2250</v>
      </c>
      <c r="B359" s="34" t="n">
        <v>45351</v>
      </c>
      <c r="C359" s="34" t="n">
        <v>45353</v>
      </c>
      <c r="D359" s="33" t="n">
        <v>31</v>
      </c>
      <c r="E359" s="33" t="s">
        <v>139</v>
      </c>
      <c r="F359" s="33" t="s">
        <v>149</v>
      </c>
      <c r="G359" s="33" t="s">
        <v>243</v>
      </c>
      <c r="H359" s="33" t="s">
        <v>186</v>
      </c>
      <c r="I359" s="33" t="s">
        <v>143</v>
      </c>
      <c r="J359" s="33" t="s">
        <v>144</v>
      </c>
      <c r="K359" s="33" t="s">
        <v>209</v>
      </c>
      <c r="L359" s="35" t="n">
        <v>6073.01</v>
      </c>
      <c r="M359" s="33" t="n">
        <v>4</v>
      </c>
      <c r="N359" s="33" t="s">
        <v>146</v>
      </c>
      <c r="O359" s="33" t="s">
        <v>147</v>
      </c>
      <c r="P359" s="39" t="n">
        <f aca="false">C359-B359</f>
        <v>2</v>
      </c>
      <c r="Q359" s="40" t="str">
        <f aca="false">CHOOSE(MONTH(B359),"يناير","فبراير","مارس","أبريل","مايو","يونيو","يوليو","أغسطس","سبتمبر","أكتوبر","نوفمبر","ديسمبر")</f>
        <v>فبراير</v>
      </c>
      <c r="R359" s="40" t="str">
        <f aca="false">"الربع "&amp;ROUNDUP(MONTH(B359)/3,0)</f>
        <v>الربع 1</v>
      </c>
      <c r="S359" s="40" t="str">
        <f aca="false">IF(D359&lt;=12,"أطفال (0-12)",IF(D359&lt;=24,"شباب (13-24)",IF(D359&lt;=44,"بالغون (25-44)",IF(D359&lt;=64,"متوسطو العمر (45-64)","كبار السن (+65)"))))</f>
        <v>بالغون (25-44)</v>
      </c>
      <c r="T359" s="41" t="n">
        <f aca="false">IFERROR(L359/P359,0)</f>
        <v>3036.505</v>
      </c>
    </row>
    <row r="360" customFormat="false" ht="15" hidden="false" customHeight="false" outlineLevel="0" collapsed="false">
      <c r="A360" s="42" t="s">
        <v>1633</v>
      </c>
      <c r="B360" s="43" t="n">
        <v>45351</v>
      </c>
      <c r="C360" s="43" t="n">
        <v>45357</v>
      </c>
      <c r="D360" s="42" t="n">
        <v>22</v>
      </c>
      <c r="E360" s="42" t="s">
        <v>154</v>
      </c>
      <c r="F360" s="42" t="s">
        <v>169</v>
      </c>
      <c r="G360" s="42" t="s">
        <v>213</v>
      </c>
      <c r="H360" s="42" t="s">
        <v>195</v>
      </c>
      <c r="I360" s="42" t="s">
        <v>143</v>
      </c>
      <c r="J360" s="42" t="s">
        <v>159</v>
      </c>
      <c r="K360" s="42" t="s">
        <v>184</v>
      </c>
      <c r="L360" s="44" t="n">
        <v>7044.93</v>
      </c>
      <c r="M360" s="42" t="n">
        <v>4</v>
      </c>
      <c r="N360" s="42" t="s">
        <v>146</v>
      </c>
      <c r="O360" s="42" t="s">
        <v>147</v>
      </c>
      <c r="P360" s="39" t="n">
        <f aca="false">C360-B360</f>
        <v>6</v>
      </c>
      <c r="Q360" s="40" t="str">
        <f aca="false">CHOOSE(MONTH(B360),"يناير","فبراير","مارس","أبريل","مايو","يونيو","يوليو","أغسطس","سبتمبر","أكتوبر","نوفمبر","ديسمبر")</f>
        <v>فبراير</v>
      </c>
      <c r="R360" s="40" t="str">
        <f aca="false">"الربع "&amp;ROUNDUP(MONTH(B360)/3,0)</f>
        <v>الربع 1</v>
      </c>
      <c r="S360" s="40" t="str">
        <f aca="false">IF(D360&lt;=12,"أطفال (0-12)",IF(D360&lt;=24,"شباب (13-24)",IF(D360&lt;=44,"بالغون (25-44)",IF(D360&lt;=64,"متوسطو العمر (45-64)","كبار السن (+65)"))))</f>
        <v>شباب (13-24)</v>
      </c>
      <c r="T360" s="41" t="n">
        <f aca="false">IFERROR(L360/P360,0)</f>
        <v>1174.155</v>
      </c>
    </row>
    <row r="361" customFormat="false" ht="15" hidden="false" customHeight="false" outlineLevel="0" collapsed="false">
      <c r="A361" s="33" t="s">
        <v>2297</v>
      </c>
      <c r="B361" s="34" t="n">
        <v>45351</v>
      </c>
      <c r="C361" s="34" t="n">
        <v>45354</v>
      </c>
      <c r="D361" s="33" t="n">
        <v>0</v>
      </c>
      <c r="E361" s="33" t="s">
        <v>139</v>
      </c>
      <c r="F361" s="33" t="s">
        <v>155</v>
      </c>
      <c r="G361" s="33" t="s">
        <v>302</v>
      </c>
      <c r="H361" s="33" t="s">
        <v>157</v>
      </c>
      <c r="I361" s="33" t="s">
        <v>143</v>
      </c>
      <c r="J361" s="33" t="s">
        <v>144</v>
      </c>
      <c r="K361" s="33" t="s">
        <v>209</v>
      </c>
      <c r="L361" s="35" t="n">
        <v>5379.42</v>
      </c>
      <c r="M361" s="33" t="n">
        <v>4</v>
      </c>
      <c r="N361" s="33" t="s">
        <v>146</v>
      </c>
      <c r="O361" s="33" t="s">
        <v>247</v>
      </c>
      <c r="P361" s="39" t="n">
        <f aca="false">C361-B361</f>
        <v>3</v>
      </c>
      <c r="Q361" s="40" t="str">
        <f aca="false">CHOOSE(MONTH(B361),"يناير","فبراير","مارس","أبريل","مايو","يونيو","يوليو","أغسطس","سبتمبر","أكتوبر","نوفمبر","ديسمبر")</f>
        <v>فبراير</v>
      </c>
      <c r="R361" s="40" t="str">
        <f aca="false">"الربع "&amp;ROUNDUP(MONTH(B361)/3,0)</f>
        <v>الربع 1</v>
      </c>
      <c r="S361" s="40" t="str">
        <f aca="false">IF(D361&lt;=12,"أطفال (0-12)",IF(D361&lt;=24,"شباب (13-24)",IF(D361&lt;=44,"بالغون (25-44)",IF(D361&lt;=64,"متوسطو العمر (45-64)","كبار السن (+65)"))))</f>
        <v>أطفال (0-12)</v>
      </c>
      <c r="T361" s="41" t="n">
        <f aca="false">IFERROR(L361/P361,0)</f>
        <v>1793.14</v>
      </c>
    </row>
    <row r="362" customFormat="false" ht="15" hidden="false" customHeight="false" outlineLevel="0" collapsed="false">
      <c r="A362" s="42" t="s">
        <v>374</v>
      </c>
      <c r="B362" s="43" t="n">
        <v>45351</v>
      </c>
      <c r="C362" s="43" t="n">
        <v>45356</v>
      </c>
      <c r="D362" s="42" t="n">
        <v>30</v>
      </c>
      <c r="E362" s="42" t="s">
        <v>139</v>
      </c>
      <c r="F362" s="42" t="s">
        <v>203</v>
      </c>
      <c r="G362" s="42" t="s">
        <v>204</v>
      </c>
      <c r="H362" s="42" t="s">
        <v>193</v>
      </c>
      <c r="I362" s="42" t="s">
        <v>143</v>
      </c>
      <c r="J362" s="42" t="s">
        <v>159</v>
      </c>
      <c r="K362" s="42" t="s">
        <v>145</v>
      </c>
      <c r="L362" s="44" t="n">
        <v>4219.85</v>
      </c>
      <c r="M362" s="42" t="n">
        <v>2</v>
      </c>
      <c r="N362" s="42" t="s">
        <v>146</v>
      </c>
      <c r="O362" s="42" t="s">
        <v>147</v>
      </c>
      <c r="P362" s="39" t="n">
        <f aca="false">C362-B362</f>
        <v>5</v>
      </c>
      <c r="Q362" s="40" t="str">
        <f aca="false">CHOOSE(MONTH(B362),"يناير","فبراير","مارس","أبريل","مايو","يونيو","يوليو","أغسطس","سبتمبر","أكتوبر","نوفمبر","ديسمبر")</f>
        <v>فبراير</v>
      </c>
      <c r="R362" s="40" t="str">
        <f aca="false">"الربع "&amp;ROUNDUP(MONTH(B362)/3,0)</f>
        <v>الربع 1</v>
      </c>
      <c r="S362" s="40" t="str">
        <f aca="false">IF(D362&lt;=12,"أطفال (0-12)",IF(D362&lt;=24,"شباب (13-24)",IF(D362&lt;=44,"بالغون (25-44)",IF(D362&lt;=64,"متوسطو العمر (45-64)","كبار السن (+65)"))))</f>
        <v>بالغون (25-44)</v>
      </c>
      <c r="T362" s="41" t="n">
        <f aca="false">IFERROR(L362/P362,0)</f>
        <v>843.97</v>
      </c>
    </row>
    <row r="363" customFormat="false" ht="15" hidden="false" customHeight="false" outlineLevel="0" collapsed="false">
      <c r="A363" s="33" t="s">
        <v>1804</v>
      </c>
      <c r="B363" s="34" t="n">
        <v>45351</v>
      </c>
      <c r="C363" s="34" t="n">
        <v>45355</v>
      </c>
      <c r="D363" s="33" t="n">
        <v>71</v>
      </c>
      <c r="E363" s="33" t="s">
        <v>139</v>
      </c>
      <c r="F363" s="33" t="s">
        <v>181</v>
      </c>
      <c r="G363" s="33" t="s">
        <v>237</v>
      </c>
      <c r="H363" s="33" t="s">
        <v>183</v>
      </c>
      <c r="I363" s="33" t="s">
        <v>143</v>
      </c>
      <c r="J363" s="33" t="s">
        <v>159</v>
      </c>
      <c r="K363" s="33" t="s">
        <v>145</v>
      </c>
      <c r="L363" s="35" t="n">
        <v>10142.97</v>
      </c>
      <c r="M363" s="33" t="n">
        <v>4</v>
      </c>
      <c r="N363" s="33" t="s">
        <v>146</v>
      </c>
      <c r="O363" s="33" t="s">
        <v>147</v>
      </c>
      <c r="P363" s="39" t="n">
        <f aca="false">C363-B363</f>
        <v>4</v>
      </c>
      <c r="Q363" s="40" t="str">
        <f aca="false">CHOOSE(MONTH(B363),"يناير","فبراير","مارس","أبريل","مايو","يونيو","يوليو","أغسطس","سبتمبر","أكتوبر","نوفمبر","ديسمبر")</f>
        <v>فبراير</v>
      </c>
      <c r="R363" s="40" t="str">
        <f aca="false">"الربع "&amp;ROUNDUP(MONTH(B363)/3,0)</f>
        <v>الربع 1</v>
      </c>
      <c r="S363" s="40" t="str">
        <f aca="false">IF(D363&lt;=12,"أطفال (0-12)",IF(D363&lt;=24,"شباب (13-24)",IF(D363&lt;=44,"بالغون (25-44)",IF(D363&lt;=64,"متوسطو العمر (45-64)","كبار السن (+65)"))))</f>
        <v>كبار السن (+65)</v>
      </c>
      <c r="T363" s="41" t="n">
        <f aca="false">IFERROR(L363/P363,0)</f>
        <v>2535.7425</v>
      </c>
    </row>
    <row r="364" customFormat="false" ht="15" hidden="false" customHeight="false" outlineLevel="0" collapsed="false">
      <c r="A364" s="42" t="s">
        <v>921</v>
      </c>
      <c r="B364" s="43" t="n">
        <v>45351</v>
      </c>
      <c r="C364" s="43" t="n">
        <v>45353</v>
      </c>
      <c r="D364" s="42" t="n">
        <v>83</v>
      </c>
      <c r="E364" s="42" t="s">
        <v>154</v>
      </c>
      <c r="F364" s="42" t="s">
        <v>173</v>
      </c>
      <c r="G364" s="42" t="s">
        <v>198</v>
      </c>
      <c r="H364" s="42" t="s">
        <v>175</v>
      </c>
      <c r="I364" s="42" t="s">
        <v>152</v>
      </c>
      <c r="J364" s="42" t="s">
        <v>159</v>
      </c>
      <c r="K364" s="42" t="s">
        <v>160</v>
      </c>
      <c r="L364" s="44" t="n">
        <v>5829.68</v>
      </c>
      <c r="M364" s="42" t="n">
        <v>5</v>
      </c>
      <c r="N364" s="42" t="s">
        <v>146</v>
      </c>
      <c r="O364" s="42" t="s">
        <v>147</v>
      </c>
      <c r="P364" s="39" t="n">
        <f aca="false">C364-B364</f>
        <v>2</v>
      </c>
      <c r="Q364" s="40" t="str">
        <f aca="false">CHOOSE(MONTH(B364),"يناير","فبراير","مارس","أبريل","مايو","يونيو","يوليو","أغسطس","سبتمبر","أكتوبر","نوفمبر","ديسمبر")</f>
        <v>فبراير</v>
      </c>
      <c r="R364" s="40" t="str">
        <f aca="false">"الربع "&amp;ROUNDUP(MONTH(B364)/3,0)</f>
        <v>الربع 1</v>
      </c>
      <c r="S364" s="40" t="str">
        <f aca="false">IF(D364&lt;=12,"أطفال (0-12)",IF(D364&lt;=24,"شباب (13-24)",IF(D364&lt;=44,"بالغون (25-44)",IF(D364&lt;=64,"متوسطو العمر (45-64)","كبار السن (+65)"))))</f>
        <v>كبار السن (+65)</v>
      </c>
      <c r="T364" s="41" t="n">
        <f aca="false">IFERROR(L364/P364,0)</f>
        <v>2914.84</v>
      </c>
    </row>
    <row r="365" customFormat="false" ht="15" hidden="false" customHeight="false" outlineLevel="0" collapsed="false">
      <c r="A365" s="33" t="s">
        <v>1523</v>
      </c>
      <c r="B365" s="34" t="n">
        <v>45352</v>
      </c>
      <c r="C365" s="34" t="n">
        <v>45353</v>
      </c>
      <c r="D365" s="33" t="n">
        <v>37</v>
      </c>
      <c r="E365" s="33" t="s">
        <v>154</v>
      </c>
      <c r="F365" s="33" t="s">
        <v>203</v>
      </c>
      <c r="G365" s="33" t="s">
        <v>232</v>
      </c>
      <c r="H365" s="33" t="s">
        <v>233</v>
      </c>
      <c r="I365" s="33" t="s">
        <v>143</v>
      </c>
      <c r="J365" s="33" t="s">
        <v>144</v>
      </c>
      <c r="K365" s="33" t="s">
        <v>160</v>
      </c>
      <c r="L365" s="35" t="n">
        <v>1577.14</v>
      </c>
      <c r="M365" s="33" t="n">
        <v>5</v>
      </c>
      <c r="N365" s="33" t="s">
        <v>146</v>
      </c>
      <c r="O365" s="33" t="s">
        <v>147</v>
      </c>
      <c r="P365" s="39" t="n">
        <f aca="false">C365-B365</f>
        <v>1</v>
      </c>
      <c r="Q365" s="40" t="str">
        <f aca="false">CHOOSE(MONTH(B365),"يناير","فبراير","مارس","أبريل","مايو","يونيو","يوليو","أغسطس","سبتمبر","أكتوبر","نوفمبر","ديسمبر")</f>
        <v>مارس</v>
      </c>
      <c r="R365" s="40" t="str">
        <f aca="false">"الربع "&amp;ROUNDUP(MONTH(B365)/3,0)</f>
        <v>الربع 1</v>
      </c>
      <c r="S365" s="40" t="str">
        <f aca="false">IF(D365&lt;=12,"أطفال (0-12)",IF(D365&lt;=24,"شباب (13-24)",IF(D365&lt;=44,"بالغون (25-44)",IF(D365&lt;=64,"متوسطو العمر (45-64)","كبار السن (+65)"))))</f>
        <v>بالغون (25-44)</v>
      </c>
      <c r="T365" s="41" t="n">
        <f aca="false">IFERROR(L365/P365,0)</f>
        <v>1577.14</v>
      </c>
    </row>
    <row r="366" customFormat="false" ht="15" hidden="false" customHeight="false" outlineLevel="0" collapsed="false">
      <c r="A366" s="42" t="s">
        <v>2080</v>
      </c>
      <c r="B366" s="43" t="n">
        <v>45352</v>
      </c>
      <c r="C366" s="43" t="n">
        <v>45353</v>
      </c>
      <c r="D366" s="42" t="n">
        <v>68</v>
      </c>
      <c r="E366" s="42" t="s">
        <v>154</v>
      </c>
      <c r="F366" s="42" t="s">
        <v>169</v>
      </c>
      <c r="G366" s="42" t="s">
        <v>230</v>
      </c>
      <c r="H366" s="42" t="s">
        <v>171</v>
      </c>
      <c r="I366" s="42" t="s">
        <v>152</v>
      </c>
      <c r="J366" s="42" t="s">
        <v>144</v>
      </c>
      <c r="K366" s="42" t="s">
        <v>184</v>
      </c>
      <c r="L366" s="44" t="n">
        <v>2153.35</v>
      </c>
      <c r="M366" s="42" t="n">
        <v>5</v>
      </c>
      <c r="N366" s="42" t="s">
        <v>146</v>
      </c>
      <c r="O366" s="42" t="s">
        <v>147</v>
      </c>
      <c r="P366" s="39" t="n">
        <f aca="false">C366-B366</f>
        <v>1</v>
      </c>
      <c r="Q366" s="40" t="str">
        <f aca="false">CHOOSE(MONTH(B366),"يناير","فبراير","مارس","أبريل","مايو","يونيو","يوليو","أغسطس","سبتمبر","أكتوبر","نوفمبر","ديسمبر")</f>
        <v>مارس</v>
      </c>
      <c r="R366" s="40" t="str">
        <f aca="false">"الربع "&amp;ROUNDUP(MONTH(B366)/3,0)</f>
        <v>الربع 1</v>
      </c>
      <c r="S366" s="40" t="str">
        <f aca="false">IF(D366&lt;=12,"أطفال (0-12)",IF(D366&lt;=24,"شباب (13-24)",IF(D366&lt;=44,"بالغون (25-44)",IF(D366&lt;=64,"متوسطو العمر (45-64)","كبار السن (+65)"))))</f>
        <v>كبار السن (+65)</v>
      </c>
      <c r="T366" s="41" t="n">
        <f aca="false">IFERROR(L366/P366,0)</f>
        <v>2153.35</v>
      </c>
    </row>
    <row r="367" customFormat="false" ht="15" hidden="false" customHeight="false" outlineLevel="0" collapsed="false">
      <c r="A367" s="33" t="s">
        <v>2107</v>
      </c>
      <c r="B367" s="34" t="n">
        <v>45352</v>
      </c>
      <c r="C367" s="34" t="n">
        <v>45354</v>
      </c>
      <c r="D367" s="33" t="n">
        <v>65</v>
      </c>
      <c r="E367" s="33" t="s">
        <v>154</v>
      </c>
      <c r="F367" s="33" t="s">
        <v>173</v>
      </c>
      <c r="G367" s="33" t="s">
        <v>174</v>
      </c>
      <c r="H367" s="33" t="s">
        <v>175</v>
      </c>
      <c r="I367" s="33" t="s">
        <v>152</v>
      </c>
      <c r="J367" s="33" t="s">
        <v>159</v>
      </c>
      <c r="K367" s="33" t="s">
        <v>160</v>
      </c>
      <c r="L367" s="35" t="n">
        <v>5367.97</v>
      </c>
      <c r="M367" s="33" t="n">
        <v>3</v>
      </c>
      <c r="N367" s="33" t="s">
        <v>146</v>
      </c>
      <c r="O367" s="33" t="s">
        <v>147</v>
      </c>
      <c r="P367" s="39" t="n">
        <f aca="false">C367-B367</f>
        <v>2</v>
      </c>
      <c r="Q367" s="40" t="str">
        <f aca="false">CHOOSE(MONTH(B367),"يناير","فبراير","مارس","أبريل","مايو","يونيو","يوليو","أغسطس","سبتمبر","أكتوبر","نوفمبر","ديسمبر")</f>
        <v>مارس</v>
      </c>
      <c r="R367" s="40" t="str">
        <f aca="false">"الربع "&amp;ROUNDUP(MONTH(B367)/3,0)</f>
        <v>الربع 1</v>
      </c>
      <c r="S367" s="40" t="str">
        <f aca="false">IF(D367&lt;=12,"أطفال (0-12)",IF(D367&lt;=24,"شباب (13-24)",IF(D367&lt;=44,"بالغون (25-44)",IF(D367&lt;=64,"متوسطو العمر (45-64)","كبار السن (+65)"))))</f>
        <v>كبار السن (+65)</v>
      </c>
      <c r="T367" s="41" t="n">
        <f aca="false">IFERROR(L367/P367,0)</f>
        <v>2683.985</v>
      </c>
    </row>
    <row r="368" customFormat="false" ht="15" hidden="false" customHeight="false" outlineLevel="0" collapsed="false">
      <c r="A368" s="42" t="s">
        <v>506</v>
      </c>
      <c r="B368" s="43" t="n">
        <v>45352</v>
      </c>
      <c r="C368" s="43" t="n">
        <v>45353</v>
      </c>
      <c r="D368" s="42" t="n">
        <v>12</v>
      </c>
      <c r="E368" s="42" t="s">
        <v>139</v>
      </c>
      <c r="F368" s="42" t="s">
        <v>155</v>
      </c>
      <c r="G368" s="42" t="s">
        <v>302</v>
      </c>
      <c r="H368" s="42" t="s">
        <v>222</v>
      </c>
      <c r="I368" s="42" t="s">
        <v>152</v>
      </c>
      <c r="J368" s="42" t="s">
        <v>159</v>
      </c>
      <c r="K368" s="42" t="s">
        <v>160</v>
      </c>
      <c r="L368" s="44" t="n">
        <v>821.09</v>
      </c>
      <c r="M368" s="42" t="n">
        <v>3</v>
      </c>
      <c r="N368" s="42" t="s">
        <v>146</v>
      </c>
      <c r="O368" s="42" t="s">
        <v>147</v>
      </c>
      <c r="P368" s="39" t="n">
        <f aca="false">C368-B368</f>
        <v>1</v>
      </c>
      <c r="Q368" s="40" t="str">
        <f aca="false">CHOOSE(MONTH(B368),"يناير","فبراير","مارس","أبريل","مايو","يونيو","يوليو","أغسطس","سبتمبر","أكتوبر","نوفمبر","ديسمبر")</f>
        <v>مارس</v>
      </c>
      <c r="R368" s="40" t="str">
        <f aca="false">"الربع "&amp;ROUNDUP(MONTH(B368)/3,0)</f>
        <v>الربع 1</v>
      </c>
      <c r="S368" s="40" t="str">
        <f aca="false">IF(D368&lt;=12,"أطفال (0-12)",IF(D368&lt;=24,"شباب (13-24)",IF(D368&lt;=44,"بالغون (25-44)",IF(D368&lt;=64,"متوسطو العمر (45-64)","كبار السن (+65)"))))</f>
        <v>أطفال (0-12)</v>
      </c>
      <c r="T368" s="41" t="n">
        <f aca="false">IFERROR(L368/P368,0)</f>
        <v>821.09</v>
      </c>
    </row>
    <row r="369" customFormat="false" ht="15" hidden="false" customHeight="false" outlineLevel="0" collapsed="false">
      <c r="A369" s="33" t="s">
        <v>1179</v>
      </c>
      <c r="B369" s="34" t="n">
        <v>45352</v>
      </c>
      <c r="C369" s="34" t="n">
        <v>45353</v>
      </c>
      <c r="D369" s="33" t="n">
        <v>41</v>
      </c>
      <c r="E369" s="33" t="s">
        <v>139</v>
      </c>
      <c r="F369" s="33" t="s">
        <v>203</v>
      </c>
      <c r="G369" s="33" t="s">
        <v>232</v>
      </c>
      <c r="H369" s="33" t="s">
        <v>205</v>
      </c>
      <c r="I369" s="33" t="s">
        <v>143</v>
      </c>
      <c r="J369" s="33" t="s">
        <v>159</v>
      </c>
      <c r="K369" s="33" t="s">
        <v>145</v>
      </c>
      <c r="L369" s="35" t="n">
        <v>774.2</v>
      </c>
      <c r="M369" s="33" t="n">
        <v>3</v>
      </c>
      <c r="N369" s="33" t="s">
        <v>146</v>
      </c>
      <c r="O369" s="33" t="s">
        <v>147</v>
      </c>
      <c r="P369" s="39" t="n">
        <f aca="false">C369-B369</f>
        <v>1</v>
      </c>
      <c r="Q369" s="40" t="str">
        <f aca="false">CHOOSE(MONTH(B369),"يناير","فبراير","مارس","أبريل","مايو","يونيو","يوليو","أغسطس","سبتمبر","أكتوبر","نوفمبر","ديسمبر")</f>
        <v>مارس</v>
      </c>
      <c r="R369" s="40" t="str">
        <f aca="false">"الربع "&amp;ROUNDUP(MONTH(B369)/3,0)</f>
        <v>الربع 1</v>
      </c>
      <c r="S369" s="40" t="str">
        <f aca="false">IF(D369&lt;=12,"أطفال (0-12)",IF(D369&lt;=24,"شباب (13-24)",IF(D369&lt;=44,"بالغون (25-44)",IF(D369&lt;=64,"متوسطو العمر (45-64)","كبار السن (+65)"))))</f>
        <v>بالغون (25-44)</v>
      </c>
      <c r="T369" s="41" t="n">
        <f aca="false">IFERROR(L369/P369,0)</f>
        <v>774.2</v>
      </c>
    </row>
    <row r="370" customFormat="false" ht="15" hidden="false" customHeight="false" outlineLevel="0" collapsed="false">
      <c r="A370" s="42" t="s">
        <v>504</v>
      </c>
      <c r="B370" s="43" t="n">
        <v>45352</v>
      </c>
      <c r="C370" s="43" t="n">
        <v>45353</v>
      </c>
      <c r="D370" s="42" t="n">
        <v>25</v>
      </c>
      <c r="E370" s="42" t="s">
        <v>139</v>
      </c>
      <c r="F370" s="42" t="s">
        <v>140</v>
      </c>
      <c r="G370" s="42" t="s">
        <v>167</v>
      </c>
      <c r="H370" s="42" t="s">
        <v>290</v>
      </c>
      <c r="I370" s="42" t="s">
        <v>143</v>
      </c>
      <c r="J370" s="42" t="s">
        <v>176</v>
      </c>
      <c r="K370" s="42" t="s">
        <v>160</v>
      </c>
      <c r="L370" s="44" t="n">
        <v>8220.46</v>
      </c>
      <c r="M370" s="42" t="n">
        <v>5</v>
      </c>
      <c r="N370" s="42" t="s">
        <v>146</v>
      </c>
      <c r="O370" s="42" t="s">
        <v>147</v>
      </c>
      <c r="P370" s="39" t="n">
        <f aca="false">C370-B370</f>
        <v>1</v>
      </c>
      <c r="Q370" s="40" t="str">
        <f aca="false">CHOOSE(MONTH(B370),"يناير","فبراير","مارس","أبريل","مايو","يونيو","يوليو","أغسطس","سبتمبر","أكتوبر","نوفمبر","ديسمبر")</f>
        <v>مارس</v>
      </c>
      <c r="R370" s="40" t="str">
        <f aca="false">"الربع "&amp;ROUNDUP(MONTH(B370)/3,0)</f>
        <v>الربع 1</v>
      </c>
      <c r="S370" s="40" t="str">
        <f aca="false">IF(D370&lt;=12,"أطفال (0-12)",IF(D370&lt;=24,"شباب (13-24)",IF(D370&lt;=44,"بالغون (25-44)",IF(D370&lt;=64,"متوسطو العمر (45-64)","كبار السن (+65)"))))</f>
        <v>بالغون (25-44)</v>
      </c>
      <c r="T370" s="41" t="n">
        <f aca="false">IFERROR(L370/P370,0)</f>
        <v>8220.46</v>
      </c>
    </row>
    <row r="371" customFormat="false" ht="15" hidden="false" customHeight="false" outlineLevel="0" collapsed="false">
      <c r="A371" s="33" t="s">
        <v>1062</v>
      </c>
      <c r="B371" s="34" t="n">
        <v>45352</v>
      </c>
      <c r="C371" s="34" t="n">
        <v>45354</v>
      </c>
      <c r="D371" s="33" t="n">
        <v>5</v>
      </c>
      <c r="E371" s="33" t="s">
        <v>139</v>
      </c>
      <c r="F371" s="33" t="s">
        <v>155</v>
      </c>
      <c r="G371" s="33" t="s">
        <v>220</v>
      </c>
      <c r="H371" s="33" t="s">
        <v>157</v>
      </c>
      <c r="I371" s="33" t="s">
        <v>143</v>
      </c>
      <c r="J371" s="33" t="s">
        <v>176</v>
      </c>
      <c r="K371" s="33" t="s">
        <v>184</v>
      </c>
      <c r="L371" s="35" t="n">
        <v>4705.03</v>
      </c>
      <c r="M371" s="33" t="n">
        <v>4</v>
      </c>
      <c r="N371" s="33" t="s">
        <v>146</v>
      </c>
      <c r="O371" s="33" t="s">
        <v>247</v>
      </c>
      <c r="P371" s="39" t="n">
        <f aca="false">C371-B371</f>
        <v>2</v>
      </c>
      <c r="Q371" s="40" t="str">
        <f aca="false">CHOOSE(MONTH(B371),"يناير","فبراير","مارس","أبريل","مايو","يونيو","يوليو","أغسطس","سبتمبر","أكتوبر","نوفمبر","ديسمبر")</f>
        <v>مارس</v>
      </c>
      <c r="R371" s="40" t="str">
        <f aca="false">"الربع "&amp;ROUNDUP(MONTH(B371)/3,0)</f>
        <v>الربع 1</v>
      </c>
      <c r="S371" s="40" t="str">
        <f aca="false">IF(D371&lt;=12,"أطفال (0-12)",IF(D371&lt;=24,"شباب (13-24)",IF(D371&lt;=44,"بالغون (25-44)",IF(D371&lt;=64,"متوسطو العمر (45-64)","كبار السن (+65)"))))</f>
        <v>أطفال (0-12)</v>
      </c>
      <c r="T371" s="41" t="n">
        <f aca="false">IFERROR(L371/P371,0)</f>
        <v>2352.515</v>
      </c>
    </row>
    <row r="372" customFormat="false" ht="15" hidden="false" customHeight="false" outlineLevel="0" collapsed="false">
      <c r="A372" s="42" t="s">
        <v>1149</v>
      </c>
      <c r="B372" s="43" t="n">
        <v>45352</v>
      </c>
      <c r="C372" s="43" t="n">
        <v>45353</v>
      </c>
      <c r="D372" s="42" t="n">
        <v>7</v>
      </c>
      <c r="E372" s="42" t="s">
        <v>154</v>
      </c>
      <c r="F372" s="42" t="s">
        <v>155</v>
      </c>
      <c r="G372" s="42" t="s">
        <v>220</v>
      </c>
      <c r="H372" s="42" t="s">
        <v>2322</v>
      </c>
      <c r="I372" s="42" t="s">
        <v>143</v>
      </c>
      <c r="J372" s="42" t="s">
        <v>159</v>
      </c>
      <c r="K372" s="42" t="s">
        <v>160</v>
      </c>
      <c r="L372" s="44" t="n">
        <v>809.63</v>
      </c>
      <c r="M372" s="42" t="n">
        <v>4</v>
      </c>
      <c r="N372" s="42" t="s">
        <v>210</v>
      </c>
      <c r="O372" s="42" t="s">
        <v>147</v>
      </c>
      <c r="P372" s="39" t="n">
        <f aca="false">C372-B372</f>
        <v>1</v>
      </c>
      <c r="Q372" s="40" t="str">
        <f aca="false">CHOOSE(MONTH(B372),"يناير","فبراير","مارس","أبريل","مايو","يونيو","يوليو","أغسطس","سبتمبر","أكتوبر","نوفمبر","ديسمبر")</f>
        <v>مارس</v>
      </c>
      <c r="R372" s="40" t="str">
        <f aca="false">"الربع "&amp;ROUNDUP(MONTH(B372)/3,0)</f>
        <v>الربع 1</v>
      </c>
      <c r="S372" s="40" t="str">
        <f aca="false">IF(D372&lt;=12,"أطفال (0-12)",IF(D372&lt;=24,"شباب (13-24)",IF(D372&lt;=44,"بالغون (25-44)",IF(D372&lt;=64,"متوسطو العمر (45-64)","كبار السن (+65)"))))</f>
        <v>أطفال (0-12)</v>
      </c>
      <c r="T372" s="41" t="n">
        <f aca="false">IFERROR(L372/P372,0)</f>
        <v>809.63</v>
      </c>
    </row>
    <row r="373" customFormat="false" ht="15" hidden="false" customHeight="false" outlineLevel="0" collapsed="false">
      <c r="A373" s="33" t="s">
        <v>1738</v>
      </c>
      <c r="B373" s="34" t="n">
        <v>45352</v>
      </c>
      <c r="C373" s="34" t="n">
        <v>45355</v>
      </c>
      <c r="D373" s="33" t="n">
        <v>0</v>
      </c>
      <c r="E373" s="33" t="s">
        <v>154</v>
      </c>
      <c r="F373" s="33" t="s">
        <v>155</v>
      </c>
      <c r="G373" s="33" t="s">
        <v>302</v>
      </c>
      <c r="H373" s="33" t="s">
        <v>157</v>
      </c>
      <c r="I373" s="33" t="s">
        <v>143</v>
      </c>
      <c r="J373" s="33" t="s">
        <v>159</v>
      </c>
      <c r="K373" s="33" t="s">
        <v>145</v>
      </c>
      <c r="L373" s="35" t="n">
        <v>2535.53</v>
      </c>
      <c r="M373" s="33" t="n">
        <v>5</v>
      </c>
      <c r="N373" s="33" t="s">
        <v>146</v>
      </c>
      <c r="O373" s="33" t="s">
        <v>147</v>
      </c>
      <c r="P373" s="39" t="n">
        <f aca="false">C373-B373</f>
        <v>3</v>
      </c>
      <c r="Q373" s="40" t="str">
        <f aca="false">CHOOSE(MONTH(B373),"يناير","فبراير","مارس","أبريل","مايو","يونيو","يوليو","أغسطس","سبتمبر","أكتوبر","نوفمبر","ديسمبر")</f>
        <v>مارس</v>
      </c>
      <c r="R373" s="40" t="str">
        <f aca="false">"الربع "&amp;ROUNDUP(MONTH(B373)/3,0)</f>
        <v>الربع 1</v>
      </c>
      <c r="S373" s="40" t="str">
        <f aca="false">IF(D373&lt;=12,"أطفال (0-12)",IF(D373&lt;=24,"شباب (13-24)",IF(D373&lt;=44,"بالغون (25-44)",IF(D373&lt;=64,"متوسطو العمر (45-64)","كبار السن (+65)"))))</f>
        <v>أطفال (0-12)</v>
      </c>
      <c r="T373" s="41" t="n">
        <f aca="false">IFERROR(L373/P373,0)</f>
        <v>845.176666666667</v>
      </c>
    </row>
    <row r="374" customFormat="false" ht="15" hidden="false" customHeight="false" outlineLevel="0" collapsed="false">
      <c r="A374" s="42" t="s">
        <v>1829</v>
      </c>
      <c r="B374" s="43" t="n">
        <v>45352</v>
      </c>
      <c r="C374" s="43" t="n">
        <v>45357</v>
      </c>
      <c r="D374" s="42" t="n">
        <v>62</v>
      </c>
      <c r="E374" s="42" t="s">
        <v>154</v>
      </c>
      <c r="F374" s="42" t="s">
        <v>140</v>
      </c>
      <c r="G374" s="42" t="s">
        <v>316</v>
      </c>
      <c r="H374" s="42" t="s">
        <v>142</v>
      </c>
      <c r="I374" s="42" t="s">
        <v>143</v>
      </c>
      <c r="J374" s="42" t="s">
        <v>144</v>
      </c>
      <c r="K374" s="42" t="s">
        <v>160</v>
      </c>
      <c r="L374" s="44" t="n">
        <v>21235.11</v>
      </c>
      <c r="M374" s="42" t="n">
        <v>5</v>
      </c>
      <c r="N374" s="42" t="s">
        <v>146</v>
      </c>
      <c r="O374" s="42" t="s">
        <v>147</v>
      </c>
      <c r="P374" s="39" t="n">
        <f aca="false">C374-B374</f>
        <v>5</v>
      </c>
      <c r="Q374" s="40" t="str">
        <f aca="false">CHOOSE(MONTH(B374),"يناير","فبراير","مارس","أبريل","مايو","يونيو","يوليو","أغسطس","سبتمبر","أكتوبر","نوفمبر","ديسمبر")</f>
        <v>مارس</v>
      </c>
      <c r="R374" s="40" t="str">
        <f aca="false">"الربع "&amp;ROUNDUP(MONTH(B374)/3,0)</f>
        <v>الربع 1</v>
      </c>
      <c r="S374" s="40" t="str">
        <f aca="false">IF(D374&lt;=12,"أطفال (0-12)",IF(D374&lt;=24,"شباب (13-24)",IF(D374&lt;=44,"بالغون (25-44)",IF(D374&lt;=64,"متوسطو العمر (45-64)","كبار السن (+65)"))))</f>
        <v>متوسطو العمر (45-64)</v>
      </c>
      <c r="T374" s="41" t="n">
        <f aca="false">IFERROR(L374/P374,0)</f>
        <v>4247.022</v>
      </c>
    </row>
    <row r="375" customFormat="false" ht="15" hidden="false" customHeight="false" outlineLevel="0" collapsed="false">
      <c r="A375" s="33" t="s">
        <v>2256</v>
      </c>
      <c r="B375" s="34" t="n">
        <v>45352</v>
      </c>
      <c r="C375" s="34" t="n">
        <v>45354</v>
      </c>
      <c r="D375" s="33" t="n">
        <v>56</v>
      </c>
      <c r="E375" s="33" t="s">
        <v>139</v>
      </c>
      <c r="F375" s="33" t="s">
        <v>140</v>
      </c>
      <c r="G375" s="33" t="s">
        <v>141</v>
      </c>
      <c r="H375" s="33" t="s">
        <v>290</v>
      </c>
      <c r="I375" s="33" t="s">
        <v>143</v>
      </c>
      <c r="J375" s="33" t="s">
        <v>159</v>
      </c>
      <c r="K375" s="33" t="s">
        <v>145</v>
      </c>
      <c r="L375" s="35" t="n">
        <v>3721.42</v>
      </c>
      <c r="M375" s="33" t="n">
        <v>4</v>
      </c>
      <c r="N375" s="33" t="s">
        <v>146</v>
      </c>
      <c r="O375" s="33" t="s">
        <v>295</v>
      </c>
      <c r="P375" s="39" t="n">
        <f aca="false">C375-B375</f>
        <v>2</v>
      </c>
      <c r="Q375" s="40" t="str">
        <f aca="false">CHOOSE(MONTH(B375),"يناير","فبراير","مارس","أبريل","مايو","يونيو","يوليو","أغسطس","سبتمبر","أكتوبر","نوفمبر","ديسمبر")</f>
        <v>مارس</v>
      </c>
      <c r="R375" s="40" t="str">
        <f aca="false">"الربع "&amp;ROUNDUP(MONTH(B375)/3,0)</f>
        <v>الربع 1</v>
      </c>
      <c r="S375" s="40" t="str">
        <f aca="false">IF(D375&lt;=12,"أطفال (0-12)",IF(D375&lt;=24,"شباب (13-24)",IF(D375&lt;=44,"بالغون (25-44)",IF(D375&lt;=64,"متوسطو العمر (45-64)","كبار السن (+65)"))))</f>
        <v>متوسطو العمر (45-64)</v>
      </c>
      <c r="T375" s="41" t="n">
        <f aca="false">IFERROR(L375/P375,0)</f>
        <v>1860.71</v>
      </c>
    </row>
    <row r="376" customFormat="false" ht="15" hidden="false" customHeight="false" outlineLevel="0" collapsed="false">
      <c r="A376" s="42" t="s">
        <v>760</v>
      </c>
      <c r="B376" s="43" t="n">
        <v>45353</v>
      </c>
      <c r="C376" s="43" t="n">
        <v>45358</v>
      </c>
      <c r="D376" s="42" t="n">
        <v>42</v>
      </c>
      <c r="E376" s="42" t="s">
        <v>154</v>
      </c>
      <c r="F376" s="42" t="s">
        <v>203</v>
      </c>
      <c r="G376" s="42" t="s">
        <v>232</v>
      </c>
      <c r="H376" s="42" t="s">
        <v>205</v>
      </c>
      <c r="I376" s="42" t="s">
        <v>143</v>
      </c>
      <c r="J376" s="42" t="s">
        <v>159</v>
      </c>
      <c r="K376" s="42" t="s">
        <v>145</v>
      </c>
      <c r="L376" s="44" t="n">
        <v>4122.96</v>
      </c>
      <c r="M376" s="42" t="n">
        <v>4</v>
      </c>
      <c r="N376" s="42" t="s">
        <v>146</v>
      </c>
      <c r="O376" s="42" t="s">
        <v>147</v>
      </c>
      <c r="P376" s="39" t="n">
        <f aca="false">C376-B376</f>
        <v>5</v>
      </c>
      <c r="Q376" s="40" t="str">
        <f aca="false">CHOOSE(MONTH(B376),"يناير","فبراير","مارس","أبريل","مايو","يونيو","يوليو","أغسطس","سبتمبر","أكتوبر","نوفمبر","ديسمبر")</f>
        <v>مارس</v>
      </c>
      <c r="R376" s="40" t="str">
        <f aca="false">"الربع "&amp;ROUNDUP(MONTH(B376)/3,0)</f>
        <v>الربع 1</v>
      </c>
      <c r="S376" s="40" t="str">
        <f aca="false">IF(D376&lt;=12,"أطفال (0-12)",IF(D376&lt;=24,"شباب (13-24)",IF(D376&lt;=44,"بالغون (25-44)",IF(D376&lt;=64,"متوسطو العمر (45-64)","كبار السن (+65)"))))</f>
        <v>بالغون (25-44)</v>
      </c>
      <c r="T376" s="41" t="n">
        <f aca="false">IFERROR(L376/P376,0)</f>
        <v>824.592</v>
      </c>
    </row>
    <row r="377" customFormat="false" ht="15" hidden="false" customHeight="false" outlineLevel="0" collapsed="false">
      <c r="A377" s="33" t="s">
        <v>799</v>
      </c>
      <c r="B377" s="34" t="n">
        <v>45353</v>
      </c>
      <c r="C377" s="34" t="n">
        <v>45355</v>
      </c>
      <c r="D377" s="33" t="n">
        <v>78</v>
      </c>
      <c r="E377" s="33" t="s">
        <v>154</v>
      </c>
      <c r="F377" s="33" t="s">
        <v>203</v>
      </c>
      <c r="G377" s="33" t="s">
        <v>192</v>
      </c>
      <c r="H377" s="33" t="s">
        <v>205</v>
      </c>
      <c r="I377" s="33" t="s">
        <v>143</v>
      </c>
      <c r="J377" s="33" t="s">
        <v>144</v>
      </c>
      <c r="K377" s="33" t="s">
        <v>145</v>
      </c>
      <c r="L377" s="35" t="n">
        <v>2927.77</v>
      </c>
      <c r="M377" s="33" t="n">
        <v>5</v>
      </c>
      <c r="N377" s="33" t="s">
        <v>146</v>
      </c>
      <c r="O377" s="33" t="s">
        <v>147</v>
      </c>
      <c r="P377" s="39" t="n">
        <f aca="false">C377-B377</f>
        <v>2</v>
      </c>
      <c r="Q377" s="40" t="str">
        <f aca="false">CHOOSE(MONTH(B377),"يناير","فبراير","مارس","أبريل","مايو","يونيو","يوليو","أغسطس","سبتمبر","أكتوبر","نوفمبر","ديسمبر")</f>
        <v>مارس</v>
      </c>
      <c r="R377" s="40" t="str">
        <f aca="false">"الربع "&amp;ROUNDUP(MONTH(B377)/3,0)</f>
        <v>الربع 1</v>
      </c>
      <c r="S377" s="40" t="str">
        <f aca="false">IF(D377&lt;=12,"أطفال (0-12)",IF(D377&lt;=24,"شباب (13-24)",IF(D377&lt;=44,"بالغون (25-44)",IF(D377&lt;=64,"متوسطو العمر (45-64)","كبار السن (+65)"))))</f>
        <v>كبار السن (+65)</v>
      </c>
      <c r="T377" s="41" t="n">
        <f aca="false">IFERROR(L377/P377,0)</f>
        <v>1463.885</v>
      </c>
    </row>
    <row r="378" customFormat="false" ht="15" hidden="false" customHeight="false" outlineLevel="0" collapsed="false">
      <c r="A378" s="42" t="s">
        <v>418</v>
      </c>
      <c r="B378" s="43" t="n">
        <v>45353</v>
      </c>
      <c r="C378" s="43" t="n">
        <v>45360</v>
      </c>
      <c r="D378" s="42" t="n">
        <v>44</v>
      </c>
      <c r="E378" s="42" t="s">
        <v>154</v>
      </c>
      <c r="F378" s="42" t="s">
        <v>140</v>
      </c>
      <c r="G378" s="42" t="s">
        <v>167</v>
      </c>
      <c r="H378" s="42" t="s">
        <v>290</v>
      </c>
      <c r="I378" s="42" t="s">
        <v>152</v>
      </c>
      <c r="J378" s="42" t="s">
        <v>159</v>
      </c>
      <c r="K378" s="42" t="s">
        <v>160</v>
      </c>
      <c r="L378" s="44" t="n">
        <v>17163.94</v>
      </c>
      <c r="M378" s="42" t="n">
        <v>5</v>
      </c>
      <c r="N378" s="42" t="s">
        <v>146</v>
      </c>
      <c r="O378" s="42" t="s">
        <v>147</v>
      </c>
      <c r="P378" s="39" t="n">
        <f aca="false">C378-B378</f>
        <v>7</v>
      </c>
      <c r="Q378" s="40" t="str">
        <f aca="false">CHOOSE(MONTH(B378),"يناير","فبراير","مارس","أبريل","مايو","يونيو","يوليو","أغسطس","سبتمبر","أكتوبر","نوفمبر","ديسمبر")</f>
        <v>مارس</v>
      </c>
      <c r="R378" s="40" t="str">
        <f aca="false">"الربع "&amp;ROUNDUP(MONTH(B378)/3,0)</f>
        <v>الربع 1</v>
      </c>
      <c r="S378" s="40" t="str">
        <f aca="false">IF(D378&lt;=12,"أطفال (0-12)",IF(D378&lt;=24,"شباب (13-24)",IF(D378&lt;=44,"بالغون (25-44)",IF(D378&lt;=64,"متوسطو العمر (45-64)","كبار السن (+65)"))))</f>
        <v>بالغون (25-44)</v>
      </c>
      <c r="T378" s="41" t="n">
        <f aca="false">IFERROR(L378/P378,0)</f>
        <v>2451.99142857143</v>
      </c>
    </row>
    <row r="379" customFormat="false" ht="15" hidden="false" customHeight="false" outlineLevel="0" collapsed="false">
      <c r="A379" s="33" t="s">
        <v>657</v>
      </c>
      <c r="B379" s="34" t="n">
        <v>45354</v>
      </c>
      <c r="C379" s="34" t="n">
        <v>45355</v>
      </c>
      <c r="D379" s="33" t="n">
        <v>45</v>
      </c>
      <c r="E379" s="33" t="s">
        <v>154</v>
      </c>
      <c r="F379" s="33" t="s">
        <v>203</v>
      </c>
      <c r="G379" s="33" t="s">
        <v>217</v>
      </c>
      <c r="H379" s="33" t="s">
        <v>233</v>
      </c>
      <c r="I379" s="33" t="s">
        <v>143</v>
      </c>
      <c r="J379" s="33" t="s">
        <v>159</v>
      </c>
      <c r="K379" s="33" t="s">
        <v>184</v>
      </c>
      <c r="L379" s="35" t="n">
        <v>1016.33</v>
      </c>
      <c r="M379" s="33" t="n">
        <v>4</v>
      </c>
      <c r="N379" s="33" t="s">
        <v>146</v>
      </c>
      <c r="O379" s="33" t="s">
        <v>147</v>
      </c>
      <c r="P379" s="39" t="n">
        <f aca="false">C379-B379</f>
        <v>1</v>
      </c>
      <c r="Q379" s="40" t="str">
        <f aca="false">CHOOSE(MONTH(B379),"يناير","فبراير","مارس","أبريل","مايو","يونيو","يوليو","أغسطس","سبتمبر","أكتوبر","نوفمبر","ديسمبر")</f>
        <v>مارس</v>
      </c>
      <c r="R379" s="40" t="str">
        <f aca="false">"الربع "&amp;ROUNDUP(MONTH(B379)/3,0)</f>
        <v>الربع 1</v>
      </c>
      <c r="S379" s="40" t="str">
        <f aca="false">IF(D379&lt;=12,"أطفال (0-12)",IF(D379&lt;=24,"شباب (13-24)",IF(D379&lt;=44,"بالغون (25-44)",IF(D379&lt;=64,"متوسطو العمر (45-64)","كبار السن (+65)"))))</f>
        <v>متوسطو العمر (45-64)</v>
      </c>
      <c r="T379" s="41" t="n">
        <f aca="false">IFERROR(L379/P379,0)</f>
        <v>1016.33</v>
      </c>
    </row>
    <row r="380" customFormat="false" ht="15" hidden="false" customHeight="false" outlineLevel="0" collapsed="false">
      <c r="A380" s="42" t="s">
        <v>1554</v>
      </c>
      <c r="B380" s="43" t="n">
        <v>45354</v>
      </c>
      <c r="C380" s="43" t="n">
        <v>45355</v>
      </c>
      <c r="D380" s="42" t="n">
        <v>3</v>
      </c>
      <c r="E380" s="42" t="s">
        <v>139</v>
      </c>
      <c r="F380" s="42" t="s">
        <v>155</v>
      </c>
      <c r="G380" s="42" t="s">
        <v>302</v>
      </c>
      <c r="H380" s="42" t="s">
        <v>157</v>
      </c>
      <c r="I380" s="42" t="s">
        <v>143</v>
      </c>
      <c r="J380" s="42" t="s">
        <v>159</v>
      </c>
      <c r="K380" s="42" t="s">
        <v>145</v>
      </c>
      <c r="L380" s="44" t="n">
        <v>858.7</v>
      </c>
      <c r="M380" s="42" t="n">
        <v>4</v>
      </c>
      <c r="N380" s="42" t="s">
        <v>146</v>
      </c>
      <c r="O380" s="42" t="s">
        <v>147</v>
      </c>
      <c r="P380" s="39" t="n">
        <f aca="false">C380-B380</f>
        <v>1</v>
      </c>
      <c r="Q380" s="40" t="str">
        <f aca="false">CHOOSE(MONTH(B380),"يناير","فبراير","مارس","أبريل","مايو","يونيو","يوليو","أغسطس","سبتمبر","أكتوبر","نوفمبر","ديسمبر")</f>
        <v>مارس</v>
      </c>
      <c r="R380" s="40" t="str">
        <f aca="false">"الربع "&amp;ROUNDUP(MONTH(B380)/3,0)</f>
        <v>الربع 1</v>
      </c>
      <c r="S380" s="40" t="str">
        <f aca="false">IF(D380&lt;=12,"أطفال (0-12)",IF(D380&lt;=24,"شباب (13-24)",IF(D380&lt;=44,"بالغون (25-44)",IF(D380&lt;=64,"متوسطو العمر (45-64)","كبار السن (+65)"))))</f>
        <v>أطفال (0-12)</v>
      </c>
      <c r="T380" s="41" t="n">
        <f aca="false">IFERROR(L380/P380,0)</f>
        <v>858.7</v>
      </c>
    </row>
    <row r="381" customFormat="false" ht="15" hidden="false" customHeight="false" outlineLevel="0" collapsed="false">
      <c r="A381" s="33" t="s">
        <v>1182</v>
      </c>
      <c r="B381" s="34" t="n">
        <v>45354</v>
      </c>
      <c r="C381" s="34" t="n">
        <v>45356</v>
      </c>
      <c r="D381" s="33" t="n">
        <v>46</v>
      </c>
      <c r="E381" s="33" t="s">
        <v>139</v>
      </c>
      <c r="F381" s="33" t="s">
        <v>169</v>
      </c>
      <c r="G381" s="33" t="s">
        <v>230</v>
      </c>
      <c r="H381" s="33" t="s">
        <v>195</v>
      </c>
      <c r="I381" s="33" t="s">
        <v>143</v>
      </c>
      <c r="J381" s="33" t="s">
        <v>159</v>
      </c>
      <c r="K381" s="33" t="s">
        <v>209</v>
      </c>
      <c r="L381" s="35" t="n">
        <v>2081.76</v>
      </c>
      <c r="M381" s="33" t="n">
        <v>4</v>
      </c>
      <c r="N381" s="33" t="s">
        <v>146</v>
      </c>
      <c r="O381" s="33" t="s">
        <v>147</v>
      </c>
      <c r="P381" s="39" t="n">
        <f aca="false">C381-B381</f>
        <v>2</v>
      </c>
      <c r="Q381" s="40" t="str">
        <f aca="false">CHOOSE(MONTH(B381),"يناير","فبراير","مارس","أبريل","مايو","يونيو","يوليو","أغسطس","سبتمبر","أكتوبر","نوفمبر","ديسمبر")</f>
        <v>مارس</v>
      </c>
      <c r="R381" s="40" t="str">
        <f aca="false">"الربع "&amp;ROUNDUP(MONTH(B381)/3,0)</f>
        <v>الربع 1</v>
      </c>
      <c r="S381" s="40" t="str">
        <f aca="false">IF(D381&lt;=12,"أطفال (0-12)",IF(D381&lt;=24,"شباب (13-24)",IF(D381&lt;=44,"بالغون (25-44)",IF(D381&lt;=64,"متوسطو العمر (45-64)","كبار السن (+65)"))))</f>
        <v>متوسطو العمر (45-64)</v>
      </c>
      <c r="T381" s="41" t="n">
        <f aca="false">IFERROR(L381/P381,0)</f>
        <v>1040.88</v>
      </c>
    </row>
    <row r="382" customFormat="false" ht="15" hidden="false" customHeight="false" outlineLevel="0" collapsed="false">
      <c r="A382" s="42" t="s">
        <v>1377</v>
      </c>
      <c r="B382" s="43" t="n">
        <v>45354</v>
      </c>
      <c r="C382" s="43" t="n">
        <v>45361</v>
      </c>
      <c r="D382" s="42" t="n">
        <v>69</v>
      </c>
      <c r="E382" s="42" t="s">
        <v>139</v>
      </c>
      <c r="F382" s="42" t="s">
        <v>181</v>
      </c>
      <c r="G382" s="42" t="s">
        <v>182</v>
      </c>
      <c r="H382" s="42" t="s">
        <v>183</v>
      </c>
      <c r="I382" s="42" t="s">
        <v>143</v>
      </c>
      <c r="J382" s="42" t="s">
        <v>176</v>
      </c>
      <c r="K382" s="42" t="s">
        <v>160</v>
      </c>
      <c r="L382" s="44" t="n">
        <v>52451.62</v>
      </c>
      <c r="M382" s="42" t="n">
        <v>2</v>
      </c>
      <c r="N382" s="42" t="s">
        <v>146</v>
      </c>
      <c r="O382" s="42" t="s">
        <v>147</v>
      </c>
      <c r="P382" s="39" t="n">
        <f aca="false">C382-B382</f>
        <v>7</v>
      </c>
      <c r="Q382" s="40" t="str">
        <f aca="false">CHOOSE(MONTH(B382),"يناير","فبراير","مارس","أبريل","مايو","يونيو","يوليو","أغسطس","سبتمبر","أكتوبر","نوفمبر","ديسمبر")</f>
        <v>مارس</v>
      </c>
      <c r="R382" s="40" t="str">
        <f aca="false">"الربع "&amp;ROUNDUP(MONTH(B382)/3,0)</f>
        <v>الربع 1</v>
      </c>
      <c r="S382" s="40" t="str">
        <f aca="false">IF(D382&lt;=12,"أطفال (0-12)",IF(D382&lt;=24,"شباب (13-24)",IF(D382&lt;=44,"بالغون (25-44)",IF(D382&lt;=64,"متوسطو العمر (45-64)","كبار السن (+65)"))))</f>
        <v>كبار السن (+65)</v>
      </c>
      <c r="T382" s="41" t="n">
        <f aca="false">IFERROR(L382/P382,0)</f>
        <v>7493.08857142857</v>
      </c>
    </row>
    <row r="383" customFormat="false" ht="15" hidden="false" customHeight="false" outlineLevel="0" collapsed="false">
      <c r="A383" s="33" t="s">
        <v>1566</v>
      </c>
      <c r="B383" s="34" t="n">
        <v>45355</v>
      </c>
      <c r="C383" s="34" t="n">
        <v>45356</v>
      </c>
      <c r="D383" s="33" t="n">
        <v>33</v>
      </c>
      <c r="E383" s="33" t="s">
        <v>139</v>
      </c>
      <c r="F383" s="33" t="s">
        <v>149</v>
      </c>
      <c r="G383" s="33" t="s">
        <v>224</v>
      </c>
      <c r="H383" s="33" t="s">
        <v>186</v>
      </c>
      <c r="I383" s="33" t="s">
        <v>143</v>
      </c>
      <c r="J383" s="33" t="s">
        <v>144</v>
      </c>
      <c r="K383" s="33" t="s">
        <v>145</v>
      </c>
      <c r="L383" s="35" t="n">
        <v>2347.7</v>
      </c>
      <c r="M383" s="33" t="n">
        <v>2</v>
      </c>
      <c r="N383" s="33" t="s">
        <v>146</v>
      </c>
      <c r="O383" s="33" t="s">
        <v>147</v>
      </c>
      <c r="P383" s="39" t="n">
        <f aca="false">C383-B383</f>
        <v>1</v>
      </c>
      <c r="Q383" s="40" t="str">
        <f aca="false">CHOOSE(MONTH(B383),"يناير","فبراير","مارس","أبريل","مايو","يونيو","يوليو","أغسطس","سبتمبر","أكتوبر","نوفمبر","ديسمبر")</f>
        <v>مارس</v>
      </c>
      <c r="R383" s="40" t="str">
        <f aca="false">"الربع "&amp;ROUNDUP(MONTH(B383)/3,0)</f>
        <v>الربع 1</v>
      </c>
      <c r="S383" s="40" t="str">
        <f aca="false">IF(D383&lt;=12,"أطفال (0-12)",IF(D383&lt;=24,"شباب (13-24)",IF(D383&lt;=44,"بالغون (25-44)",IF(D383&lt;=64,"متوسطو العمر (45-64)","كبار السن (+65)"))))</f>
        <v>بالغون (25-44)</v>
      </c>
      <c r="T383" s="41" t="n">
        <f aca="false">IFERROR(L383/P383,0)</f>
        <v>2347.7</v>
      </c>
    </row>
    <row r="384" customFormat="false" ht="15" hidden="false" customHeight="false" outlineLevel="0" collapsed="false">
      <c r="A384" s="42" t="s">
        <v>731</v>
      </c>
      <c r="B384" s="43" t="n">
        <v>45355</v>
      </c>
      <c r="C384" s="43" t="n">
        <v>45358</v>
      </c>
      <c r="D384" s="42" t="n">
        <v>34</v>
      </c>
      <c r="E384" s="42" t="s">
        <v>154</v>
      </c>
      <c r="F384" s="42" t="s">
        <v>203</v>
      </c>
      <c r="G384" s="42" t="s">
        <v>217</v>
      </c>
      <c r="H384" s="42" t="s">
        <v>205</v>
      </c>
      <c r="I384" s="42" t="s">
        <v>143</v>
      </c>
      <c r="J384" s="42" t="s">
        <v>159</v>
      </c>
      <c r="K384" s="42" t="s">
        <v>145</v>
      </c>
      <c r="L384" s="44" t="n">
        <v>2539.54</v>
      </c>
      <c r="M384" s="42" t="n">
        <v>4</v>
      </c>
      <c r="N384" s="42" t="s">
        <v>146</v>
      </c>
      <c r="O384" s="42" t="s">
        <v>147</v>
      </c>
      <c r="P384" s="39" t="n">
        <f aca="false">C384-B384</f>
        <v>3</v>
      </c>
      <c r="Q384" s="40" t="str">
        <f aca="false">CHOOSE(MONTH(B384),"يناير","فبراير","مارس","أبريل","مايو","يونيو","يوليو","أغسطس","سبتمبر","أكتوبر","نوفمبر","ديسمبر")</f>
        <v>مارس</v>
      </c>
      <c r="R384" s="40" t="str">
        <f aca="false">"الربع "&amp;ROUNDUP(MONTH(B384)/3,0)</f>
        <v>الربع 1</v>
      </c>
      <c r="S384" s="40" t="str">
        <f aca="false">IF(D384&lt;=12,"أطفال (0-12)",IF(D384&lt;=24,"شباب (13-24)",IF(D384&lt;=44,"بالغون (25-44)",IF(D384&lt;=64,"متوسطو العمر (45-64)","كبار السن (+65)"))))</f>
        <v>بالغون (25-44)</v>
      </c>
      <c r="T384" s="41" t="n">
        <f aca="false">IFERROR(L384/P384,0)</f>
        <v>846.513333333333</v>
      </c>
    </row>
    <row r="385" customFormat="false" ht="15" hidden="false" customHeight="false" outlineLevel="0" collapsed="false">
      <c r="A385" s="33" t="s">
        <v>1469</v>
      </c>
      <c r="B385" s="34" t="n">
        <v>45355</v>
      </c>
      <c r="C385" s="34" t="n">
        <v>45357</v>
      </c>
      <c r="D385" s="33" t="n">
        <v>8</v>
      </c>
      <c r="E385" s="33" t="s">
        <v>154</v>
      </c>
      <c r="F385" s="33" t="s">
        <v>155</v>
      </c>
      <c r="G385" s="33" t="s">
        <v>302</v>
      </c>
      <c r="H385" s="33" t="s">
        <v>157</v>
      </c>
      <c r="I385" s="33" t="s">
        <v>143</v>
      </c>
      <c r="J385" s="33" t="s">
        <v>159</v>
      </c>
      <c r="K385" s="33" t="s">
        <v>145</v>
      </c>
      <c r="L385" s="35" t="n">
        <v>1708.6</v>
      </c>
      <c r="M385" s="33" t="n">
        <v>5</v>
      </c>
      <c r="N385" s="33" t="s">
        <v>146</v>
      </c>
      <c r="O385" s="33" t="s">
        <v>147</v>
      </c>
      <c r="P385" s="39" t="n">
        <f aca="false">C385-B385</f>
        <v>2</v>
      </c>
      <c r="Q385" s="40" t="str">
        <f aca="false">CHOOSE(MONTH(B385),"يناير","فبراير","مارس","أبريل","مايو","يونيو","يوليو","أغسطس","سبتمبر","أكتوبر","نوفمبر","ديسمبر")</f>
        <v>مارس</v>
      </c>
      <c r="R385" s="40" t="str">
        <f aca="false">"الربع "&amp;ROUNDUP(MONTH(B385)/3,0)</f>
        <v>الربع 1</v>
      </c>
      <c r="S385" s="40" t="str">
        <f aca="false">IF(D385&lt;=12,"أطفال (0-12)",IF(D385&lt;=24,"شباب (13-24)",IF(D385&lt;=44,"بالغون (25-44)",IF(D385&lt;=64,"متوسطو العمر (45-64)","كبار السن (+65)"))))</f>
        <v>أطفال (0-12)</v>
      </c>
      <c r="T385" s="41" t="n">
        <f aca="false">IFERROR(L385/P385,0)</f>
        <v>854.3</v>
      </c>
    </row>
    <row r="386" customFormat="false" ht="15" hidden="false" customHeight="false" outlineLevel="0" collapsed="false">
      <c r="A386" s="42" t="s">
        <v>1800</v>
      </c>
      <c r="B386" s="43" t="n">
        <v>45355</v>
      </c>
      <c r="C386" s="43" t="n">
        <v>45357</v>
      </c>
      <c r="D386" s="42" t="n">
        <v>6</v>
      </c>
      <c r="E386" s="42" t="s">
        <v>154</v>
      </c>
      <c r="F386" s="42" t="s">
        <v>155</v>
      </c>
      <c r="G386" s="42" t="s">
        <v>220</v>
      </c>
      <c r="H386" s="42" t="s">
        <v>222</v>
      </c>
      <c r="I386" s="42" t="s">
        <v>158</v>
      </c>
      <c r="J386" s="42" t="s">
        <v>159</v>
      </c>
      <c r="K386" s="42" t="s">
        <v>145</v>
      </c>
      <c r="L386" s="44" t="n">
        <v>1470.43</v>
      </c>
      <c r="M386" s="42" t="n">
        <v>4</v>
      </c>
      <c r="N386" s="42" t="s">
        <v>146</v>
      </c>
      <c r="O386" s="42" t="s">
        <v>147</v>
      </c>
      <c r="P386" s="39" t="n">
        <f aca="false">C386-B386</f>
        <v>2</v>
      </c>
      <c r="Q386" s="40" t="str">
        <f aca="false">CHOOSE(MONTH(B386),"يناير","فبراير","مارس","أبريل","مايو","يونيو","يوليو","أغسطس","سبتمبر","أكتوبر","نوفمبر","ديسمبر")</f>
        <v>مارس</v>
      </c>
      <c r="R386" s="40" t="str">
        <f aca="false">"الربع "&amp;ROUNDUP(MONTH(B386)/3,0)</f>
        <v>الربع 1</v>
      </c>
      <c r="S386" s="40" t="str">
        <f aca="false">IF(D386&lt;=12,"أطفال (0-12)",IF(D386&lt;=24,"شباب (13-24)",IF(D386&lt;=44,"بالغون (25-44)",IF(D386&lt;=64,"متوسطو العمر (45-64)","كبار السن (+65)"))))</f>
        <v>أطفال (0-12)</v>
      </c>
      <c r="T386" s="41" t="n">
        <f aca="false">IFERROR(L386/P386,0)</f>
        <v>735.215</v>
      </c>
    </row>
    <row r="387" customFormat="false" ht="15" hidden="false" customHeight="false" outlineLevel="0" collapsed="false">
      <c r="A387" s="33" t="s">
        <v>474</v>
      </c>
      <c r="B387" s="34" t="n">
        <v>45355</v>
      </c>
      <c r="C387" s="34" t="n">
        <v>45356</v>
      </c>
      <c r="D387" s="33" t="n">
        <v>69</v>
      </c>
      <c r="E387" s="33" t="s">
        <v>154</v>
      </c>
      <c r="F387" s="33" t="s">
        <v>203</v>
      </c>
      <c r="G387" s="33" t="s">
        <v>241</v>
      </c>
      <c r="H387" s="33" t="s">
        <v>233</v>
      </c>
      <c r="I387" s="33" t="s">
        <v>143</v>
      </c>
      <c r="J387" s="33" t="s">
        <v>159</v>
      </c>
      <c r="K387" s="33" t="s">
        <v>145</v>
      </c>
      <c r="L387" s="35" t="n">
        <v>939.95</v>
      </c>
      <c r="M387" s="33" t="n">
        <v>3</v>
      </c>
      <c r="N387" s="33" t="s">
        <v>146</v>
      </c>
      <c r="O387" s="33" t="s">
        <v>147</v>
      </c>
      <c r="P387" s="39" t="n">
        <f aca="false">C387-B387</f>
        <v>1</v>
      </c>
      <c r="Q387" s="40" t="str">
        <f aca="false">CHOOSE(MONTH(B387),"يناير","فبراير","مارس","أبريل","مايو","يونيو","يوليو","أغسطس","سبتمبر","أكتوبر","نوفمبر","ديسمبر")</f>
        <v>مارس</v>
      </c>
      <c r="R387" s="40" t="str">
        <f aca="false">"الربع "&amp;ROUNDUP(MONTH(B387)/3,0)</f>
        <v>الربع 1</v>
      </c>
      <c r="S387" s="40" t="str">
        <f aca="false">IF(D387&lt;=12,"أطفال (0-12)",IF(D387&lt;=24,"شباب (13-24)",IF(D387&lt;=44,"بالغون (25-44)",IF(D387&lt;=64,"متوسطو العمر (45-64)","كبار السن (+65)"))))</f>
        <v>كبار السن (+65)</v>
      </c>
      <c r="T387" s="41" t="n">
        <f aca="false">IFERROR(L387/P387,0)</f>
        <v>939.95</v>
      </c>
    </row>
    <row r="388" customFormat="false" ht="15" hidden="false" customHeight="false" outlineLevel="0" collapsed="false">
      <c r="A388" s="42" t="s">
        <v>382</v>
      </c>
      <c r="B388" s="43" t="n">
        <v>45355</v>
      </c>
      <c r="C388" s="43" t="n">
        <v>45360</v>
      </c>
      <c r="D388" s="42" t="n">
        <v>7</v>
      </c>
      <c r="E388" s="42" t="s">
        <v>139</v>
      </c>
      <c r="F388" s="42" t="s">
        <v>155</v>
      </c>
      <c r="G388" s="42" t="s">
        <v>302</v>
      </c>
      <c r="H388" s="42" t="s">
        <v>157</v>
      </c>
      <c r="I388" s="42" t="s">
        <v>158</v>
      </c>
      <c r="J388" s="42" t="s">
        <v>159</v>
      </c>
      <c r="K388" s="42" t="s">
        <v>145</v>
      </c>
      <c r="L388" s="44" t="n">
        <v>3859.52</v>
      </c>
      <c r="M388" s="42" t="n">
        <v>4</v>
      </c>
      <c r="N388" s="42" t="s">
        <v>146</v>
      </c>
      <c r="O388" s="42" t="s">
        <v>147</v>
      </c>
      <c r="P388" s="39" t="n">
        <f aca="false">C388-B388</f>
        <v>5</v>
      </c>
      <c r="Q388" s="40" t="str">
        <f aca="false">CHOOSE(MONTH(B388),"يناير","فبراير","مارس","أبريل","مايو","يونيو","يوليو","أغسطس","سبتمبر","أكتوبر","نوفمبر","ديسمبر")</f>
        <v>مارس</v>
      </c>
      <c r="R388" s="40" t="str">
        <f aca="false">"الربع "&amp;ROUNDUP(MONTH(B388)/3,0)</f>
        <v>الربع 1</v>
      </c>
      <c r="S388" s="40" t="str">
        <f aca="false">IF(D388&lt;=12,"أطفال (0-12)",IF(D388&lt;=24,"شباب (13-24)",IF(D388&lt;=44,"بالغون (25-44)",IF(D388&lt;=64,"متوسطو العمر (45-64)","كبار السن (+65)"))))</f>
        <v>أطفال (0-12)</v>
      </c>
      <c r="T388" s="41" t="n">
        <f aca="false">IFERROR(L388/P388,0)</f>
        <v>771.904</v>
      </c>
    </row>
    <row r="389" customFormat="false" ht="15" hidden="false" customHeight="false" outlineLevel="0" collapsed="false">
      <c r="A389" s="33" t="s">
        <v>756</v>
      </c>
      <c r="B389" s="34" t="n">
        <v>45356</v>
      </c>
      <c r="C389" s="34" t="n">
        <v>45359</v>
      </c>
      <c r="D389" s="33" t="n">
        <v>0</v>
      </c>
      <c r="E389" s="33" t="s">
        <v>154</v>
      </c>
      <c r="F389" s="33" t="s">
        <v>155</v>
      </c>
      <c r="G389" s="33" t="s">
        <v>220</v>
      </c>
      <c r="H389" s="33" t="s">
        <v>222</v>
      </c>
      <c r="I389" s="33" t="s">
        <v>158</v>
      </c>
      <c r="J389" s="33" t="s">
        <v>159</v>
      </c>
      <c r="K389" s="33" t="s">
        <v>209</v>
      </c>
      <c r="L389" s="35" t="n">
        <v>2297.46</v>
      </c>
      <c r="M389" s="33" t="n">
        <v>4</v>
      </c>
      <c r="N389" s="33" t="s">
        <v>146</v>
      </c>
      <c r="O389" s="33" t="s">
        <v>147</v>
      </c>
      <c r="P389" s="39" t="n">
        <f aca="false">C389-B389</f>
        <v>3</v>
      </c>
      <c r="Q389" s="40" t="str">
        <f aca="false">CHOOSE(MONTH(B389),"يناير","فبراير","مارس","أبريل","مايو","يونيو","يوليو","أغسطس","سبتمبر","أكتوبر","نوفمبر","ديسمبر")</f>
        <v>مارس</v>
      </c>
      <c r="R389" s="40" t="str">
        <f aca="false">"الربع "&amp;ROUNDUP(MONTH(B389)/3,0)</f>
        <v>الربع 1</v>
      </c>
      <c r="S389" s="40" t="str">
        <f aca="false">IF(D389&lt;=12,"أطفال (0-12)",IF(D389&lt;=24,"شباب (13-24)",IF(D389&lt;=44,"بالغون (25-44)",IF(D389&lt;=64,"متوسطو العمر (45-64)","كبار السن (+65)"))))</f>
        <v>أطفال (0-12)</v>
      </c>
      <c r="T389" s="41" t="n">
        <f aca="false">IFERROR(L389/P389,0)</f>
        <v>765.82</v>
      </c>
    </row>
    <row r="390" customFormat="false" ht="15" hidden="false" customHeight="false" outlineLevel="0" collapsed="false">
      <c r="A390" s="42" t="s">
        <v>1870</v>
      </c>
      <c r="B390" s="43" t="n">
        <v>45356</v>
      </c>
      <c r="C390" s="43" t="n">
        <v>45357</v>
      </c>
      <c r="D390" s="42" t="n">
        <v>44</v>
      </c>
      <c r="E390" s="42" t="s">
        <v>139</v>
      </c>
      <c r="F390" s="42" t="s">
        <v>203</v>
      </c>
      <c r="G390" s="42" t="s">
        <v>192</v>
      </c>
      <c r="H390" s="42" t="s">
        <v>205</v>
      </c>
      <c r="I390" s="42" t="s">
        <v>143</v>
      </c>
      <c r="J390" s="42" t="s">
        <v>159</v>
      </c>
      <c r="K390" s="42" t="s">
        <v>145</v>
      </c>
      <c r="L390" s="44" t="n">
        <v>822.69</v>
      </c>
      <c r="M390" s="42" t="n">
        <v>2</v>
      </c>
      <c r="N390" s="42" t="s">
        <v>146</v>
      </c>
      <c r="O390" s="42" t="s">
        <v>147</v>
      </c>
      <c r="P390" s="39" t="n">
        <f aca="false">C390-B390</f>
        <v>1</v>
      </c>
      <c r="Q390" s="40" t="str">
        <f aca="false">CHOOSE(MONTH(B390),"يناير","فبراير","مارس","أبريل","مايو","يونيو","يوليو","أغسطس","سبتمبر","أكتوبر","نوفمبر","ديسمبر")</f>
        <v>مارس</v>
      </c>
      <c r="R390" s="40" t="str">
        <f aca="false">"الربع "&amp;ROUNDUP(MONTH(B390)/3,0)</f>
        <v>الربع 1</v>
      </c>
      <c r="S390" s="40" t="str">
        <f aca="false">IF(D390&lt;=12,"أطفال (0-12)",IF(D390&lt;=24,"شباب (13-24)",IF(D390&lt;=44,"بالغون (25-44)",IF(D390&lt;=64,"متوسطو العمر (45-64)","كبار السن (+65)"))))</f>
        <v>بالغون (25-44)</v>
      </c>
      <c r="T390" s="41" t="n">
        <f aca="false">IFERROR(L390/P390,0)</f>
        <v>822.69</v>
      </c>
    </row>
    <row r="391" customFormat="false" ht="15" hidden="false" customHeight="false" outlineLevel="0" collapsed="false">
      <c r="A391" s="33" t="s">
        <v>632</v>
      </c>
      <c r="B391" s="34" t="n">
        <v>45356</v>
      </c>
      <c r="C391" s="34" t="n">
        <v>45359</v>
      </c>
      <c r="D391" s="33" t="n">
        <v>21</v>
      </c>
      <c r="E391" s="33" t="s">
        <v>154</v>
      </c>
      <c r="F391" s="33" t="s">
        <v>203</v>
      </c>
      <c r="G391" s="33" t="s">
        <v>217</v>
      </c>
      <c r="H391" s="33" t="s">
        <v>193</v>
      </c>
      <c r="I391" s="33" t="s">
        <v>143</v>
      </c>
      <c r="J391" s="33" t="s">
        <v>159</v>
      </c>
      <c r="K391" s="33" t="s">
        <v>145</v>
      </c>
      <c r="L391" s="35" t="n">
        <v>2434.04</v>
      </c>
      <c r="M391" s="33" t="n">
        <v>2</v>
      </c>
      <c r="N391" s="33" t="s">
        <v>146</v>
      </c>
      <c r="O391" s="33" t="s">
        <v>147</v>
      </c>
      <c r="P391" s="39" t="n">
        <f aca="false">C391-B391</f>
        <v>3</v>
      </c>
      <c r="Q391" s="40" t="str">
        <f aca="false">CHOOSE(MONTH(B391),"يناير","فبراير","مارس","أبريل","مايو","يونيو","يوليو","أغسطس","سبتمبر","أكتوبر","نوفمبر","ديسمبر")</f>
        <v>مارس</v>
      </c>
      <c r="R391" s="40" t="str">
        <f aca="false">"الربع "&amp;ROUNDUP(MONTH(B391)/3,0)</f>
        <v>الربع 1</v>
      </c>
      <c r="S391" s="40" t="str">
        <f aca="false">IF(D391&lt;=12,"أطفال (0-12)",IF(D391&lt;=24,"شباب (13-24)",IF(D391&lt;=44,"بالغون (25-44)",IF(D391&lt;=64,"متوسطو العمر (45-64)","كبار السن (+65)"))))</f>
        <v>شباب (13-24)</v>
      </c>
      <c r="T391" s="41" t="n">
        <f aca="false">IFERROR(L391/P391,0)</f>
        <v>811.346666666667</v>
      </c>
    </row>
    <row r="392" customFormat="false" ht="15" hidden="false" customHeight="false" outlineLevel="0" collapsed="false">
      <c r="A392" s="42" t="s">
        <v>964</v>
      </c>
      <c r="B392" s="43" t="n">
        <v>45356</v>
      </c>
      <c r="C392" s="43" t="n">
        <v>45357</v>
      </c>
      <c r="D392" s="42" t="n">
        <v>4</v>
      </c>
      <c r="E392" s="42" t="s">
        <v>139</v>
      </c>
      <c r="F392" s="42" t="s">
        <v>203</v>
      </c>
      <c r="G392" s="42" t="s">
        <v>241</v>
      </c>
      <c r="H392" s="42" t="s">
        <v>193</v>
      </c>
      <c r="I392" s="42" t="s">
        <v>143</v>
      </c>
      <c r="J392" s="42" t="s">
        <v>159</v>
      </c>
      <c r="K392" s="42" t="s">
        <v>145</v>
      </c>
      <c r="L392" s="44" t="n">
        <v>897.45</v>
      </c>
      <c r="M392" s="42" t="n">
        <v>4</v>
      </c>
      <c r="N392" s="42" t="s">
        <v>146</v>
      </c>
      <c r="O392" s="42" t="s">
        <v>147</v>
      </c>
      <c r="P392" s="39" t="n">
        <f aca="false">C392-B392</f>
        <v>1</v>
      </c>
      <c r="Q392" s="40" t="str">
        <f aca="false">CHOOSE(MONTH(B392),"يناير","فبراير","مارس","أبريل","مايو","يونيو","يوليو","أغسطس","سبتمبر","أكتوبر","نوفمبر","ديسمبر")</f>
        <v>مارس</v>
      </c>
      <c r="R392" s="40" t="str">
        <f aca="false">"الربع "&amp;ROUNDUP(MONTH(B392)/3,0)</f>
        <v>الربع 1</v>
      </c>
      <c r="S392" s="40" t="str">
        <f aca="false">IF(D392&lt;=12,"أطفال (0-12)",IF(D392&lt;=24,"شباب (13-24)",IF(D392&lt;=44,"بالغون (25-44)",IF(D392&lt;=64,"متوسطو العمر (45-64)","كبار السن (+65)"))))</f>
        <v>أطفال (0-12)</v>
      </c>
      <c r="T392" s="41" t="n">
        <f aca="false">IFERROR(L392/P392,0)</f>
        <v>897.45</v>
      </c>
    </row>
    <row r="393" customFormat="false" ht="15" hidden="false" customHeight="false" outlineLevel="0" collapsed="false">
      <c r="A393" s="33" t="s">
        <v>2004</v>
      </c>
      <c r="B393" s="34" t="n">
        <v>45356</v>
      </c>
      <c r="C393" s="34" t="n">
        <v>45359</v>
      </c>
      <c r="D393" s="33" t="n">
        <v>16</v>
      </c>
      <c r="E393" s="33" t="s">
        <v>154</v>
      </c>
      <c r="F393" s="33" t="s">
        <v>140</v>
      </c>
      <c r="G393" s="33" t="s">
        <v>167</v>
      </c>
      <c r="H393" s="33" t="s">
        <v>142</v>
      </c>
      <c r="I393" s="33" t="s">
        <v>152</v>
      </c>
      <c r="J393" s="33" t="s">
        <v>159</v>
      </c>
      <c r="K393" s="33" t="s">
        <v>145</v>
      </c>
      <c r="L393" s="35" t="n">
        <v>7009.19</v>
      </c>
      <c r="M393" s="33" t="n">
        <v>4</v>
      </c>
      <c r="N393" s="33" t="s">
        <v>146</v>
      </c>
      <c r="O393" s="33" t="s">
        <v>147</v>
      </c>
      <c r="P393" s="39" t="n">
        <f aca="false">C393-B393</f>
        <v>3</v>
      </c>
      <c r="Q393" s="40" t="str">
        <f aca="false">CHOOSE(MONTH(B393),"يناير","فبراير","مارس","أبريل","مايو","يونيو","يوليو","أغسطس","سبتمبر","أكتوبر","نوفمبر","ديسمبر")</f>
        <v>مارس</v>
      </c>
      <c r="R393" s="40" t="str">
        <f aca="false">"الربع "&amp;ROUNDUP(MONTH(B393)/3,0)</f>
        <v>الربع 1</v>
      </c>
      <c r="S393" s="40" t="str">
        <f aca="false">IF(D393&lt;=12,"أطفال (0-12)",IF(D393&lt;=24,"شباب (13-24)",IF(D393&lt;=44,"بالغون (25-44)",IF(D393&lt;=64,"متوسطو العمر (45-64)","كبار السن (+65)"))))</f>
        <v>شباب (13-24)</v>
      </c>
      <c r="T393" s="41" t="n">
        <f aca="false">IFERROR(L393/P393,0)</f>
        <v>2336.39666666667</v>
      </c>
    </row>
    <row r="394" customFormat="false" ht="15" hidden="false" customHeight="false" outlineLevel="0" collapsed="false">
      <c r="A394" s="42" t="s">
        <v>1283</v>
      </c>
      <c r="B394" s="43" t="n">
        <v>45356</v>
      </c>
      <c r="C394" s="43" t="n">
        <v>45357</v>
      </c>
      <c r="D394" s="42" t="n">
        <v>54</v>
      </c>
      <c r="E394" s="42" t="s">
        <v>154</v>
      </c>
      <c r="F394" s="42" t="s">
        <v>203</v>
      </c>
      <c r="G394" s="42" t="s">
        <v>192</v>
      </c>
      <c r="H394" s="42" t="s">
        <v>233</v>
      </c>
      <c r="I394" s="42" t="s">
        <v>143</v>
      </c>
      <c r="J394" s="42" t="s">
        <v>159</v>
      </c>
      <c r="K394" s="42" t="s">
        <v>145</v>
      </c>
      <c r="L394" s="44" t="n">
        <v>886.8</v>
      </c>
      <c r="M394" s="42" t="n">
        <v>2</v>
      </c>
      <c r="N394" s="42" t="s">
        <v>146</v>
      </c>
      <c r="O394" s="42" t="s">
        <v>295</v>
      </c>
      <c r="P394" s="39" t="n">
        <f aca="false">C394-B394</f>
        <v>1</v>
      </c>
      <c r="Q394" s="40" t="str">
        <f aca="false">CHOOSE(MONTH(B394),"يناير","فبراير","مارس","أبريل","مايو","يونيو","يوليو","أغسطس","سبتمبر","أكتوبر","نوفمبر","ديسمبر")</f>
        <v>مارس</v>
      </c>
      <c r="R394" s="40" t="str">
        <f aca="false">"الربع "&amp;ROUNDUP(MONTH(B394)/3,0)</f>
        <v>الربع 1</v>
      </c>
      <c r="S394" s="40" t="str">
        <f aca="false">IF(D394&lt;=12,"أطفال (0-12)",IF(D394&lt;=24,"شباب (13-24)",IF(D394&lt;=44,"بالغون (25-44)",IF(D394&lt;=64,"متوسطو العمر (45-64)","كبار السن (+65)"))))</f>
        <v>متوسطو العمر (45-64)</v>
      </c>
      <c r="T394" s="41" t="n">
        <f aca="false">IFERROR(L394/P394,0)</f>
        <v>886.8</v>
      </c>
    </row>
    <row r="395" customFormat="false" ht="15" hidden="false" customHeight="false" outlineLevel="0" collapsed="false">
      <c r="A395" s="33" t="s">
        <v>453</v>
      </c>
      <c r="B395" s="34" t="n">
        <v>45356</v>
      </c>
      <c r="C395" s="34" t="n">
        <v>45358</v>
      </c>
      <c r="D395" s="33" t="n">
        <v>3</v>
      </c>
      <c r="E395" s="33" t="s">
        <v>154</v>
      </c>
      <c r="F395" s="33" t="s">
        <v>155</v>
      </c>
      <c r="G395" s="33" t="s">
        <v>220</v>
      </c>
      <c r="H395" s="33" t="s">
        <v>222</v>
      </c>
      <c r="I395" s="33" t="s">
        <v>143</v>
      </c>
      <c r="J395" s="33" t="s">
        <v>159</v>
      </c>
      <c r="K395" s="33" t="s">
        <v>184</v>
      </c>
      <c r="L395" s="35" t="n">
        <v>1901.6</v>
      </c>
      <c r="M395" s="33" t="n">
        <v>4</v>
      </c>
      <c r="N395" s="33" t="s">
        <v>146</v>
      </c>
      <c r="O395" s="33" t="s">
        <v>147</v>
      </c>
      <c r="P395" s="39" t="n">
        <f aca="false">C395-B395</f>
        <v>2</v>
      </c>
      <c r="Q395" s="40" t="str">
        <f aca="false">CHOOSE(MONTH(B395),"يناير","فبراير","مارس","أبريل","مايو","يونيو","يوليو","أغسطس","سبتمبر","أكتوبر","نوفمبر","ديسمبر")</f>
        <v>مارس</v>
      </c>
      <c r="R395" s="40" t="str">
        <f aca="false">"الربع "&amp;ROUNDUP(MONTH(B395)/3,0)</f>
        <v>الربع 1</v>
      </c>
      <c r="S395" s="40" t="str">
        <f aca="false">IF(D395&lt;=12,"أطفال (0-12)",IF(D395&lt;=24,"شباب (13-24)",IF(D395&lt;=44,"بالغون (25-44)",IF(D395&lt;=64,"متوسطو العمر (45-64)","كبار السن (+65)"))))</f>
        <v>أطفال (0-12)</v>
      </c>
      <c r="T395" s="41" t="n">
        <f aca="false">IFERROR(L395/P395,0)</f>
        <v>950.8</v>
      </c>
    </row>
    <row r="396" customFormat="false" ht="15" hidden="false" customHeight="false" outlineLevel="0" collapsed="false">
      <c r="A396" s="42" t="s">
        <v>697</v>
      </c>
      <c r="B396" s="43" t="n">
        <v>45357</v>
      </c>
      <c r="C396" s="43" t="n">
        <v>45362</v>
      </c>
      <c r="D396" s="42" t="n">
        <v>7</v>
      </c>
      <c r="E396" s="42" t="s">
        <v>154</v>
      </c>
      <c r="F396" s="42" t="s">
        <v>155</v>
      </c>
      <c r="G396" s="42" t="s">
        <v>302</v>
      </c>
      <c r="H396" s="42" t="s">
        <v>157</v>
      </c>
      <c r="I396" s="42" t="s">
        <v>158</v>
      </c>
      <c r="J396" s="42" t="s">
        <v>144</v>
      </c>
      <c r="K396" s="42" t="s">
        <v>145</v>
      </c>
      <c r="L396" s="44" t="n">
        <v>7942.59</v>
      </c>
      <c r="M396" s="42" t="n">
        <v>4</v>
      </c>
      <c r="N396" s="42" t="s">
        <v>146</v>
      </c>
      <c r="O396" s="42" t="s">
        <v>295</v>
      </c>
      <c r="P396" s="39" t="n">
        <f aca="false">C396-B396</f>
        <v>5</v>
      </c>
      <c r="Q396" s="40" t="str">
        <f aca="false">CHOOSE(MONTH(B396),"يناير","فبراير","مارس","أبريل","مايو","يونيو","يوليو","أغسطس","سبتمبر","أكتوبر","نوفمبر","ديسمبر")</f>
        <v>مارس</v>
      </c>
      <c r="R396" s="40" t="str">
        <f aca="false">"الربع "&amp;ROUNDUP(MONTH(B396)/3,0)</f>
        <v>الربع 1</v>
      </c>
      <c r="S396" s="40" t="str">
        <f aca="false">IF(D396&lt;=12,"أطفال (0-12)",IF(D396&lt;=24,"شباب (13-24)",IF(D396&lt;=44,"بالغون (25-44)",IF(D396&lt;=64,"متوسطو العمر (45-64)","كبار السن (+65)"))))</f>
        <v>أطفال (0-12)</v>
      </c>
      <c r="T396" s="41" t="n">
        <f aca="false">IFERROR(L396/P396,0)</f>
        <v>1588.518</v>
      </c>
    </row>
    <row r="397" customFormat="false" ht="15" hidden="false" customHeight="false" outlineLevel="0" collapsed="false">
      <c r="A397" s="33" t="s">
        <v>1785</v>
      </c>
      <c r="B397" s="34" t="n">
        <v>45357</v>
      </c>
      <c r="C397" s="34" t="n">
        <v>45359</v>
      </c>
      <c r="D397" s="33" t="n">
        <v>31</v>
      </c>
      <c r="E397" s="33" t="s">
        <v>139</v>
      </c>
      <c r="F397" s="33" t="s">
        <v>149</v>
      </c>
      <c r="G397" s="33" t="s">
        <v>224</v>
      </c>
      <c r="H397" s="33" t="s">
        <v>151</v>
      </c>
      <c r="I397" s="33" t="s">
        <v>152</v>
      </c>
      <c r="J397" s="33" t="s">
        <v>159</v>
      </c>
      <c r="K397" s="33" t="s">
        <v>160</v>
      </c>
      <c r="L397" s="35" t="n">
        <v>2603.57</v>
      </c>
      <c r="M397" s="33" t="n">
        <v>3</v>
      </c>
      <c r="N397" s="33" t="s">
        <v>146</v>
      </c>
      <c r="O397" s="33" t="s">
        <v>247</v>
      </c>
      <c r="P397" s="39" t="n">
        <f aca="false">C397-B397</f>
        <v>2</v>
      </c>
      <c r="Q397" s="40" t="str">
        <f aca="false">CHOOSE(MONTH(B397),"يناير","فبراير","مارس","أبريل","مايو","يونيو","يوليو","أغسطس","سبتمبر","أكتوبر","نوفمبر","ديسمبر")</f>
        <v>مارس</v>
      </c>
      <c r="R397" s="40" t="str">
        <f aca="false">"الربع "&amp;ROUNDUP(MONTH(B397)/3,0)</f>
        <v>الربع 1</v>
      </c>
      <c r="S397" s="40" t="str">
        <f aca="false">IF(D397&lt;=12,"أطفال (0-12)",IF(D397&lt;=24,"شباب (13-24)",IF(D397&lt;=44,"بالغون (25-44)",IF(D397&lt;=64,"متوسطو العمر (45-64)","كبار السن (+65)"))))</f>
        <v>بالغون (25-44)</v>
      </c>
      <c r="T397" s="41" t="n">
        <f aca="false">IFERROR(L397/P397,0)</f>
        <v>1301.785</v>
      </c>
    </row>
    <row r="398" customFormat="false" ht="15" hidden="false" customHeight="false" outlineLevel="0" collapsed="false">
      <c r="A398" s="42" t="s">
        <v>1560</v>
      </c>
      <c r="B398" s="43" t="n">
        <v>45357</v>
      </c>
      <c r="C398" s="43" t="n">
        <v>45359</v>
      </c>
      <c r="D398" s="42" t="n">
        <v>2</v>
      </c>
      <c r="E398" s="42" t="s">
        <v>154</v>
      </c>
      <c r="F398" s="42" t="s">
        <v>173</v>
      </c>
      <c r="G398" s="42" t="s">
        <v>174</v>
      </c>
      <c r="H398" s="42" t="s">
        <v>199</v>
      </c>
      <c r="I398" s="42" t="s">
        <v>152</v>
      </c>
      <c r="J398" s="42" t="s">
        <v>159</v>
      </c>
      <c r="K398" s="42" t="s">
        <v>184</v>
      </c>
      <c r="L398" s="44" t="n">
        <v>5313.66</v>
      </c>
      <c r="M398" s="42" t="n">
        <v>5</v>
      </c>
      <c r="N398" s="42" t="s">
        <v>146</v>
      </c>
      <c r="O398" s="42" t="s">
        <v>147</v>
      </c>
      <c r="P398" s="39" t="n">
        <f aca="false">C398-B398</f>
        <v>2</v>
      </c>
      <c r="Q398" s="40" t="str">
        <f aca="false">CHOOSE(MONTH(B398),"يناير","فبراير","مارس","أبريل","مايو","يونيو","يوليو","أغسطس","سبتمبر","أكتوبر","نوفمبر","ديسمبر")</f>
        <v>مارس</v>
      </c>
      <c r="R398" s="40" t="str">
        <f aca="false">"الربع "&amp;ROUNDUP(MONTH(B398)/3,0)</f>
        <v>الربع 1</v>
      </c>
      <c r="S398" s="40" t="str">
        <f aca="false">IF(D398&lt;=12,"أطفال (0-12)",IF(D398&lt;=24,"شباب (13-24)",IF(D398&lt;=44,"بالغون (25-44)",IF(D398&lt;=64,"متوسطو العمر (45-64)","كبار السن (+65)"))))</f>
        <v>أطفال (0-12)</v>
      </c>
      <c r="T398" s="41" t="n">
        <f aca="false">IFERROR(L398/P398,0)</f>
        <v>2656.83</v>
      </c>
    </row>
    <row r="399" customFormat="false" ht="15" hidden="false" customHeight="false" outlineLevel="0" collapsed="false">
      <c r="A399" s="33" t="s">
        <v>1457</v>
      </c>
      <c r="B399" s="34" t="n">
        <v>45357</v>
      </c>
      <c r="C399" s="34" t="n">
        <v>45362</v>
      </c>
      <c r="D399" s="33" t="n">
        <v>39</v>
      </c>
      <c r="E399" s="33" t="s">
        <v>139</v>
      </c>
      <c r="F399" s="33" t="s">
        <v>149</v>
      </c>
      <c r="G399" s="33" t="s">
        <v>243</v>
      </c>
      <c r="H399" s="33" t="s">
        <v>151</v>
      </c>
      <c r="I399" s="33" t="s">
        <v>143</v>
      </c>
      <c r="J399" s="33" t="s">
        <v>159</v>
      </c>
      <c r="K399" s="33" t="s">
        <v>145</v>
      </c>
      <c r="L399" s="35" t="n">
        <v>6426.77</v>
      </c>
      <c r="M399" s="33" t="n">
        <v>4</v>
      </c>
      <c r="N399" s="33" t="s">
        <v>210</v>
      </c>
      <c r="O399" s="33" t="s">
        <v>147</v>
      </c>
      <c r="P399" s="39" t="n">
        <f aca="false">C399-B399</f>
        <v>5</v>
      </c>
      <c r="Q399" s="40" t="str">
        <f aca="false">CHOOSE(MONTH(B399),"يناير","فبراير","مارس","أبريل","مايو","يونيو","يوليو","أغسطس","سبتمبر","أكتوبر","نوفمبر","ديسمبر")</f>
        <v>مارس</v>
      </c>
      <c r="R399" s="40" t="str">
        <f aca="false">"الربع "&amp;ROUNDUP(MONTH(B399)/3,0)</f>
        <v>الربع 1</v>
      </c>
      <c r="S399" s="40" t="str">
        <f aca="false">IF(D399&lt;=12,"أطفال (0-12)",IF(D399&lt;=24,"شباب (13-24)",IF(D399&lt;=44,"بالغون (25-44)",IF(D399&lt;=64,"متوسطو العمر (45-64)","كبار السن (+65)"))))</f>
        <v>بالغون (25-44)</v>
      </c>
      <c r="T399" s="41" t="n">
        <f aca="false">IFERROR(L399/P399,0)</f>
        <v>1285.354</v>
      </c>
    </row>
    <row r="400" customFormat="false" ht="15" hidden="false" customHeight="false" outlineLevel="0" collapsed="false">
      <c r="A400" s="42" t="s">
        <v>2305</v>
      </c>
      <c r="B400" s="43" t="n">
        <v>45357</v>
      </c>
      <c r="C400" s="43" t="n">
        <v>45363</v>
      </c>
      <c r="D400" s="42" t="n">
        <v>40</v>
      </c>
      <c r="E400" s="42" t="s">
        <v>139</v>
      </c>
      <c r="F400" s="42" t="s">
        <v>169</v>
      </c>
      <c r="G400" s="42" t="s">
        <v>230</v>
      </c>
      <c r="H400" s="42" t="s">
        <v>195</v>
      </c>
      <c r="I400" s="42" t="s">
        <v>143</v>
      </c>
      <c r="J400" s="42" t="s">
        <v>159</v>
      </c>
      <c r="K400" s="42" t="s">
        <v>160</v>
      </c>
      <c r="L400" s="44" t="n">
        <v>5912.84</v>
      </c>
      <c r="M400" s="42" t="n">
        <v>5</v>
      </c>
      <c r="N400" s="42" t="s">
        <v>146</v>
      </c>
      <c r="O400" s="42" t="s">
        <v>147</v>
      </c>
      <c r="P400" s="39" t="n">
        <f aca="false">C400-B400</f>
        <v>6</v>
      </c>
      <c r="Q400" s="40" t="str">
        <f aca="false">CHOOSE(MONTH(B400),"يناير","فبراير","مارس","أبريل","مايو","يونيو","يوليو","أغسطس","سبتمبر","أكتوبر","نوفمبر","ديسمبر")</f>
        <v>مارس</v>
      </c>
      <c r="R400" s="40" t="str">
        <f aca="false">"الربع "&amp;ROUNDUP(MONTH(B400)/3,0)</f>
        <v>الربع 1</v>
      </c>
      <c r="S400" s="40" t="str">
        <f aca="false">IF(D400&lt;=12,"أطفال (0-12)",IF(D400&lt;=24,"شباب (13-24)",IF(D400&lt;=44,"بالغون (25-44)",IF(D400&lt;=64,"متوسطو العمر (45-64)","كبار السن (+65)"))))</f>
        <v>بالغون (25-44)</v>
      </c>
      <c r="T400" s="41" t="n">
        <f aca="false">IFERROR(L400/P400,0)</f>
        <v>985.473333333333</v>
      </c>
    </row>
    <row r="401" customFormat="false" ht="15" hidden="false" customHeight="false" outlineLevel="0" collapsed="false">
      <c r="A401" s="33" t="s">
        <v>1911</v>
      </c>
      <c r="B401" s="34" t="n">
        <v>45358</v>
      </c>
      <c r="C401" s="34" t="n">
        <v>45359</v>
      </c>
      <c r="D401" s="33" t="n">
        <v>59</v>
      </c>
      <c r="E401" s="33" t="s">
        <v>154</v>
      </c>
      <c r="F401" s="33" t="s">
        <v>203</v>
      </c>
      <c r="G401" s="33" t="s">
        <v>217</v>
      </c>
      <c r="H401" s="33" t="s">
        <v>233</v>
      </c>
      <c r="I401" s="33" t="s">
        <v>143</v>
      </c>
      <c r="J401" s="33" t="s">
        <v>159</v>
      </c>
      <c r="K401" s="33" t="s">
        <v>145</v>
      </c>
      <c r="L401" s="35" t="n">
        <v>951.39</v>
      </c>
      <c r="M401" s="33" t="n">
        <v>4</v>
      </c>
      <c r="N401" s="33" t="s">
        <v>146</v>
      </c>
      <c r="O401" s="33" t="s">
        <v>147</v>
      </c>
      <c r="P401" s="39" t="n">
        <f aca="false">C401-B401</f>
        <v>1</v>
      </c>
      <c r="Q401" s="40" t="str">
        <f aca="false">CHOOSE(MONTH(B401),"يناير","فبراير","مارس","أبريل","مايو","يونيو","يوليو","أغسطس","سبتمبر","أكتوبر","نوفمبر","ديسمبر")</f>
        <v>مارس</v>
      </c>
      <c r="R401" s="40" t="str">
        <f aca="false">"الربع "&amp;ROUNDUP(MONTH(B401)/3,0)</f>
        <v>الربع 1</v>
      </c>
      <c r="S401" s="40" t="str">
        <f aca="false">IF(D401&lt;=12,"أطفال (0-12)",IF(D401&lt;=24,"شباب (13-24)",IF(D401&lt;=44,"بالغون (25-44)",IF(D401&lt;=64,"متوسطو العمر (45-64)","كبار السن (+65)"))))</f>
        <v>متوسطو العمر (45-64)</v>
      </c>
      <c r="T401" s="41" t="n">
        <f aca="false">IFERROR(L401/P401,0)</f>
        <v>951.39</v>
      </c>
    </row>
    <row r="402" customFormat="false" ht="15" hidden="false" customHeight="false" outlineLevel="0" collapsed="false">
      <c r="A402" s="42" t="s">
        <v>2011</v>
      </c>
      <c r="B402" s="43" t="n">
        <v>45358</v>
      </c>
      <c r="C402" s="43" t="n">
        <v>45360</v>
      </c>
      <c r="D402" s="42" t="n">
        <v>3</v>
      </c>
      <c r="E402" s="42" t="s">
        <v>154</v>
      </c>
      <c r="F402" s="42" t="s">
        <v>155</v>
      </c>
      <c r="G402" s="42" t="s">
        <v>302</v>
      </c>
      <c r="H402" s="42" t="s">
        <v>157</v>
      </c>
      <c r="I402" s="42" t="s">
        <v>143</v>
      </c>
      <c r="J402" s="42" t="s">
        <v>144</v>
      </c>
      <c r="K402" s="42" t="s">
        <v>160</v>
      </c>
      <c r="L402" s="44" t="n">
        <v>2260.62</v>
      </c>
      <c r="M402" s="42" t="n">
        <v>4</v>
      </c>
      <c r="N402" s="42" t="s">
        <v>146</v>
      </c>
      <c r="O402" s="42" t="s">
        <v>147</v>
      </c>
      <c r="P402" s="39" t="n">
        <f aca="false">C402-B402</f>
        <v>2</v>
      </c>
      <c r="Q402" s="40" t="str">
        <f aca="false">CHOOSE(MONTH(B402),"يناير","فبراير","مارس","أبريل","مايو","يونيو","يوليو","أغسطس","سبتمبر","أكتوبر","نوفمبر","ديسمبر")</f>
        <v>مارس</v>
      </c>
      <c r="R402" s="40" t="str">
        <f aca="false">"الربع "&amp;ROUNDUP(MONTH(B402)/3,0)</f>
        <v>الربع 1</v>
      </c>
      <c r="S402" s="40" t="str">
        <f aca="false">IF(D402&lt;=12,"أطفال (0-12)",IF(D402&lt;=24,"شباب (13-24)",IF(D402&lt;=44,"بالغون (25-44)",IF(D402&lt;=64,"متوسطو العمر (45-64)","كبار السن (+65)"))))</f>
        <v>أطفال (0-12)</v>
      </c>
      <c r="T402" s="41" t="n">
        <f aca="false">IFERROR(L402/P402,0)</f>
        <v>1130.31</v>
      </c>
    </row>
    <row r="403" customFormat="false" ht="15" hidden="false" customHeight="false" outlineLevel="0" collapsed="false">
      <c r="A403" s="33" t="s">
        <v>685</v>
      </c>
      <c r="B403" s="34" t="n">
        <v>45358</v>
      </c>
      <c r="C403" s="34" t="n">
        <v>45359</v>
      </c>
      <c r="D403" s="33" t="n">
        <v>35</v>
      </c>
      <c r="E403" s="33" t="s">
        <v>139</v>
      </c>
      <c r="F403" s="33" t="s">
        <v>203</v>
      </c>
      <c r="G403" s="33" t="s">
        <v>204</v>
      </c>
      <c r="H403" s="33" t="s">
        <v>205</v>
      </c>
      <c r="I403" s="33" t="s">
        <v>143</v>
      </c>
      <c r="J403" s="33" t="s">
        <v>176</v>
      </c>
      <c r="K403" s="33" t="s">
        <v>184</v>
      </c>
      <c r="L403" s="35" t="n">
        <v>2816.56</v>
      </c>
      <c r="M403" s="33" t="n">
        <v>3</v>
      </c>
      <c r="N403" s="33" t="s">
        <v>146</v>
      </c>
      <c r="O403" s="33" t="s">
        <v>147</v>
      </c>
      <c r="P403" s="39" t="n">
        <f aca="false">C403-B403</f>
        <v>1</v>
      </c>
      <c r="Q403" s="40" t="str">
        <f aca="false">CHOOSE(MONTH(B403),"يناير","فبراير","مارس","أبريل","مايو","يونيو","يوليو","أغسطس","سبتمبر","أكتوبر","نوفمبر","ديسمبر")</f>
        <v>مارس</v>
      </c>
      <c r="R403" s="40" t="str">
        <f aca="false">"الربع "&amp;ROUNDUP(MONTH(B403)/3,0)</f>
        <v>الربع 1</v>
      </c>
      <c r="S403" s="40" t="str">
        <f aca="false">IF(D403&lt;=12,"أطفال (0-12)",IF(D403&lt;=24,"شباب (13-24)",IF(D403&lt;=44,"بالغون (25-44)",IF(D403&lt;=64,"متوسطو العمر (45-64)","كبار السن (+65)"))))</f>
        <v>بالغون (25-44)</v>
      </c>
      <c r="T403" s="41" t="n">
        <f aca="false">IFERROR(L403/P403,0)</f>
        <v>2816.56</v>
      </c>
    </row>
    <row r="404" customFormat="false" ht="15" hidden="false" customHeight="false" outlineLevel="0" collapsed="false">
      <c r="A404" s="42" t="s">
        <v>1553</v>
      </c>
      <c r="B404" s="43" t="n">
        <v>45358</v>
      </c>
      <c r="C404" s="43" t="n">
        <v>45369</v>
      </c>
      <c r="D404" s="42" t="n">
        <v>39</v>
      </c>
      <c r="E404" s="42" t="s">
        <v>139</v>
      </c>
      <c r="F404" s="42" t="s">
        <v>181</v>
      </c>
      <c r="G404" s="42" t="s">
        <v>237</v>
      </c>
      <c r="H404" s="42" t="s">
        <v>245</v>
      </c>
      <c r="I404" s="42" t="s">
        <v>143</v>
      </c>
      <c r="J404" s="42" t="s">
        <v>159</v>
      </c>
      <c r="K404" s="42" t="s">
        <v>145</v>
      </c>
      <c r="L404" s="44" t="n">
        <v>23604.65</v>
      </c>
      <c r="M404" s="42" t="n">
        <v>4</v>
      </c>
      <c r="N404" s="42" t="s">
        <v>146</v>
      </c>
      <c r="O404" s="42" t="s">
        <v>147</v>
      </c>
      <c r="P404" s="39" t="n">
        <f aca="false">C404-B404</f>
        <v>11</v>
      </c>
      <c r="Q404" s="40" t="str">
        <f aca="false">CHOOSE(MONTH(B404),"يناير","فبراير","مارس","أبريل","مايو","يونيو","يوليو","أغسطس","سبتمبر","أكتوبر","نوفمبر","ديسمبر")</f>
        <v>مارس</v>
      </c>
      <c r="R404" s="40" t="str">
        <f aca="false">"الربع "&amp;ROUNDUP(MONTH(B404)/3,0)</f>
        <v>الربع 1</v>
      </c>
      <c r="S404" s="40" t="str">
        <f aca="false">IF(D404&lt;=12,"أطفال (0-12)",IF(D404&lt;=24,"شباب (13-24)",IF(D404&lt;=44,"بالغون (25-44)",IF(D404&lt;=64,"متوسطو العمر (45-64)","كبار السن (+65)"))))</f>
        <v>بالغون (25-44)</v>
      </c>
      <c r="T404" s="41" t="n">
        <f aca="false">IFERROR(L404/P404,0)</f>
        <v>2145.87727272727</v>
      </c>
    </row>
    <row r="405" customFormat="false" ht="15" hidden="false" customHeight="false" outlineLevel="0" collapsed="false">
      <c r="A405" s="33" t="s">
        <v>1542</v>
      </c>
      <c r="B405" s="34" t="n">
        <v>45358</v>
      </c>
      <c r="C405" s="34" t="n">
        <v>45364</v>
      </c>
      <c r="D405" s="33" t="n">
        <v>48</v>
      </c>
      <c r="E405" s="33" t="s">
        <v>139</v>
      </c>
      <c r="F405" s="33" t="s">
        <v>226</v>
      </c>
      <c r="G405" s="33" t="s">
        <v>227</v>
      </c>
      <c r="H405" s="33" t="s">
        <v>263</v>
      </c>
      <c r="I405" s="33" t="s">
        <v>152</v>
      </c>
      <c r="J405" s="33" t="s">
        <v>159</v>
      </c>
      <c r="K405" s="33" t="s">
        <v>160</v>
      </c>
      <c r="L405" s="35" t="n">
        <v>20615.28</v>
      </c>
      <c r="M405" s="33" t="n">
        <v>4</v>
      </c>
      <c r="N405" s="33" t="s">
        <v>146</v>
      </c>
      <c r="O405" s="33" t="s">
        <v>147</v>
      </c>
      <c r="P405" s="39" t="n">
        <f aca="false">C405-B405</f>
        <v>6</v>
      </c>
      <c r="Q405" s="40" t="str">
        <f aca="false">CHOOSE(MONTH(B405),"يناير","فبراير","مارس","أبريل","مايو","يونيو","يوليو","أغسطس","سبتمبر","أكتوبر","نوفمبر","ديسمبر")</f>
        <v>مارس</v>
      </c>
      <c r="R405" s="40" t="str">
        <f aca="false">"الربع "&amp;ROUNDUP(MONTH(B405)/3,0)</f>
        <v>الربع 1</v>
      </c>
      <c r="S405" s="40" t="str">
        <f aca="false">IF(D405&lt;=12,"أطفال (0-12)",IF(D405&lt;=24,"شباب (13-24)",IF(D405&lt;=44,"بالغون (25-44)",IF(D405&lt;=64,"متوسطو العمر (45-64)","كبار السن (+65)"))))</f>
        <v>متوسطو العمر (45-64)</v>
      </c>
      <c r="T405" s="41" t="n">
        <f aca="false">IFERROR(L405/P405,0)</f>
        <v>3435.88</v>
      </c>
    </row>
    <row r="406" customFormat="false" ht="15" hidden="false" customHeight="false" outlineLevel="0" collapsed="false">
      <c r="A406" s="42" t="s">
        <v>914</v>
      </c>
      <c r="B406" s="43" t="n">
        <v>45358</v>
      </c>
      <c r="C406" s="43" t="n">
        <v>45365</v>
      </c>
      <c r="D406" s="42" t="n">
        <v>4</v>
      </c>
      <c r="E406" s="42" t="s">
        <v>139</v>
      </c>
      <c r="F406" s="42" t="s">
        <v>169</v>
      </c>
      <c r="G406" s="42" t="s">
        <v>213</v>
      </c>
      <c r="H406" s="42" t="s">
        <v>195</v>
      </c>
      <c r="I406" s="42" t="s">
        <v>143</v>
      </c>
      <c r="J406" s="42" t="s">
        <v>159</v>
      </c>
      <c r="K406" s="42" t="s">
        <v>160</v>
      </c>
      <c r="L406" s="44" t="n">
        <v>6717.65</v>
      </c>
      <c r="M406" s="42" t="n">
        <v>3</v>
      </c>
      <c r="N406" s="42" t="s">
        <v>146</v>
      </c>
      <c r="O406" s="42" t="s">
        <v>147</v>
      </c>
      <c r="P406" s="39" t="n">
        <f aca="false">C406-B406</f>
        <v>7</v>
      </c>
      <c r="Q406" s="40" t="str">
        <f aca="false">CHOOSE(MONTH(B406),"يناير","فبراير","مارس","أبريل","مايو","يونيو","يوليو","أغسطس","سبتمبر","أكتوبر","نوفمبر","ديسمبر")</f>
        <v>مارس</v>
      </c>
      <c r="R406" s="40" t="str">
        <f aca="false">"الربع "&amp;ROUNDUP(MONTH(B406)/3,0)</f>
        <v>الربع 1</v>
      </c>
      <c r="S406" s="40" t="str">
        <f aca="false">IF(D406&lt;=12,"أطفال (0-12)",IF(D406&lt;=24,"شباب (13-24)",IF(D406&lt;=44,"بالغون (25-44)",IF(D406&lt;=64,"متوسطو العمر (45-64)","كبار السن (+65)"))))</f>
        <v>أطفال (0-12)</v>
      </c>
      <c r="T406" s="41" t="n">
        <f aca="false">IFERROR(L406/P406,0)</f>
        <v>959.664285714286</v>
      </c>
    </row>
    <row r="407" customFormat="false" ht="15" hidden="false" customHeight="false" outlineLevel="0" collapsed="false">
      <c r="A407" s="33" t="s">
        <v>1539</v>
      </c>
      <c r="B407" s="34" t="n">
        <v>45358</v>
      </c>
      <c r="C407" s="34" t="n">
        <v>45359</v>
      </c>
      <c r="D407" s="33" t="n">
        <v>69</v>
      </c>
      <c r="E407" s="33" t="s">
        <v>139</v>
      </c>
      <c r="F407" s="33" t="s">
        <v>203</v>
      </c>
      <c r="G407" s="33" t="s">
        <v>217</v>
      </c>
      <c r="H407" s="33" t="s">
        <v>193</v>
      </c>
      <c r="I407" s="33" t="s">
        <v>143</v>
      </c>
      <c r="J407" s="33" t="s">
        <v>144</v>
      </c>
      <c r="K407" s="33" t="s">
        <v>145</v>
      </c>
      <c r="L407" s="35" t="n">
        <v>1629.99</v>
      </c>
      <c r="M407" s="33" t="n">
        <v>2</v>
      </c>
      <c r="N407" s="33" t="s">
        <v>146</v>
      </c>
      <c r="O407" s="33" t="s">
        <v>206</v>
      </c>
      <c r="P407" s="39" t="n">
        <f aca="false">C407-B407</f>
        <v>1</v>
      </c>
      <c r="Q407" s="40" t="str">
        <f aca="false">CHOOSE(MONTH(B407),"يناير","فبراير","مارس","أبريل","مايو","يونيو","يوليو","أغسطس","سبتمبر","أكتوبر","نوفمبر","ديسمبر")</f>
        <v>مارس</v>
      </c>
      <c r="R407" s="40" t="str">
        <f aca="false">"الربع "&amp;ROUNDUP(MONTH(B407)/3,0)</f>
        <v>الربع 1</v>
      </c>
      <c r="S407" s="40" t="str">
        <f aca="false">IF(D407&lt;=12,"أطفال (0-12)",IF(D407&lt;=24,"شباب (13-24)",IF(D407&lt;=44,"بالغون (25-44)",IF(D407&lt;=64,"متوسطو العمر (45-64)","كبار السن (+65)"))))</f>
        <v>كبار السن (+65)</v>
      </c>
      <c r="T407" s="41" t="n">
        <f aca="false">IFERROR(L407/P407,0)</f>
        <v>1629.99</v>
      </c>
    </row>
    <row r="408" customFormat="false" ht="15" hidden="false" customHeight="false" outlineLevel="0" collapsed="false">
      <c r="A408" s="42" t="s">
        <v>1805</v>
      </c>
      <c r="B408" s="43" t="n">
        <v>45358</v>
      </c>
      <c r="C408" s="43" t="n">
        <v>45359</v>
      </c>
      <c r="D408" s="42" t="n">
        <v>14</v>
      </c>
      <c r="E408" s="42" t="s">
        <v>154</v>
      </c>
      <c r="F408" s="42" t="s">
        <v>203</v>
      </c>
      <c r="G408" s="42" t="s">
        <v>241</v>
      </c>
      <c r="H408" s="42" t="s">
        <v>233</v>
      </c>
      <c r="I408" s="42" t="s">
        <v>143</v>
      </c>
      <c r="J408" s="42" t="s">
        <v>159</v>
      </c>
      <c r="K408" s="42" t="s">
        <v>145</v>
      </c>
      <c r="L408" s="44" t="n">
        <v>867.26</v>
      </c>
      <c r="M408" s="42" t="n">
        <v>3</v>
      </c>
      <c r="N408" s="42" t="s">
        <v>146</v>
      </c>
      <c r="O408" s="42" t="s">
        <v>147</v>
      </c>
      <c r="P408" s="39" t="n">
        <f aca="false">C408-B408</f>
        <v>1</v>
      </c>
      <c r="Q408" s="40" t="str">
        <f aca="false">CHOOSE(MONTH(B408),"يناير","فبراير","مارس","أبريل","مايو","يونيو","يوليو","أغسطس","سبتمبر","أكتوبر","نوفمبر","ديسمبر")</f>
        <v>مارس</v>
      </c>
      <c r="R408" s="40" t="str">
        <f aca="false">"الربع "&amp;ROUNDUP(MONTH(B408)/3,0)</f>
        <v>الربع 1</v>
      </c>
      <c r="S408" s="40" t="str">
        <f aca="false">IF(D408&lt;=12,"أطفال (0-12)",IF(D408&lt;=24,"شباب (13-24)",IF(D408&lt;=44,"بالغون (25-44)",IF(D408&lt;=64,"متوسطو العمر (45-64)","كبار السن (+65)"))))</f>
        <v>شباب (13-24)</v>
      </c>
      <c r="T408" s="41" t="n">
        <f aca="false">IFERROR(L408/P408,0)</f>
        <v>867.26</v>
      </c>
    </row>
    <row r="409" customFormat="false" ht="15" hidden="false" customHeight="false" outlineLevel="0" collapsed="false">
      <c r="A409" s="33" t="s">
        <v>877</v>
      </c>
      <c r="B409" s="34" t="n">
        <v>45359</v>
      </c>
      <c r="C409" s="34" t="n">
        <v>45361</v>
      </c>
      <c r="D409" s="33" t="n">
        <v>40</v>
      </c>
      <c r="E409" s="33" t="s">
        <v>154</v>
      </c>
      <c r="F409" s="33" t="s">
        <v>203</v>
      </c>
      <c r="G409" s="33" t="s">
        <v>217</v>
      </c>
      <c r="H409" s="33" t="s">
        <v>233</v>
      </c>
      <c r="I409" s="33" t="s">
        <v>143</v>
      </c>
      <c r="J409" s="33" t="s">
        <v>159</v>
      </c>
      <c r="K409" s="33" t="s">
        <v>160</v>
      </c>
      <c r="L409" s="35" t="n">
        <v>1537.9</v>
      </c>
      <c r="M409" s="33" t="n">
        <v>2</v>
      </c>
      <c r="N409" s="33" t="s">
        <v>146</v>
      </c>
      <c r="O409" s="33" t="s">
        <v>147</v>
      </c>
      <c r="P409" s="39" t="n">
        <f aca="false">C409-B409</f>
        <v>2</v>
      </c>
      <c r="Q409" s="40" t="str">
        <f aca="false">CHOOSE(MONTH(B409),"يناير","فبراير","مارس","أبريل","مايو","يونيو","يوليو","أغسطس","سبتمبر","أكتوبر","نوفمبر","ديسمبر")</f>
        <v>مارس</v>
      </c>
      <c r="R409" s="40" t="str">
        <f aca="false">"الربع "&amp;ROUNDUP(MONTH(B409)/3,0)</f>
        <v>الربع 1</v>
      </c>
      <c r="S409" s="40" t="str">
        <f aca="false">IF(D409&lt;=12,"أطفال (0-12)",IF(D409&lt;=24,"شباب (13-24)",IF(D409&lt;=44,"بالغون (25-44)",IF(D409&lt;=64,"متوسطو العمر (45-64)","كبار السن (+65)"))))</f>
        <v>بالغون (25-44)</v>
      </c>
      <c r="T409" s="41" t="n">
        <f aca="false">IFERROR(L409/P409,0)</f>
        <v>768.95</v>
      </c>
    </row>
    <row r="410" customFormat="false" ht="15" hidden="false" customHeight="false" outlineLevel="0" collapsed="false">
      <c r="A410" s="42" t="s">
        <v>2172</v>
      </c>
      <c r="B410" s="43" t="n">
        <v>45359</v>
      </c>
      <c r="C410" s="43" t="n">
        <v>45360</v>
      </c>
      <c r="D410" s="42" t="n">
        <v>25</v>
      </c>
      <c r="E410" s="42" t="s">
        <v>154</v>
      </c>
      <c r="F410" s="42" t="s">
        <v>169</v>
      </c>
      <c r="G410" s="42" t="s">
        <v>213</v>
      </c>
      <c r="H410" s="42" t="s">
        <v>171</v>
      </c>
      <c r="I410" s="42" t="s">
        <v>152</v>
      </c>
      <c r="J410" s="42" t="s">
        <v>159</v>
      </c>
      <c r="K410" s="42" t="s">
        <v>184</v>
      </c>
      <c r="L410" s="44" t="n">
        <v>958.18</v>
      </c>
      <c r="M410" s="42" t="n">
        <v>4</v>
      </c>
      <c r="N410" s="42" t="s">
        <v>146</v>
      </c>
      <c r="O410" s="42" t="s">
        <v>147</v>
      </c>
      <c r="P410" s="39" t="n">
        <f aca="false">C410-B410</f>
        <v>1</v>
      </c>
      <c r="Q410" s="40" t="str">
        <f aca="false">CHOOSE(MONTH(B410),"يناير","فبراير","مارس","أبريل","مايو","يونيو","يوليو","أغسطس","سبتمبر","أكتوبر","نوفمبر","ديسمبر")</f>
        <v>مارس</v>
      </c>
      <c r="R410" s="40" t="str">
        <f aca="false">"الربع "&amp;ROUNDUP(MONTH(B410)/3,0)</f>
        <v>الربع 1</v>
      </c>
      <c r="S410" s="40" t="str">
        <f aca="false">IF(D410&lt;=12,"أطفال (0-12)",IF(D410&lt;=24,"شباب (13-24)",IF(D410&lt;=44,"بالغون (25-44)",IF(D410&lt;=64,"متوسطو العمر (45-64)","كبار السن (+65)"))))</f>
        <v>بالغون (25-44)</v>
      </c>
      <c r="T410" s="41" t="n">
        <f aca="false">IFERROR(L410/P410,0)</f>
        <v>958.18</v>
      </c>
    </row>
    <row r="411" customFormat="false" ht="15" hidden="false" customHeight="false" outlineLevel="0" collapsed="false">
      <c r="A411" s="33" t="s">
        <v>1525</v>
      </c>
      <c r="B411" s="34" t="n">
        <v>45359</v>
      </c>
      <c r="C411" s="34" t="n">
        <v>45362</v>
      </c>
      <c r="D411" s="33" t="n">
        <v>47</v>
      </c>
      <c r="E411" s="33" t="s">
        <v>154</v>
      </c>
      <c r="F411" s="33" t="s">
        <v>226</v>
      </c>
      <c r="G411" s="33" t="s">
        <v>258</v>
      </c>
      <c r="H411" s="33" t="s">
        <v>263</v>
      </c>
      <c r="I411" s="33" t="s">
        <v>152</v>
      </c>
      <c r="J411" s="33" t="s">
        <v>159</v>
      </c>
      <c r="K411" s="33" t="s">
        <v>184</v>
      </c>
      <c r="L411" s="35" t="n">
        <v>9575.34</v>
      </c>
      <c r="M411" s="33" t="n">
        <v>5</v>
      </c>
      <c r="N411" s="33" t="s">
        <v>146</v>
      </c>
      <c r="O411" s="33" t="s">
        <v>147</v>
      </c>
      <c r="P411" s="39" t="n">
        <f aca="false">C411-B411</f>
        <v>3</v>
      </c>
      <c r="Q411" s="40" t="str">
        <f aca="false">CHOOSE(MONTH(B411),"يناير","فبراير","مارس","أبريل","مايو","يونيو","يوليو","أغسطس","سبتمبر","أكتوبر","نوفمبر","ديسمبر")</f>
        <v>مارس</v>
      </c>
      <c r="R411" s="40" t="str">
        <f aca="false">"الربع "&amp;ROUNDUP(MONTH(B411)/3,0)</f>
        <v>الربع 1</v>
      </c>
      <c r="S411" s="40" t="str">
        <f aca="false">IF(D411&lt;=12,"أطفال (0-12)",IF(D411&lt;=24,"شباب (13-24)",IF(D411&lt;=44,"بالغون (25-44)",IF(D411&lt;=64,"متوسطو العمر (45-64)","كبار السن (+65)"))))</f>
        <v>متوسطو العمر (45-64)</v>
      </c>
      <c r="T411" s="41" t="n">
        <f aca="false">IFERROR(L411/P411,0)</f>
        <v>3191.78</v>
      </c>
    </row>
    <row r="412" customFormat="false" ht="15" hidden="false" customHeight="false" outlineLevel="0" collapsed="false">
      <c r="A412" s="42" t="s">
        <v>187</v>
      </c>
      <c r="B412" s="43" t="n">
        <v>45359</v>
      </c>
      <c r="C412" s="43" t="n">
        <v>45364</v>
      </c>
      <c r="D412" s="42" t="n">
        <v>45</v>
      </c>
      <c r="E412" s="42" t="s">
        <v>154</v>
      </c>
      <c r="F412" s="42" t="s">
        <v>181</v>
      </c>
      <c r="G412" s="42" t="s">
        <v>188</v>
      </c>
      <c r="H412" s="42" t="s">
        <v>183</v>
      </c>
      <c r="I412" s="42" t="s">
        <v>158</v>
      </c>
      <c r="J412" s="42" t="s">
        <v>144</v>
      </c>
      <c r="K412" s="42" t="s">
        <v>184</v>
      </c>
      <c r="L412" s="44" t="n">
        <v>20613.92</v>
      </c>
      <c r="M412" s="42" t="n">
        <v>3</v>
      </c>
      <c r="N412" s="42" t="s">
        <v>146</v>
      </c>
      <c r="O412" s="42" t="s">
        <v>147</v>
      </c>
      <c r="P412" s="39" t="n">
        <f aca="false">C412-B412</f>
        <v>5</v>
      </c>
      <c r="Q412" s="40" t="str">
        <f aca="false">CHOOSE(MONTH(B412),"يناير","فبراير","مارس","أبريل","مايو","يونيو","يوليو","أغسطس","سبتمبر","أكتوبر","نوفمبر","ديسمبر")</f>
        <v>مارس</v>
      </c>
      <c r="R412" s="40" t="str">
        <f aca="false">"الربع "&amp;ROUNDUP(MONTH(B412)/3,0)</f>
        <v>الربع 1</v>
      </c>
      <c r="S412" s="40" t="str">
        <f aca="false">IF(D412&lt;=12,"أطفال (0-12)",IF(D412&lt;=24,"شباب (13-24)",IF(D412&lt;=44,"بالغون (25-44)",IF(D412&lt;=64,"متوسطو العمر (45-64)","كبار السن (+65)"))))</f>
        <v>متوسطو العمر (45-64)</v>
      </c>
      <c r="T412" s="41" t="n">
        <f aca="false">IFERROR(L412/P412,0)</f>
        <v>4122.784</v>
      </c>
    </row>
    <row r="413" customFormat="false" ht="15" hidden="false" customHeight="false" outlineLevel="0" collapsed="false">
      <c r="A413" s="33" t="s">
        <v>2075</v>
      </c>
      <c r="B413" s="34" t="n">
        <v>45359</v>
      </c>
      <c r="C413" s="34" t="n">
        <v>45362</v>
      </c>
      <c r="D413" s="33" t="n">
        <v>67</v>
      </c>
      <c r="E413" s="33" t="s">
        <v>139</v>
      </c>
      <c r="F413" s="33" t="s">
        <v>169</v>
      </c>
      <c r="G413" s="33" t="s">
        <v>230</v>
      </c>
      <c r="H413" s="33" t="s">
        <v>171</v>
      </c>
      <c r="I413" s="33" t="s">
        <v>152</v>
      </c>
      <c r="J413" s="33" t="s">
        <v>159</v>
      </c>
      <c r="K413" s="33" t="s">
        <v>160</v>
      </c>
      <c r="L413" s="35" t="n">
        <v>2722.53</v>
      </c>
      <c r="M413" s="33" t="n">
        <v>5</v>
      </c>
      <c r="N413" s="33" t="s">
        <v>146</v>
      </c>
      <c r="O413" s="33" t="s">
        <v>147</v>
      </c>
      <c r="P413" s="39" t="n">
        <f aca="false">C413-B413</f>
        <v>3</v>
      </c>
      <c r="Q413" s="40" t="str">
        <f aca="false">CHOOSE(MONTH(B413),"يناير","فبراير","مارس","أبريل","مايو","يونيو","يوليو","أغسطس","سبتمبر","أكتوبر","نوفمبر","ديسمبر")</f>
        <v>مارس</v>
      </c>
      <c r="R413" s="40" t="str">
        <f aca="false">"الربع "&amp;ROUNDUP(MONTH(B413)/3,0)</f>
        <v>الربع 1</v>
      </c>
      <c r="S413" s="40" t="str">
        <f aca="false">IF(D413&lt;=12,"أطفال (0-12)",IF(D413&lt;=24,"شباب (13-24)",IF(D413&lt;=44,"بالغون (25-44)",IF(D413&lt;=64,"متوسطو العمر (45-64)","كبار السن (+65)"))))</f>
        <v>كبار السن (+65)</v>
      </c>
      <c r="T413" s="41" t="n">
        <f aca="false">IFERROR(L413/P413,0)</f>
        <v>907.51</v>
      </c>
    </row>
    <row r="414" customFormat="false" ht="15" hidden="false" customHeight="false" outlineLevel="0" collapsed="false">
      <c r="A414" s="42" t="s">
        <v>942</v>
      </c>
      <c r="B414" s="43" t="n">
        <v>45360</v>
      </c>
      <c r="C414" s="43" t="n">
        <v>45362</v>
      </c>
      <c r="D414" s="42" t="n">
        <v>7</v>
      </c>
      <c r="E414" s="42" t="s">
        <v>139</v>
      </c>
      <c r="F414" s="42" t="s">
        <v>155</v>
      </c>
      <c r="G414" s="42" t="s">
        <v>302</v>
      </c>
      <c r="H414" s="42" t="s">
        <v>222</v>
      </c>
      <c r="I414" s="42" t="s">
        <v>143</v>
      </c>
      <c r="J414" s="42" t="s">
        <v>159</v>
      </c>
      <c r="K414" s="42" t="s">
        <v>145</v>
      </c>
      <c r="L414" s="44" t="n">
        <v>1633.39</v>
      </c>
      <c r="M414" s="42" t="n">
        <v>5</v>
      </c>
      <c r="N414" s="42" t="s">
        <v>146</v>
      </c>
      <c r="O414" s="42" t="s">
        <v>147</v>
      </c>
      <c r="P414" s="39" t="n">
        <f aca="false">C414-B414</f>
        <v>2</v>
      </c>
      <c r="Q414" s="40" t="str">
        <f aca="false">CHOOSE(MONTH(B414),"يناير","فبراير","مارس","أبريل","مايو","يونيو","يوليو","أغسطس","سبتمبر","أكتوبر","نوفمبر","ديسمبر")</f>
        <v>مارس</v>
      </c>
      <c r="R414" s="40" t="str">
        <f aca="false">"الربع "&amp;ROUNDUP(MONTH(B414)/3,0)</f>
        <v>الربع 1</v>
      </c>
      <c r="S414" s="40" t="str">
        <f aca="false">IF(D414&lt;=12,"أطفال (0-12)",IF(D414&lt;=24,"شباب (13-24)",IF(D414&lt;=44,"بالغون (25-44)",IF(D414&lt;=64,"متوسطو العمر (45-64)","كبار السن (+65)"))))</f>
        <v>أطفال (0-12)</v>
      </c>
      <c r="T414" s="41" t="n">
        <f aca="false">IFERROR(L414/P414,0)</f>
        <v>816.695</v>
      </c>
    </row>
    <row r="415" customFormat="false" ht="15" hidden="false" customHeight="false" outlineLevel="0" collapsed="false">
      <c r="A415" s="33" t="s">
        <v>2062</v>
      </c>
      <c r="B415" s="34" t="n">
        <v>45360</v>
      </c>
      <c r="C415" s="34" t="n">
        <v>45361</v>
      </c>
      <c r="D415" s="33" t="n">
        <v>39</v>
      </c>
      <c r="E415" s="33" t="s">
        <v>154</v>
      </c>
      <c r="F415" s="33" t="s">
        <v>203</v>
      </c>
      <c r="G415" s="33" t="s">
        <v>204</v>
      </c>
      <c r="H415" s="33" t="s">
        <v>193</v>
      </c>
      <c r="I415" s="33" t="s">
        <v>143</v>
      </c>
      <c r="J415" s="33" t="s">
        <v>159</v>
      </c>
      <c r="K415" s="33" t="s">
        <v>184</v>
      </c>
      <c r="L415" s="35" t="n">
        <v>739.53</v>
      </c>
      <c r="M415" s="33" t="n">
        <v>4</v>
      </c>
      <c r="N415" s="33" t="s">
        <v>146</v>
      </c>
      <c r="O415" s="33" t="s">
        <v>147</v>
      </c>
      <c r="P415" s="39" t="n">
        <f aca="false">C415-B415</f>
        <v>1</v>
      </c>
      <c r="Q415" s="40" t="str">
        <f aca="false">CHOOSE(MONTH(B415),"يناير","فبراير","مارس","أبريل","مايو","يونيو","يوليو","أغسطس","سبتمبر","أكتوبر","نوفمبر","ديسمبر")</f>
        <v>مارس</v>
      </c>
      <c r="R415" s="40" t="str">
        <f aca="false">"الربع "&amp;ROUNDUP(MONTH(B415)/3,0)</f>
        <v>الربع 1</v>
      </c>
      <c r="S415" s="40" t="str">
        <f aca="false">IF(D415&lt;=12,"أطفال (0-12)",IF(D415&lt;=24,"شباب (13-24)",IF(D415&lt;=44,"بالغون (25-44)",IF(D415&lt;=64,"متوسطو العمر (45-64)","كبار السن (+65)"))))</f>
        <v>بالغون (25-44)</v>
      </c>
      <c r="T415" s="41" t="n">
        <f aca="false">IFERROR(L415/P415,0)</f>
        <v>739.53</v>
      </c>
    </row>
    <row r="416" customFormat="false" ht="15" hidden="false" customHeight="false" outlineLevel="0" collapsed="false">
      <c r="A416" s="42" t="s">
        <v>926</v>
      </c>
      <c r="B416" s="43" t="n">
        <v>45360</v>
      </c>
      <c r="C416" s="43" t="n">
        <v>45362</v>
      </c>
      <c r="D416" s="42" t="n">
        <v>26</v>
      </c>
      <c r="E416" s="42" t="s">
        <v>154</v>
      </c>
      <c r="F416" s="42" t="s">
        <v>173</v>
      </c>
      <c r="G416" s="42" t="s">
        <v>178</v>
      </c>
      <c r="H416" s="42" t="s">
        <v>199</v>
      </c>
      <c r="I416" s="42" t="s">
        <v>152</v>
      </c>
      <c r="J416" s="42" t="s">
        <v>144</v>
      </c>
      <c r="K416" s="42" t="s">
        <v>184</v>
      </c>
      <c r="L416" s="44" t="n">
        <v>9601.87</v>
      </c>
      <c r="M416" s="42" t="n">
        <v>4</v>
      </c>
      <c r="N416" s="42" t="s">
        <v>210</v>
      </c>
      <c r="O416" s="42" t="s">
        <v>147</v>
      </c>
      <c r="P416" s="39" t="n">
        <f aca="false">C416-B416</f>
        <v>2</v>
      </c>
      <c r="Q416" s="40" t="str">
        <f aca="false">CHOOSE(MONTH(B416),"يناير","فبراير","مارس","أبريل","مايو","يونيو","يوليو","أغسطس","سبتمبر","أكتوبر","نوفمبر","ديسمبر")</f>
        <v>مارس</v>
      </c>
      <c r="R416" s="40" t="str">
        <f aca="false">"الربع "&amp;ROUNDUP(MONTH(B416)/3,0)</f>
        <v>الربع 1</v>
      </c>
      <c r="S416" s="40" t="str">
        <f aca="false">IF(D416&lt;=12,"أطفال (0-12)",IF(D416&lt;=24,"شباب (13-24)",IF(D416&lt;=44,"بالغون (25-44)",IF(D416&lt;=64,"متوسطو العمر (45-64)","كبار السن (+65)"))))</f>
        <v>بالغون (25-44)</v>
      </c>
      <c r="T416" s="41" t="n">
        <f aca="false">IFERROR(L416/P416,0)</f>
        <v>4800.935</v>
      </c>
    </row>
    <row r="417" customFormat="false" ht="15" hidden="false" customHeight="false" outlineLevel="0" collapsed="false">
      <c r="A417" s="33" t="s">
        <v>1964</v>
      </c>
      <c r="B417" s="34" t="n">
        <v>45360</v>
      </c>
      <c r="C417" s="34" t="n">
        <v>45371</v>
      </c>
      <c r="D417" s="33" t="n">
        <v>63</v>
      </c>
      <c r="E417" s="33" t="s">
        <v>154</v>
      </c>
      <c r="F417" s="33" t="s">
        <v>226</v>
      </c>
      <c r="G417" s="33" t="s">
        <v>258</v>
      </c>
      <c r="H417" s="33" t="s">
        <v>263</v>
      </c>
      <c r="I417" s="33" t="s">
        <v>152</v>
      </c>
      <c r="J417" s="33" t="s">
        <v>159</v>
      </c>
      <c r="K417" s="33" t="s">
        <v>160</v>
      </c>
      <c r="L417" s="35" t="n">
        <v>34545.21</v>
      </c>
      <c r="M417" s="33" t="n">
        <v>3</v>
      </c>
      <c r="N417" s="33" t="s">
        <v>146</v>
      </c>
      <c r="O417" s="33" t="s">
        <v>247</v>
      </c>
      <c r="P417" s="39" t="n">
        <f aca="false">C417-B417</f>
        <v>11</v>
      </c>
      <c r="Q417" s="40" t="str">
        <f aca="false">CHOOSE(MONTH(B417),"يناير","فبراير","مارس","أبريل","مايو","يونيو","يوليو","أغسطس","سبتمبر","أكتوبر","نوفمبر","ديسمبر")</f>
        <v>مارس</v>
      </c>
      <c r="R417" s="40" t="str">
        <f aca="false">"الربع "&amp;ROUNDUP(MONTH(B417)/3,0)</f>
        <v>الربع 1</v>
      </c>
      <c r="S417" s="40" t="str">
        <f aca="false">IF(D417&lt;=12,"أطفال (0-12)",IF(D417&lt;=24,"شباب (13-24)",IF(D417&lt;=44,"بالغون (25-44)",IF(D417&lt;=64,"متوسطو العمر (45-64)","كبار السن (+65)"))))</f>
        <v>متوسطو العمر (45-64)</v>
      </c>
      <c r="T417" s="41" t="n">
        <f aca="false">IFERROR(L417/P417,0)</f>
        <v>3140.47363636364</v>
      </c>
    </row>
    <row r="418" customFormat="false" ht="15" hidden="false" customHeight="false" outlineLevel="0" collapsed="false">
      <c r="A418" s="42" t="s">
        <v>1255</v>
      </c>
      <c r="B418" s="43" t="n">
        <v>45360</v>
      </c>
      <c r="C418" s="43" t="n">
        <v>45362</v>
      </c>
      <c r="D418" s="42" t="n">
        <v>39</v>
      </c>
      <c r="E418" s="42" t="s">
        <v>139</v>
      </c>
      <c r="F418" s="42" t="s">
        <v>140</v>
      </c>
      <c r="G418" s="42" t="s">
        <v>316</v>
      </c>
      <c r="H418" s="42" t="s">
        <v>290</v>
      </c>
      <c r="I418" s="42" t="s">
        <v>152</v>
      </c>
      <c r="J418" s="42" t="s">
        <v>159</v>
      </c>
      <c r="K418" s="42" t="s">
        <v>184</v>
      </c>
      <c r="L418" s="44" t="n">
        <v>4569.34</v>
      </c>
      <c r="M418" s="42" t="n">
        <v>5</v>
      </c>
      <c r="N418" s="42" t="s">
        <v>146</v>
      </c>
      <c r="O418" s="42" t="s">
        <v>147</v>
      </c>
      <c r="P418" s="39" t="n">
        <f aca="false">C418-B418</f>
        <v>2</v>
      </c>
      <c r="Q418" s="40" t="str">
        <f aca="false">CHOOSE(MONTH(B418),"يناير","فبراير","مارس","أبريل","مايو","يونيو","يوليو","أغسطس","سبتمبر","أكتوبر","نوفمبر","ديسمبر")</f>
        <v>مارس</v>
      </c>
      <c r="R418" s="40" t="str">
        <f aca="false">"الربع "&amp;ROUNDUP(MONTH(B418)/3,0)</f>
        <v>الربع 1</v>
      </c>
      <c r="S418" s="40" t="str">
        <f aca="false">IF(D418&lt;=12,"أطفال (0-12)",IF(D418&lt;=24,"شباب (13-24)",IF(D418&lt;=44,"بالغون (25-44)",IF(D418&lt;=64,"متوسطو العمر (45-64)","كبار السن (+65)"))))</f>
        <v>بالغون (25-44)</v>
      </c>
      <c r="T418" s="41" t="n">
        <f aca="false">IFERROR(L418/P418,0)</f>
        <v>2284.67</v>
      </c>
    </row>
    <row r="419" customFormat="false" ht="15" hidden="false" customHeight="false" outlineLevel="0" collapsed="false">
      <c r="A419" s="33" t="s">
        <v>292</v>
      </c>
      <c r="B419" s="34" t="n">
        <v>45361</v>
      </c>
      <c r="C419" s="34" t="n">
        <v>45368</v>
      </c>
      <c r="D419" s="33" t="n">
        <v>32</v>
      </c>
      <c r="E419" s="33" t="s">
        <v>139</v>
      </c>
      <c r="F419" s="33" t="s">
        <v>169</v>
      </c>
      <c r="G419" s="33" t="s">
        <v>230</v>
      </c>
      <c r="H419" s="33" t="s">
        <v>195</v>
      </c>
      <c r="I419" s="33" t="s">
        <v>152</v>
      </c>
      <c r="J419" s="33" t="s">
        <v>159</v>
      </c>
      <c r="K419" s="33" t="s">
        <v>209</v>
      </c>
      <c r="L419" s="35" t="n">
        <v>7327.08</v>
      </c>
      <c r="M419" s="33" t="n">
        <v>5</v>
      </c>
      <c r="N419" s="33" t="s">
        <v>146</v>
      </c>
      <c r="O419" s="33" t="s">
        <v>147</v>
      </c>
      <c r="P419" s="39" t="n">
        <f aca="false">C419-B419</f>
        <v>7</v>
      </c>
      <c r="Q419" s="40" t="str">
        <f aca="false">CHOOSE(MONTH(B419),"يناير","فبراير","مارس","أبريل","مايو","يونيو","يوليو","أغسطس","سبتمبر","أكتوبر","نوفمبر","ديسمبر")</f>
        <v>مارس</v>
      </c>
      <c r="R419" s="40" t="str">
        <f aca="false">"الربع "&amp;ROUNDUP(MONTH(B419)/3,0)</f>
        <v>الربع 1</v>
      </c>
      <c r="S419" s="40" t="str">
        <f aca="false">IF(D419&lt;=12,"أطفال (0-12)",IF(D419&lt;=24,"شباب (13-24)",IF(D419&lt;=44,"بالغون (25-44)",IF(D419&lt;=64,"متوسطو العمر (45-64)","كبار السن (+65)"))))</f>
        <v>بالغون (25-44)</v>
      </c>
      <c r="T419" s="41" t="n">
        <f aca="false">IFERROR(L419/P419,0)</f>
        <v>1046.72571428571</v>
      </c>
    </row>
    <row r="420" customFormat="false" ht="15" hidden="false" customHeight="false" outlineLevel="0" collapsed="false">
      <c r="A420" s="42" t="s">
        <v>463</v>
      </c>
      <c r="B420" s="43" t="n">
        <v>45361</v>
      </c>
      <c r="C420" s="43" t="n">
        <v>45362</v>
      </c>
      <c r="D420" s="42" t="n">
        <v>58</v>
      </c>
      <c r="E420" s="42" t="s">
        <v>139</v>
      </c>
      <c r="F420" s="42" t="s">
        <v>203</v>
      </c>
      <c r="G420" s="42" t="s">
        <v>204</v>
      </c>
      <c r="H420" s="42" t="s">
        <v>193</v>
      </c>
      <c r="I420" s="42" t="s">
        <v>143</v>
      </c>
      <c r="J420" s="42" t="s">
        <v>159</v>
      </c>
      <c r="K420" s="42" t="s">
        <v>145</v>
      </c>
      <c r="L420" s="44" t="n">
        <v>814</v>
      </c>
      <c r="M420" s="42" t="n">
        <v>4</v>
      </c>
      <c r="N420" s="42" t="s">
        <v>146</v>
      </c>
      <c r="O420" s="42" t="s">
        <v>147</v>
      </c>
      <c r="P420" s="39" t="n">
        <f aca="false">C420-B420</f>
        <v>1</v>
      </c>
      <c r="Q420" s="40" t="str">
        <f aca="false">CHOOSE(MONTH(B420),"يناير","فبراير","مارس","أبريل","مايو","يونيو","يوليو","أغسطس","سبتمبر","أكتوبر","نوفمبر","ديسمبر")</f>
        <v>مارس</v>
      </c>
      <c r="R420" s="40" t="str">
        <f aca="false">"الربع "&amp;ROUNDUP(MONTH(B420)/3,0)</f>
        <v>الربع 1</v>
      </c>
      <c r="S420" s="40" t="str">
        <f aca="false">IF(D420&lt;=12,"أطفال (0-12)",IF(D420&lt;=24,"شباب (13-24)",IF(D420&lt;=44,"بالغون (25-44)",IF(D420&lt;=64,"متوسطو العمر (45-64)","كبار السن (+65)"))))</f>
        <v>متوسطو العمر (45-64)</v>
      </c>
      <c r="T420" s="41" t="n">
        <f aca="false">IFERROR(L420/P420,0)</f>
        <v>814</v>
      </c>
    </row>
    <row r="421" customFormat="false" ht="15" hidden="false" customHeight="false" outlineLevel="0" collapsed="false">
      <c r="A421" s="33" t="s">
        <v>364</v>
      </c>
      <c r="B421" s="34" t="n">
        <v>45361</v>
      </c>
      <c r="C421" s="34" t="n">
        <v>45364</v>
      </c>
      <c r="D421" s="33" t="n">
        <v>70</v>
      </c>
      <c r="E421" s="33" t="s">
        <v>154</v>
      </c>
      <c r="F421" s="33" t="s">
        <v>181</v>
      </c>
      <c r="G421" s="33" t="s">
        <v>182</v>
      </c>
      <c r="H421" s="33" t="s">
        <v>183</v>
      </c>
      <c r="I421" s="33" t="s">
        <v>143</v>
      </c>
      <c r="J421" s="33" t="s">
        <v>159</v>
      </c>
      <c r="K421" s="33" t="s">
        <v>160</v>
      </c>
      <c r="L421" s="35" t="n">
        <v>7461.12</v>
      </c>
      <c r="M421" s="33" t="n">
        <v>4</v>
      </c>
      <c r="N421" s="33" t="s">
        <v>146</v>
      </c>
      <c r="O421" s="33" t="s">
        <v>147</v>
      </c>
      <c r="P421" s="39" t="n">
        <f aca="false">C421-B421</f>
        <v>3</v>
      </c>
      <c r="Q421" s="40" t="str">
        <f aca="false">CHOOSE(MONTH(B421),"يناير","فبراير","مارس","أبريل","مايو","يونيو","يوليو","أغسطس","سبتمبر","أكتوبر","نوفمبر","ديسمبر")</f>
        <v>مارس</v>
      </c>
      <c r="R421" s="40" t="str">
        <f aca="false">"الربع "&amp;ROUNDUP(MONTH(B421)/3,0)</f>
        <v>الربع 1</v>
      </c>
      <c r="S421" s="40" t="str">
        <f aca="false">IF(D421&lt;=12,"أطفال (0-12)",IF(D421&lt;=24,"شباب (13-24)",IF(D421&lt;=44,"بالغون (25-44)",IF(D421&lt;=64,"متوسطو العمر (45-64)","كبار السن (+65)"))))</f>
        <v>كبار السن (+65)</v>
      </c>
      <c r="T421" s="41" t="n">
        <f aca="false">IFERROR(L421/P421,0)</f>
        <v>2487.04</v>
      </c>
    </row>
    <row r="422" customFormat="false" ht="15" hidden="false" customHeight="false" outlineLevel="0" collapsed="false">
      <c r="A422" s="42" t="s">
        <v>2010</v>
      </c>
      <c r="B422" s="43" t="n">
        <v>45362</v>
      </c>
      <c r="C422" s="43" t="n">
        <v>45366</v>
      </c>
      <c r="D422" s="42" t="n">
        <v>46</v>
      </c>
      <c r="E422" s="42" t="s">
        <v>139</v>
      </c>
      <c r="F422" s="42" t="s">
        <v>169</v>
      </c>
      <c r="G422" s="42" t="s">
        <v>213</v>
      </c>
      <c r="H422" s="42" t="s">
        <v>171</v>
      </c>
      <c r="I422" s="42" t="s">
        <v>143</v>
      </c>
      <c r="J422" s="42" t="s">
        <v>159</v>
      </c>
      <c r="K422" s="42" t="s">
        <v>145</v>
      </c>
      <c r="L422" s="44" t="n">
        <v>4273.27</v>
      </c>
      <c r="M422" s="42" t="n">
        <v>4</v>
      </c>
      <c r="N422" s="42" t="s">
        <v>146</v>
      </c>
      <c r="O422" s="42" t="s">
        <v>147</v>
      </c>
      <c r="P422" s="39" t="n">
        <f aca="false">C422-B422</f>
        <v>4</v>
      </c>
      <c r="Q422" s="40" t="str">
        <f aca="false">CHOOSE(MONTH(B422),"يناير","فبراير","مارس","أبريل","مايو","يونيو","يوليو","أغسطس","سبتمبر","أكتوبر","نوفمبر","ديسمبر")</f>
        <v>مارس</v>
      </c>
      <c r="R422" s="40" t="str">
        <f aca="false">"الربع "&amp;ROUNDUP(MONTH(B422)/3,0)</f>
        <v>الربع 1</v>
      </c>
      <c r="S422" s="40" t="str">
        <f aca="false">IF(D422&lt;=12,"أطفال (0-12)",IF(D422&lt;=24,"شباب (13-24)",IF(D422&lt;=44,"بالغون (25-44)",IF(D422&lt;=64,"متوسطو العمر (45-64)","كبار السن (+65)"))))</f>
        <v>متوسطو العمر (45-64)</v>
      </c>
      <c r="T422" s="41" t="n">
        <f aca="false">IFERROR(L422/P422,0)</f>
        <v>1068.3175</v>
      </c>
    </row>
    <row r="423" customFormat="false" ht="15" hidden="false" customHeight="false" outlineLevel="0" collapsed="false">
      <c r="A423" s="33" t="s">
        <v>820</v>
      </c>
      <c r="B423" s="34" t="n">
        <v>45362</v>
      </c>
      <c r="C423" s="34" t="n">
        <v>45364</v>
      </c>
      <c r="D423" s="33" t="n">
        <v>45</v>
      </c>
      <c r="E423" s="33" t="s">
        <v>154</v>
      </c>
      <c r="F423" s="33" t="s">
        <v>203</v>
      </c>
      <c r="G423" s="33" t="s">
        <v>192</v>
      </c>
      <c r="H423" s="33" t="s">
        <v>193</v>
      </c>
      <c r="I423" s="33" t="s">
        <v>143</v>
      </c>
      <c r="J423" s="33" t="s">
        <v>159</v>
      </c>
      <c r="K423" s="33" t="s">
        <v>160</v>
      </c>
      <c r="L423" s="35" t="n">
        <v>1443.62</v>
      </c>
      <c r="M423" s="33" t="n">
        <v>3</v>
      </c>
      <c r="N423" s="33" t="s">
        <v>146</v>
      </c>
      <c r="O423" s="33" t="s">
        <v>147</v>
      </c>
      <c r="P423" s="39" t="n">
        <f aca="false">C423-B423</f>
        <v>2</v>
      </c>
      <c r="Q423" s="40" t="str">
        <f aca="false">CHOOSE(MONTH(B423),"يناير","فبراير","مارس","أبريل","مايو","يونيو","يوليو","أغسطس","سبتمبر","أكتوبر","نوفمبر","ديسمبر")</f>
        <v>مارس</v>
      </c>
      <c r="R423" s="40" t="str">
        <f aca="false">"الربع "&amp;ROUNDUP(MONTH(B423)/3,0)</f>
        <v>الربع 1</v>
      </c>
      <c r="S423" s="40" t="str">
        <f aca="false">IF(D423&lt;=12,"أطفال (0-12)",IF(D423&lt;=24,"شباب (13-24)",IF(D423&lt;=44,"بالغون (25-44)",IF(D423&lt;=64,"متوسطو العمر (45-64)","كبار السن (+65)"))))</f>
        <v>متوسطو العمر (45-64)</v>
      </c>
      <c r="T423" s="41" t="n">
        <f aca="false">IFERROR(L423/P423,0)</f>
        <v>721.81</v>
      </c>
    </row>
    <row r="424" customFormat="false" ht="15" hidden="false" customHeight="false" outlineLevel="0" collapsed="false">
      <c r="A424" s="42" t="s">
        <v>264</v>
      </c>
      <c r="B424" s="43" t="n">
        <v>45362</v>
      </c>
      <c r="C424" s="43" t="n">
        <v>45364</v>
      </c>
      <c r="D424" s="42" t="n">
        <v>40</v>
      </c>
      <c r="E424" s="42" t="s">
        <v>139</v>
      </c>
      <c r="F424" s="42" t="s">
        <v>173</v>
      </c>
      <c r="G424" s="42" t="s">
        <v>174</v>
      </c>
      <c r="H424" s="42" t="s">
        <v>175</v>
      </c>
      <c r="I424" s="42" t="s">
        <v>152</v>
      </c>
      <c r="J424" s="42" t="s">
        <v>176</v>
      </c>
      <c r="K424" s="42" t="s">
        <v>145</v>
      </c>
      <c r="L424" s="44" t="n">
        <v>14666.49</v>
      </c>
      <c r="M424" s="42" t="n">
        <v>5</v>
      </c>
      <c r="N424" s="42" t="s">
        <v>210</v>
      </c>
      <c r="O424" s="42" t="s">
        <v>147</v>
      </c>
      <c r="P424" s="39" t="n">
        <f aca="false">C424-B424</f>
        <v>2</v>
      </c>
      <c r="Q424" s="40" t="str">
        <f aca="false">CHOOSE(MONTH(B424),"يناير","فبراير","مارس","أبريل","مايو","يونيو","يوليو","أغسطس","سبتمبر","أكتوبر","نوفمبر","ديسمبر")</f>
        <v>مارس</v>
      </c>
      <c r="R424" s="40" t="str">
        <f aca="false">"الربع "&amp;ROUNDUP(MONTH(B424)/3,0)</f>
        <v>الربع 1</v>
      </c>
      <c r="S424" s="40" t="str">
        <f aca="false">IF(D424&lt;=12,"أطفال (0-12)",IF(D424&lt;=24,"شباب (13-24)",IF(D424&lt;=44,"بالغون (25-44)",IF(D424&lt;=64,"متوسطو العمر (45-64)","كبار السن (+65)"))))</f>
        <v>بالغون (25-44)</v>
      </c>
      <c r="T424" s="41" t="n">
        <f aca="false">IFERROR(L424/P424,0)</f>
        <v>7333.245</v>
      </c>
    </row>
    <row r="425" customFormat="false" ht="15" hidden="false" customHeight="false" outlineLevel="0" collapsed="false">
      <c r="A425" s="33" t="s">
        <v>998</v>
      </c>
      <c r="B425" s="34" t="n">
        <v>45362</v>
      </c>
      <c r="C425" s="34" t="n">
        <v>45367</v>
      </c>
      <c r="D425" s="33" t="n">
        <v>14</v>
      </c>
      <c r="E425" s="33" t="s">
        <v>154</v>
      </c>
      <c r="F425" s="33" t="s">
        <v>155</v>
      </c>
      <c r="G425" s="33" t="s">
        <v>156</v>
      </c>
      <c r="H425" s="33" t="s">
        <v>157</v>
      </c>
      <c r="I425" s="33" t="s">
        <v>152</v>
      </c>
      <c r="J425" s="33" t="s">
        <v>159</v>
      </c>
      <c r="K425" s="33" t="s">
        <v>160</v>
      </c>
      <c r="L425" s="35" t="n">
        <v>4263.58</v>
      </c>
      <c r="M425" s="33" t="n">
        <v>5</v>
      </c>
      <c r="N425" s="33" t="s">
        <v>146</v>
      </c>
      <c r="O425" s="33" t="s">
        <v>147</v>
      </c>
      <c r="P425" s="39" t="n">
        <f aca="false">C425-B425</f>
        <v>5</v>
      </c>
      <c r="Q425" s="40" t="str">
        <f aca="false">CHOOSE(MONTH(B425),"يناير","فبراير","مارس","أبريل","مايو","يونيو","يوليو","أغسطس","سبتمبر","أكتوبر","نوفمبر","ديسمبر")</f>
        <v>مارس</v>
      </c>
      <c r="R425" s="40" t="str">
        <f aca="false">"الربع "&amp;ROUNDUP(MONTH(B425)/3,0)</f>
        <v>الربع 1</v>
      </c>
      <c r="S425" s="40" t="str">
        <f aca="false">IF(D425&lt;=12,"أطفال (0-12)",IF(D425&lt;=24,"شباب (13-24)",IF(D425&lt;=44,"بالغون (25-44)",IF(D425&lt;=64,"متوسطو العمر (45-64)","كبار السن (+65)"))))</f>
        <v>شباب (13-24)</v>
      </c>
      <c r="T425" s="41" t="n">
        <f aca="false">IFERROR(L425/P425,0)</f>
        <v>852.716</v>
      </c>
    </row>
    <row r="426" customFormat="false" ht="15" hidden="false" customHeight="false" outlineLevel="0" collapsed="false">
      <c r="A426" s="42" t="s">
        <v>634</v>
      </c>
      <c r="B426" s="43" t="n">
        <v>45362</v>
      </c>
      <c r="C426" s="43" t="n">
        <v>45363</v>
      </c>
      <c r="D426" s="42" t="n">
        <v>55</v>
      </c>
      <c r="E426" s="42" t="s">
        <v>154</v>
      </c>
      <c r="F426" s="42" t="s">
        <v>203</v>
      </c>
      <c r="G426" s="42" t="s">
        <v>217</v>
      </c>
      <c r="H426" s="42" t="s">
        <v>193</v>
      </c>
      <c r="I426" s="42" t="s">
        <v>143</v>
      </c>
      <c r="J426" s="42" t="s">
        <v>159</v>
      </c>
      <c r="K426" s="42" t="s">
        <v>209</v>
      </c>
      <c r="L426" s="44" t="n">
        <v>848.79</v>
      </c>
      <c r="M426" s="42" t="n">
        <v>4</v>
      </c>
      <c r="N426" s="42" t="s">
        <v>146</v>
      </c>
      <c r="O426" s="42" t="s">
        <v>147</v>
      </c>
      <c r="P426" s="39" t="n">
        <f aca="false">C426-B426</f>
        <v>1</v>
      </c>
      <c r="Q426" s="40" t="str">
        <f aca="false">CHOOSE(MONTH(B426),"يناير","فبراير","مارس","أبريل","مايو","يونيو","يوليو","أغسطس","سبتمبر","أكتوبر","نوفمبر","ديسمبر")</f>
        <v>مارس</v>
      </c>
      <c r="R426" s="40" t="str">
        <f aca="false">"الربع "&amp;ROUNDUP(MONTH(B426)/3,0)</f>
        <v>الربع 1</v>
      </c>
      <c r="S426" s="40" t="str">
        <f aca="false">IF(D426&lt;=12,"أطفال (0-12)",IF(D426&lt;=24,"شباب (13-24)",IF(D426&lt;=44,"بالغون (25-44)",IF(D426&lt;=64,"متوسطو العمر (45-64)","كبار السن (+65)"))))</f>
        <v>متوسطو العمر (45-64)</v>
      </c>
      <c r="T426" s="41" t="n">
        <f aca="false">IFERROR(L426/P426,0)</f>
        <v>848.79</v>
      </c>
    </row>
    <row r="427" customFormat="false" ht="15" hidden="false" customHeight="false" outlineLevel="0" collapsed="false">
      <c r="A427" s="33" t="s">
        <v>1735</v>
      </c>
      <c r="B427" s="34" t="n">
        <v>45363</v>
      </c>
      <c r="C427" s="34" t="n">
        <v>45365</v>
      </c>
      <c r="D427" s="33" t="n">
        <v>43</v>
      </c>
      <c r="E427" s="33" t="s">
        <v>154</v>
      </c>
      <c r="F427" s="33" t="s">
        <v>173</v>
      </c>
      <c r="G427" s="33" t="s">
        <v>174</v>
      </c>
      <c r="H427" s="33" t="s">
        <v>175</v>
      </c>
      <c r="I427" s="33" t="s">
        <v>143</v>
      </c>
      <c r="J427" s="33" t="s">
        <v>159</v>
      </c>
      <c r="K427" s="33" t="s">
        <v>160</v>
      </c>
      <c r="L427" s="35" t="n">
        <v>4745.34</v>
      </c>
      <c r="M427" s="33" t="n">
        <v>4</v>
      </c>
      <c r="N427" s="33" t="s">
        <v>146</v>
      </c>
      <c r="O427" s="33" t="s">
        <v>147</v>
      </c>
      <c r="P427" s="39" t="n">
        <f aca="false">C427-B427</f>
        <v>2</v>
      </c>
      <c r="Q427" s="40" t="str">
        <f aca="false">CHOOSE(MONTH(B427),"يناير","فبراير","مارس","أبريل","مايو","يونيو","يوليو","أغسطس","سبتمبر","أكتوبر","نوفمبر","ديسمبر")</f>
        <v>مارس</v>
      </c>
      <c r="R427" s="40" t="str">
        <f aca="false">"الربع "&amp;ROUNDUP(MONTH(B427)/3,0)</f>
        <v>الربع 1</v>
      </c>
      <c r="S427" s="40" t="str">
        <f aca="false">IF(D427&lt;=12,"أطفال (0-12)",IF(D427&lt;=24,"شباب (13-24)",IF(D427&lt;=44,"بالغون (25-44)",IF(D427&lt;=64,"متوسطو العمر (45-64)","كبار السن (+65)"))))</f>
        <v>بالغون (25-44)</v>
      </c>
      <c r="T427" s="41" t="n">
        <f aca="false">IFERROR(L427/P427,0)</f>
        <v>2372.67</v>
      </c>
    </row>
    <row r="428" customFormat="false" ht="15" hidden="false" customHeight="false" outlineLevel="0" collapsed="false">
      <c r="A428" s="42" t="s">
        <v>664</v>
      </c>
      <c r="B428" s="43" t="n">
        <v>45363</v>
      </c>
      <c r="C428" s="43" t="n">
        <v>45364</v>
      </c>
      <c r="D428" s="42" t="n">
        <v>52</v>
      </c>
      <c r="E428" s="42" t="s">
        <v>139</v>
      </c>
      <c r="F428" s="42" t="s">
        <v>140</v>
      </c>
      <c r="G428" s="42" t="s">
        <v>141</v>
      </c>
      <c r="H428" s="42" t="s">
        <v>142</v>
      </c>
      <c r="I428" s="42" t="s">
        <v>143</v>
      </c>
      <c r="J428" s="42" t="s">
        <v>159</v>
      </c>
      <c r="K428" s="42" t="s">
        <v>160</v>
      </c>
      <c r="L428" s="44" t="n">
        <v>2678.38</v>
      </c>
      <c r="M428" s="42" t="n">
        <v>4</v>
      </c>
      <c r="N428" s="42" t="s">
        <v>146</v>
      </c>
      <c r="O428" s="42" t="s">
        <v>147</v>
      </c>
      <c r="P428" s="39" t="n">
        <f aca="false">C428-B428</f>
        <v>1</v>
      </c>
      <c r="Q428" s="40" t="str">
        <f aca="false">CHOOSE(MONTH(B428),"يناير","فبراير","مارس","أبريل","مايو","يونيو","يوليو","أغسطس","سبتمبر","أكتوبر","نوفمبر","ديسمبر")</f>
        <v>مارس</v>
      </c>
      <c r="R428" s="40" t="str">
        <f aca="false">"الربع "&amp;ROUNDUP(MONTH(B428)/3,0)</f>
        <v>الربع 1</v>
      </c>
      <c r="S428" s="40" t="str">
        <f aca="false">IF(D428&lt;=12,"أطفال (0-12)",IF(D428&lt;=24,"شباب (13-24)",IF(D428&lt;=44,"بالغون (25-44)",IF(D428&lt;=64,"متوسطو العمر (45-64)","كبار السن (+65)"))))</f>
        <v>متوسطو العمر (45-64)</v>
      </c>
      <c r="T428" s="41" t="n">
        <f aca="false">IFERROR(L428/P428,0)</f>
        <v>2678.38</v>
      </c>
    </row>
    <row r="429" customFormat="false" ht="15" hidden="false" customHeight="false" outlineLevel="0" collapsed="false">
      <c r="A429" s="33" t="s">
        <v>557</v>
      </c>
      <c r="B429" s="34" t="n">
        <v>45363</v>
      </c>
      <c r="C429" s="34" t="n">
        <v>45364</v>
      </c>
      <c r="D429" s="33" t="n">
        <v>51</v>
      </c>
      <c r="E429" s="33" t="s">
        <v>139</v>
      </c>
      <c r="F429" s="33" t="s">
        <v>173</v>
      </c>
      <c r="G429" s="33" t="s">
        <v>178</v>
      </c>
      <c r="H429" s="33" t="s">
        <v>199</v>
      </c>
      <c r="I429" s="33" t="s">
        <v>152</v>
      </c>
      <c r="J429" s="33" t="s">
        <v>159</v>
      </c>
      <c r="K429" s="33" t="s">
        <v>184</v>
      </c>
      <c r="L429" s="35" t="n">
        <v>2672.52</v>
      </c>
      <c r="M429" s="33" t="n">
        <v>5</v>
      </c>
      <c r="N429" s="33" t="s">
        <v>146</v>
      </c>
      <c r="O429" s="33" t="s">
        <v>147</v>
      </c>
      <c r="P429" s="39" t="n">
        <f aca="false">C429-B429</f>
        <v>1</v>
      </c>
      <c r="Q429" s="40" t="str">
        <f aca="false">CHOOSE(MONTH(B429),"يناير","فبراير","مارس","أبريل","مايو","يونيو","يوليو","أغسطس","سبتمبر","أكتوبر","نوفمبر","ديسمبر")</f>
        <v>مارس</v>
      </c>
      <c r="R429" s="40" t="str">
        <f aca="false">"الربع "&amp;ROUNDUP(MONTH(B429)/3,0)</f>
        <v>الربع 1</v>
      </c>
      <c r="S429" s="40" t="str">
        <f aca="false">IF(D429&lt;=12,"أطفال (0-12)",IF(D429&lt;=24,"شباب (13-24)",IF(D429&lt;=44,"بالغون (25-44)",IF(D429&lt;=64,"متوسطو العمر (45-64)","كبار السن (+65)"))))</f>
        <v>متوسطو العمر (45-64)</v>
      </c>
      <c r="T429" s="41" t="n">
        <f aca="false">IFERROR(L429/P429,0)</f>
        <v>2672.52</v>
      </c>
    </row>
    <row r="430" customFormat="false" ht="15" hidden="false" customHeight="false" outlineLevel="0" collapsed="false">
      <c r="A430" s="42" t="s">
        <v>277</v>
      </c>
      <c r="B430" s="43" t="n">
        <v>45363</v>
      </c>
      <c r="C430" s="43" t="n">
        <v>45364</v>
      </c>
      <c r="D430" s="42" t="n">
        <v>24</v>
      </c>
      <c r="E430" s="42" t="s">
        <v>139</v>
      </c>
      <c r="F430" s="42" t="s">
        <v>149</v>
      </c>
      <c r="G430" s="42" t="s">
        <v>224</v>
      </c>
      <c r="H430" s="42" t="s">
        <v>151</v>
      </c>
      <c r="I430" s="42" t="s">
        <v>143</v>
      </c>
      <c r="J430" s="42" t="s">
        <v>159</v>
      </c>
      <c r="K430" s="42" t="s">
        <v>145</v>
      </c>
      <c r="L430" s="44" t="n">
        <v>1459.06</v>
      </c>
      <c r="M430" s="42" t="n">
        <v>5</v>
      </c>
      <c r="N430" s="42" t="s">
        <v>146</v>
      </c>
      <c r="O430" s="42" t="s">
        <v>147</v>
      </c>
      <c r="P430" s="39" t="n">
        <f aca="false">C430-B430</f>
        <v>1</v>
      </c>
      <c r="Q430" s="40" t="str">
        <f aca="false">CHOOSE(MONTH(B430),"يناير","فبراير","مارس","أبريل","مايو","يونيو","يوليو","أغسطس","سبتمبر","أكتوبر","نوفمبر","ديسمبر")</f>
        <v>مارس</v>
      </c>
      <c r="R430" s="40" t="str">
        <f aca="false">"الربع "&amp;ROUNDUP(MONTH(B430)/3,0)</f>
        <v>الربع 1</v>
      </c>
      <c r="S430" s="40" t="str">
        <f aca="false">IF(D430&lt;=12,"أطفال (0-12)",IF(D430&lt;=24,"شباب (13-24)",IF(D430&lt;=44,"بالغون (25-44)",IF(D430&lt;=64,"متوسطو العمر (45-64)","كبار السن (+65)"))))</f>
        <v>شباب (13-24)</v>
      </c>
      <c r="T430" s="41" t="n">
        <f aca="false">IFERROR(L430/P430,0)</f>
        <v>1459.06</v>
      </c>
    </row>
    <row r="431" customFormat="false" ht="15" hidden="false" customHeight="false" outlineLevel="0" collapsed="false">
      <c r="A431" s="33" t="s">
        <v>1686</v>
      </c>
      <c r="B431" s="34" t="n">
        <v>45364</v>
      </c>
      <c r="C431" s="34" t="n">
        <v>45366</v>
      </c>
      <c r="D431" s="33" t="n">
        <v>45</v>
      </c>
      <c r="E431" s="33" t="s">
        <v>154</v>
      </c>
      <c r="F431" s="33" t="s">
        <v>169</v>
      </c>
      <c r="G431" s="33" t="s">
        <v>213</v>
      </c>
      <c r="H431" s="33" t="s">
        <v>164</v>
      </c>
      <c r="I431" s="33" t="s">
        <v>143</v>
      </c>
      <c r="J431" s="33" t="s">
        <v>159</v>
      </c>
      <c r="K431" s="33" t="s">
        <v>184</v>
      </c>
      <c r="L431" s="35" t="n">
        <v>2279.46</v>
      </c>
      <c r="M431" s="33" t="n">
        <v>5</v>
      </c>
      <c r="N431" s="33" t="s">
        <v>146</v>
      </c>
      <c r="O431" s="33" t="s">
        <v>147</v>
      </c>
      <c r="P431" s="39" t="n">
        <f aca="false">C431-B431</f>
        <v>2</v>
      </c>
      <c r="Q431" s="40" t="str">
        <f aca="false">CHOOSE(MONTH(B431),"يناير","فبراير","مارس","أبريل","مايو","يونيو","يوليو","أغسطس","سبتمبر","أكتوبر","نوفمبر","ديسمبر")</f>
        <v>مارس</v>
      </c>
      <c r="R431" s="40" t="str">
        <f aca="false">"الربع "&amp;ROUNDUP(MONTH(B431)/3,0)</f>
        <v>الربع 1</v>
      </c>
      <c r="S431" s="40" t="str">
        <f aca="false">IF(D431&lt;=12,"أطفال (0-12)",IF(D431&lt;=24,"شباب (13-24)",IF(D431&lt;=44,"بالغون (25-44)",IF(D431&lt;=64,"متوسطو العمر (45-64)","كبار السن (+65)"))))</f>
        <v>متوسطو العمر (45-64)</v>
      </c>
      <c r="T431" s="41" t="n">
        <f aca="false">IFERROR(L431/P431,0)</f>
        <v>1139.73</v>
      </c>
    </row>
    <row r="432" customFormat="false" ht="15" hidden="false" customHeight="false" outlineLevel="0" collapsed="false">
      <c r="A432" s="42" t="s">
        <v>2245</v>
      </c>
      <c r="B432" s="43" t="n">
        <v>45364</v>
      </c>
      <c r="C432" s="43" t="n">
        <v>45365</v>
      </c>
      <c r="D432" s="42" t="n">
        <v>50</v>
      </c>
      <c r="E432" s="42" t="s">
        <v>154</v>
      </c>
      <c r="F432" s="42" t="s">
        <v>203</v>
      </c>
      <c r="G432" s="42" t="s">
        <v>192</v>
      </c>
      <c r="H432" s="42" t="s">
        <v>193</v>
      </c>
      <c r="I432" s="42" t="s">
        <v>143</v>
      </c>
      <c r="J432" s="42" t="s">
        <v>159</v>
      </c>
      <c r="K432" s="42" t="s">
        <v>145</v>
      </c>
      <c r="L432" s="44" t="n">
        <v>863.58</v>
      </c>
      <c r="M432" s="42" t="n">
        <v>4</v>
      </c>
      <c r="N432" s="42" t="s">
        <v>146</v>
      </c>
      <c r="O432" s="42" t="s">
        <v>147</v>
      </c>
      <c r="P432" s="39" t="n">
        <f aca="false">C432-B432</f>
        <v>1</v>
      </c>
      <c r="Q432" s="40" t="str">
        <f aca="false">CHOOSE(MONTH(B432),"يناير","فبراير","مارس","أبريل","مايو","يونيو","يوليو","أغسطس","سبتمبر","أكتوبر","نوفمبر","ديسمبر")</f>
        <v>مارس</v>
      </c>
      <c r="R432" s="40" t="str">
        <f aca="false">"الربع "&amp;ROUNDUP(MONTH(B432)/3,0)</f>
        <v>الربع 1</v>
      </c>
      <c r="S432" s="40" t="str">
        <f aca="false">IF(D432&lt;=12,"أطفال (0-12)",IF(D432&lt;=24,"شباب (13-24)",IF(D432&lt;=44,"بالغون (25-44)",IF(D432&lt;=64,"متوسطو العمر (45-64)","كبار السن (+65)"))))</f>
        <v>متوسطو العمر (45-64)</v>
      </c>
      <c r="T432" s="41" t="n">
        <f aca="false">IFERROR(L432/P432,0)</f>
        <v>863.58</v>
      </c>
    </row>
    <row r="433" customFormat="false" ht="15" hidden="false" customHeight="false" outlineLevel="0" collapsed="false">
      <c r="A433" s="33" t="s">
        <v>832</v>
      </c>
      <c r="B433" s="34" t="n">
        <v>45364</v>
      </c>
      <c r="C433" s="34" t="n">
        <v>45366</v>
      </c>
      <c r="D433" s="33" t="n">
        <v>3</v>
      </c>
      <c r="E433" s="33" t="s">
        <v>139</v>
      </c>
      <c r="F433" s="33" t="s">
        <v>155</v>
      </c>
      <c r="G433" s="33" t="s">
        <v>220</v>
      </c>
      <c r="H433" s="33" t="s">
        <v>157</v>
      </c>
      <c r="I433" s="33" t="s">
        <v>152</v>
      </c>
      <c r="J433" s="33" t="s">
        <v>144</v>
      </c>
      <c r="K433" s="33" t="s">
        <v>184</v>
      </c>
      <c r="L433" s="35" t="n">
        <v>2438.61</v>
      </c>
      <c r="M433" s="33" t="n">
        <v>4</v>
      </c>
      <c r="N433" s="33" t="s">
        <v>146</v>
      </c>
      <c r="O433" s="33" t="s">
        <v>147</v>
      </c>
      <c r="P433" s="39" t="n">
        <f aca="false">C433-B433</f>
        <v>2</v>
      </c>
      <c r="Q433" s="40" t="str">
        <f aca="false">CHOOSE(MONTH(B433),"يناير","فبراير","مارس","أبريل","مايو","يونيو","يوليو","أغسطس","سبتمبر","أكتوبر","نوفمبر","ديسمبر")</f>
        <v>مارس</v>
      </c>
      <c r="R433" s="40" t="str">
        <f aca="false">"الربع "&amp;ROUNDUP(MONTH(B433)/3,0)</f>
        <v>الربع 1</v>
      </c>
      <c r="S433" s="40" t="str">
        <f aca="false">IF(D433&lt;=12,"أطفال (0-12)",IF(D433&lt;=24,"شباب (13-24)",IF(D433&lt;=44,"بالغون (25-44)",IF(D433&lt;=64,"متوسطو العمر (45-64)","كبار السن (+65)"))))</f>
        <v>أطفال (0-12)</v>
      </c>
      <c r="T433" s="41" t="n">
        <f aca="false">IFERROR(L433/P433,0)</f>
        <v>1219.305</v>
      </c>
    </row>
    <row r="434" customFormat="false" ht="15" hidden="false" customHeight="false" outlineLevel="0" collapsed="false">
      <c r="A434" s="42" t="s">
        <v>372</v>
      </c>
      <c r="B434" s="43" t="n">
        <v>45364</v>
      </c>
      <c r="C434" s="43" t="n">
        <v>45369</v>
      </c>
      <c r="D434" s="42" t="n">
        <v>20</v>
      </c>
      <c r="E434" s="42" t="s">
        <v>154</v>
      </c>
      <c r="F434" s="42" t="s">
        <v>140</v>
      </c>
      <c r="G434" s="42" t="s">
        <v>316</v>
      </c>
      <c r="H434" s="42" t="s">
        <v>290</v>
      </c>
      <c r="I434" s="42" t="s">
        <v>143</v>
      </c>
      <c r="J434" s="42" t="s">
        <v>159</v>
      </c>
      <c r="K434" s="42" t="s">
        <v>160</v>
      </c>
      <c r="L434" s="44" t="n">
        <v>10125.25</v>
      </c>
      <c r="M434" s="42" t="n">
        <v>4</v>
      </c>
      <c r="N434" s="42" t="s">
        <v>146</v>
      </c>
      <c r="O434" s="42" t="s">
        <v>147</v>
      </c>
      <c r="P434" s="39" t="n">
        <f aca="false">C434-B434</f>
        <v>5</v>
      </c>
      <c r="Q434" s="40" t="str">
        <f aca="false">CHOOSE(MONTH(B434),"يناير","فبراير","مارس","أبريل","مايو","يونيو","يوليو","أغسطس","سبتمبر","أكتوبر","نوفمبر","ديسمبر")</f>
        <v>مارس</v>
      </c>
      <c r="R434" s="40" t="str">
        <f aca="false">"الربع "&amp;ROUNDUP(MONTH(B434)/3,0)</f>
        <v>الربع 1</v>
      </c>
      <c r="S434" s="40" t="str">
        <f aca="false">IF(D434&lt;=12,"أطفال (0-12)",IF(D434&lt;=24,"شباب (13-24)",IF(D434&lt;=44,"بالغون (25-44)",IF(D434&lt;=64,"متوسطو العمر (45-64)","كبار السن (+65)"))))</f>
        <v>شباب (13-24)</v>
      </c>
      <c r="T434" s="41" t="n">
        <f aca="false">IFERROR(L434/P434,0)</f>
        <v>2025.05</v>
      </c>
    </row>
    <row r="435" customFormat="false" ht="15" hidden="false" customHeight="false" outlineLevel="0" collapsed="false">
      <c r="A435" s="33" t="s">
        <v>437</v>
      </c>
      <c r="B435" s="34" t="n">
        <v>45364</v>
      </c>
      <c r="C435" s="34" t="n">
        <v>45370</v>
      </c>
      <c r="D435" s="33" t="n">
        <v>39</v>
      </c>
      <c r="E435" s="33" t="s">
        <v>139</v>
      </c>
      <c r="F435" s="33" t="s">
        <v>149</v>
      </c>
      <c r="G435" s="33" t="s">
        <v>224</v>
      </c>
      <c r="H435" s="33" t="s">
        <v>186</v>
      </c>
      <c r="I435" s="33" t="s">
        <v>152</v>
      </c>
      <c r="J435" s="33" t="s">
        <v>144</v>
      </c>
      <c r="K435" s="33" t="s">
        <v>160</v>
      </c>
      <c r="L435" s="35" t="n">
        <v>15454.65</v>
      </c>
      <c r="M435" s="33" t="n">
        <v>5</v>
      </c>
      <c r="N435" s="33" t="s">
        <v>146</v>
      </c>
      <c r="O435" s="33" t="s">
        <v>147</v>
      </c>
      <c r="P435" s="39" t="n">
        <f aca="false">C435-B435</f>
        <v>6</v>
      </c>
      <c r="Q435" s="40" t="str">
        <f aca="false">CHOOSE(MONTH(B435),"يناير","فبراير","مارس","أبريل","مايو","يونيو","يوليو","أغسطس","سبتمبر","أكتوبر","نوفمبر","ديسمبر")</f>
        <v>مارس</v>
      </c>
      <c r="R435" s="40" t="str">
        <f aca="false">"الربع "&amp;ROUNDUP(MONTH(B435)/3,0)</f>
        <v>الربع 1</v>
      </c>
      <c r="S435" s="40" t="str">
        <f aca="false">IF(D435&lt;=12,"أطفال (0-12)",IF(D435&lt;=24,"شباب (13-24)",IF(D435&lt;=44,"بالغون (25-44)",IF(D435&lt;=64,"متوسطو العمر (45-64)","كبار السن (+65)"))))</f>
        <v>بالغون (25-44)</v>
      </c>
      <c r="T435" s="41" t="n">
        <f aca="false">IFERROR(L435/P435,0)</f>
        <v>2575.775</v>
      </c>
    </row>
    <row r="436" customFormat="false" ht="15" hidden="false" customHeight="false" outlineLevel="0" collapsed="false">
      <c r="A436" s="42" t="s">
        <v>704</v>
      </c>
      <c r="B436" s="43" t="n">
        <v>45365</v>
      </c>
      <c r="C436" s="43" t="n">
        <v>45370</v>
      </c>
      <c r="D436" s="42" t="n">
        <v>53</v>
      </c>
      <c r="E436" s="42" t="s">
        <v>154</v>
      </c>
      <c r="F436" s="42" t="s">
        <v>169</v>
      </c>
      <c r="G436" s="42" t="s">
        <v>213</v>
      </c>
      <c r="H436" s="42" t="s">
        <v>195</v>
      </c>
      <c r="I436" s="42" t="s">
        <v>143</v>
      </c>
      <c r="J436" s="42" t="s">
        <v>159</v>
      </c>
      <c r="K436" s="42" t="s">
        <v>145</v>
      </c>
      <c r="L436" s="44" t="n">
        <v>5507.73</v>
      </c>
      <c r="M436" s="42" t="n">
        <v>5</v>
      </c>
      <c r="N436" s="42" t="s">
        <v>146</v>
      </c>
      <c r="O436" s="42" t="s">
        <v>147</v>
      </c>
      <c r="P436" s="39" t="n">
        <f aca="false">C436-B436</f>
        <v>5</v>
      </c>
      <c r="Q436" s="40" t="str">
        <f aca="false">CHOOSE(MONTH(B436),"يناير","فبراير","مارس","أبريل","مايو","يونيو","يوليو","أغسطس","سبتمبر","أكتوبر","نوفمبر","ديسمبر")</f>
        <v>مارس</v>
      </c>
      <c r="R436" s="40" t="str">
        <f aca="false">"الربع "&amp;ROUNDUP(MONTH(B436)/3,0)</f>
        <v>الربع 1</v>
      </c>
      <c r="S436" s="40" t="str">
        <f aca="false">IF(D436&lt;=12,"أطفال (0-12)",IF(D436&lt;=24,"شباب (13-24)",IF(D436&lt;=44,"بالغون (25-44)",IF(D436&lt;=64,"متوسطو العمر (45-64)","كبار السن (+65)"))))</f>
        <v>متوسطو العمر (45-64)</v>
      </c>
      <c r="T436" s="41" t="n">
        <f aca="false">IFERROR(L436/P436,0)</f>
        <v>1101.546</v>
      </c>
    </row>
    <row r="437" customFormat="false" ht="15" hidden="false" customHeight="false" outlineLevel="0" collapsed="false">
      <c r="A437" s="33" t="s">
        <v>1839</v>
      </c>
      <c r="B437" s="34" t="n">
        <v>45365</v>
      </c>
      <c r="C437" s="34" t="n">
        <v>45369</v>
      </c>
      <c r="D437" s="33" t="n">
        <v>39</v>
      </c>
      <c r="E437" s="33" t="s">
        <v>154</v>
      </c>
      <c r="F437" s="33" t="s">
        <v>169</v>
      </c>
      <c r="G437" s="33" t="s">
        <v>170</v>
      </c>
      <c r="H437" s="33" t="s">
        <v>164</v>
      </c>
      <c r="I437" s="33" t="s">
        <v>143</v>
      </c>
      <c r="J437" s="33" t="s">
        <v>159</v>
      </c>
      <c r="K437" s="33" t="s">
        <v>145</v>
      </c>
      <c r="L437" s="35" t="n">
        <v>4579.85</v>
      </c>
      <c r="M437" s="33" t="n">
        <v>4</v>
      </c>
      <c r="N437" s="33" t="s">
        <v>146</v>
      </c>
      <c r="O437" s="33" t="s">
        <v>147</v>
      </c>
      <c r="P437" s="39" t="n">
        <f aca="false">C437-B437</f>
        <v>4</v>
      </c>
      <c r="Q437" s="40" t="str">
        <f aca="false">CHOOSE(MONTH(B437),"يناير","فبراير","مارس","أبريل","مايو","يونيو","يوليو","أغسطس","سبتمبر","أكتوبر","نوفمبر","ديسمبر")</f>
        <v>مارس</v>
      </c>
      <c r="R437" s="40" t="str">
        <f aca="false">"الربع "&amp;ROUNDUP(MONTH(B437)/3,0)</f>
        <v>الربع 1</v>
      </c>
      <c r="S437" s="40" t="str">
        <f aca="false">IF(D437&lt;=12,"أطفال (0-12)",IF(D437&lt;=24,"شباب (13-24)",IF(D437&lt;=44,"بالغون (25-44)",IF(D437&lt;=64,"متوسطو العمر (45-64)","كبار السن (+65)"))))</f>
        <v>بالغون (25-44)</v>
      </c>
      <c r="T437" s="41" t="n">
        <f aca="false">IFERROR(L437/P437,0)</f>
        <v>1144.9625</v>
      </c>
    </row>
    <row r="438" customFormat="false" ht="15" hidden="false" customHeight="false" outlineLevel="0" collapsed="false">
      <c r="A438" s="42" t="s">
        <v>200</v>
      </c>
      <c r="B438" s="43" t="n">
        <v>45365</v>
      </c>
      <c r="C438" s="43" t="n">
        <v>45370</v>
      </c>
      <c r="D438" s="42" t="n">
        <v>23</v>
      </c>
      <c r="E438" s="42" t="s">
        <v>139</v>
      </c>
      <c r="F438" s="42" t="s">
        <v>173</v>
      </c>
      <c r="G438" s="42" t="s">
        <v>174</v>
      </c>
      <c r="H438" s="42" t="s">
        <v>199</v>
      </c>
      <c r="I438" s="42" t="s">
        <v>152</v>
      </c>
      <c r="J438" s="42" t="s">
        <v>176</v>
      </c>
      <c r="K438" s="42" t="s">
        <v>145</v>
      </c>
      <c r="L438" s="44" t="n">
        <v>52813.28</v>
      </c>
      <c r="M438" s="42" t="n">
        <v>3</v>
      </c>
      <c r="N438" s="42" t="s">
        <v>146</v>
      </c>
      <c r="O438" s="42" t="s">
        <v>147</v>
      </c>
      <c r="P438" s="39" t="n">
        <f aca="false">C438-B438</f>
        <v>5</v>
      </c>
      <c r="Q438" s="40" t="str">
        <f aca="false">CHOOSE(MONTH(B438),"يناير","فبراير","مارس","أبريل","مايو","يونيو","يوليو","أغسطس","سبتمبر","أكتوبر","نوفمبر","ديسمبر")</f>
        <v>مارس</v>
      </c>
      <c r="R438" s="40" t="str">
        <f aca="false">"الربع "&amp;ROUNDUP(MONTH(B438)/3,0)</f>
        <v>الربع 1</v>
      </c>
      <c r="S438" s="40" t="str">
        <f aca="false">IF(D438&lt;=12,"أطفال (0-12)",IF(D438&lt;=24,"شباب (13-24)",IF(D438&lt;=44,"بالغون (25-44)",IF(D438&lt;=64,"متوسطو العمر (45-64)","كبار السن (+65)"))))</f>
        <v>شباب (13-24)</v>
      </c>
      <c r="T438" s="41" t="n">
        <f aca="false">IFERROR(L438/P438,0)</f>
        <v>10562.656</v>
      </c>
    </row>
    <row r="439" customFormat="false" ht="15" hidden="false" customHeight="false" outlineLevel="0" collapsed="false">
      <c r="A439" s="33" t="s">
        <v>556</v>
      </c>
      <c r="B439" s="34" t="n">
        <v>45365</v>
      </c>
      <c r="C439" s="34" t="n">
        <v>45367</v>
      </c>
      <c r="D439" s="33" t="n">
        <v>5</v>
      </c>
      <c r="E439" s="33" t="s">
        <v>154</v>
      </c>
      <c r="F439" s="33" t="s">
        <v>155</v>
      </c>
      <c r="G439" s="33" t="s">
        <v>156</v>
      </c>
      <c r="H439" s="33" t="s">
        <v>222</v>
      </c>
      <c r="I439" s="33" t="s">
        <v>152</v>
      </c>
      <c r="J439" s="33" t="s">
        <v>159</v>
      </c>
      <c r="K439" s="33" t="s">
        <v>209</v>
      </c>
      <c r="L439" s="35" t="n">
        <v>1586</v>
      </c>
      <c r="M439" s="33" t="n">
        <v>4</v>
      </c>
      <c r="N439" s="33" t="s">
        <v>146</v>
      </c>
      <c r="O439" s="33" t="s">
        <v>147</v>
      </c>
      <c r="P439" s="39" t="n">
        <f aca="false">C439-B439</f>
        <v>2</v>
      </c>
      <c r="Q439" s="40" t="str">
        <f aca="false">CHOOSE(MONTH(B439),"يناير","فبراير","مارس","أبريل","مايو","يونيو","يوليو","أغسطس","سبتمبر","أكتوبر","نوفمبر","ديسمبر")</f>
        <v>مارس</v>
      </c>
      <c r="R439" s="40" t="str">
        <f aca="false">"الربع "&amp;ROUNDUP(MONTH(B439)/3,0)</f>
        <v>الربع 1</v>
      </c>
      <c r="S439" s="40" t="str">
        <f aca="false">IF(D439&lt;=12,"أطفال (0-12)",IF(D439&lt;=24,"شباب (13-24)",IF(D439&lt;=44,"بالغون (25-44)",IF(D439&lt;=64,"متوسطو العمر (45-64)","كبار السن (+65)"))))</f>
        <v>أطفال (0-12)</v>
      </c>
      <c r="T439" s="41" t="n">
        <f aca="false">IFERROR(L439/P439,0)</f>
        <v>793</v>
      </c>
    </row>
    <row r="440" customFormat="false" ht="15" hidden="false" customHeight="false" outlineLevel="0" collapsed="false">
      <c r="A440" s="42" t="s">
        <v>658</v>
      </c>
      <c r="B440" s="43" t="n">
        <v>45365</v>
      </c>
      <c r="C440" s="43" t="n">
        <v>45368</v>
      </c>
      <c r="D440" s="42" t="n">
        <v>47</v>
      </c>
      <c r="E440" s="42" t="s">
        <v>154</v>
      </c>
      <c r="F440" s="42" t="s">
        <v>169</v>
      </c>
      <c r="G440" s="42" t="s">
        <v>213</v>
      </c>
      <c r="H440" s="42" t="s">
        <v>164</v>
      </c>
      <c r="I440" s="42" t="s">
        <v>152</v>
      </c>
      <c r="J440" s="42" t="s">
        <v>159</v>
      </c>
      <c r="K440" s="42" t="s">
        <v>184</v>
      </c>
      <c r="L440" s="44" t="n">
        <v>3347.59</v>
      </c>
      <c r="M440" s="42" t="n">
        <v>5</v>
      </c>
      <c r="N440" s="42" t="s">
        <v>146</v>
      </c>
      <c r="O440" s="42" t="s">
        <v>147</v>
      </c>
      <c r="P440" s="39" t="n">
        <f aca="false">C440-B440</f>
        <v>3</v>
      </c>
      <c r="Q440" s="40" t="str">
        <f aca="false">CHOOSE(MONTH(B440),"يناير","فبراير","مارس","أبريل","مايو","يونيو","يوليو","أغسطس","سبتمبر","أكتوبر","نوفمبر","ديسمبر")</f>
        <v>مارس</v>
      </c>
      <c r="R440" s="40" t="str">
        <f aca="false">"الربع "&amp;ROUNDUP(MONTH(B440)/3,0)</f>
        <v>الربع 1</v>
      </c>
      <c r="S440" s="40" t="str">
        <f aca="false">IF(D440&lt;=12,"أطفال (0-12)",IF(D440&lt;=24,"شباب (13-24)",IF(D440&lt;=44,"بالغون (25-44)",IF(D440&lt;=64,"متوسطو العمر (45-64)","كبار السن (+65)"))))</f>
        <v>متوسطو العمر (45-64)</v>
      </c>
      <c r="T440" s="41" t="n">
        <f aca="false">IFERROR(L440/P440,0)</f>
        <v>1115.86333333333</v>
      </c>
    </row>
    <row r="441" customFormat="false" ht="15" hidden="false" customHeight="false" outlineLevel="0" collapsed="false">
      <c r="A441" s="33" t="s">
        <v>1119</v>
      </c>
      <c r="B441" s="34" t="n">
        <v>45365</v>
      </c>
      <c r="C441" s="34" t="n">
        <v>45371</v>
      </c>
      <c r="D441" s="33" t="n">
        <v>23</v>
      </c>
      <c r="E441" s="33" t="s">
        <v>139</v>
      </c>
      <c r="F441" s="33" t="s">
        <v>140</v>
      </c>
      <c r="G441" s="33" t="s">
        <v>316</v>
      </c>
      <c r="H441" s="33" t="s">
        <v>290</v>
      </c>
      <c r="I441" s="33" t="s">
        <v>143</v>
      </c>
      <c r="J441" s="33" t="s">
        <v>159</v>
      </c>
      <c r="K441" s="33" t="s">
        <v>184</v>
      </c>
      <c r="L441" s="35" t="n">
        <v>14552.98</v>
      </c>
      <c r="M441" s="33" t="n">
        <v>4</v>
      </c>
      <c r="N441" s="33" t="s">
        <v>146</v>
      </c>
      <c r="O441" s="33" t="s">
        <v>147</v>
      </c>
      <c r="P441" s="39" t="n">
        <f aca="false">C441-B441</f>
        <v>6</v>
      </c>
      <c r="Q441" s="40" t="str">
        <f aca="false">CHOOSE(MONTH(B441),"يناير","فبراير","مارس","أبريل","مايو","يونيو","يوليو","أغسطس","سبتمبر","أكتوبر","نوفمبر","ديسمبر")</f>
        <v>مارس</v>
      </c>
      <c r="R441" s="40" t="str">
        <f aca="false">"الربع "&amp;ROUNDUP(MONTH(B441)/3,0)</f>
        <v>الربع 1</v>
      </c>
      <c r="S441" s="40" t="str">
        <f aca="false">IF(D441&lt;=12,"أطفال (0-12)",IF(D441&lt;=24,"شباب (13-24)",IF(D441&lt;=44,"بالغون (25-44)",IF(D441&lt;=64,"متوسطو العمر (45-64)","كبار السن (+65)"))))</f>
        <v>شباب (13-24)</v>
      </c>
      <c r="T441" s="41" t="n">
        <f aca="false">IFERROR(L441/P441,0)</f>
        <v>2425.49666666667</v>
      </c>
    </row>
    <row r="442" customFormat="false" ht="15" hidden="false" customHeight="false" outlineLevel="0" collapsed="false">
      <c r="A442" s="42" t="s">
        <v>878</v>
      </c>
      <c r="B442" s="43" t="n">
        <v>45365</v>
      </c>
      <c r="C442" s="43" t="n">
        <v>45367</v>
      </c>
      <c r="D442" s="42" t="n">
        <v>23</v>
      </c>
      <c r="E442" s="42" t="s">
        <v>139</v>
      </c>
      <c r="F442" s="42" t="s">
        <v>173</v>
      </c>
      <c r="G442" s="42" t="s">
        <v>178</v>
      </c>
      <c r="H442" s="42" t="s">
        <v>175</v>
      </c>
      <c r="I442" s="42" t="s">
        <v>143</v>
      </c>
      <c r="J442" s="42" t="s">
        <v>159</v>
      </c>
      <c r="K442" s="42" t="s">
        <v>184</v>
      </c>
      <c r="L442" s="44" t="n">
        <v>5031.42</v>
      </c>
      <c r="M442" s="42" t="n">
        <v>4</v>
      </c>
      <c r="N442" s="42" t="s">
        <v>146</v>
      </c>
      <c r="O442" s="42" t="s">
        <v>147</v>
      </c>
      <c r="P442" s="39" t="n">
        <f aca="false">C442-B442</f>
        <v>2</v>
      </c>
      <c r="Q442" s="40" t="str">
        <f aca="false">CHOOSE(MONTH(B442),"يناير","فبراير","مارس","أبريل","مايو","يونيو","يوليو","أغسطس","سبتمبر","أكتوبر","نوفمبر","ديسمبر")</f>
        <v>مارس</v>
      </c>
      <c r="R442" s="40" t="str">
        <f aca="false">"الربع "&amp;ROUNDUP(MONTH(B442)/3,0)</f>
        <v>الربع 1</v>
      </c>
      <c r="S442" s="40" t="str">
        <f aca="false">IF(D442&lt;=12,"أطفال (0-12)",IF(D442&lt;=24,"شباب (13-24)",IF(D442&lt;=44,"بالغون (25-44)",IF(D442&lt;=64,"متوسطو العمر (45-64)","كبار السن (+65)"))))</f>
        <v>شباب (13-24)</v>
      </c>
      <c r="T442" s="41" t="n">
        <f aca="false">IFERROR(L442/P442,0)</f>
        <v>2515.71</v>
      </c>
    </row>
    <row r="443" customFormat="false" ht="15" hidden="false" customHeight="false" outlineLevel="0" collapsed="false">
      <c r="A443" s="33" t="s">
        <v>949</v>
      </c>
      <c r="B443" s="34" t="n">
        <v>45365</v>
      </c>
      <c r="C443" s="34" t="n">
        <v>45366</v>
      </c>
      <c r="D443" s="33" t="n">
        <v>23</v>
      </c>
      <c r="E443" s="33" t="s">
        <v>154</v>
      </c>
      <c r="F443" s="33" t="s">
        <v>203</v>
      </c>
      <c r="G443" s="33" t="s">
        <v>192</v>
      </c>
      <c r="H443" s="33" t="s">
        <v>233</v>
      </c>
      <c r="I443" s="33" t="s">
        <v>143</v>
      </c>
      <c r="J443" s="33" t="s">
        <v>159</v>
      </c>
      <c r="K443" s="33" t="s">
        <v>184</v>
      </c>
      <c r="L443" s="35" t="n">
        <v>843.34</v>
      </c>
      <c r="M443" s="33" t="n">
        <v>3</v>
      </c>
      <c r="N443" s="33" t="s">
        <v>146</v>
      </c>
      <c r="O443" s="33" t="s">
        <v>147</v>
      </c>
      <c r="P443" s="39" t="n">
        <f aca="false">C443-B443</f>
        <v>1</v>
      </c>
      <c r="Q443" s="40" t="str">
        <f aca="false">CHOOSE(MONTH(B443),"يناير","فبراير","مارس","أبريل","مايو","يونيو","يوليو","أغسطس","سبتمبر","أكتوبر","نوفمبر","ديسمبر")</f>
        <v>مارس</v>
      </c>
      <c r="R443" s="40" t="str">
        <f aca="false">"الربع "&amp;ROUNDUP(MONTH(B443)/3,0)</f>
        <v>الربع 1</v>
      </c>
      <c r="S443" s="40" t="str">
        <f aca="false">IF(D443&lt;=12,"أطفال (0-12)",IF(D443&lt;=24,"شباب (13-24)",IF(D443&lt;=44,"بالغون (25-44)",IF(D443&lt;=64,"متوسطو العمر (45-64)","كبار السن (+65)"))))</f>
        <v>شباب (13-24)</v>
      </c>
      <c r="T443" s="41" t="n">
        <f aca="false">IFERROR(L443/P443,0)</f>
        <v>843.34</v>
      </c>
    </row>
    <row r="444" customFormat="false" ht="15" hidden="false" customHeight="false" outlineLevel="0" collapsed="false">
      <c r="A444" s="42" t="s">
        <v>1941</v>
      </c>
      <c r="B444" s="43" t="n">
        <v>45366</v>
      </c>
      <c r="C444" s="43" t="n">
        <v>45367</v>
      </c>
      <c r="D444" s="42" t="n">
        <v>54</v>
      </c>
      <c r="E444" s="42" t="s">
        <v>154</v>
      </c>
      <c r="F444" s="42" t="s">
        <v>203</v>
      </c>
      <c r="G444" s="42" t="s">
        <v>192</v>
      </c>
      <c r="H444" s="42" t="s">
        <v>193</v>
      </c>
      <c r="I444" s="42" t="s">
        <v>143</v>
      </c>
      <c r="J444" s="42" t="s">
        <v>176</v>
      </c>
      <c r="K444" s="42" t="s">
        <v>160</v>
      </c>
      <c r="L444" s="44" t="n">
        <v>2706.41</v>
      </c>
      <c r="M444" s="42" t="n">
        <v>2</v>
      </c>
      <c r="N444" s="42" t="s">
        <v>146</v>
      </c>
      <c r="O444" s="42" t="s">
        <v>147</v>
      </c>
      <c r="P444" s="39" t="n">
        <f aca="false">C444-B444</f>
        <v>1</v>
      </c>
      <c r="Q444" s="40" t="str">
        <f aca="false">CHOOSE(MONTH(B444),"يناير","فبراير","مارس","أبريل","مايو","يونيو","يوليو","أغسطس","سبتمبر","أكتوبر","نوفمبر","ديسمبر")</f>
        <v>مارس</v>
      </c>
      <c r="R444" s="40" t="str">
        <f aca="false">"الربع "&amp;ROUNDUP(MONTH(B444)/3,0)</f>
        <v>الربع 1</v>
      </c>
      <c r="S444" s="40" t="str">
        <f aca="false">IF(D444&lt;=12,"أطفال (0-12)",IF(D444&lt;=24,"شباب (13-24)",IF(D444&lt;=44,"بالغون (25-44)",IF(D444&lt;=64,"متوسطو العمر (45-64)","كبار السن (+65)"))))</f>
        <v>متوسطو العمر (45-64)</v>
      </c>
      <c r="T444" s="41" t="n">
        <f aca="false">IFERROR(L444/P444,0)</f>
        <v>2706.41</v>
      </c>
    </row>
    <row r="445" customFormat="false" ht="15" hidden="false" customHeight="false" outlineLevel="0" collapsed="false">
      <c r="A445" s="33" t="s">
        <v>1714</v>
      </c>
      <c r="B445" s="34" t="n">
        <v>45366</v>
      </c>
      <c r="C445" s="34" t="n">
        <v>45372</v>
      </c>
      <c r="D445" s="33" t="n">
        <v>62</v>
      </c>
      <c r="E445" s="33" t="s">
        <v>139</v>
      </c>
      <c r="F445" s="33" t="s">
        <v>226</v>
      </c>
      <c r="G445" s="33" t="s">
        <v>227</v>
      </c>
      <c r="H445" s="33" t="s">
        <v>228</v>
      </c>
      <c r="I445" s="33" t="s">
        <v>143</v>
      </c>
      <c r="J445" s="33" t="s">
        <v>159</v>
      </c>
      <c r="K445" s="33" t="s">
        <v>145</v>
      </c>
      <c r="L445" s="35" t="n">
        <v>16407.76</v>
      </c>
      <c r="M445" s="33" t="n">
        <v>4</v>
      </c>
      <c r="N445" s="33" t="s">
        <v>146</v>
      </c>
      <c r="O445" s="33" t="s">
        <v>147</v>
      </c>
      <c r="P445" s="39" t="n">
        <f aca="false">C445-B445</f>
        <v>6</v>
      </c>
      <c r="Q445" s="40" t="str">
        <f aca="false">CHOOSE(MONTH(B445),"يناير","فبراير","مارس","أبريل","مايو","يونيو","يوليو","أغسطس","سبتمبر","أكتوبر","نوفمبر","ديسمبر")</f>
        <v>مارس</v>
      </c>
      <c r="R445" s="40" t="str">
        <f aca="false">"الربع "&amp;ROUNDUP(MONTH(B445)/3,0)</f>
        <v>الربع 1</v>
      </c>
      <c r="S445" s="40" t="str">
        <f aca="false">IF(D445&lt;=12,"أطفال (0-12)",IF(D445&lt;=24,"شباب (13-24)",IF(D445&lt;=44,"بالغون (25-44)",IF(D445&lt;=64,"متوسطو العمر (45-64)","كبار السن (+65)"))))</f>
        <v>متوسطو العمر (45-64)</v>
      </c>
      <c r="T445" s="41" t="n">
        <f aca="false">IFERROR(L445/P445,0)</f>
        <v>2734.62666666667</v>
      </c>
    </row>
    <row r="446" customFormat="false" ht="15" hidden="false" customHeight="false" outlineLevel="0" collapsed="false">
      <c r="A446" s="42" t="s">
        <v>1003</v>
      </c>
      <c r="B446" s="43" t="n">
        <v>45366</v>
      </c>
      <c r="C446" s="43" t="n">
        <v>45369</v>
      </c>
      <c r="D446" s="42" t="n">
        <v>31</v>
      </c>
      <c r="E446" s="42" t="s">
        <v>154</v>
      </c>
      <c r="F446" s="42" t="s">
        <v>169</v>
      </c>
      <c r="G446" s="42" t="s">
        <v>213</v>
      </c>
      <c r="H446" s="42" t="s">
        <v>164</v>
      </c>
      <c r="I446" s="42" t="s">
        <v>152</v>
      </c>
      <c r="J446" s="42" t="s">
        <v>159</v>
      </c>
      <c r="K446" s="42" t="s">
        <v>145</v>
      </c>
      <c r="L446" s="44" t="n">
        <v>2920.48</v>
      </c>
      <c r="M446" s="42" t="n">
        <v>3</v>
      </c>
      <c r="N446" s="42" t="s">
        <v>146</v>
      </c>
      <c r="O446" s="42" t="s">
        <v>147</v>
      </c>
      <c r="P446" s="39" t="n">
        <f aca="false">C446-B446</f>
        <v>3</v>
      </c>
      <c r="Q446" s="40" t="str">
        <f aca="false">CHOOSE(MONTH(B446),"يناير","فبراير","مارس","أبريل","مايو","يونيو","يوليو","أغسطس","سبتمبر","أكتوبر","نوفمبر","ديسمبر")</f>
        <v>مارس</v>
      </c>
      <c r="R446" s="40" t="str">
        <f aca="false">"الربع "&amp;ROUNDUP(MONTH(B446)/3,0)</f>
        <v>الربع 1</v>
      </c>
      <c r="S446" s="40" t="str">
        <f aca="false">IF(D446&lt;=12,"أطفال (0-12)",IF(D446&lt;=24,"شباب (13-24)",IF(D446&lt;=44,"بالغون (25-44)",IF(D446&lt;=64,"متوسطو العمر (45-64)","كبار السن (+65)"))))</f>
        <v>بالغون (25-44)</v>
      </c>
      <c r="T446" s="41" t="n">
        <f aca="false">IFERROR(L446/P446,0)</f>
        <v>973.493333333333</v>
      </c>
    </row>
    <row r="447" customFormat="false" ht="15" hidden="false" customHeight="false" outlineLevel="0" collapsed="false">
      <c r="A447" s="33" t="s">
        <v>550</v>
      </c>
      <c r="B447" s="34" t="n">
        <v>45366</v>
      </c>
      <c r="C447" s="34" t="n">
        <v>45367</v>
      </c>
      <c r="D447" s="33" t="n">
        <v>51</v>
      </c>
      <c r="E447" s="33" t="s">
        <v>139</v>
      </c>
      <c r="F447" s="33" t="s">
        <v>203</v>
      </c>
      <c r="G447" s="33" t="s">
        <v>241</v>
      </c>
      <c r="H447" s="33" t="s">
        <v>205</v>
      </c>
      <c r="I447" s="33" t="s">
        <v>143</v>
      </c>
      <c r="J447" s="33" t="s">
        <v>159</v>
      </c>
      <c r="K447" s="33" t="s">
        <v>145</v>
      </c>
      <c r="L447" s="35" t="n">
        <v>883.31</v>
      </c>
      <c r="M447" s="33" t="n">
        <v>3</v>
      </c>
      <c r="N447" s="33" t="s">
        <v>146</v>
      </c>
      <c r="O447" s="33" t="s">
        <v>147</v>
      </c>
      <c r="P447" s="39" t="n">
        <f aca="false">C447-B447</f>
        <v>1</v>
      </c>
      <c r="Q447" s="40" t="str">
        <f aca="false">CHOOSE(MONTH(B447),"يناير","فبراير","مارس","أبريل","مايو","يونيو","يوليو","أغسطس","سبتمبر","أكتوبر","نوفمبر","ديسمبر")</f>
        <v>مارس</v>
      </c>
      <c r="R447" s="40" t="str">
        <f aca="false">"الربع "&amp;ROUNDUP(MONTH(B447)/3,0)</f>
        <v>الربع 1</v>
      </c>
      <c r="S447" s="40" t="str">
        <f aca="false">IF(D447&lt;=12,"أطفال (0-12)",IF(D447&lt;=24,"شباب (13-24)",IF(D447&lt;=44,"بالغون (25-44)",IF(D447&lt;=64,"متوسطو العمر (45-64)","كبار السن (+65)"))))</f>
        <v>متوسطو العمر (45-64)</v>
      </c>
      <c r="T447" s="41" t="n">
        <f aca="false">IFERROR(L447/P447,0)</f>
        <v>883.31</v>
      </c>
    </row>
    <row r="448" customFormat="false" ht="15" hidden="false" customHeight="false" outlineLevel="0" collapsed="false">
      <c r="A448" s="42" t="s">
        <v>1021</v>
      </c>
      <c r="B448" s="43" t="n">
        <v>45366</v>
      </c>
      <c r="C448" s="43" t="n">
        <v>45367</v>
      </c>
      <c r="D448" s="42" t="n">
        <v>82</v>
      </c>
      <c r="E448" s="42" t="s">
        <v>139</v>
      </c>
      <c r="F448" s="42" t="s">
        <v>203</v>
      </c>
      <c r="G448" s="42" t="s">
        <v>204</v>
      </c>
      <c r="H448" s="42" t="s">
        <v>193</v>
      </c>
      <c r="I448" s="42" t="s">
        <v>143</v>
      </c>
      <c r="J448" s="42" t="s">
        <v>144</v>
      </c>
      <c r="K448" s="42" t="s">
        <v>184</v>
      </c>
      <c r="L448" s="44" t="n">
        <v>1681.23</v>
      </c>
      <c r="M448" s="42" t="n">
        <v>4</v>
      </c>
      <c r="N448" s="42" t="s">
        <v>146</v>
      </c>
      <c r="O448" s="42" t="s">
        <v>147</v>
      </c>
      <c r="P448" s="39" t="n">
        <f aca="false">C448-B448</f>
        <v>1</v>
      </c>
      <c r="Q448" s="40" t="str">
        <f aca="false">CHOOSE(MONTH(B448),"يناير","فبراير","مارس","أبريل","مايو","يونيو","يوليو","أغسطس","سبتمبر","أكتوبر","نوفمبر","ديسمبر")</f>
        <v>مارس</v>
      </c>
      <c r="R448" s="40" t="str">
        <f aca="false">"الربع "&amp;ROUNDUP(MONTH(B448)/3,0)</f>
        <v>الربع 1</v>
      </c>
      <c r="S448" s="40" t="str">
        <f aca="false">IF(D448&lt;=12,"أطفال (0-12)",IF(D448&lt;=24,"شباب (13-24)",IF(D448&lt;=44,"بالغون (25-44)",IF(D448&lt;=64,"متوسطو العمر (45-64)","كبار السن (+65)"))))</f>
        <v>كبار السن (+65)</v>
      </c>
      <c r="T448" s="41" t="n">
        <f aca="false">IFERROR(L448/P448,0)</f>
        <v>1681.23</v>
      </c>
    </row>
    <row r="449" customFormat="false" ht="15" hidden="false" customHeight="false" outlineLevel="0" collapsed="false">
      <c r="A449" s="33" t="s">
        <v>1084</v>
      </c>
      <c r="B449" s="34" t="n">
        <v>45367</v>
      </c>
      <c r="C449" s="34" t="n">
        <v>45369</v>
      </c>
      <c r="D449" s="33" t="n">
        <v>8</v>
      </c>
      <c r="E449" s="33" t="s">
        <v>154</v>
      </c>
      <c r="F449" s="33" t="s">
        <v>155</v>
      </c>
      <c r="G449" s="33" t="s">
        <v>220</v>
      </c>
      <c r="H449" s="33" t="s">
        <v>157</v>
      </c>
      <c r="I449" s="33" t="s">
        <v>152</v>
      </c>
      <c r="J449" s="33" t="s">
        <v>159</v>
      </c>
      <c r="K449" s="33" t="s">
        <v>145</v>
      </c>
      <c r="L449" s="35" t="n">
        <v>1693.62</v>
      </c>
      <c r="M449" s="33" t="n">
        <v>5</v>
      </c>
      <c r="N449" s="33" t="s">
        <v>146</v>
      </c>
      <c r="O449" s="33" t="s">
        <v>147</v>
      </c>
      <c r="P449" s="39" t="n">
        <f aca="false">C449-B449</f>
        <v>2</v>
      </c>
      <c r="Q449" s="40" t="str">
        <f aca="false">CHOOSE(MONTH(B449),"يناير","فبراير","مارس","أبريل","مايو","يونيو","يوليو","أغسطس","سبتمبر","أكتوبر","نوفمبر","ديسمبر")</f>
        <v>مارس</v>
      </c>
      <c r="R449" s="40" t="str">
        <f aca="false">"الربع "&amp;ROUNDUP(MONTH(B449)/3,0)</f>
        <v>الربع 1</v>
      </c>
      <c r="S449" s="40" t="str">
        <f aca="false">IF(D449&lt;=12,"أطفال (0-12)",IF(D449&lt;=24,"شباب (13-24)",IF(D449&lt;=44,"بالغون (25-44)",IF(D449&lt;=64,"متوسطو العمر (45-64)","كبار السن (+65)"))))</f>
        <v>أطفال (0-12)</v>
      </c>
      <c r="T449" s="41" t="n">
        <f aca="false">IFERROR(L449/P449,0)</f>
        <v>846.81</v>
      </c>
    </row>
    <row r="450" customFormat="false" ht="15" hidden="false" customHeight="false" outlineLevel="0" collapsed="false">
      <c r="A450" s="42" t="s">
        <v>1699</v>
      </c>
      <c r="B450" s="43" t="n">
        <v>45367</v>
      </c>
      <c r="C450" s="43" t="n">
        <v>45370</v>
      </c>
      <c r="D450" s="42" t="n">
        <v>30</v>
      </c>
      <c r="E450" s="42" t="s">
        <v>139</v>
      </c>
      <c r="F450" s="42" t="s">
        <v>149</v>
      </c>
      <c r="G450" s="42" t="s">
        <v>224</v>
      </c>
      <c r="H450" s="42" t="s">
        <v>151</v>
      </c>
      <c r="I450" s="42" t="s">
        <v>158</v>
      </c>
      <c r="J450" s="42" t="s">
        <v>144</v>
      </c>
      <c r="K450" s="42" t="s">
        <v>160</v>
      </c>
      <c r="L450" s="44" t="n">
        <v>8524.77</v>
      </c>
      <c r="M450" s="42" t="n">
        <v>4</v>
      </c>
      <c r="N450" s="42" t="s">
        <v>146</v>
      </c>
      <c r="O450" s="42" t="s">
        <v>247</v>
      </c>
      <c r="P450" s="39" t="n">
        <f aca="false">C450-B450</f>
        <v>3</v>
      </c>
      <c r="Q450" s="40" t="str">
        <f aca="false">CHOOSE(MONTH(B450),"يناير","فبراير","مارس","أبريل","مايو","يونيو","يوليو","أغسطس","سبتمبر","أكتوبر","نوفمبر","ديسمبر")</f>
        <v>مارس</v>
      </c>
      <c r="R450" s="40" t="str">
        <f aca="false">"الربع "&amp;ROUNDUP(MONTH(B450)/3,0)</f>
        <v>الربع 1</v>
      </c>
      <c r="S450" s="40" t="str">
        <f aca="false">IF(D450&lt;=12,"أطفال (0-12)",IF(D450&lt;=24,"شباب (13-24)",IF(D450&lt;=44,"بالغون (25-44)",IF(D450&lt;=64,"متوسطو العمر (45-64)","كبار السن (+65)"))))</f>
        <v>بالغون (25-44)</v>
      </c>
      <c r="T450" s="41" t="n">
        <f aca="false">IFERROR(L450/P450,0)</f>
        <v>2841.59</v>
      </c>
    </row>
    <row r="451" customFormat="false" ht="15" hidden="false" customHeight="false" outlineLevel="0" collapsed="false">
      <c r="A451" s="33" t="s">
        <v>631</v>
      </c>
      <c r="B451" s="34" t="n">
        <v>45368</v>
      </c>
      <c r="C451" s="34" t="n">
        <v>45370</v>
      </c>
      <c r="D451" s="33" t="n">
        <v>53</v>
      </c>
      <c r="E451" s="33" t="s">
        <v>139</v>
      </c>
      <c r="F451" s="33" t="s">
        <v>173</v>
      </c>
      <c r="G451" s="33" t="s">
        <v>178</v>
      </c>
      <c r="H451" s="33" t="s">
        <v>199</v>
      </c>
      <c r="I451" s="33" t="s">
        <v>158</v>
      </c>
      <c r="J451" s="33" t="s">
        <v>159</v>
      </c>
      <c r="K451" s="33" t="s">
        <v>160</v>
      </c>
      <c r="L451" s="35" t="n">
        <v>5357.84</v>
      </c>
      <c r="M451" s="33" t="n">
        <v>5</v>
      </c>
      <c r="N451" s="33" t="s">
        <v>146</v>
      </c>
      <c r="O451" s="33" t="s">
        <v>147</v>
      </c>
      <c r="P451" s="39" t="n">
        <f aca="false">C451-B451</f>
        <v>2</v>
      </c>
      <c r="Q451" s="40" t="str">
        <f aca="false">CHOOSE(MONTH(B451),"يناير","فبراير","مارس","أبريل","مايو","يونيو","يوليو","أغسطس","سبتمبر","أكتوبر","نوفمبر","ديسمبر")</f>
        <v>مارس</v>
      </c>
      <c r="R451" s="40" t="str">
        <f aca="false">"الربع "&amp;ROUNDUP(MONTH(B451)/3,0)</f>
        <v>الربع 1</v>
      </c>
      <c r="S451" s="40" t="str">
        <f aca="false">IF(D451&lt;=12,"أطفال (0-12)",IF(D451&lt;=24,"شباب (13-24)",IF(D451&lt;=44,"بالغون (25-44)",IF(D451&lt;=64,"متوسطو العمر (45-64)","كبار السن (+65)"))))</f>
        <v>متوسطو العمر (45-64)</v>
      </c>
      <c r="T451" s="41" t="n">
        <f aca="false">IFERROR(L451/P451,0)</f>
        <v>2678.92</v>
      </c>
    </row>
    <row r="452" customFormat="false" ht="15" hidden="false" customHeight="false" outlineLevel="0" collapsed="false">
      <c r="A452" s="42" t="s">
        <v>1750</v>
      </c>
      <c r="B452" s="43" t="n">
        <v>45368</v>
      </c>
      <c r="C452" s="43" t="n">
        <v>45370</v>
      </c>
      <c r="D452" s="42" t="n">
        <v>63</v>
      </c>
      <c r="E452" s="42" t="s">
        <v>154</v>
      </c>
      <c r="F452" s="42" t="s">
        <v>173</v>
      </c>
      <c r="G452" s="42" t="s">
        <v>198</v>
      </c>
      <c r="H452" s="42" t="s">
        <v>199</v>
      </c>
      <c r="I452" s="42" t="s">
        <v>152</v>
      </c>
      <c r="J452" s="42" t="s">
        <v>144</v>
      </c>
      <c r="K452" s="42" t="s">
        <v>145</v>
      </c>
      <c r="L452" s="44" t="n">
        <v>10533.09</v>
      </c>
      <c r="M452" s="42" t="n">
        <v>3</v>
      </c>
      <c r="N452" s="42" t="s">
        <v>146</v>
      </c>
      <c r="O452" s="42" t="s">
        <v>147</v>
      </c>
      <c r="P452" s="39" t="n">
        <f aca="false">C452-B452</f>
        <v>2</v>
      </c>
      <c r="Q452" s="40" t="str">
        <f aca="false">CHOOSE(MONTH(B452),"يناير","فبراير","مارس","أبريل","مايو","يونيو","يوليو","أغسطس","سبتمبر","أكتوبر","نوفمبر","ديسمبر")</f>
        <v>مارس</v>
      </c>
      <c r="R452" s="40" t="str">
        <f aca="false">"الربع "&amp;ROUNDUP(MONTH(B452)/3,0)</f>
        <v>الربع 1</v>
      </c>
      <c r="S452" s="40" t="str">
        <f aca="false">IF(D452&lt;=12,"أطفال (0-12)",IF(D452&lt;=24,"شباب (13-24)",IF(D452&lt;=44,"بالغون (25-44)",IF(D452&lt;=64,"متوسطو العمر (45-64)","كبار السن (+65)"))))</f>
        <v>متوسطو العمر (45-64)</v>
      </c>
      <c r="T452" s="41" t="n">
        <f aca="false">IFERROR(L452/P452,0)</f>
        <v>5266.545</v>
      </c>
    </row>
    <row r="453" customFormat="false" ht="15" hidden="false" customHeight="false" outlineLevel="0" collapsed="false">
      <c r="A453" s="33" t="s">
        <v>574</v>
      </c>
      <c r="B453" s="34" t="n">
        <v>45368</v>
      </c>
      <c r="C453" s="34" t="n">
        <v>45369</v>
      </c>
      <c r="D453" s="33" t="n">
        <v>69</v>
      </c>
      <c r="E453" s="33" t="s">
        <v>154</v>
      </c>
      <c r="F453" s="33" t="s">
        <v>203</v>
      </c>
      <c r="G453" s="33" t="s">
        <v>241</v>
      </c>
      <c r="H453" s="33" t="s">
        <v>205</v>
      </c>
      <c r="I453" s="33" t="s">
        <v>143</v>
      </c>
      <c r="J453" s="33" t="s">
        <v>159</v>
      </c>
      <c r="K453" s="33" t="s">
        <v>160</v>
      </c>
      <c r="L453" s="35" t="n">
        <v>982.19</v>
      </c>
      <c r="M453" s="33" t="n">
        <v>4</v>
      </c>
      <c r="N453" s="33" t="s">
        <v>146</v>
      </c>
      <c r="O453" s="33" t="s">
        <v>147</v>
      </c>
      <c r="P453" s="39" t="n">
        <f aca="false">C453-B453</f>
        <v>1</v>
      </c>
      <c r="Q453" s="40" t="str">
        <f aca="false">CHOOSE(MONTH(B453),"يناير","فبراير","مارس","أبريل","مايو","يونيو","يوليو","أغسطس","سبتمبر","أكتوبر","نوفمبر","ديسمبر")</f>
        <v>مارس</v>
      </c>
      <c r="R453" s="40" t="str">
        <f aca="false">"الربع "&amp;ROUNDUP(MONTH(B453)/3,0)</f>
        <v>الربع 1</v>
      </c>
      <c r="S453" s="40" t="str">
        <f aca="false">IF(D453&lt;=12,"أطفال (0-12)",IF(D453&lt;=24,"شباب (13-24)",IF(D453&lt;=44,"بالغون (25-44)",IF(D453&lt;=64,"متوسطو العمر (45-64)","كبار السن (+65)"))))</f>
        <v>كبار السن (+65)</v>
      </c>
      <c r="T453" s="41" t="n">
        <f aca="false">IFERROR(L453/P453,0)</f>
        <v>982.19</v>
      </c>
    </row>
    <row r="454" customFormat="false" ht="15" hidden="false" customHeight="false" outlineLevel="0" collapsed="false">
      <c r="A454" s="42" t="s">
        <v>328</v>
      </c>
      <c r="B454" s="43" t="n">
        <v>45368</v>
      </c>
      <c r="C454" s="43" t="n">
        <v>45372</v>
      </c>
      <c r="D454" s="42" t="n">
        <v>8</v>
      </c>
      <c r="E454" s="42" t="s">
        <v>154</v>
      </c>
      <c r="F454" s="42" t="s">
        <v>169</v>
      </c>
      <c r="G454" s="42" t="s">
        <v>163</v>
      </c>
      <c r="H454" s="42" t="s">
        <v>171</v>
      </c>
      <c r="I454" s="42" t="s">
        <v>152</v>
      </c>
      <c r="J454" s="42" t="s">
        <v>176</v>
      </c>
      <c r="K454" s="42" t="s">
        <v>160</v>
      </c>
      <c r="L454" s="44" t="n">
        <v>14605.59</v>
      </c>
      <c r="M454" s="42" t="n">
        <v>4</v>
      </c>
      <c r="N454" s="42" t="s">
        <v>146</v>
      </c>
      <c r="O454" s="42" t="s">
        <v>147</v>
      </c>
      <c r="P454" s="39" t="n">
        <f aca="false">C454-B454</f>
        <v>4</v>
      </c>
      <c r="Q454" s="40" t="str">
        <f aca="false">CHOOSE(MONTH(B454),"يناير","فبراير","مارس","أبريل","مايو","يونيو","يوليو","أغسطس","سبتمبر","أكتوبر","نوفمبر","ديسمبر")</f>
        <v>مارس</v>
      </c>
      <c r="R454" s="40" t="str">
        <f aca="false">"الربع "&amp;ROUNDUP(MONTH(B454)/3,0)</f>
        <v>الربع 1</v>
      </c>
      <c r="S454" s="40" t="str">
        <f aca="false">IF(D454&lt;=12,"أطفال (0-12)",IF(D454&lt;=24,"شباب (13-24)",IF(D454&lt;=44,"بالغون (25-44)",IF(D454&lt;=64,"متوسطو العمر (45-64)","كبار السن (+65)"))))</f>
        <v>أطفال (0-12)</v>
      </c>
      <c r="T454" s="41" t="n">
        <f aca="false">IFERROR(L454/P454,0)</f>
        <v>3651.3975</v>
      </c>
    </row>
    <row r="455" customFormat="false" ht="15" hidden="false" customHeight="false" outlineLevel="0" collapsed="false">
      <c r="A455" s="33" t="s">
        <v>894</v>
      </c>
      <c r="B455" s="34" t="n">
        <v>45369</v>
      </c>
      <c r="C455" s="34" t="n">
        <v>45370</v>
      </c>
      <c r="D455" s="33" t="n">
        <v>39</v>
      </c>
      <c r="E455" s="33" t="s">
        <v>154</v>
      </c>
      <c r="F455" s="33" t="s">
        <v>203</v>
      </c>
      <c r="G455" s="33" t="s">
        <v>232</v>
      </c>
      <c r="H455" s="33" t="s">
        <v>193</v>
      </c>
      <c r="I455" s="33" t="s">
        <v>143</v>
      </c>
      <c r="J455" s="33" t="s">
        <v>159</v>
      </c>
      <c r="K455" s="33" t="s">
        <v>184</v>
      </c>
      <c r="L455" s="35" t="n">
        <v>870.77</v>
      </c>
      <c r="M455" s="33" t="n">
        <v>3</v>
      </c>
      <c r="N455" s="33" t="s">
        <v>146</v>
      </c>
      <c r="O455" s="33" t="s">
        <v>147</v>
      </c>
      <c r="P455" s="39" t="n">
        <f aca="false">C455-B455</f>
        <v>1</v>
      </c>
      <c r="Q455" s="40" t="str">
        <f aca="false">CHOOSE(MONTH(B455),"يناير","فبراير","مارس","أبريل","مايو","يونيو","يوليو","أغسطس","سبتمبر","أكتوبر","نوفمبر","ديسمبر")</f>
        <v>مارس</v>
      </c>
      <c r="R455" s="40" t="str">
        <f aca="false">"الربع "&amp;ROUNDUP(MONTH(B455)/3,0)</f>
        <v>الربع 1</v>
      </c>
      <c r="S455" s="40" t="str">
        <f aca="false">IF(D455&lt;=12,"أطفال (0-12)",IF(D455&lt;=24,"شباب (13-24)",IF(D455&lt;=44,"بالغون (25-44)",IF(D455&lt;=64,"متوسطو العمر (45-64)","كبار السن (+65)"))))</f>
        <v>بالغون (25-44)</v>
      </c>
      <c r="T455" s="41" t="n">
        <f aca="false">IFERROR(L455/P455,0)</f>
        <v>870.77</v>
      </c>
    </row>
    <row r="456" customFormat="false" ht="15" hidden="false" customHeight="false" outlineLevel="0" collapsed="false">
      <c r="A456" s="42" t="s">
        <v>840</v>
      </c>
      <c r="B456" s="43" t="n">
        <v>45369</v>
      </c>
      <c r="C456" s="43" t="n">
        <v>45375</v>
      </c>
      <c r="D456" s="42" t="n">
        <v>23</v>
      </c>
      <c r="E456" s="42" t="s">
        <v>139</v>
      </c>
      <c r="F456" s="42" t="s">
        <v>226</v>
      </c>
      <c r="G456" s="42" t="s">
        <v>386</v>
      </c>
      <c r="H456" s="42" t="s">
        <v>228</v>
      </c>
      <c r="I456" s="42" t="s">
        <v>152</v>
      </c>
      <c r="J456" s="42" t="s">
        <v>144</v>
      </c>
      <c r="K456" s="42" t="s">
        <v>145</v>
      </c>
      <c r="L456" s="44" t="n">
        <v>36549.77</v>
      </c>
      <c r="M456" s="42" t="n">
        <v>4</v>
      </c>
      <c r="N456" s="42" t="s">
        <v>146</v>
      </c>
      <c r="O456" s="42" t="s">
        <v>147</v>
      </c>
      <c r="P456" s="39" t="n">
        <f aca="false">C456-B456</f>
        <v>6</v>
      </c>
      <c r="Q456" s="40" t="str">
        <f aca="false">CHOOSE(MONTH(B456),"يناير","فبراير","مارس","أبريل","مايو","يونيو","يوليو","أغسطس","سبتمبر","أكتوبر","نوفمبر","ديسمبر")</f>
        <v>مارس</v>
      </c>
      <c r="R456" s="40" t="str">
        <f aca="false">"الربع "&amp;ROUNDUP(MONTH(B456)/3,0)</f>
        <v>الربع 1</v>
      </c>
      <c r="S456" s="40" t="str">
        <f aca="false">IF(D456&lt;=12,"أطفال (0-12)",IF(D456&lt;=24,"شباب (13-24)",IF(D456&lt;=44,"بالغون (25-44)",IF(D456&lt;=64,"متوسطو العمر (45-64)","كبار السن (+65)"))))</f>
        <v>شباب (13-24)</v>
      </c>
      <c r="T456" s="41" t="n">
        <f aca="false">IFERROR(L456/P456,0)</f>
        <v>6091.62833333333</v>
      </c>
    </row>
    <row r="457" customFormat="false" ht="15" hidden="false" customHeight="false" outlineLevel="0" collapsed="false">
      <c r="A457" s="33" t="s">
        <v>1370</v>
      </c>
      <c r="B457" s="34" t="n">
        <v>45369</v>
      </c>
      <c r="C457" s="34" t="n">
        <v>45378</v>
      </c>
      <c r="D457" s="33" t="n">
        <v>31</v>
      </c>
      <c r="E457" s="33" t="s">
        <v>154</v>
      </c>
      <c r="F457" s="33" t="s">
        <v>169</v>
      </c>
      <c r="G457" s="33" t="s">
        <v>230</v>
      </c>
      <c r="H457" s="33" t="s">
        <v>171</v>
      </c>
      <c r="I457" s="33" t="s">
        <v>158</v>
      </c>
      <c r="J457" s="33" t="s">
        <v>176</v>
      </c>
      <c r="K457" s="33" t="s">
        <v>209</v>
      </c>
      <c r="L457" s="35" t="n">
        <v>35903</v>
      </c>
      <c r="M457" s="33" t="n">
        <v>4</v>
      </c>
      <c r="N457" s="33" t="s">
        <v>210</v>
      </c>
      <c r="O457" s="33" t="s">
        <v>147</v>
      </c>
      <c r="P457" s="39" t="n">
        <f aca="false">C457-B457</f>
        <v>9</v>
      </c>
      <c r="Q457" s="40" t="str">
        <f aca="false">CHOOSE(MONTH(B457),"يناير","فبراير","مارس","أبريل","مايو","يونيو","يوليو","أغسطس","سبتمبر","أكتوبر","نوفمبر","ديسمبر")</f>
        <v>مارس</v>
      </c>
      <c r="R457" s="40" t="str">
        <f aca="false">"الربع "&amp;ROUNDUP(MONTH(B457)/3,0)</f>
        <v>الربع 1</v>
      </c>
      <c r="S457" s="40" t="str">
        <f aca="false">IF(D457&lt;=12,"أطفال (0-12)",IF(D457&lt;=24,"شباب (13-24)",IF(D457&lt;=44,"بالغون (25-44)",IF(D457&lt;=64,"متوسطو العمر (45-64)","كبار السن (+65)"))))</f>
        <v>بالغون (25-44)</v>
      </c>
      <c r="T457" s="41" t="n">
        <f aca="false">IFERROR(L457/P457,0)</f>
        <v>3989.22222222222</v>
      </c>
    </row>
    <row r="458" customFormat="false" ht="15" hidden="false" customHeight="false" outlineLevel="0" collapsed="false">
      <c r="A458" s="42" t="s">
        <v>547</v>
      </c>
      <c r="B458" s="43" t="n">
        <v>45370</v>
      </c>
      <c r="C458" s="43" t="n">
        <v>45373</v>
      </c>
      <c r="D458" s="42" t="n">
        <v>34</v>
      </c>
      <c r="E458" s="42" t="s">
        <v>154</v>
      </c>
      <c r="F458" s="42" t="s">
        <v>226</v>
      </c>
      <c r="G458" s="42" t="s">
        <v>227</v>
      </c>
      <c r="H458" s="42" t="s">
        <v>263</v>
      </c>
      <c r="I458" s="42" t="s">
        <v>158</v>
      </c>
      <c r="J458" s="42" t="s">
        <v>159</v>
      </c>
      <c r="K458" s="42" t="s">
        <v>160</v>
      </c>
      <c r="L458" s="44" t="n">
        <v>8452.96</v>
      </c>
      <c r="M458" s="42" t="n">
        <v>4</v>
      </c>
      <c r="N458" s="42" t="s">
        <v>146</v>
      </c>
      <c r="O458" s="42" t="s">
        <v>147</v>
      </c>
      <c r="P458" s="39" t="n">
        <f aca="false">C458-B458</f>
        <v>3</v>
      </c>
      <c r="Q458" s="40" t="str">
        <f aca="false">CHOOSE(MONTH(B458),"يناير","فبراير","مارس","أبريل","مايو","يونيو","يوليو","أغسطس","سبتمبر","أكتوبر","نوفمبر","ديسمبر")</f>
        <v>مارس</v>
      </c>
      <c r="R458" s="40" t="str">
        <f aca="false">"الربع "&amp;ROUNDUP(MONTH(B458)/3,0)</f>
        <v>الربع 1</v>
      </c>
      <c r="S458" s="40" t="str">
        <f aca="false">IF(D458&lt;=12,"أطفال (0-12)",IF(D458&lt;=24,"شباب (13-24)",IF(D458&lt;=44,"بالغون (25-44)",IF(D458&lt;=64,"متوسطو العمر (45-64)","كبار السن (+65)"))))</f>
        <v>بالغون (25-44)</v>
      </c>
      <c r="T458" s="41" t="n">
        <f aca="false">IFERROR(L458/P458,0)</f>
        <v>2817.65333333333</v>
      </c>
    </row>
    <row r="459" customFormat="false" ht="15" hidden="false" customHeight="false" outlineLevel="0" collapsed="false">
      <c r="A459" s="33" t="s">
        <v>1897</v>
      </c>
      <c r="B459" s="34" t="n">
        <v>45370</v>
      </c>
      <c r="C459" s="34" t="n">
        <v>45372</v>
      </c>
      <c r="D459" s="33" t="n">
        <v>29</v>
      </c>
      <c r="E459" s="33" t="s">
        <v>154</v>
      </c>
      <c r="F459" s="33" t="s">
        <v>203</v>
      </c>
      <c r="G459" s="33" t="s">
        <v>217</v>
      </c>
      <c r="H459" s="33" t="s">
        <v>205</v>
      </c>
      <c r="I459" s="33" t="s">
        <v>152</v>
      </c>
      <c r="J459" s="33" t="s">
        <v>159</v>
      </c>
      <c r="K459" s="33" t="s">
        <v>145</v>
      </c>
      <c r="L459" s="35" t="n">
        <v>1872.5</v>
      </c>
      <c r="M459" s="33" t="n">
        <v>4</v>
      </c>
      <c r="N459" s="33" t="s">
        <v>146</v>
      </c>
      <c r="O459" s="33" t="s">
        <v>247</v>
      </c>
      <c r="P459" s="39" t="n">
        <f aca="false">C459-B459</f>
        <v>2</v>
      </c>
      <c r="Q459" s="40" t="str">
        <f aca="false">CHOOSE(MONTH(B459),"يناير","فبراير","مارس","أبريل","مايو","يونيو","يوليو","أغسطس","سبتمبر","أكتوبر","نوفمبر","ديسمبر")</f>
        <v>مارس</v>
      </c>
      <c r="R459" s="40" t="str">
        <f aca="false">"الربع "&amp;ROUNDUP(MONTH(B459)/3,0)</f>
        <v>الربع 1</v>
      </c>
      <c r="S459" s="40" t="str">
        <f aca="false">IF(D459&lt;=12,"أطفال (0-12)",IF(D459&lt;=24,"شباب (13-24)",IF(D459&lt;=44,"بالغون (25-44)",IF(D459&lt;=64,"متوسطو العمر (45-64)","كبار السن (+65)"))))</f>
        <v>بالغون (25-44)</v>
      </c>
      <c r="T459" s="41" t="n">
        <f aca="false">IFERROR(L459/P459,0)</f>
        <v>936.25</v>
      </c>
    </row>
    <row r="460" customFormat="false" ht="15" hidden="false" customHeight="false" outlineLevel="0" collapsed="false">
      <c r="A460" s="42" t="s">
        <v>1658</v>
      </c>
      <c r="B460" s="43" t="n">
        <v>45371</v>
      </c>
      <c r="C460" s="43" t="n">
        <v>45372</v>
      </c>
      <c r="D460" s="42" t="n">
        <v>44</v>
      </c>
      <c r="E460" s="42" t="s">
        <v>154</v>
      </c>
      <c r="F460" s="42" t="s">
        <v>203</v>
      </c>
      <c r="G460" s="42" t="s">
        <v>217</v>
      </c>
      <c r="H460" s="42" t="s">
        <v>193</v>
      </c>
      <c r="I460" s="42" t="s">
        <v>143</v>
      </c>
      <c r="J460" s="42" t="s">
        <v>159</v>
      </c>
      <c r="K460" s="42" t="s">
        <v>184</v>
      </c>
      <c r="L460" s="44" t="n">
        <v>755.15</v>
      </c>
      <c r="M460" s="42" t="n">
        <v>3</v>
      </c>
      <c r="N460" s="42" t="s">
        <v>146</v>
      </c>
      <c r="O460" s="42" t="s">
        <v>147</v>
      </c>
      <c r="P460" s="39" t="n">
        <f aca="false">C460-B460</f>
        <v>1</v>
      </c>
      <c r="Q460" s="40" t="str">
        <f aca="false">CHOOSE(MONTH(B460),"يناير","فبراير","مارس","أبريل","مايو","يونيو","يوليو","أغسطس","سبتمبر","أكتوبر","نوفمبر","ديسمبر")</f>
        <v>مارس</v>
      </c>
      <c r="R460" s="40" t="str">
        <f aca="false">"الربع "&amp;ROUNDUP(MONTH(B460)/3,0)</f>
        <v>الربع 1</v>
      </c>
      <c r="S460" s="40" t="str">
        <f aca="false">IF(D460&lt;=12,"أطفال (0-12)",IF(D460&lt;=24,"شباب (13-24)",IF(D460&lt;=44,"بالغون (25-44)",IF(D460&lt;=64,"متوسطو العمر (45-64)","كبار السن (+65)"))))</f>
        <v>بالغون (25-44)</v>
      </c>
      <c r="T460" s="41" t="n">
        <f aca="false">IFERROR(L460/P460,0)</f>
        <v>755.15</v>
      </c>
    </row>
    <row r="461" customFormat="false" ht="15" hidden="false" customHeight="false" outlineLevel="0" collapsed="false">
      <c r="A461" s="33" t="s">
        <v>1607</v>
      </c>
      <c r="B461" s="34" t="n">
        <v>45371</v>
      </c>
      <c r="C461" s="34" t="n">
        <v>45383</v>
      </c>
      <c r="D461" s="33" t="n">
        <v>32</v>
      </c>
      <c r="E461" s="33" t="s">
        <v>154</v>
      </c>
      <c r="F461" s="33" t="s">
        <v>173</v>
      </c>
      <c r="G461" s="33" t="s">
        <v>174</v>
      </c>
      <c r="H461" s="33" t="s">
        <v>199</v>
      </c>
      <c r="I461" s="33" t="s">
        <v>143</v>
      </c>
      <c r="J461" s="33" t="s">
        <v>159</v>
      </c>
      <c r="K461" s="33" t="s">
        <v>160</v>
      </c>
      <c r="L461" s="35" t="n">
        <v>32069.15</v>
      </c>
      <c r="M461" s="33" t="n">
        <v>4</v>
      </c>
      <c r="N461" s="33" t="s">
        <v>146</v>
      </c>
      <c r="O461" s="33" t="s">
        <v>247</v>
      </c>
      <c r="P461" s="39" t="n">
        <f aca="false">C461-B461</f>
        <v>12</v>
      </c>
      <c r="Q461" s="40" t="str">
        <f aca="false">CHOOSE(MONTH(B461),"يناير","فبراير","مارس","أبريل","مايو","يونيو","يوليو","أغسطس","سبتمبر","أكتوبر","نوفمبر","ديسمبر")</f>
        <v>مارس</v>
      </c>
      <c r="R461" s="40" t="str">
        <f aca="false">"الربع "&amp;ROUNDUP(MONTH(B461)/3,0)</f>
        <v>الربع 1</v>
      </c>
      <c r="S461" s="40" t="str">
        <f aca="false">IF(D461&lt;=12,"أطفال (0-12)",IF(D461&lt;=24,"شباب (13-24)",IF(D461&lt;=44,"بالغون (25-44)",IF(D461&lt;=64,"متوسطو العمر (45-64)","كبار السن (+65)"))))</f>
        <v>بالغون (25-44)</v>
      </c>
      <c r="T461" s="41" t="n">
        <f aca="false">IFERROR(L461/P461,0)</f>
        <v>2672.42916666667</v>
      </c>
    </row>
    <row r="462" customFormat="false" ht="15" hidden="false" customHeight="false" outlineLevel="0" collapsed="false">
      <c r="A462" s="42" t="s">
        <v>1472</v>
      </c>
      <c r="B462" s="43" t="n">
        <v>45372</v>
      </c>
      <c r="C462" s="43" t="n">
        <v>45373</v>
      </c>
      <c r="D462" s="42" t="n">
        <v>33</v>
      </c>
      <c r="E462" s="42" t="s">
        <v>139</v>
      </c>
      <c r="F462" s="42" t="s">
        <v>203</v>
      </c>
      <c r="G462" s="42" t="s">
        <v>241</v>
      </c>
      <c r="H462" s="42" t="s">
        <v>193</v>
      </c>
      <c r="I462" s="42" t="s">
        <v>143</v>
      </c>
      <c r="J462" s="42" t="s">
        <v>144</v>
      </c>
      <c r="K462" s="42" t="s">
        <v>145</v>
      </c>
      <c r="L462" s="44" t="n">
        <v>1893.71</v>
      </c>
      <c r="M462" s="42" t="n">
        <v>5</v>
      </c>
      <c r="N462" s="42" t="s">
        <v>146</v>
      </c>
      <c r="O462" s="42" t="s">
        <v>147</v>
      </c>
      <c r="P462" s="39" t="n">
        <f aca="false">C462-B462</f>
        <v>1</v>
      </c>
      <c r="Q462" s="40" t="str">
        <f aca="false">CHOOSE(MONTH(B462),"يناير","فبراير","مارس","أبريل","مايو","يونيو","يوليو","أغسطس","سبتمبر","أكتوبر","نوفمبر","ديسمبر")</f>
        <v>مارس</v>
      </c>
      <c r="R462" s="40" t="str">
        <f aca="false">"الربع "&amp;ROUNDUP(MONTH(B462)/3,0)</f>
        <v>الربع 1</v>
      </c>
      <c r="S462" s="40" t="str">
        <f aca="false">IF(D462&lt;=12,"أطفال (0-12)",IF(D462&lt;=24,"شباب (13-24)",IF(D462&lt;=44,"بالغون (25-44)",IF(D462&lt;=64,"متوسطو العمر (45-64)","كبار السن (+65)"))))</f>
        <v>بالغون (25-44)</v>
      </c>
      <c r="T462" s="41" t="n">
        <f aca="false">IFERROR(L462/P462,0)</f>
        <v>1893.71</v>
      </c>
    </row>
    <row r="463" customFormat="false" ht="15" hidden="false" customHeight="false" outlineLevel="0" collapsed="false">
      <c r="A463" s="33" t="s">
        <v>735</v>
      </c>
      <c r="B463" s="34" t="n">
        <v>45372</v>
      </c>
      <c r="C463" s="34" t="n">
        <v>45373</v>
      </c>
      <c r="D463" s="33" t="n">
        <v>67</v>
      </c>
      <c r="E463" s="33" t="s">
        <v>139</v>
      </c>
      <c r="F463" s="33" t="s">
        <v>203</v>
      </c>
      <c r="G463" s="33" t="s">
        <v>217</v>
      </c>
      <c r="H463" s="33" t="s">
        <v>205</v>
      </c>
      <c r="I463" s="33" t="s">
        <v>152</v>
      </c>
      <c r="J463" s="33" t="s">
        <v>159</v>
      </c>
      <c r="K463" s="33" t="s">
        <v>145</v>
      </c>
      <c r="L463" s="35" t="n">
        <v>1044.67</v>
      </c>
      <c r="M463" s="33" t="n">
        <v>2</v>
      </c>
      <c r="N463" s="33" t="s">
        <v>146</v>
      </c>
      <c r="O463" s="33" t="s">
        <v>147</v>
      </c>
      <c r="P463" s="39" t="n">
        <f aca="false">C463-B463</f>
        <v>1</v>
      </c>
      <c r="Q463" s="40" t="str">
        <f aca="false">CHOOSE(MONTH(B463),"يناير","فبراير","مارس","أبريل","مايو","يونيو","يوليو","أغسطس","سبتمبر","أكتوبر","نوفمبر","ديسمبر")</f>
        <v>مارس</v>
      </c>
      <c r="R463" s="40" t="str">
        <f aca="false">"الربع "&amp;ROUNDUP(MONTH(B463)/3,0)</f>
        <v>الربع 1</v>
      </c>
      <c r="S463" s="40" t="str">
        <f aca="false">IF(D463&lt;=12,"أطفال (0-12)",IF(D463&lt;=24,"شباب (13-24)",IF(D463&lt;=44,"بالغون (25-44)",IF(D463&lt;=64,"متوسطو العمر (45-64)","كبار السن (+65)"))))</f>
        <v>كبار السن (+65)</v>
      </c>
      <c r="T463" s="41" t="n">
        <f aca="false">IFERROR(L463/P463,0)</f>
        <v>1044.67</v>
      </c>
    </row>
    <row r="464" customFormat="false" ht="15" hidden="false" customHeight="false" outlineLevel="0" collapsed="false">
      <c r="A464" s="42" t="s">
        <v>917</v>
      </c>
      <c r="B464" s="43" t="n">
        <v>45373</v>
      </c>
      <c r="C464" s="43" t="n">
        <v>45378</v>
      </c>
      <c r="D464" s="42" t="n">
        <v>5</v>
      </c>
      <c r="E464" s="42" t="s">
        <v>139</v>
      </c>
      <c r="F464" s="42" t="s">
        <v>155</v>
      </c>
      <c r="G464" s="42" t="s">
        <v>220</v>
      </c>
      <c r="H464" s="42" t="s">
        <v>222</v>
      </c>
      <c r="I464" s="42" t="s">
        <v>143</v>
      </c>
      <c r="J464" s="42" t="s">
        <v>144</v>
      </c>
      <c r="K464" s="42" t="s">
        <v>184</v>
      </c>
      <c r="L464" s="44" t="n">
        <v>7272.08</v>
      </c>
      <c r="M464" s="42" t="n">
        <v>5</v>
      </c>
      <c r="N464" s="42" t="s">
        <v>146</v>
      </c>
      <c r="O464" s="42" t="s">
        <v>295</v>
      </c>
      <c r="P464" s="39" t="n">
        <f aca="false">C464-B464</f>
        <v>5</v>
      </c>
      <c r="Q464" s="40" t="str">
        <f aca="false">CHOOSE(MONTH(B464),"يناير","فبراير","مارس","أبريل","مايو","يونيو","يوليو","أغسطس","سبتمبر","أكتوبر","نوفمبر","ديسمبر")</f>
        <v>مارس</v>
      </c>
      <c r="R464" s="40" t="str">
        <f aca="false">"الربع "&amp;ROUNDUP(MONTH(B464)/3,0)</f>
        <v>الربع 1</v>
      </c>
      <c r="S464" s="40" t="str">
        <f aca="false">IF(D464&lt;=12,"أطفال (0-12)",IF(D464&lt;=24,"شباب (13-24)",IF(D464&lt;=44,"بالغون (25-44)",IF(D464&lt;=64,"متوسطو العمر (45-64)","كبار السن (+65)"))))</f>
        <v>أطفال (0-12)</v>
      </c>
      <c r="T464" s="41" t="n">
        <f aca="false">IFERROR(L464/P464,0)</f>
        <v>1454.416</v>
      </c>
    </row>
    <row r="465" customFormat="false" ht="15" hidden="false" customHeight="false" outlineLevel="0" collapsed="false">
      <c r="A465" s="33" t="s">
        <v>1267</v>
      </c>
      <c r="B465" s="34" t="n">
        <v>45373</v>
      </c>
      <c r="C465" s="34" t="n">
        <v>45378</v>
      </c>
      <c r="D465" s="33" t="n">
        <v>41</v>
      </c>
      <c r="E465" s="33" t="s">
        <v>139</v>
      </c>
      <c r="F465" s="33" t="s">
        <v>173</v>
      </c>
      <c r="G465" s="33" t="s">
        <v>178</v>
      </c>
      <c r="H465" s="33" t="s">
        <v>175</v>
      </c>
      <c r="I465" s="33" t="s">
        <v>152</v>
      </c>
      <c r="J465" s="33" t="s">
        <v>159</v>
      </c>
      <c r="K465" s="33" t="s">
        <v>160</v>
      </c>
      <c r="L465" s="35" t="n">
        <v>12964.19</v>
      </c>
      <c r="M465" s="33" t="n">
        <v>4</v>
      </c>
      <c r="N465" s="33" t="s">
        <v>146</v>
      </c>
      <c r="O465" s="33" t="s">
        <v>147</v>
      </c>
      <c r="P465" s="39" t="n">
        <f aca="false">C465-B465</f>
        <v>5</v>
      </c>
      <c r="Q465" s="40" t="str">
        <f aca="false">CHOOSE(MONTH(B465),"يناير","فبراير","مارس","أبريل","مايو","يونيو","يوليو","أغسطس","سبتمبر","أكتوبر","نوفمبر","ديسمبر")</f>
        <v>مارس</v>
      </c>
      <c r="R465" s="40" t="str">
        <f aca="false">"الربع "&amp;ROUNDUP(MONTH(B465)/3,0)</f>
        <v>الربع 1</v>
      </c>
      <c r="S465" s="40" t="str">
        <f aca="false">IF(D465&lt;=12,"أطفال (0-12)",IF(D465&lt;=24,"شباب (13-24)",IF(D465&lt;=44,"بالغون (25-44)",IF(D465&lt;=64,"متوسطو العمر (45-64)","كبار السن (+65)"))))</f>
        <v>بالغون (25-44)</v>
      </c>
      <c r="T465" s="41" t="n">
        <f aca="false">IFERROR(L465/P465,0)</f>
        <v>2592.838</v>
      </c>
    </row>
    <row r="466" customFormat="false" ht="15" hidden="false" customHeight="false" outlineLevel="0" collapsed="false">
      <c r="A466" s="42" t="s">
        <v>2104</v>
      </c>
      <c r="B466" s="43" t="n">
        <v>45373</v>
      </c>
      <c r="C466" s="43" t="n">
        <v>45374</v>
      </c>
      <c r="D466" s="42" t="n">
        <v>29</v>
      </c>
      <c r="E466" s="42" t="s">
        <v>139</v>
      </c>
      <c r="F466" s="42" t="s">
        <v>149</v>
      </c>
      <c r="G466" s="42" t="s">
        <v>243</v>
      </c>
      <c r="H466" s="42" t="s">
        <v>186</v>
      </c>
      <c r="I466" s="42" t="s">
        <v>143</v>
      </c>
      <c r="J466" s="42" t="s">
        <v>159</v>
      </c>
      <c r="K466" s="42" t="s">
        <v>209</v>
      </c>
      <c r="L466" s="44" t="n">
        <v>1775.45</v>
      </c>
      <c r="M466" s="42" t="n">
        <v>2</v>
      </c>
      <c r="N466" s="42" t="s">
        <v>146</v>
      </c>
      <c r="O466" s="42" t="s">
        <v>147</v>
      </c>
      <c r="P466" s="39" t="n">
        <f aca="false">C466-B466</f>
        <v>1</v>
      </c>
      <c r="Q466" s="40" t="str">
        <f aca="false">CHOOSE(MONTH(B466),"يناير","فبراير","مارس","أبريل","مايو","يونيو","يوليو","أغسطس","سبتمبر","أكتوبر","نوفمبر","ديسمبر")</f>
        <v>مارس</v>
      </c>
      <c r="R466" s="40" t="str">
        <f aca="false">"الربع "&amp;ROUNDUP(MONTH(B466)/3,0)</f>
        <v>الربع 1</v>
      </c>
      <c r="S466" s="40" t="str">
        <f aca="false">IF(D466&lt;=12,"أطفال (0-12)",IF(D466&lt;=24,"شباب (13-24)",IF(D466&lt;=44,"بالغون (25-44)",IF(D466&lt;=64,"متوسطو العمر (45-64)","كبار السن (+65)"))))</f>
        <v>بالغون (25-44)</v>
      </c>
      <c r="T466" s="41" t="n">
        <f aca="false">IFERROR(L466/P466,0)</f>
        <v>1775.45</v>
      </c>
    </row>
    <row r="467" customFormat="false" ht="15" hidden="false" customHeight="false" outlineLevel="0" collapsed="false">
      <c r="A467" s="33" t="s">
        <v>283</v>
      </c>
      <c r="B467" s="34" t="n">
        <v>45374</v>
      </c>
      <c r="C467" s="34" t="n">
        <v>45379</v>
      </c>
      <c r="D467" s="33" t="n">
        <v>40</v>
      </c>
      <c r="E467" s="33" t="s">
        <v>154</v>
      </c>
      <c r="F467" s="33" t="s">
        <v>173</v>
      </c>
      <c r="G467" s="33" t="s">
        <v>198</v>
      </c>
      <c r="H467" s="33" t="s">
        <v>199</v>
      </c>
      <c r="I467" s="33" t="s">
        <v>158</v>
      </c>
      <c r="J467" s="33" t="s">
        <v>144</v>
      </c>
      <c r="K467" s="33" t="s">
        <v>160</v>
      </c>
      <c r="L467" s="35" t="n">
        <v>27530.59</v>
      </c>
      <c r="M467" s="33" t="n">
        <v>5</v>
      </c>
      <c r="N467" s="33" t="s">
        <v>146</v>
      </c>
      <c r="O467" s="33" t="s">
        <v>147</v>
      </c>
      <c r="P467" s="39" t="n">
        <f aca="false">C467-B467</f>
        <v>5</v>
      </c>
      <c r="Q467" s="40" t="str">
        <f aca="false">CHOOSE(MONTH(B467),"يناير","فبراير","مارس","أبريل","مايو","يونيو","يوليو","أغسطس","سبتمبر","أكتوبر","نوفمبر","ديسمبر")</f>
        <v>مارس</v>
      </c>
      <c r="R467" s="40" t="str">
        <f aca="false">"الربع "&amp;ROUNDUP(MONTH(B467)/3,0)</f>
        <v>الربع 1</v>
      </c>
      <c r="S467" s="40" t="str">
        <f aca="false">IF(D467&lt;=12,"أطفال (0-12)",IF(D467&lt;=24,"شباب (13-24)",IF(D467&lt;=44,"بالغون (25-44)",IF(D467&lt;=64,"متوسطو العمر (45-64)","كبار السن (+65)"))))</f>
        <v>بالغون (25-44)</v>
      </c>
      <c r="T467" s="41" t="n">
        <f aca="false">IFERROR(L467/P467,0)</f>
        <v>5506.118</v>
      </c>
    </row>
    <row r="468" customFormat="false" ht="15" hidden="false" customHeight="false" outlineLevel="0" collapsed="false">
      <c r="A468" s="42" t="s">
        <v>1567</v>
      </c>
      <c r="B468" s="43" t="n">
        <v>45375</v>
      </c>
      <c r="C468" s="43" t="n">
        <v>45383</v>
      </c>
      <c r="D468" s="42" t="n">
        <v>10</v>
      </c>
      <c r="E468" s="42" t="s">
        <v>139</v>
      </c>
      <c r="F468" s="42" t="s">
        <v>173</v>
      </c>
      <c r="G468" s="42" t="s">
        <v>178</v>
      </c>
      <c r="H468" s="42" t="s">
        <v>175</v>
      </c>
      <c r="I468" s="42" t="s">
        <v>158</v>
      </c>
      <c r="J468" s="42" t="s">
        <v>159</v>
      </c>
      <c r="K468" s="42" t="s">
        <v>209</v>
      </c>
      <c r="L468" s="44" t="n">
        <v>23284.74</v>
      </c>
      <c r="M468" s="42" t="n">
        <v>4</v>
      </c>
      <c r="N468" s="42" t="s">
        <v>146</v>
      </c>
      <c r="O468" s="42" t="s">
        <v>147</v>
      </c>
      <c r="P468" s="39" t="n">
        <f aca="false">C468-B468</f>
        <v>8</v>
      </c>
      <c r="Q468" s="40" t="str">
        <f aca="false">CHOOSE(MONTH(B468),"يناير","فبراير","مارس","أبريل","مايو","يونيو","يوليو","أغسطس","سبتمبر","أكتوبر","نوفمبر","ديسمبر")</f>
        <v>مارس</v>
      </c>
      <c r="R468" s="40" t="str">
        <f aca="false">"الربع "&amp;ROUNDUP(MONTH(B468)/3,0)</f>
        <v>الربع 1</v>
      </c>
      <c r="S468" s="40" t="str">
        <f aca="false">IF(D468&lt;=12,"أطفال (0-12)",IF(D468&lt;=24,"شباب (13-24)",IF(D468&lt;=44,"بالغون (25-44)",IF(D468&lt;=64,"متوسطو العمر (45-64)","كبار السن (+65)"))))</f>
        <v>أطفال (0-12)</v>
      </c>
      <c r="T468" s="41" t="n">
        <f aca="false">IFERROR(L468/P468,0)</f>
        <v>2910.5925</v>
      </c>
    </row>
    <row r="469" customFormat="false" ht="15" hidden="false" customHeight="false" outlineLevel="0" collapsed="false">
      <c r="A469" s="33" t="s">
        <v>261</v>
      </c>
      <c r="B469" s="34" t="n">
        <v>45375</v>
      </c>
      <c r="C469" s="34" t="n">
        <v>45379</v>
      </c>
      <c r="D469" s="33" t="n">
        <v>75</v>
      </c>
      <c r="E469" s="33" t="s">
        <v>154</v>
      </c>
      <c r="F469" s="33" t="s">
        <v>169</v>
      </c>
      <c r="G469" s="33" t="s">
        <v>170</v>
      </c>
      <c r="H469" s="33" t="s">
        <v>164</v>
      </c>
      <c r="I469" s="33" t="s">
        <v>158</v>
      </c>
      <c r="J469" s="33" t="s">
        <v>159</v>
      </c>
      <c r="K469" s="33" t="s">
        <v>160</v>
      </c>
      <c r="L469" s="35" t="n">
        <v>4484.24</v>
      </c>
      <c r="M469" s="33" t="n">
        <v>3</v>
      </c>
      <c r="N469" s="33" t="s">
        <v>146</v>
      </c>
      <c r="O469" s="33" t="s">
        <v>147</v>
      </c>
      <c r="P469" s="39" t="n">
        <f aca="false">C469-B469</f>
        <v>4</v>
      </c>
      <c r="Q469" s="40" t="str">
        <f aca="false">CHOOSE(MONTH(B469),"يناير","فبراير","مارس","أبريل","مايو","يونيو","يوليو","أغسطس","سبتمبر","أكتوبر","نوفمبر","ديسمبر")</f>
        <v>مارس</v>
      </c>
      <c r="R469" s="40" t="str">
        <f aca="false">"الربع "&amp;ROUNDUP(MONTH(B469)/3,0)</f>
        <v>الربع 1</v>
      </c>
      <c r="S469" s="40" t="str">
        <f aca="false">IF(D469&lt;=12,"أطفال (0-12)",IF(D469&lt;=24,"شباب (13-24)",IF(D469&lt;=44,"بالغون (25-44)",IF(D469&lt;=64,"متوسطو العمر (45-64)","كبار السن (+65)"))))</f>
        <v>كبار السن (+65)</v>
      </c>
      <c r="T469" s="41" t="n">
        <f aca="false">IFERROR(L469/P469,0)</f>
        <v>1121.06</v>
      </c>
    </row>
    <row r="470" customFormat="false" ht="15" hidden="false" customHeight="false" outlineLevel="0" collapsed="false">
      <c r="A470" s="42" t="s">
        <v>1151</v>
      </c>
      <c r="B470" s="43" t="n">
        <v>45375</v>
      </c>
      <c r="C470" s="43" t="n">
        <v>45378</v>
      </c>
      <c r="D470" s="42" t="n">
        <v>53</v>
      </c>
      <c r="E470" s="42" t="s">
        <v>139</v>
      </c>
      <c r="F470" s="42" t="s">
        <v>169</v>
      </c>
      <c r="G470" s="42" t="s">
        <v>170</v>
      </c>
      <c r="H470" s="42" t="s">
        <v>195</v>
      </c>
      <c r="I470" s="42" t="s">
        <v>158</v>
      </c>
      <c r="J470" s="42" t="s">
        <v>159</v>
      </c>
      <c r="K470" s="42" t="s">
        <v>184</v>
      </c>
      <c r="L470" s="44" t="n">
        <v>3194.02</v>
      </c>
      <c r="M470" s="42" t="n">
        <v>4</v>
      </c>
      <c r="N470" s="42" t="s">
        <v>146</v>
      </c>
      <c r="O470" s="42" t="s">
        <v>147</v>
      </c>
      <c r="P470" s="39" t="n">
        <f aca="false">C470-B470</f>
        <v>3</v>
      </c>
      <c r="Q470" s="40" t="str">
        <f aca="false">CHOOSE(MONTH(B470),"يناير","فبراير","مارس","أبريل","مايو","يونيو","يوليو","أغسطس","سبتمبر","أكتوبر","نوفمبر","ديسمبر")</f>
        <v>مارس</v>
      </c>
      <c r="R470" s="40" t="str">
        <f aca="false">"الربع "&amp;ROUNDUP(MONTH(B470)/3,0)</f>
        <v>الربع 1</v>
      </c>
      <c r="S470" s="40" t="str">
        <f aca="false">IF(D470&lt;=12,"أطفال (0-12)",IF(D470&lt;=24,"شباب (13-24)",IF(D470&lt;=44,"بالغون (25-44)",IF(D470&lt;=64,"متوسطو العمر (45-64)","كبار السن (+65)"))))</f>
        <v>متوسطو العمر (45-64)</v>
      </c>
      <c r="T470" s="41" t="n">
        <f aca="false">IFERROR(L470/P470,0)</f>
        <v>1064.67333333333</v>
      </c>
    </row>
    <row r="471" customFormat="false" ht="15" hidden="false" customHeight="false" outlineLevel="0" collapsed="false">
      <c r="A471" s="33" t="s">
        <v>1575</v>
      </c>
      <c r="B471" s="34" t="n">
        <v>45375</v>
      </c>
      <c r="C471" s="34" t="n">
        <v>45376</v>
      </c>
      <c r="D471" s="33" t="n">
        <v>14</v>
      </c>
      <c r="E471" s="33" t="s">
        <v>154</v>
      </c>
      <c r="F471" s="33" t="s">
        <v>203</v>
      </c>
      <c r="G471" s="33" t="s">
        <v>232</v>
      </c>
      <c r="H471" s="33" t="s">
        <v>193</v>
      </c>
      <c r="I471" s="33" t="s">
        <v>143</v>
      </c>
      <c r="J471" s="33" t="s">
        <v>159</v>
      </c>
      <c r="K471" s="33" t="s">
        <v>145</v>
      </c>
      <c r="L471" s="35" t="n">
        <v>763.43</v>
      </c>
      <c r="M471" s="33" t="n">
        <v>3</v>
      </c>
      <c r="N471" s="33" t="s">
        <v>146</v>
      </c>
      <c r="O471" s="33" t="s">
        <v>147</v>
      </c>
      <c r="P471" s="39" t="n">
        <f aca="false">C471-B471</f>
        <v>1</v>
      </c>
      <c r="Q471" s="40" t="str">
        <f aca="false">CHOOSE(MONTH(B471),"يناير","فبراير","مارس","أبريل","مايو","يونيو","يوليو","أغسطس","سبتمبر","أكتوبر","نوفمبر","ديسمبر")</f>
        <v>مارس</v>
      </c>
      <c r="R471" s="40" t="str">
        <f aca="false">"الربع "&amp;ROUNDUP(MONTH(B471)/3,0)</f>
        <v>الربع 1</v>
      </c>
      <c r="S471" s="40" t="str">
        <f aca="false">IF(D471&lt;=12,"أطفال (0-12)",IF(D471&lt;=24,"شباب (13-24)",IF(D471&lt;=44,"بالغون (25-44)",IF(D471&lt;=64,"متوسطو العمر (45-64)","كبار السن (+65)"))))</f>
        <v>شباب (13-24)</v>
      </c>
      <c r="T471" s="41" t="n">
        <f aca="false">IFERROR(L471/P471,0)</f>
        <v>763.43</v>
      </c>
    </row>
    <row r="472" customFormat="false" ht="15" hidden="false" customHeight="false" outlineLevel="0" collapsed="false">
      <c r="A472" s="42" t="s">
        <v>2239</v>
      </c>
      <c r="B472" s="43" t="n">
        <v>45375</v>
      </c>
      <c r="C472" s="43" t="n">
        <v>45376</v>
      </c>
      <c r="D472" s="42" t="n">
        <v>42</v>
      </c>
      <c r="E472" s="42" t="s">
        <v>154</v>
      </c>
      <c r="F472" s="42" t="s">
        <v>203</v>
      </c>
      <c r="G472" s="42" t="s">
        <v>241</v>
      </c>
      <c r="H472" s="42" t="s">
        <v>205</v>
      </c>
      <c r="I472" s="42" t="s">
        <v>143</v>
      </c>
      <c r="J472" s="42" t="s">
        <v>144</v>
      </c>
      <c r="K472" s="42" t="s">
        <v>145</v>
      </c>
      <c r="L472" s="44" t="n">
        <v>1665.09</v>
      </c>
      <c r="M472" s="42" t="n">
        <v>4</v>
      </c>
      <c r="N472" s="42" t="s">
        <v>146</v>
      </c>
      <c r="O472" s="42" t="s">
        <v>147</v>
      </c>
      <c r="P472" s="39" t="n">
        <f aca="false">C472-B472</f>
        <v>1</v>
      </c>
      <c r="Q472" s="40" t="str">
        <f aca="false">CHOOSE(MONTH(B472),"يناير","فبراير","مارس","أبريل","مايو","يونيو","يوليو","أغسطس","سبتمبر","أكتوبر","نوفمبر","ديسمبر")</f>
        <v>مارس</v>
      </c>
      <c r="R472" s="40" t="str">
        <f aca="false">"الربع "&amp;ROUNDUP(MONTH(B472)/3,0)</f>
        <v>الربع 1</v>
      </c>
      <c r="S472" s="40" t="str">
        <f aca="false">IF(D472&lt;=12,"أطفال (0-12)",IF(D472&lt;=24,"شباب (13-24)",IF(D472&lt;=44,"بالغون (25-44)",IF(D472&lt;=64,"متوسطو العمر (45-64)","كبار السن (+65)"))))</f>
        <v>بالغون (25-44)</v>
      </c>
      <c r="T472" s="41" t="n">
        <f aca="false">IFERROR(L472/P472,0)</f>
        <v>1665.09</v>
      </c>
    </row>
    <row r="473" customFormat="false" ht="15" hidden="false" customHeight="false" outlineLevel="0" collapsed="false">
      <c r="A473" s="33" t="s">
        <v>286</v>
      </c>
      <c r="B473" s="34" t="n">
        <v>45376</v>
      </c>
      <c r="C473" s="34" t="n">
        <v>45381</v>
      </c>
      <c r="D473" s="33" t="n">
        <v>77</v>
      </c>
      <c r="E473" s="33" t="s">
        <v>154</v>
      </c>
      <c r="F473" s="33" t="s">
        <v>169</v>
      </c>
      <c r="G473" s="33" t="s">
        <v>230</v>
      </c>
      <c r="H473" s="33" t="s">
        <v>164</v>
      </c>
      <c r="I473" s="33" t="s">
        <v>143</v>
      </c>
      <c r="J473" s="33" t="s">
        <v>159</v>
      </c>
      <c r="K473" s="33" t="s">
        <v>145</v>
      </c>
      <c r="L473" s="35" t="n">
        <v>4879.08</v>
      </c>
      <c r="M473" s="33" t="n">
        <v>5</v>
      </c>
      <c r="N473" s="33" t="s">
        <v>146</v>
      </c>
      <c r="O473" s="33" t="s">
        <v>147</v>
      </c>
      <c r="P473" s="39" t="n">
        <f aca="false">C473-B473</f>
        <v>5</v>
      </c>
      <c r="Q473" s="40" t="str">
        <f aca="false">CHOOSE(MONTH(B473),"يناير","فبراير","مارس","أبريل","مايو","يونيو","يوليو","أغسطس","سبتمبر","أكتوبر","نوفمبر","ديسمبر")</f>
        <v>مارس</v>
      </c>
      <c r="R473" s="40" t="str">
        <f aca="false">"الربع "&amp;ROUNDUP(MONTH(B473)/3,0)</f>
        <v>الربع 1</v>
      </c>
      <c r="S473" s="40" t="str">
        <f aca="false">IF(D473&lt;=12,"أطفال (0-12)",IF(D473&lt;=24,"شباب (13-24)",IF(D473&lt;=44,"بالغون (25-44)",IF(D473&lt;=64,"متوسطو العمر (45-64)","كبار السن (+65)"))))</f>
        <v>كبار السن (+65)</v>
      </c>
      <c r="T473" s="41" t="n">
        <f aca="false">IFERROR(L473/P473,0)</f>
        <v>975.816</v>
      </c>
    </row>
    <row r="474" customFormat="false" ht="15" hidden="false" customHeight="false" outlineLevel="0" collapsed="false">
      <c r="A474" s="42" t="s">
        <v>405</v>
      </c>
      <c r="B474" s="43" t="n">
        <v>45376</v>
      </c>
      <c r="C474" s="43" t="n">
        <v>45382</v>
      </c>
      <c r="D474" s="42" t="n">
        <v>20</v>
      </c>
      <c r="E474" s="42" t="s">
        <v>139</v>
      </c>
      <c r="F474" s="42" t="s">
        <v>173</v>
      </c>
      <c r="G474" s="42" t="s">
        <v>178</v>
      </c>
      <c r="H474" s="42" t="s">
        <v>175</v>
      </c>
      <c r="I474" s="42" t="s">
        <v>152</v>
      </c>
      <c r="J474" s="42" t="s">
        <v>159</v>
      </c>
      <c r="K474" s="42" t="s">
        <v>145</v>
      </c>
      <c r="L474" s="44" t="n">
        <v>13809.44</v>
      </c>
      <c r="M474" s="42" t="n">
        <v>4</v>
      </c>
      <c r="N474" s="42" t="s">
        <v>146</v>
      </c>
      <c r="O474" s="42" t="s">
        <v>147</v>
      </c>
      <c r="P474" s="39" t="n">
        <f aca="false">C474-B474</f>
        <v>6</v>
      </c>
      <c r="Q474" s="40" t="str">
        <f aca="false">CHOOSE(MONTH(B474),"يناير","فبراير","مارس","أبريل","مايو","يونيو","يوليو","أغسطس","سبتمبر","أكتوبر","نوفمبر","ديسمبر")</f>
        <v>مارس</v>
      </c>
      <c r="R474" s="40" t="str">
        <f aca="false">"الربع "&amp;ROUNDUP(MONTH(B474)/3,0)</f>
        <v>الربع 1</v>
      </c>
      <c r="S474" s="40" t="str">
        <f aca="false">IF(D474&lt;=12,"أطفال (0-12)",IF(D474&lt;=24,"شباب (13-24)",IF(D474&lt;=44,"بالغون (25-44)",IF(D474&lt;=64,"متوسطو العمر (45-64)","كبار السن (+65)"))))</f>
        <v>شباب (13-24)</v>
      </c>
      <c r="T474" s="41" t="n">
        <f aca="false">IFERROR(L474/P474,0)</f>
        <v>2301.57333333333</v>
      </c>
    </row>
    <row r="475" customFormat="false" ht="15" hidden="false" customHeight="false" outlineLevel="0" collapsed="false">
      <c r="A475" s="33" t="s">
        <v>1611</v>
      </c>
      <c r="B475" s="34" t="n">
        <v>45376</v>
      </c>
      <c r="C475" s="34" t="n">
        <v>45380</v>
      </c>
      <c r="D475" s="33" t="n">
        <v>49</v>
      </c>
      <c r="E475" s="33" t="s">
        <v>154</v>
      </c>
      <c r="F475" s="33" t="s">
        <v>173</v>
      </c>
      <c r="G475" s="33" t="s">
        <v>178</v>
      </c>
      <c r="H475" s="33" t="s">
        <v>175</v>
      </c>
      <c r="I475" s="33" t="s">
        <v>143</v>
      </c>
      <c r="J475" s="33" t="s">
        <v>159</v>
      </c>
      <c r="K475" s="33" t="s">
        <v>160</v>
      </c>
      <c r="L475" s="35" t="n">
        <v>9697.25</v>
      </c>
      <c r="M475" s="33" t="n">
        <v>4</v>
      </c>
      <c r="N475" s="33" t="s">
        <v>146</v>
      </c>
      <c r="O475" s="33" t="s">
        <v>147</v>
      </c>
      <c r="P475" s="39" t="n">
        <f aca="false">C475-B475</f>
        <v>4</v>
      </c>
      <c r="Q475" s="40" t="str">
        <f aca="false">CHOOSE(MONTH(B475),"يناير","فبراير","مارس","أبريل","مايو","يونيو","يوليو","أغسطس","سبتمبر","أكتوبر","نوفمبر","ديسمبر")</f>
        <v>مارس</v>
      </c>
      <c r="R475" s="40" t="str">
        <f aca="false">"الربع "&amp;ROUNDUP(MONTH(B475)/3,0)</f>
        <v>الربع 1</v>
      </c>
      <c r="S475" s="40" t="str">
        <f aca="false">IF(D475&lt;=12,"أطفال (0-12)",IF(D475&lt;=24,"شباب (13-24)",IF(D475&lt;=44,"بالغون (25-44)",IF(D475&lt;=64,"متوسطو العمر (45-64)","كبار السن (+65)"))))</f>
        <v>متوسطو العمر (45-64)</v>
      </c>
      <c r="T475" s="41" t="n">
        <f aca="false">IFERROR(L475/P475,0)</f>
        <v>2424.3125</v>
      </c>
    </row>
    <row r="476" customFormat="false" ht="15" hidden="false" customHeight="false" outlineLevel="0" collapsed="false">
      <c r="A476" s="42" t="s">
        <v>2263</v>
      </c>
      <c r="B476" s="43" t="n">
        <v>45376</v>
      </c>
      <c r="C476" s="43" t="n">
        <v>45377</v>
      </c>
      <c r="D476" s="42" t="n">
        <v>70</v>
      </c>
      <c r="E476" s="42" t="s">
        <v>139</v>
      </c>
      <c r="F476" s="42" t="s">
        <v>173</v>
      </c>
      <c r="G476" s="42" t="s">
        <v>198</v>
      </c>
      <c r="H476" s="42" t="s">
        <v>199</v>
      </c>
      <c r="I476" s="42" t="s">
        <v>143</v>
      </c>
      <c r="J476" s="42" t="s">
        <v>159</v>
      </c>
      <c r="K476" s="42" t="s">
        <v>160</v>
      </c>
      <c r="L476" s="44" t="n">
        <v>1849.79</v>
      </c>
      <c r="M476" s="42" t="n">
        <v>4</v>
      </c>
      <c r="N476" s="42" t="s">
        <v>146</v>
      </c>
      <c r="O476" s="42" t="s">
        <v>147</v>
      </c>
      <c r="P476" s="39" t="n">
        <f aca="false">C476-B476</f>
        <v>1</v>
      </c>
      <c r="Q476" s="40" t="str">
        <f aca="false">CHOOSE(MONTH(B476),"يناير","فبراير","مارس","أبريل","مايو","يونيو","يوليو","أغسطس","سبتمبر","أكتوبر","نوفمبر","ديسمبر")</f>
        <v>مارس</v>
      </c>
      <c r="R476" s="40" t="str">
        <f aca="false">"الربع "&amp;ROUNDUP(MONTH(B476)/3,0)</f>
        <v>الربع 1</v>
      </c>
      <c r="S476" s="40" t="str">
        <f aca="false">IF(D476&lt;=12,"أطفال (0-12)",IF(D476&lt;=24,"شباب (13-24)",IF(D476&lt;=44,"بالغون (25-44)",IF(D476&lt;=64,"متوسطو العمر (45-64)","كبار السن (+65)"))))</f>
        <v>كبار السن (+65)</v>
      </c>
      <c r="T476" s="41" t="n">
        <f aca="false">IFERROR(L476/P476,0)</f>
        <v>1849.79</v>
      </c>
    </row>
    <row r="477" customFormat="false" ht="15" hidden="false" customHeight="false" outlineLevel="0" collapsed="false">
      <c r="A477" s="33" t="s">
        <v>1577</v>
      </c>
      <c r="B477" s="34" t="n">
        <v>45376</v>
      </c>
      <c r="C477" s="34" t="n">
        <v>45380</v>
      </c>
      <c r="D477" s="33" t="n">
        <v>2</v>
      </c>
      <c r="E477" s="33" t="s">
        <v>154</v>
      </c>
      <c r="F477" s="33" t="s">
        <v>155</v>
      </c>
      <c r="G477" s="33" t="s">
        <v>302</v>
      </c>
      <c r="H477" s="33" t="s">
        <v>222</v>
      </c>
      <c r="I477" s="33" t="s">
        <v>143</v>
      </c>
      <c r="J477" s="33" t="s">
        <v>159</v>
      </c>
      <c r="K477" s="33" t="s">
        <v>145</v>
      </c>
      <c r="L477" s="35" t="n">
        <v>3379.63</v>
      </c>
      <c r="M477" s="33" t="n">
        <v>4</v>
      </c>
      <c r="N477" s="33" t="s">
        <v>146</v>
      </c>
      <c r="O477" s="33" t="s">
        <v>147</v>
      </c>
      <c r="P477" s="39" t="n">
        <f aca="false">C477-B477</f>
        <v>4</v>
      </c>
      <c r="Q477" s="40" t="str">
        <f aca="false">CHOOSE(MONTH(B477),"يناير","فبراير","مارس","أبريل","مايو","يونيو","يوليو","أغسطس","سبتمبر","أكتوبر","نوفمبر","ديسمبر")</f>
        <v>مارس</v>
      </c>
      <c r="R477" s="40" t="str">
        <f aca="false">"الربع "&amp;ROUNDUP(MONTH(B477)/3,0)</f>
        <v>الربع 1</v>
      </c>
      <c r="S477" s="40" t="str">
        <f aca="false">IF(D477&lt;=12,"أطفال (0-12)",IF(D477&lt;=24,"شباب (13-24)",IF(D477&lt;=44,"بالغون (25-44)",IF(D477&lt;=64,"متوسطو العمر (45-64)","كبار السن (+65)"))))</f>
        <v>أطفال (0-12)</v>
      </c>
      <c r="T477" s="41" t="n">
        <f aca="false">IFERROR(L477/P477,0)</f>
        <v>844.9075</v>
      </c>
    </row>
    <row r="478" customFormat="false" ht="15" hidden="false" customHeight="false" outlineLevel="0" collapsed="false">
      <c r="A478" s="42" t="s">
        <v>1722</v>
      </c>
      <c r="B478" s="43" t="n">
        <v>45377</v>
      </c>
      <c r="C478" s="43" t="n">
        <v>45381</v>
      </c>
      <c r="D478" s="42" t="n">
        <v>5</v>
      </c>
      <c r="E478" s="42" t="s">
        <v>139</v>
      </c>
      <c r="F478" s="42" t="s">
        <v>155</v>
      </c>
      <c r="G478" s="42" t="s">
        <v>302</v>
      </c>
      <c r="H478" s="42" t="s">
        <v>222</v>
      </c>
      <c r="I478" s="42" t="s">
        <v>143</v>
      </c>
      <c r="J478" s="42" t="s">
        <v>159</v>
      </c>
      <c r="K478" s="42" t="s">
        <v>145</v>
      </c>
      <c r="L478" s="44" t="n">
        <v>3619.31</v>
      </c>
      <c r="M478" s="42" t="n">
        <v>4</v>
      </c>
      <c r="N478" s="42" t="s">
        <v>210</v>
      </c>
      <c r="O478" s="42" t="s">
        <v>147</v>
      </c>
      <c r="P478" s="39" t="n">
        <f aca="false">C478-B478</f>
        <v>4</v>
      </c>
      <c r="Q478" s="40" t="str">
        <f aca="false">CHOOSE(MONTH(B478),"يناير","فبراير","مارس","أبريل","مايو","يونيو","يوليو","أغسطس","سبتمبر","أكتوبر","نوفمبر","ديسمبر")</f>
        <v>مارس</v>
      </c>
      <c r="R478" s="40" t="str">
        <f aca="false">"الربع "&amp;ROUNDUP(MONTH(B478)/3,0)</f>
        <v>الربع 1</v>
      </c>
      <c r="S478" s="40" t="str">
        <f aca="false">IF(D478&lt;=12,"أطفال (0-12)",IF(D478&lt;=24,"شباب (13-24)",IF(D478&lt;=44,"بالغون (25-44)",IF(D478&lt;=64,"متوسطو العمر (45-64)","كبار السن (+65)"))))</f>
        <v>أطفال (0-12)</v>
      </c>
      <c r="T478" s="41" t="n">
        <f aca="false">IFERROR(L478/P478,0)</f>
        <v>904.8275</v>
      </c>
    </row>
    <row r="479" customFormat="false" ht="15" hidden="false" customHeight="false" outlineLevel="0" collapsed="false">
      <c r="A479" s="33" t="s">
        <v>2127</v>
      </c>
      <c r="B479" s="34" t="n">
        <v>45377</v>
      </c>
      <c r="C479" s="34" t="n">
        <v>45382</v>
      </c>
      <c r="D479" s="33" t="n">
        <v>7</v>
      </c>
      <c r="E479" s="33" t="s">
        <v>139</v>
      </c>
      <c r="F479" s="33" t="s">
        <v>169</v>
      </c>
      <c r="G479" s="33" t="s">
        <v>230</v>
      </c>
      <c r="H479" s="33" t="s">
        <v>171</v>
      </c>
      <c r="I479" s="33" t="s">
        <v>143</v>
      </c>
      <c r="J479" s="33" t="s">
        <v>159</v>
      </c>
      <c r="K479" s="33" t="s">
        <v>145</v>
      </c>
      <c r="L479" s="35" t="n">
        <v>4104.35</v>
      </c>
      <c r="M479" s="33" t="n">
        <v>5</v>
      </c>
      <c r="N479" s="33" t="s">
        <v>146</v>
      </c>
      <c r="O479" s="33" t="s">
        <v>206</v>
      </c>
      <c r="P479" s="39" t="n">
        <f aca="false">C479-B479</f>
        <v>5</v>
      </c>
      <c r="Q479" s="40" t="str">
        <f aca="false">CHOOSE(MONTH(B479),"يناير","فبراير","مارس","أبريل","مايو","يونيو","يوليو","أغسطس","سبتمبر","أكتوبر","نوفمبر","ديسمبر")</f>
        <v>مارس</v>
      </c>
      <c r="R479" s="40" t="str">
        <f aca="false">"الربع "&amp;ROUNDUP(MONTH(B479)/3,0)</f>
        <v>الربع 1</v>
      </c>
      <c r="S479" s="40" t="str">
        <f aca="false">IF(D479&lt;=12,"أطفال (0-12)",IF(D479&lt;=24,"شباب (13-24)",IF(D479&lt;=44,"بالغون (25-44)",IF(D479&lt;=64,"متوسطو العمر (45-64)","كبار السن (+65)"))))</f>
        <v>أطفال (0-12)</v>
      </c>
      <c r="T479" s="41" t="n">
        <f aca="false">IFERROR(L479/P479,0)</f>
        <v>820.87</v>
      </c>
    </row>
    <row r="480" customFormat="false" ht="15" hidden="false" customHeight="false" outlineLevel="0" collapsed="false">
      <c r="A480" s="42" t="s">
        <v>1813</v>
      </c>
      <c r="B480" s="43" t="n">
        <v>45377</v>
      </c>
      <c r="C480" s="43" t="n">
        <v>45378</v>
      </c>
      <c r="D480" s="42" t="n">
        <v>56</v>
      </c>
      <c r="E480" s="42" t="s">
        <v>139</v>
      </c>
      <c r="F480" s="42" t="s">
        <v>173</v>
      </c>
      <c r="G480" s="42" t="s">
        <v>198</v>
      </c>
      <c r="H480" s="42" t="s">
        <v>199</v>
      </c>
      <c r="I480" s="42" t="s">
        <v>143</v>
      </c>
      <c r="J480" s="42" t="s">
        <v>159</v>
      </c>
      <c r="K480" s="42" t="s">
        <v>145</v>
      </c>
      <c r="L480" s="44" t="n">
        <v>2450.15</v>
      </c>
      <c r="M480" s="42" t="n">
        <v>4</v>
      </c>
      <c r="N480" s="42" t="s">
        <v>146</v>
      </c>
      <c r="O480" s="42" t="s">
        <v>147</v>
      </c>
      <c r="P480" s="39" t="n">
        <f aca="false">C480-B480</f>
        <v>1</v>
      </c>
      <c r="Q480" s="40" t="str">
        <f aca="false">CHOOSE(MONTH(B480),"يناير","فبراير","مارس","أبريل","مايو","يونيو","يوليو","أغسطس","سبتمبر","أكتوبر","نوفمبر","ديسمبر")</f>
        <v>مارس</v>
      </c>
      <c r="R480" s="40" t="str">
        <f aca="false">"الربع "&amp;ROUNDUP(MONTH(B480)/3,0)</f>
        <v>الربع 1</v>
      </c>
      <c r="S480" s="40" t="str">
        <f aca="false">IF(D480&lt;=12,"أطفال (0-12)",IF(D480&lt;=24,"شباب (13-24)",IF(D480&lt;=44,"بالغون (25-44)",IF(D480&lt;=64,"متوسطو العمر (45-64)","كبار السن (+65)"))))</f>
        <v>متوسطو العمر (45-64)</v>
      </c>
      <c r="T480" s="41" t="n">
        <f aca="false">IFERROR(L480/P480,0)</f>
        <v>2450.15</v>
      </c>
    </row>
    <row r="481" customFormat="false" ht="15" hidden="false" customHeight="false" outlineLevel="0" collapsed="false">
      <c r="A481" s="33" t="s">
        <v>1683</v>
      </c>
      <c r="B481" s="34" t="n">
        <v>45377</v>
      </c>
      <c r="C481" s="34" t="n">
        <v>45379</v>
      </c>
      <c r="D481" s="33" t="n">
        <v>21</v>
      </c>
      <c r="E481" s="33" t="s">
        <v>154</v>
      </c>
      <c r="F481" s="33" t="s">
        <v>203</v>
      </c>
      <c r="G481" s="33" t="s">
        <v>204</v>
      </c>
      <c r="H481" s="33" t="s">
        <v>193</v>
      </c>
      <c r="I481" s="33" t="s">
        <v>143</v>
      </c>
      <c r="J481" s="33" t="s">
        <v>176</v>
      </c>
      <c r="K481" s="33" t="s">
        <v>145</v>
      </c>
      <c r="L481" s="35" t="n">
        <v>6647.2</v>
      </c>
      <c r="M481" s="33" t="n">
        <v>3</v>
      </c>
      <c r="N481" s="33" t="s">
        <v>210</v>
      </c>
      <c r="O481" s="33" t="s">
        <v>247</v>
      </c>
      <c r="P481" s="39" t="n">
        <f aca="false">C481-B481</f>
        <v>2</v>
      </c>
      <c r="Q481" s="40" t="str">
        <f aca="false">CHOOSE(MONTH(B481),"يناير","فبراير","مارس","أبريل","مايو","يونيو","يوليو","أغسطس","سبتمبر","أكتوبر","نوفمبر","ديسمبر")</f>
        <v>مارس</v>
      </c>
      <c r="R481" s="40" t="str">
        <f aca="false">"الربع "&amp;ROUNDUP(MONTH(B481)/3,0)</f>
        <v>الربع 1</v>
      </c>
      <c r="S481" s="40" t="str">
        <f aca="false">IF(D481&lt;=12,"أطفال (0-12)",IF(D481&lt;=24,"شباب (13-24)",IF(D481&lt;=44,"بالغون (25-44)",IF(D481&lt;=64,"متوسطو العمر (45-64)","كبار السن (+65)"))))</f>
        <v>شباب (13-24)</v>
      </c>
      <c r="T481" s="41" t="n">
        <f aca="false">IFERROR(L481/P481,0)</f>
        <v>3323.6</v>
      </c>
    </row>
    <row r="482" customFormat="false" ht="15" hidden="false" customHeight="false" outlineLevel="0" collapsed="false">
      <c r="A482" s="42" t="s">
        <v>1864</v>
      </c>
      <c r="B482" s="43" t="n">
        <v>45377</v>
      </c>
      <c r="C482" s="43" t="n">
        <v>45381</v>
      </c>
      <c r="D482" s="42" t="n">
        <v>44</v>
      </c>
      <c r="E482" s="42" t="s">
        <v>154</v>
      </c>
      <c r="F482" s="42" t="s">
        <v>169</v>
      </c>
      <c r="G482" s="42" t="s">
        <v>170</v>
      </c>
      <c r="H482" s="42" t="s">
        <v>164</v>
      </c>
      <c r="I482" s="42" t="s">
        <v>152</v>
      </c>
      <c r="J482" s="42" t="s">
        <v>159</v>
      </c>
      <c r="K482" s="42" t="s">
        <v>209</v>
      </c>
      <c r="L482" s="44" t="n">
        <v>3554.15</v>
      </c>
      <c r="M482" s="42" t="n">
        <v>4</v>
      </c>
      <c r="N482" s="42" t="s">
        <v>146</v>
      </c>
      <c r="O482" s="42" t="s">
        <v>147</v>
      </c>
      <c r="P482" s="39" t="n">
        <f aca="false">C482-B482</f>
        <v>4</v>
      </c>
      <c r="Q482" s="40" t="str">
        <f aca="false">CHOOSE(MONTH(B482),"يناير","فبراير","مارس","أبريل","مايو","يونيو","يوليو","أغسطس","سبتمبر","أكتوبر","نوفمبر","ديسمبر")</f>
        <v>مارس</v>
      </c>
      <c r="R482" s="40" t="str">
        <f aca="false">"الربع "&amp;ROUNDUP(MONTH(B482)/3,0)</f>
        <v>الربع 1</v>
      </c>
      <c r="S482" s="40" t="str">
        <f aca="false">IF(D482&lt;=12,"أطفال (0-12)",IF(D482&lt;=24,"شباب (13-24)",IF(D482&lt;=44,"بالغون (25-44)",IF(D482&lt;=64,"متوسطو العمر (45-64)","كبار السن (+65)"))))</f>
        <v>بالغون (25-44)</v>
      </c>
      <c r="T482" s="41" t="n">
        <f aca="false">IFERROR(L482/P482,0)</f>
        <v>888.5375</v>
      </c>
    </row>
    <row r="483" customFormat="false" ht="15" hidden="false" customHeight="false" outlineLevel="0" collapsed="false">
      <c r="A483" s="33" t="s">
        <v>1311</v>
      </c>
      <c r="B483" s="34" t="n">
        <v>45377</v>
      </c>
      <c r="C483" s="34" t="n">
        <v>45378</v>
      </c>
      <c r="D483" s="33" t="n">
        <v>29</v>
      </c>
      <c r="E483" s="33" t="s">
        <v>139</v>
      </c>
      <c r="F483" s="33" t="s">
        <v>149</v>
      </c>
      <c r="G483" s="33" t="s">
        <v>224</v>
      </c>
      <c r="H483" s="33" t="s">
        <v>151</v>
      </c>
      <c r="I483" s="33" t="s">
        <v>143</v>
      </c>
      <c r="J483" s="33" t="s">
        <v>176</v>
      </c>
      <c r="K483" s="33" t="s">
        <v>160</v>
      </c>
      <c r="L483" s="35" t="n">
        <v>4824.11</v>
      </c>
      <c r="M483" s="33" t="n">
        <v>4</v>
      </c>
      <c r="N483" s="33" t="s">
        <v>146</v>
      </c>
      <c r="O483" s="33" t="s">
        <v>147</v>
      </c>
      <c r="P483" s="39" t="n">
        <f aca="false">C483-B483</f>
        <v>1</v>
      </c>
      <c r="Q483" s="40" t="str">
        <f aca="false">CHOOSE(MONTH(B483),"يناير","فبراير","مارس","أبريل","مايو","يونيو","يوليو","أغسطس","سبتمبر","أكتوبر","نوفمبر","ديسمبر")</f>
        <v>مارس</v>
      </c>
      <c r="R483" s="40" t="str">
        <f aca="false">"الربع "&amp;ROUNDUP(MONTH(B483)/3,0)</f>
        <v>الربع 1</v>
      </c>
      <c r="S483" s="40" t="str">
        <f aca="false">IF(D483&lt;=12,"أطفال (0-12)",IF(D483&lt;=24,"شباب (13-24)",IF(D483&lt;=44,"بالغون (25-44)",IF(D483&lt;=64,"متوسطو العمر (45-64)","كبار السن (+65)"))))</f>
        <v>بالغون (25-44)</v>
      </c>
      <c r="T483" s="41" t="n">
        <f aca="false">IFERROR(L483/P483,0)</f>
        <v>4824.11</v>
      </c>
    </row>
    <row r="484" customFormat="false" ht="15" hidden="false" customHeight="false" outlineLevel="0" collapsed="false">
      <c r="A484" s="42" t="s">
        <v>491</v>
      </c>
      <c r="B484" s="43" t="n">
        <v>45377</v>
      </c>
      <c r="C484" s="43" t="n">
        <v>45381</v>
      </c>
      <c r="D484" s="42" t="n">
        <v>67</v>
      </c>
      <c r="E484" s="42" t="s">
        <v>154</v>
      </c>
      <c r="F484" s="42" t="s">
        <v>173</v>
      </c>
      <c r="G484" s="42" t="s">
        <v>178</v>
      </c>
      <c r="H484" s="42" t="s">
        <v>175</v>
      </c>
      <c r="I484" s="42" t="s">
        <v>152</v>
      </c>
      <c r="J484" s="42" t="s">
        <v>159</v>
      </c>
      <c r="K484" s="42" t="s">
        <v>160</v>
      </c>
      <c r="L484" s="44" t="n">
        <v>8903.5</v>
      </c>
      <c r="M484" s="42" t="n">
        <v>4</v>
      </c>
      <c r="N484" s="42" t="s">
        <v>146</v>
      </c>
      <c r="O484" s="42" t="s">
        <v>147</v>
      </c>
      <c r="P484" s="39" t="n">
        <f aca="false">C484-B484</f>
        <v>4</v>
      </c>
      <c r="Q484" s="40" t="str">
        <f aca="false">CHOOSE(MONTH(B484),"يناير","فبراير","مارس","أبريل","مايو","يونيو","يوليو","أغسطس","سبتمبر","أكتوبر","نوفمبر","ديسمبر")</f>
        <v>مارس</v>
      </c>
      <c r="R484" s="40" t="str">
        <f aca="false">"الربع "&amp;ROUNDUP(MONTH(B484)/3,0)</f>
        <v>الربع 1</v>
      </c>
      <c r="S484" s="40" t="str">
        <f aca="false">IF(D484&lt;=12,"أطفال (0-12)",IF(D484&lt;=24,"شباب (13-24)",IF(D484&lt;=44,"بالغون (25-44)",IF(D484&lt;=64,"متوسطو العمر (45-64)","كبار السن (+65)"))))</f>
        <v>كبار السن (+65)</v>
      </c>
      <c r="T484" s="41" t="n">
        <f aca="false">IFERROR(L484/P484,0)</f>
        <v>2225.875</v>
      </c>
    </row>
    <row r="485" customFormat="false" ht="15" hidden="false" customHeight="false" outlineLevel="0" collapsed="false">
      <c r="A485" s="33" t="s">
        <v>1834</v>
      </c>
      <c r="B485" s="34" t="n">
        <v>45377</v>
      </c>
      <c r="C485" s="34" t="n">
        <v>45379</v>
      </c>
      <c r="D485" s="33" t="n">
        <v>58</v>
      </c>
      <c r="E485" s="33" t="s">
        <v>139</v>
      </c>
      <c r="F485" s="33" t="s">
        <v>169</v>
      </c>
      <c r="G485" s="33" t="s">
        <v>170</v>
      </c>
      <c r="H485" s="33" t="s">
        <v>195</v>
      </c>
      <c r="I485" s="33" t="s">
        <v>143</v>
      </c>
      <c r="J485" s="33" t="s">
        <v>159</v>
      </c>
      <c r="K485" s="33" t="s">
        <v>160</v>
      </c>
      <c r="L485" s="35" t="n">
        <v>2632.37</v>
      </c>
      <c r="M485" s="33" t="n">
        <v>4</v>
      </c>
      <c r="N485" s="33" t="s">
        <v>146</v>
      </c>
      <c r="O485" s="33" t="s">
        <v>147</v>
      </c>
      <c r="P485" s="39" t="n">
        <f aca="false">C485-B485</f>
        <v>2</v>
      </c>
      <c r="Q485" s="40" t="str">
        <f aca="false">CHOOSE(MONTH(B485),"يناير","فبراير","مارس","أبريل","مايو","يونيو","يوليو","أغسطس","سبتمبر","أكتوبر","نوفمبر","ديسمبر")</f>
        <v>مارس</v>
      </c>
      <c r="R485" s="40" t="str">
        <f aca="false">"الربع "&amp;ROUNDUP(MONTH(B485)/3,0)</f>
        <v>الربع 1</v>
      </c>
      <c r="S485" s="40" t="str">
        <f aca="false">IF(D485&lt;=12,"أطفال (0-12)",IF(D485&lt;=24,"شباب (13-24)",IF(D485&lt;=44,"بالغون (25-44)",IF(D485&lt;=64,"متوسطو العمر (45-64)","كبار السن (+65)"))))</f>
        <v>متوسطو العمر (45-64)</v>
      </c>
      <c r="T485" s="41" t="n">
        <f aca="false">IFERROR(L485/P485,0)</f>
        <v>1316.185</v>
      </c>
    </row>
    <row r="486" customFormat="false" ht="15" hidden="false" customHeight="false" outlineLevel="0" collapsed="false">
      <c r="A486" s="42" t="s">
        <v>1038</v>
      </c>
      <c r="B486" s="43" t="n">
        <v>45378</v>
      </c>
      <c r="C486" s="43" t="n">
        <v>45389</v>
      </c>
      <c r="D486" s="42" t="n">
        <v>5</v>
      </c>
      <c r="E486" s="42" t="s">
        <v>139</v>
      </c>
      <c r="F486" s="42" t="s">
        <v>155</v>
      </c>
      <c r="G486" s="42" t="s">
        <v>220</v>
      </c>
      <c r="H486" s="42" t="s">
        <v>222</v>
      </c>
      <c r="I486" s="42" t="s">
        <v>152</v>
      </c>
      <c r="J486" s="42" t="s">
        <v>159</v>
      </c>
      <c r="K486" s="42" t="s">
        <v>145</v>
      </c>
      <c r="L486" s="44" t="n">
        <v>10041.72</v>
      </c>
      <c r="M486" s="42" t="n">
        <v>4</v>
      </c>
      <c r="N486" s="42" t="s">
        <v>146</v>
      </c>
      <c r="O486" s="42" t="s">
        <v>147</v>
      </c>
      <c r="P486" s="39" t="n">
        <f aca="false">C486-B486</f>
        <v>11</v>
      </c>
      <c r="Q486" s="40" t="str">
        <f aca="false">CHOOSE(MONTH(B486),"يناير","فبراير","مارس","أبريل","مايو","يونيو","يوليو","أغسطس","سبتمبر","أكتوبر","نوفمبر","ديسمبر")</f>
        <v>مارس</v>
      </c>
      <c r="R486" s="40" t="str">
        <f aca="false">"الربع "&amp;ROUNDUP(MONTH(B486)/3,0)</f>
        <v>الربع 1</v>
      </c>
      <c r="S486" s="40" t="str">
        <f aca="false">IF(D486&lt;=12,"أطفال (0-12)",IF(D486&lt;=24,"شباب (13-24)",IF(D486&lt;=44,"بالغون (25-44)",IF(D486&lt;=64,"متوسطو العمر (45-64)","كبار السن (+65)"))))</f>
        <v>أطفال (0-12)</v>
      </c>
      <c r="T486" s="41" t="n">
        <f aca="false">IFERROR(L486/P486,0)</f>
        <v>912.883636363636</v>
      </c>
    </row>
    <row r="487" customFormat="false" ht="15" hidden="false" customHeight="false" outlineLevel="0" collapsed="false">
      <c r="A487" s="33" t="s">
        <v>957</v>
      </c>
      <c r="B487" s="34" t="n">
        <v>45378</v>
      </c>
      <c r="C487" s="34" t="n">
        <v>45380</v>
      </c>
      <c r="D487" s="33" t="n">
        <v>61</v>
      </c>
      <c r="E487" s="33" t="s">
        <v>139</v>
      </c>
      <c r="F487" s="33" t="s">
        <v>203</v>
      </c>
      <c r="G487" s="33" t="s">
        <v>217</v>
      </c>
      <c r="H487" s="33" t="s">
        <v>233</v>
      </c>
      <c r="I487" s="33" t="s">
        <v>143</v>
      </c>
      <c r="J487" s="33" t="s">
        <v>159</v>
      </c>
      <c r="K487" s="33" t="s">
        <v>160</v>
      </c>
      <c r="L487" s="35" t="n">
        <v>1962.04</v>
      </c>
      <c r="M487" s="33" t="n">
        <v>3</v>
      </c>
      <c r="N487" s="33" t="s">
        <v>146</v>
      </c>
      <c r="O487" s="33" t="s">
        <v>147</v>
      </c>
      <c r="P487" s="39" t="n">
        <f aca="false">C487-B487</f>
        <v>2</v>
      </c>
      <c r="Q487" s="40" t="str">
        <f aca="false">CHOOSE(MONTH(B487),"يناير","فبراير","مارس","أبريل","مايو","يونيو","يوليو","أغسطس","سبتمبر","أكتوبر","نوفمبر","ديسمبر")</f>
        <v>مارس</v>
      </c>
      <c r="R487" s="40" t="str">
        <f aca="false">"الربع "&amp;ROUNDUP(MONTH(B487)/3,0)</f>
        <v>الربع 1</v>
      </c>
      <c r="S487" s="40" t="str">
        <f aca="false">IF(D487&lt;=12,"أطفال (0-12)",IF(D487&lt;=24,"شباب (13-24)",IF(D487&lt;=44,"بالغون (25-44)",IF(D487&lt;=64,"متوسطو العمر (45-64)","كبار السن (+65)"))))</f>
        <v>متوسطو العمر (45-64)</v>
      </c>
      <c r="T487" s="41" t="n">
        <f aca="false">IFERROR(L487/P487,0)</f>
        <v>981.02</v>
      </c>
    </row>
    <row r="488" customFormat="false" ht="15" hidden="false" customHeight="false" outlineLevel="0" collapsed="false">
      <c r="A488" s="42" t="s">
        <v>1357</v>
      </c>
      <c r="B488" s="43" t="n">
        <v>45378</v>
      </c>
      <c r="C488" s="43" t="n">
        <v>45380</v>
      </c>
      <c r="D488" s="42" t="n">
        <v>43</v>
      </c>
      <c r="E488" s="42" t="s">
        <v>154</v>
      </c>
      <c r="F488" s="42" t="s">
        <v>169</v>
      </c>
      <c r="G488" s="42" t="s">
        <v>213</v>
      </c>
      <c r="H488" s="42" t="s">
        <v>164</v>
      </c>
      <c r="I488" s="42" t="s">
        <v>143</v>
      </c>
      <c r="J488" s="42" t="s">
        <v>159</v>
      </c>
      <c r="K488" s="42" t="s">
        <v>184</v>
      </c>
      <c r="L488" s="44" t="n">
        <v>2002.33</v>
      </c>
      <c r="M488" s="42" t="n">
        <v>5</v>
      </c>
      <c r="N488" s="42" t="s">
        <v>146</v>
      </c>
      <c r="O488" s="42" t="s">
        <v>147</v>
      </c>
      <c r="P488" s="39" t="n">
        <f aca="false">C488-B488</f>
        <v>2</v>
      </c>
      <c r="Q488" s="40" t="str">
        <f aca="false">CHOOSE(MONTH(B488),"يناير","فبراير","مارس","أبريل","مايو","يونيو","يوليو","أغسطس","سبتمبر","أكتوبر","نوفمبر","ديسمبر")</f>
        <v>مارس</v>
      </c>
      <c r="R488" s="40" t="str">
        <f aca="false">"الربع "&amp;ROUNDUP(MONTH(B488)/3,0)</f>
        <v>الربع 1</v>
      </c>
      <c r="S488" s="40" t="str">
        <f aca="false">IF(D488&lt;=12,"أطفال (0-12)",IF(D488&lt;=24,"شباب (13-24)",IF(D488&lt;=44,"بالغون (25-44)",IF(D488&lt;=64,"متوسطو العمر (45-64)","كبار السن (+65)"))))</f>
        <v>بالغون (25-44)</v>
      </c>
      <c r="T488" s="41" t="n">
        <f aca="false">IFERROR(L488/P488,0)</f>
        <v>1001.165</v>
      </c>
    </row>
    <row r="489" customFormat="false" ht="15" hidden="false" customHeight="false" outlineLevel="0" collapsed="false">
      <c r="A489" s="33" t="s">
        <v>2254</v>
      </c>
      <c r="B489" s="34" t="n">
        <v>45378</v>
      </c>
      <c r="C489" s="34" t="n">
        <v>45382</v>
      </c>
      <c r="D489" s="33" t="n">
        <v>59</v>
      </c>
      <c r="E489" s="33" t="s">
        <v>154</v>
      </c>
      <c r="F489" s="33" t="s">
        <v>181</v>
      </c>
      <c r="G489" s="33" t="s">
        <v>237</v>
      </c>
      <c r="H489" s="33" t="s">
        <v>183</v>
      </c>
      <c r="I489" s="33" t="s">
        <v>152</v>
      </c>
      <c r="J489" s="33" t="s">
        <v>159</v>
      </c>
      <c r="K489" s="33" t="s">
        <v>184</v>
      </c>
      <c r="L489" s="35" t="n">
        <v>8437.31</v>
      </c>
      <c r="M489" s="33" t="n">
        <v>5</v>
      </c>
      <c r="N489" s="33" t="s">
        <v>146</v>
      </c>
      <c r="O489" s="33" t="s">
        <v>295</v>
      </c>
      <c r="P489" s="39" t="n">
        <f aca="false">C489-B489</f>
        <v>4</v>
      </c>
      <c r="Q489" s="40" t="str">
        <f aca="false">CHOOSE(MONTH(B489),"يناير","فبراير","مارس","أبريل","مايو","يونيو","يوليو","أغسطس","سبتمبر","أكتوبر","نوفمبر","ديسمبر")</f>
        <v>مارس</v>
      </c>
      <c r="R489" s="40" t="str">
        <f aca="false">"الربع "&amp;ROUNDUP(MONTH(B489)/3,0)</f>
        <v>الربع 1</v>
      </c>
      <c r="S489" s="40" t="str">
        <f aca="false">IF(D489&lt;=12,"أطفال (0-12)",IF(D489&lt;=24,"شباب (13-24)",IF(D489&lt;=44,"بالغون (25-44)",IF(D489&lt;=64,"متوسطو العمر (45-64)","كبار السن (+65)"))))</f>
        <v>متوسطو العمر (45-64)</v>
      </c>
      <c r="T489" s="41" t="n">
        <f aca="false">IFERROR(L489/P489,0)</f>
        <v>2109.3275</v>
      </c>
    </row>
    <row r="490" customFormat="false" ht="15" hidden="false" customHeight="false" outlineLevel="0" collapsed="false">
      <c r="A490" s="42" t="s">
        <v>1663</v>
      </c>
      <c r="B490" s="43" t="n">
        <v>45378</v>
      </c>
      <c r="C490" s="43" t="n">
        <v>45383</v>
      </c>
      <c r="D490" s="42" t="n">
        <v>0</v>
      </c>
      <c r="E490" s="42" t="s">
        <v>154</v>
      </c>
      <c r="F490" s="42" t="s">
        <v>155</v>
      </c>
      <c r="G490" s="42" t="s">
        <v>220</v>
      </c>
      <c r="H490" s="42" t="s">
        <v>157</v>
      </c>
      <c r="I490" s="42" t="s">
        <v>143</v>
      </c>
      <c r="J490" s="42" t="s">
        <v>176</v>
      </c>
      <c r="K490" s="42" t="s">
        <v>209</v>
      </c>
      <c r="L490" s="44" t="n">
        <v>15888.47</v>
      </c>
      <c r="M490" s="42" t="n">
        <v>3</v>
      </c>
      <c r="N490" s="42" t="s">
        <v>146</v>
      </c>
      <c r="O490" s="42" t="s">
        <v>147</v>
      </c>
      <c r="P490" s="39" t="n">
        <f aca="false">C490-B490</f>
        <v>5</v>
      </c>
      <c r="Q490" s="40" t="str">
        <f aca="false">CHOOSE(MONTH(B490),"يناير","فبراير","مارس","أبريل","مايو","يونيو","يوليو","أغسطس","سبتمبر","أكتوبر","نوفمبر","ديسمبر")</f>
        <v>مارس</v>
      </c>
      <c r="R490" s="40" t="str">
        <f aca="false">"الربع "&amp;ROUNDUP(MONTH(B490)/3,0)</f>
        <v>الربع 1</v>
      </c>
      <c r="S490" s="40" t="str">
        <f aca="false">IF(D490&lt;=12,"أطفال (0-12)",IF(D490&lt;=24,"شباب (13-24)",IF(D490&lt;=44,"بالغون (25-44)",IF(D490&lt;=64,"متوسطو العمر (45-64)","كبار السن (+65)"))))</f>
        <v>أطفال (0-12)</v>
      </c>
      <c r="T490" s="41" t="n">
        <f aca="false">IFERROR(L490/P490,0)</f>
        <v>3177.694</v>
      </c>
    </row>
    <row r="491" customFormat="false" ht="15" hidden="false" customHeight="false" outlineLevel="0" collapsed="false">
      <c r="A491" s="33" t="s">
        <v>662</v>
      </c>
      <c r="B491" s="34" t="n">
        <v>45378</v>
      </c>
      <c r="C491" s="34" t="n">
        <v>45379</v>
      </c>
      <c r="D491" s="33" t="n">
        <v>29</v>
      </c>
      <c r="E491" s="33" t="s">
        <v>154</v>
      </c>
      <c r="F491" s="33" t="s">
        <v>203</v>
      </c>
      <c r="G491" s="33" t="s">
        <v>232</v>
      </c>
      <c r="H491" s="33" t="s">
        <v>193</v>
      </c>
      <c r="I491" s="33" t="s">
        <v>152</v>
      </c>
      <c r="J491" s="33" t="s">
        <v>144</v>
      </c>
      <c r="K491" s="33" t="s">
        <v>160</v>
      </c>
      <c r="L491" s="35" t="n">
        <v>1627.54</v>
      </c>
      <c r="M491" s="33" t="n">
        <v>3</v>
      </c>
      <c r="N491" s="33" t="s">
        <v>146</v>
      </c>
      <c r="O491" s="33" t="s">
        <v>147</v>
      </c>
      <c r="P491" s="39" t="n">
        <f aca="false">C491-B491</f>
        <v>1</v>
      </c>
      <c r="Q491" s="40" t="str">
        <f aca="false">CHOOSE(MONTH(B491),"يناير","فبراير","مارس","أبريل","مايو","يونيو","يوليو","أغسطس","سبتمبر","أكتوبر","نوفمبر","ديسمبر")</f>
        <v>مارس</v>
      </c>
      <c r="R491" s="40" t="str">
        <f aca="false">"الربع "&amp;ROUNDUP(MONTH(B491)/3,0)</f>
        <v>الربع 1</v>
      </c>
      <c r="S491" s="40" t="str">
        <f aca="false">IF(D491&lt;=12,"أطفال (0-12)",IF(D491&lt;=24,"شباب (13-24)",IF(D491&lt;=44,"بالغون (25-44)",IF(D491&lt;=64,"متوسطو العمر (45-64)","كبار السن (+65)"))))</f>
        <v>بالغون (25-44)</v>
      </c>
      <c r="T491" s="41" t="n">
        <f aca="false">IFERROR(L491/P491,0)</f>
        <v>1627.54</v>
      </c>
    </row>
    <row r="492" customFormat="false" ht="15" hidden="false" customHeight="false" outlineLevel="0" collapsed="false">
      <c r="A492" s="42" t="s">
        <v>805</v>
      </c>
      <c r="B492" s="43" t="n">
        <v>45378</v>
      </c>
      <c r="C492" s="43" t="n">
        <v>45379</v>
      </c>
      <c r="D492" s="42" t="n">
        <v>56</v>
      </c>
      <c r="E492" s="42" t="s">
        <v>154</v>
      </c>
      <c r="F492" s="42" t="s">
        <v>203</v>
      </c>
      <c r="G492" s="42" t="s">
        <v>204</v>
      </c>
      <c r="H492" s="42" t="s">
        <v>233</v>
      </c>
      <c r="I492" s="42" t="s">
        <v>143</v>
      </c>
      <c r="J492" s="42" t="s">
        <v>159</v>
      </c>
      <c r="K492" s="42" t="s">
        <v>184</v>
      </c>
      <c r="L492" s="44" t="n">
        <v>997.85</v>
      </c>
      <c r="M492" s="42" t="n">
        <v>4</v>
      </c>
      <c r="N492" s="42" t="s">
        <v>146</v>
      </c>
      <c r="O492" s="42" t="s">
        <v>147</v>
      </c>
      <c r="P492" s="39" t="n">
        <f aca="false">C492-B492</f>
        <v>1</v>
      </c>
      <c r="Q492" s="40" t="str">
        <f aca="false">CHOOSE(MONTH(B492),"يناير","فبراير","مارس","أبريل","مايو","يونيو","يوليو","أغسطس","سبتمبر","أكتوبر","نوفمبر","ديسمبر")</f>
        <v>مارس</v>
      </c>
      <c r="R492" s="40" t="str">
        <f aca="false">"الربع "&amp;ROUNDUP(MONTH(B492)/3,0)</f>
        <v>الربع 1</v>
      </c>
      <c r="S492" s="40" t="str">
        <f aca="false">IF(D492&lt;=12,"أطفال (0-12)",IF(D492&lt;=24,"شباب (13-24)",IF(D492&lt;=44,"بالغون (25-44)",IF(D492&lt;=64,"متوسطو العمر (45-64)","كبار السن (+65)"))))</f>
        <v>متوسطو العمر (45-64)</v>
      </c>
      <c r="T492" s="41" t="n">
        <f aca="false">IFERROR(L492/P492,0)</f>
        <v>997.85</v>
      </c>
    </row>
    <row r="493" customFormat="false" ht="15" hidden="false" customHeight="false" outlineLevel="0" collapsed="false">
      <c r="A493" s="33" t="s">
        <v>700</v>
      </c>
      <c r="B493" s="34" t="n">
        <v>45378</v>
      </c>
      <c r="C493" s="34" t="n">
        <v>45380</v>
      </c>
      <c r="D493" s="33" t="n">
        <v>0</v>
      </c>
      <c r="E493" s="33" t="s">
        <v>154</v>
      </c>
      <c r="F493" s="33" t="s">
        <v>155</v>
      </c>
      <c r="G493" s="33" t="s">
        <v>220</v>
      </c>
      <c r="H493" s="33" t="s">
        <v>157</v>
      </c>
      <c r="I493" s="33" t="s">
        <v>143</v>
      </c>
      <c r="J493" s="33" t="s">
        <v>159</v>
      </c>
      <c r="K493" s="33" t="s">
        <v>184</v>
      </c>
      <c r="L493" s="35" t="n">
        <v>1458.57</v>
      </c>
      <c r="M493" s="33" t="n">
        <v>5</v>
      </c>
      <c r="N493" s="33" t="s">
        <v>146</v>
      </c>
      <c r="O493" s="33" t="s">
        <v>147</v>
      </c>
      <c r="P493" s="39" t="n">
        <f aca="false">C493-B493</f>
        <v>2</v>
      </c>
      <c r="Q493" s="40" t="str">
        <f aca="false">CHOOSE(MONTH(B493),"يناير","فبراير","مارس","أبريل","مايو","يونيو","يوليو","أغسطس","سبتمبر","أكتوبر","نوفمبر","ديسمبر")</f>
        <v>مارس</v>
      </c>
      <c r="R493" s="40" t="str">
        <f aca="false">"الربع "&amp;ROUNDUP(MONTH(B493)/3,0)</f>
        <v>الربع 1</v>
      </c>
      <c r="S493" s="40" t="str">
        <f aca="false">IF(D493&lt;=12,"أطفال (0-12)",IF(D493&lt;=24,"شباب (13-24)",IF(D493&lt;=44,"بالغون (25-44)",IF(D493&lt;=64,"متوسطو العمر (45-64)","كبار السن (+65)"))))</f>
        <v>أطفال (0-12)</v>
      </c>
      <c r="T493" s="41" t="n">
        <f aca="false">IFERROR(L493/P493,0)</f>
        <v>729.285</v>
      </c>
    </row>
    <row r="494" customFormat="false" ht="15" hidden="false" customHeight="false" outlineLevel="0" collapsed="false">
      <c r="A494" s="42" t="s">
        <v>1881</v>
      </c>
      <c r="B494" s="43" t="n">
        <v>45379</v>
      </c>
      <c r="C494" s="43" t="n">
        <v>45381</v>
      </c>
      <c r="D494" s="42" t="n">
        <v>47</v>
      </c>
      <c r="E494" s="42" t="s">
        <v>154</v>
      </c>
      <c r="F494" s="42" t="s">
        <v>181</v>
      </c>
      <c r="G494" s="42" t="s">
        <v>237</v>
      </c>
      <c r="H494" s="42" t="s">
        <v>183</v>
      </c>
      <c r="I494" s="42" t="s">
        <v>152</v>
      </c>
      <c r="J494" s="42" t="s">
        <v>159</v>
      </c>
      <c r="K494" s="42" t="s">
        <v>145</v>
      </c>
      <c r="L494" s="44" t="n">
        <v>3761.63</v>
      </c>
      <c r="M494" s="42" t="n">
        <v>5</v>
      </c>
      <c r="N494" s="42" t="s">
        <v>146</v>
      </c>
      <c r="O494" s="42" t="s">
        <v>147</v>
      </c>
      <c r="P494" s="39" t="n">
        <f aca="false">C494-B494</f>
        <v>2</v>
      </c>
      <c r="Q494" s="40" t="str">
        <f aca="false">CHOOSE(MONTH(B494),"يناير","فبراير","مارس","أبريل","مايو","يونيو","يوليو","أغسطس","سبتمبر","أكتوبر","نوفمبر","ديسمبر")</f>
        <v>مارس</v>
      </c>
      <c r="R494" s="40" t="str">
        <f aca="false">"الربع "&amp;ROUNDUP(MONTH(B494)/3,0)</f>
        <v>الربع 1</v>
      </c>
      <c r="S494" s="40" t="str">
        <f aca="false">IF(D494&lt;=12,"أطفال (0-12)",IF(D494&lt;=24,"شباب (13-24)",IF(D494&lt;=44,"بالغون (25-44)",IF(D494&lt;=64,"متوسطو العمر (45-64)","كبار السن (+65)"))))</f>
        <v>متوسطو العمر (45-64)</v>
      </c>
      <c r="T494" s="41" t="n">
        <f aca="false">IFERROR(L494/P494,0)</f>
        <v>1880.815</v>
      </c>
    </row>
    <row r="495" customFormat="false" ht="15" hidden="false" customHeight="false" outlineLevel="0" collapsed="false">
      <c r="A495" s="33" t="s">
        <v>1812</v>
      </c>
      <c r="B495" s="34" t="n">
        <v>45379</v>
      </c>
      <c r="C495" s="34" t="n">
        <v>45380</v>
      </c>
      <c r="D495" s="33" t="n">
        <v>48</v>
      </c>
      <c r="E495" s="33" t="s">
        <v>139</v>
      </c>
      <c r="F495" s="33" t="s">
        <v>140</v>
      </c>
      <c r="G495" s="33" t="s">
        <v>141</v>
      </c>
      <c r="H495" s="33" t="s">
        <v>290</v>
      </c>
      <c r="I495" s="33" t="s">
        <v>143</v>
      </c>
      <c r="J495" s="33" t="s">
        <v>144</v>
      </c>
      <c r="K495" s="33" t="s">
        <v>160</v>
      </c>
      <c r="L495" s="35" t="n">
        <v>5048.55</v>
      </c>
      <c r="M495" s="33" t="n">
        <v>5</v>
      </c>
      <c r="N495" s="33" t="s">
        <v>210</v>
      </c>
      <c r="O495" s="33" t="s">
        <v>147</v>
      </c>
      <c r="P495" s="39" t="n">
        <f aca="false">C495-B495</f>
        <v>1</v>
      </c>
      <c r="Q495" s="40" t="str">
        <f aca="false">CHOOSE(MONTH(B495),"يناير","فبراير","مارس","أبريل","مايو","يونيو","يوليو","أغسطس","سبتمبر","أكتوبر","نوفمبر","ديسمبر")</f>
        <v>مارس</v>
      </c>
      <c r="R495" s="40" t="str">
        <f aca="false">"الربع "&amp;ROUNDUP(MONTH(B495)/3,0)</f>
        <v>الربع 1</v>
      </c>
      <c r="S495" s="40" t="str">
        <f aca="false">IF(D495&lt;=12,"أطفال (0-12)",IF(D495&lt;=24,"شباب (13-24)",IF(D495&lt;=44,"بالغون (25-44)",IF(D495&lt;=64,"متوسطو العمر (45-64)","كبار السن (+65)"))))</f>
        <v>متوسطو العمر (45-64)</v>
      </c>
      <c r="T495" s="41" t="n">
        <f aca="false">IFERROR(L495/P495,0)</f>
        <v>5048.55</v>
      </c>
    </row>
    <row r="496" customFormat="false" ht="15" hidden="false" customHeight="false" outlineLevel="0" collapsed="false">
      <c r="A496" s="42" t="s">
        <v>535</v>
      </c>
      <c r="B496" s="43" t="n">
        <v>45379</v>
      </c>
      <c r="C496" s="43" t="n">
        <v>45384</v>
      </c>
      <c r="D496" s="42" t="n">
        <v>13</v>
      </c>
      <c r="E496" s="42" t="s">
        <v>154</v>
      </c>
      <c r="F496" s="42" t="s">
        <v>173</v>
      </c>
      <c r="G496" s="42" t="s">
        <v>178</v>
      </c>
      <c r="H496" s="42" t="s">
        <v>175</v>
      </c>
      <c r="I496" s="42" t="s">
        <v>143</v>
      </c>
      <c r="J496" s="42" t="s">
        <v>159</v>
      </c>
      <c r="K496" s="42" t="s">
        <v>160</v>
      </c>
      <c r="L496" s="44" t="n">
        <v>10624.09</v>
      </c>
      <c r="M496" s="42" t="n">
        <v>4</v>
      </c>
      <c r="N496" s="42" t="s">
        <v>146</v>
      </c>
      <c r="O496" s="42" t="s">
        <v>147</v>
      </c>
      <c r="P496" s="39" t="n">
        <f aca="false">C496-B496</f>
        <v>5</v>
      </c>
      <c r="Q496" s="40" t="str">
        <f aca="false">CHOOSE(MONTH(B496),"يناير","فبراير","مارس","أبريل","مايو","يونيو","يوليو","أغسطس","سبتمبر","أكتوبر","نوفمبر","ديسمبر")</f>
        <v>مارس</v>
      </c>
      <c r="R496" s="40" t="str">
        <f aca="false">"الربع "&amp;ROUNDUP(MONTH(B496)/3,0)</f>
        <v>الربع 1</v>
      </c>
      <c r="S496" s="40" t="str">
        <f aca="false">IF(D496&lt;=12,"أطفال (0-12)",IF(D496&lt;=24,"شباب (13-24)",IF(D496&lt;=44,"بالغون (25-44)",IF(D496&lt;=64,"متوسطو العمر (45-64)","كبار السن (+65)"))))</f>
        <v>شباب (13-24)</v>
      </c>
      <c r="T496" s="41" t="n">
        <f aca="false">IFERROR(L496/P496,0)</f>
        <v>2124.818</v>
      </c>
    </row>
    <row r="497" customFormat="false" ht="15" hidden="false" customHeight="false" outlineLevel="0" collapsed="false">
      <c r="A497" s="33" t="s">
        <v>798</v>
      </c>
      <c r="B497" s="34" t="n">
        <v>45379</v>
      </c>
      <c r="C497" s="34" t="n">
        <v>45380</v>
      </c>
      <c r="D497" s="33" t="n">
        <v>0</v>
      </c>
      <c r="E497" s="33" t="s">
        <v>139</v>
      </c>
      <c r="F497" s="33" t="s">
        <v>155</v>
      </c>
      <c r="G497" s="33" t="s">
        <v>156</v>
      </c>
      <c r="H497" s="33" t="s">
        <v>222</v>
      </c>
      <c r="I497" s="33" t="s">
        <v>143</v>
      </c>
      <c r="J497" s="33" t="s">
        <v>159</v>
      </c>
      <c r="K497" s="33" t="s">
        <v>184</v>
      </c>
      <c r="L497" s="35" t="n">
        <v>960.63</v>
      </c>
      <c r="M497" s="33" t="n">
        <v>2</v>
      </c>
      <c r="N497" s="33" t="s">
        <v>210</v>
      </c>
      <c r="O497" s="33" t="s">
        <v>147</v>
      </c>
      <c r="P497" s="39" t="n">
        <f aca="false">C497-B497</f>
        <v>1</v>
      </c>
      <c r="Q497" s="40" t="str">
        <f aca="false">CHOOSE(MONTH(B497),"يناير","فبراير","مارس","أبريل","مايو","يونيو","يوليو","أغسطس","سبتمبر","أكتوبر","نوفمبر","ديسمبر")</f>
        <v>مارس</v>
      </c>
      <c r="R497" s="40" t="str">
        <f aca="false">"الربع "&amp;ROUNDUP(MONTH(B497)/3,0)</f>
        <v>الربع 1</v>
      </c>
      <c r="S497" s="40" t="str">
        <f aca="false">IF(D497&lt;=12,"أطفال (0-12)",IF(D497&lt;=24,"شباب (13-24)",IF(D497&lt;=44,"بالغون (25-44)",IF(D497&lt;=64,"متوسطو العمر (45-64)","كبار السن (+65)"))))</f>
        <v>أطفال (0-12)</v>
      </c>
      <c r="T497" s="41" t="n">
        <f aca="false">IFERROR(L497/P497,0)</f>
        <v>960.63</v>
      </c>
    </row>
    <row r="498" customFormat="false" ht="15" hidden="false" customHeight="false" outlineLevel="0" collapsed="false">
      <c r="A498" s="42" t="s">
        <v>429</v>
      </c>
      <c r="B498" s="43" t="n">
        <v>45379</v>
      </c>
      <c r="C498" s="43" t="n">
        <v>45381</v>
      </c>
      <c r="D498" s="42" t="n">
        <v>36</v>
      </c>
      <c r="E498" s="42" t="s">
        <v>139</v>
      </c>
      <c r="F498" s="42" t="s">
        <v>149</v>
      </c>
      <c r="G498" s="42" t="s">
        <v>243</v>
      </c>
      <c r="H498" s="42" t="s">
        <v>186</v>
      </c>
      <c r="I498" s="42" t="s">
        <v>143</v>
      </c>
      <c r="J498" s="42" t="s">
        <v>159</v>
      </c>
      <c r="K498" s="42" t="s">
        <v>184</v>
      </c>
      <c r="L498" s="44" t="n">
        <v>4013.2</v>
      </c>
      <c r="M498" s="42" t="n">
        <v>4</v>
      </c>
      <c r="N498" s="42" t="s">
        <v>146</v>
      </c>
      <c r="O498" s="42" t="s">
        <v>247</v>
      </c>
      <c r="P498" s="39" t="n">
        <f aca="false">C498-B498</f>
        <v>2</v>
      </c>
      <c r="Q498" s="40" t="str">
        <f aca="false">CHOOSE(MONTH(B498),"يناير","فبراير","مارس","أبريل","مايو","يونيو","يوليو","أغسطس","سبتمبر","أكتوبر","نوفمبر","ديسمبر")</f>
        <v>مارس</v>
      </c>
      <c r="R498" s="40" t="str">
        <f aca="false">"الربع "&amp;ROUNDUP(MONTH(B498)/3,0)</f>
        <v>الربع 1</v>
      </c>
      <c r="S498" s="40" t="str">
        <f aca="false">IF(D498&lt;=12,"أطفال (0-12)",IF(D498&lt;=24,"شباب (13-24)",IF(D498&lt;=44,"بالغون (25-44)",IF(D498&lt;=64,"متوسطو العمر (45-64)","كبار السن (+65)"))))</f>
        <v>بالغون (25-44)</v>
      </c>
      <c r="T498" s="41" t="n">
        <f aca="false">IFERROR(L498/P498,0)</f>
        <v>2006.6</v>
      </c>
    </row>
    <row r="499" customFormat="false" ht="15" hidden="false" customHeight="false" outlineLevel="0" collapsed="false">
      <c r="A499" s="33" t="s">
        <v>934</v>
      </c>
      <c r="B499" s="34" t="n">
        <v>45379</v>
      </c>
      <c r="C499" s="34" t="n">
        <v>45380</v>
      </c>
      <c r="D499" s="33" t="n">
        <v>9</v>
      </c>
      <c r="E499" s="33" t="s">
        <v>139</v>
      </c>
      <c r="F499" s="33" t="s">
        <v>203</v>
      </c>
      <c r="G499" s="33" t="s">
        <v>241</v>
      </c>
      <c r="H499" s="33" t="s">
        <v>205</v>
      </c>
      <c r="I499" s="33" t="s">
        <v>143</v>
      </c>
      <c r="J499" s="33" t="s">
        <v>159</v>
      </c>
      <c r="K499" s="33" t="s">
        <v>184</v>
      </c>
      <c r="L499" s="35" t="n">
        <v>855.6</v>
      </c>
      <c r="M499" s="33" t="n">
        <v>3</v>
      </c>
      <c r="N499" s="33" t="s">
        <v>146</v>
      </c>
      <c r="O499" s="33" t="s">
        <v>147</v>
      </c>
      <c r="P499" s="39" t="n">
        <f aca="false">C499-B499</f>
        <v>1</v>
      </c>
      <c r="Q499" s="40" t="str">
        <f aca="false">CHOOSE(MONTH(B499),"يناير","فبراير","مارس","أبريل","مايو","يونيو","يوليو","أغسطس","سبتمبر","أكتوبر","نوفمبر","ديسمبر")</f>
        <v>مارس</v>
      </c>
      <c r="R499" s="40" t="str">
        <f aca="false">"الربع "&amp;ROUNDUP(MONTH(B499)/3,0)</f>
        <v>الربع 1</v>
      </c>
      <c r="S499" s="40" t="str">
        <f aca="false">IF(D499&lt;=12,"أطفال (0-12)",IF(D499&lt;=24,"شباب (13-24)",IF(D499&lt;=44,"بالغون (25-44)",IF(D499&lt;=64,"متوسطو العمر (45-64)","كبار السن (+65)"))))</f>
        <v>أطفال (0-12)</v>
      </c>
      <c r="T499" s="41" t="n">
        <f aca="false">IFERROR(L499/P499,0)</f>
        <v>855.6</v>
      </c>
    </row>
    <row r="500" customFormat="false" ht="15" hidden="false" customHeight="false" outlineLevel="0" collapsed="false">
      <c r="A500" s="42" t="s">
        <v>837</v>
      </c>
      <c r="B500" s="43" t="n">
        <v>45380</v>
      </c>
      <c r="C500" s="43" t="n">
        <v>45385</v>
      </c>
      <c r="D500" s="42" t="n">
        <v>60</v>
      </c>
      <c r="E500" s="42" t="s">
        <v>139</v>
      </c>
      <c r="F500" s="42" t="s">
        <v>140</v>
      </c>
      <c r="G500" s="42" t="s">
        <v>141</v>
      </c>
      <c r="H500" s="42" t="s">
        <v>142</v>
      </c>
      <c r="I500" s="42" t="s">
        <v>143</v>
      </c>
      <c r="J500" s="42" t="s">
        <v>159</v>
      </c>
      <c r="K500" s="42" t="s">
        <v>184</v>
      </c>
      <c r="L500" s="44" t="n">
        <v>11514.6</v>
      </c>
      <c r="M500" s="42" t="n">
        <v>4</v>
      </c>
      <c r="N500" s="42" t="s">
        <v>146</v>
      </c>
      <c r="O500" s="42" t="s">
        <v>147</v>
      </c>
      <c r="P500" s="39" t="n">
        <f aca="false">C500-B500</f>
        <v>5</v>
      </c>
      <c r="Q500" s="40" t="str">
        <f aca="false">CHOOSE(MONTH(B500),"يناير","فبراير","مارس","أبريل","مايو","يونيو","يوليو","أغسطس","سبتمبر","أكتوبر","نوفمبر","ديسمبر")</f>
        <v>مارس</v>
      </c>
      <c r="R500" s="40" t="str">
        <f aca="false">"الربع "&amp;ROUNDUP(MONTH(B500)/3,0)</f>
        <v>الربع 1</v>
      </c>
      <c r="S500" s="40" t="str">
        <f aca="false">IF(D500&lt;=12,"أطفال (0-12)",IF(D500&lt;=24,"شباب (13-24)",IF(D500&lt;=44,"بالغون (25-44)",IF(D500&lt;=64,"متوسطو العمر (45-64)","كبار السن (+65)"))))</f>
        <v>متوسطو العمر (45-64)</v>
      </c>
      <c r="T500" s="41" t="n">
        <f aca="false">IFERROR(L500/P500,0)</f>
        <v>2302.92</v>
      </c>
    </row>
    <row r="501" customFormat="false" ht="15" hidden="false" customHeight="false" outlineLevel="0" collapsed="false">
      <c r="A501" s="33" t="s">
        <v>1779</v>
      </c>
      <c r="B501" s="34" t="n">
        <v>45380</v>
      </c>
      <c r="C501" s="34" t="n">
        <v>45381</v>
      </c>
      <c r="D501" s="33" t="n">
        <v>46</v>
      </c>
      <c r="E501" s="33" t="s">
        <v>154</v>
      </c>
      <c r="F501" s="33" t="s">
        <v>140</v>
      </c>
      <c r="G501" s="33" t="s">
        <v>141</v>
      </c>
      <c r="H501" s="33" t="s">
        <v>142</v>
      </c>
      <c r="I501" s="33" t="s">
        <v>143</v>
      </c>
      <c r="J501" s="33" t="s">
        <v>144</v>
      </c>
      <c r="K501" s="33" t="s">
        <v>160</v>
      </c>
      <c r="L501" s="35" t="n">
        <v>3790.64</v>
      </c>
      <c r="M501" s="33" t="n">
        <v>4</v>
      </c>
      <c r="N501" s="33" t="s">
        <v>146</v>
      </c>
      <c r="O501" s="33" t="s">
        <v>147</v>
      </c>
      <c r="P501" s="39" t="n">
        <f aca="false">C501-B501</f>
        <v>1</v>
      </c>
      <c r="Q501" s="40" t="str">
        <f aca="false">CHOOSE(MONTH(B501),"يناير","فبراير","مارس","أبريل","مايو","يونيو","يوليو","أغسطس","سبتمبر","أكتوبر","نوفمبر","ديسمبر")</f>
        <v>مارس</v>
      </c>
      <c r="R501" s="40" t="str">
        <f aca="false">"الربع "&amp;ROUNDUP(MONTH(B501)/3,0)</f>
        <v>الربع 1</v>
      </c>
      <c r="S501" s="40" t="str">
        <f aca="false">IF(D501&lt;=12,"أطفال (0-12)",IF(D501&lt;=24,"شباب (13-24)",IF(D501&lt;=44,"بالغون (25-44)",IF(D501&lt;=64,"متوسطو العمر (45-64)","كبار السن (+65)"))))</f>
        <v>متوسطو العمر (45-64)</v>
      </c>
      <c r="T501" s="41" t="n">
        <f aca="false">IFERROR(L501/P501,0)</f>
        <v>3790.64</v>
      </c>
    </row>
    <row r="502" customFormat="false" ht="15" hidden="false" customHeight="false" outlineLevel="0" collapsed="false">
      <c r="A502" s="42" t="s">
        <v>1947</v>
      </c>
      <c r="B502" s="43" t="n">
        <v>45380</v>
      </c>
      <c r="C502" s="43" t="n">
        <v>45387</v>
      </c>
      <c r="D502" s="42" t="n">
        <v>0</v>
      </c>
      <c r="E502" s="42" t="s">
        <v>139</v>
      </c>
      <c r="F502" s="42" t="s">
        <v>155</v>
      </c>
      <c r="G502" s="42" t="s">
        <v>220</v>
      </c>
      <c r="H502" s="42" t="s">
        <v>157</v>
      </c>
      <c r="I502" s="42" t="s">
        <v>143</v>
      </c>
      <c r="J502" s="42" t="s">
        <v>159</v>
      </c>
      <c r="K502" s="42" t="s">
        <v>209</v>
      </c>
      <c r="L502" s="44" t="n">
        <v>5379.74</v>
      </c>
      <c r="M502" s="42" t="n">
        <v>4</v>
      </c>
      <c r="N502" s="42" t="s">
        <v>146</v>
      </c>
      <c r="O502" s="42" t="s">
        <v>147</v>
      </c>
      <c r="P502" s="39" t="n">
        <f aca="false">C502-B502</f>
        <v>7</v>
      </c>
      <c r="Q502" s="40" t="str">
        <f aca="false">CHOOSE(MONTH(B502),"يناير","فبراير","مارس","أبريل","مايو","يونيو","يوليو","أغسطس","سبتمبر","أكتوبر","نوفمبر","ديسمبر")</f>
        <v>مارس</v>
      </c>
      <c r="R502" s="40" t="str">
        <f aca="false">"الربع "&amp;ROUNDUP(MONTH(B502)/3,0)</f>
        <v>الربع 1</v>
      </c>
      <c r="S502" s="40" t="str">
        <f aca="false">IF(D502&lt;=12,"أطفال (0-12)",IF(D502&lt;=24,"شباب (13-24)",IF(D502&lt;=44,"بالغون (25-44)",IF(D502&lt;=64,"متوسطو العمر (45-64)","كبار السن (+65)"))))</f>
        <v>أطفال (0-12)</v>
      </c>
      <c r="T502" s="41" t="n">
        <f aca="false">IFERROR(L502/P502,0)</f>
        <v>768.534285714286</v>
      </c>
    </row>
    <row r="503" customFormat="false" ht="15" hidden="false" customHeight="false" outlineLevel="0" collapsed="false">
      <c r="A503" s="33" t="s">
        <v>2098</v>
      </c>
      <c r="B503" s="34" t="n">
        <v>45380</v>
      </c>
      <c r="C503" s="34" t="n">
        <v>45382</v>
      </c>
      <c r="D503" s="33" t="n">
        <v>49</v>
      </c>
      <c r="E503" s="33" t="s">
        <v>139</v>
      </c>
      <c r="F503" s="33" t="s">
        <v>173</v>
      </c>
      <c r="G503" s="33" t="s">
        <v>174</v>
      </c>
      <c r="H503" s="33" t="s">
        <v>199</v>
      </c>
      <c r="I503" s="33" t="s">
        <v>152</v>
      </c>
      <c r="J503" s="33" t="s">
        <v>159</v>
      </c>
      <c r="K503" s="33" t="s">
        <v>184</v>
      </c>
      <c r="L503" s="35" t="n">
        <v>5268.42</v>
      </c>
      <c r="M503" s="33" t="n">
        <v>5</v>
      </c>
      <c r="N503" s="33" t="s">
        <v>146</v>
      </c>
      <c r="O503" s="33" t="s">
        <v>147</v>
      </c>
      <c r="P503" s="39" t="n">
        <f aca="false">C503-B503</f>
        <v>2</v>
      </c>
      <c r="Q503" s="40" t="str">
        <f aca="false">CHOOSE(MONTH(B503),"يناير","فبراير","مارس","أبريل","مايو","يونيو","يوليو","أغسطس","سبتمبر","أكتوبر","نوفمبر","ديسمبر")</f>
        <v>مارس</v>
      </c>
      <c r="R503" s="40" t="str">
        <f aca="false">"الربع "&amp;ROUNDUP(MONTH(B503)/3,0)</f>
        <v>الربع 1</v>
      </c>
      <c r="S503" s="40" t="str">
        <f aca="false">IF(D503&lt;=12,"أطفال (0-12)",IF(D503&lt;=24,"شباب (13-24)",IF(D503&lt;=44,"بالغون (25-44)",IF(D503&lt;=64,"متوسطو العمر (45-64)","كبار السن (+65)"))))</f>
        <v>متوسطو العمر (45-64)</v>
      </c>
      <c r="T503" s="41" t="n">
        <f aca="false">IFERROR(L503/P503,0)</f>
        <v>2634.21</v>
      </c>
    </row>
    <row r="504" customFormat="false" ht="15" hidden="false" customHeight="false" outlineLevel="0" collapsed="false">
      <c r="A504" s="42" t="s">
        <v>1025</v>
      </c>
      <c r="B504" s="43" t="n">
        <v>45380</v>
      </c>
      <c r="C504" s="43" t="n">
        <v>45384</v>
      </c>
      <c r="D504" s="42" t="n">
        <v>47</v>
      </c>
      <c r="E504" s="42" t="s">
        <v>139</v>
      </c>
      <c r="F504" s="42" t="s">
        <v>169</v>
      </c>
      <c r="G504" s="42" t="s">
        <v>213</v>
      </c>
      <c r="H504" s="42" t="s">
        <v>164</v>
      </c>
      <c r="I504" s="42" t="s">
        <v>143</v>
      </c>
      <c r="J504" s="42" t="s">
        <v>159</v>
      </c>
      <c r="K504" s="42" t="s">
        <v>145</v>
      </c>
      <c r="L504" s="44" t="n">
        <v>5121.61</v>
      </c>
      <c r="M504" s="42" t="n">
        <v>4</v>
      </c>
      <c r="N504" s="42" t="s">
        <v>210</v>
      </c>
      <c r="O504" s="42" t="s">
        <v>147</v>
      </c>
      <c r="P504" s="39" t="n">
        <f aca="false">C504-B504</f>
        <v>4</v>
      </c>
      <c r="Q504" s="40" t="str">
        <f aca="false">CHOOSE(MONTH(B504),"يناير","فبراير","مارس","أبريل","مايو","يونيو","يوليو","أغسطس","سبتمبر","أكتوبر","نوفمبر","ديسمبر")</f>
        <v>مارس</v>
      </c>
      <c r="R504" s="40" t="str">
        <f aca="false">"الربع "&amp;ROUNDUP(MONTH(B504)/3,0)</f>
        <v>الربع 1</v>
      </c>
      <c r="S504" s="40" t="str">
        <f aca="false">IF(D504&lt;=12,"أطفال (0-12)",IF(D504&lt;=24,"شباب (13-24)",IF(D504&lt;=44,"بالغون (25-44)",IF(D504&lt;=64,"متوسطو العمر (45-64)","كبار السن (+65)"))))</f>
        <v>متوسطو العمر (45-64)</v>
      </c>
      <c r="T504" s="41" t="n">
        <f aca="false">IFERROR(L504/P504,0)</f>
        <v>1280.4025</v>
      </c>
    </row>
    <row r="505" customFormat="false" ht="15" hidden="false" customHeight="false" outlineLevel="0" collapsed="false">
      <c r="A505" s="33" t="s">
        <v>2120</v>
      </c>
      <c r="B505" s="34" t="n">
        <v>45380</v>
      </c>
      <c r="C505" s="34" t="n">
        <v>45382</v>
      </c>
      <c r="D505" s="33" t="n">
        <v>74</v>
      </c>
      <c r="E505" s="33" t="s">
        <v>154</v>
      </c>
      <c r="F505" s="33" t="s">
        <v>226</v>
      </c>
      <c r="G505" s="33" t="s">
        <v>386</v>
      </c>
      <c r="H505" s="33" t="s">
        <v>228</v>
      </c>
      <c r="I505" s="33" t="s">
        <v>143</v>
      </c>
      <c r="J505" s="33" t="s">
        <v>176</v>
      </c>
      <c r="K505" s="33" t="s">
        <v>145</v>
      </c>
      <c r="L505" s="35" t="n">
        <v>23824.31</v>
      </c>
      <c r="M505" s="33" t="n">
        <v>4</v>
      </c>
      <c r="N505" s="33" t="s">
        <v>146</v>
      </c>
      <c r="O505" s="33" t="s">
        <v>147</v>
      </c>
      <c r="P505" s="39" t="n">
        <f aca="false">C505-B505</f>
        <v>2</v>
      </c>
      <c r="Q505" s="40" t="str">
        <f aca="false">CHOOSE(MONTH(B505),"يناير","فبراير","مارس","أبريل","مايو","يونيو","يوليو","أغسطس","سبتمبر","أكتوبر","نوفمبر","ديسمبر")</f>
        <v>مارس</v>
      </c>
      <c r="R505" s="40" t="str">
        <f aca="false">"الربع "&amp;ROUNDUP(MONTH(B505)/3,0)</f>
        <v>الربع 1</v>
      </c>
      <c r="S505" s="40" t="str">
        <f aca="false">IF(D505&lt;=12,"أطفال (0-12)",IF(D505&lt;=24,"شباب (13-24)",IF(D505&lt;=44,"بالغون (25-44)",IF(D505&lt;=64,"متوسطو العمر (45-64)","كبار السن (+65)"))))</f>
        <v>كبار السن (+65)</v>
      </c>
      <c r="T505" s="41" t="n">
        <f aca="false">IFERROR(L505/P505,0)</f>
        <v>11912.155</v>
      </c>
    </row>
    <row r="506" customFormat="false" ht="15" hidden="false" customHeight="false" outlineLevel="0" collapsed="false">
      <c r="A506" s="42" t="s">
        <v>1467</v>
      </c>
      <c r="B506" s="43" t="n">
        <v>45381</v>
      </c>
      <c r="C506" s="43" t="n">
        <v>45384</v>
      </c>
      <c r="D506" s="42" t="n">
        <v>22</v>
      </c>
      <c r="E506" s="42" t="s">
        <v>139</v>
      </c>
      <c r="F506" s="42" t="s">
        <v>169</v>
      </c>
      <c r="G506" s="42" t="s">
        <v>213</v>
      </c>
      <c r="H506" s="42" t="s">
        <v>195</v>
      </c>
      <c r="I506" s="42" t="s">
        <v>152</v>
      </c>
      <c r="J506" s="42" t="s">
        <v>159</v>
      </c>
      <c r="K506" s="42" t="s">
        <v>145</v>
      </c>
      <c r="L506" s="44" t="n">
        <v>3760.1</v>
      </c>
      <c r="M506" s="42" t="n">
        <v>5</v>
      </c>
      <c r="N506" s="42" t="s">
        <v>210</v>
      </c>
      <c r="O506" s="42" t="s">
        <v>147</v>
      </c>
      <c r="P506" s="39" t="n">
        <f aca="false">C506-B506</f>
        <v>3</v>
      </c>
      <c r="Q506" s="40" t="str">
        <f aca="false">CHOOSE(MONTH(B506),"يناير","فبراير","مارس","أبريل","مايو","يونيو","يوليو","أغسطس","سبتمبر","أكتوبر","نوفمبر","ديسمبر")</f>
        <v>مارس</v>
      </c>
      <c r="R506" s="40" t="str">
        <f aca="false">"الربع "&amp;ROUNDUP(MONTH(B506)/3,0)</f>
        <v>الربع 1</v>
      </c>
      <c r="S506" s="40" t="str">
        <f aca="false">IF(D506&lt;=12,"أطفال (0-12)",IF(D506&lt;=24,"شباب (13-24)",IF(D506&lt;=44,"بالغون (25-44)",IF(D506&lt;=64,"متوسطو العمر (45-64)","كبار السن (+65)"))))</f>
        <v>شباب (13-24)</v>
      </c>
      <c r="T506" s="41" t="n">
        <f aca="false">IFERROR(L506/P506,0)</f>
        <v>1253.36666666667</v>
      </c>
    </row>
    <row r="507" customFormat="false" ht="15" hidden="false" customHeight="false" outlineLevel="0" collapsed="false">
      <c r="A507" s="33" t="s">
        <v>1888</v>
      </c>
      <c r="B507" s="34" t="n">
        <v>45381</v>
      </c>
      <c r="C507" s="34" t="n">
        <v>45384</v>
      </c>
      <c r="D507" s="33" t="n">
        <v>48</v>
      </c>
      <c r="E507" s="33" t="s">
        <v>139</v>
      </c>
      <c r="F507" s="33" t="s">
        <v>169</v>
      </c>
      <c r="G507" s="33" t="s">
        <v>170</v>
      </c>
      <c r="H507" s="33" t="s">
        <v>164</v>
      </c>
      <c r="I507" s="33" t="s">
        <v>152</v>
      </c>
      <c r="J507" s="33" t="s">
        <v>159</v>
      </c>
      <c r="K507" s="33" t="s">
        <v>160</v>
      </c>
      <c r="L507" s="35" t="n">
        <v>3109.47</v>
      </c>
      <c r="M507" s="33" t="n">
        <v>5</v>
      </c>
      <c r="N507" s="33" t="s">
        <v>146</v>
      </c>
      <c r="O507" s="33" t="s">
        <v>147</v>
      </c>
      <c r="P507" s="39" t="n">
        <f aca="false">C507-B507</f>
        <v>3</v>
      </c>
      <c r="Q507" s="40" t="str">
        <f aca="false">CHOOSE(MONTH(B507),"يناير","فبراير","مارس","أبريل","مايو","يونيو","يوليو","أغسطس","سبتمبر","أكتوبر","نوفمبر","ديسمبر")</f>
        <v>مارس</v>
      </c>
      <c r="R507" s="40" t="str">
        <f aca="false">"الربع "&amp;ROUNDUP(MONTH(B507)/3,0)</f>
        <v>الربع 1</v>
      </c>
      <c r="S507" s="40" t="str">
        <f aca="false">IF(D507&lt;=12,"أطفال (0-12)",IF(D507&lt;=24,"شباب (13-24)",IF(D507&lt;=44,"بالغون (25-44)",IF(D507&lt;=64,"متوسطو العمر (45-64)","كبار السن (+65)"))))</f>
        <v>متوسطو العمر (45-64)</v>
      </c>
      <c r="T507" s="41" t="n">
        <f aca="false">IFERROR(L507/P507,0)</f>
        <v>1036.49</v>
      </c>
    </row>
    <row r="508" customFormat="false" ht="15" hidden="false" customHeight="false" outlineLevel="0" collapsed="false">
      <c r="A508" s="42" t="s">
        <v>266</v>
      </c>
      <c r="B508" s="43" t="n">
        <v>45381</v>
      </c>
      <c r="C508" s="43" t="n">
        <v>45382</v>
      </c>
      <c r="D508" s="42" t="n">
        <v>11</v>
      </c>
      <c r="E508" s="42" t="s">
        <v>139</v>
      </c>
      <c r="F508" s="42" t="s">
        <v>173</v>
      </c>
      <c r="G508" s="42" t="s">
        <v>198</v>
      </c>
      <c r="H508" s="42" t="s">
        <v>199</v>
      </c>
      <c r="I508" s="42" t="s">
        <v>143</v>
      </c>
      <c r="J508" s="42" t="s">
        <v>159</v>
      </c>
      <c r="K508" s="42" t="s">
        <v>145</v>
      </c>
      <c r="L508" s="44" t="n">
        <v>3063.69</v>
      </c>
      <c r="M508" s="42" t="n">
        <v>4</v>
      </c>
      <c r="N508" s="42" t="s">
        <v>146</v>
      </c>
      <c r="O508" s="42" t="s">
        <v>147</v>
      </c>
      <c r="P508" s="39" t="n">
        <f aca="false">C508-B508</f>
        <v>1</v>
      </c>
      <c r="Q508" s="40" t="str">
        <f aca="false">CHOOSE(MONTH(B508),"يناير","فبراير","مارس","أبريل","مايو","يونيو","يوليو","أغسطس","سبتمبر","أكتوبر","نوفمبر","ديسمبر")</f>
        <v>مارس</v>
      </c>
      <c r="R508" s="40" t="str">
        <f aca="false">"الربع "&amp;ROUNDUP(MONTH(B508)/3,0)</f>
        <v>الربع 1</v>
      </c>
      <c r="S508" s="40" t="str">
        <f aca="false">IF(D508&lt;=12,"أطفال (0-12)",IF(D508&lt;=24,"شباب (13-24)",IF(D508&lt;=44,"بالغون (25-44)",IF(D508&lt;=64,"متوسطو العمر (45-64)","كبار السن (+65)"))))</f>
        <v>أطفال (0-12)</v>
      </c>
      <c r="T508" s="41" t="n">
        <f aca="false">IFERROR(L508/P508,0)</f>
        <v>3063.69</v>
      </c>
    </row>
    <row r="509" customFormat="false" ht="15" hidden="false" customHeight="false" outlineLevel="0" collapsed="false">
      <c r="A509" s="33" t="s">
        <v>1154</v>
      </c>
      <c r="B509" s="34" t="n">
        <v>45381</v>
      </c>
      <c r="C509" s="34" t="n">
        <v>45383</v>
      </c>
      <c r="D509" s="33" t="n">
        <v>9</v>
      </c>
      <c r="E509" s="33" t="s">
        <v>154</v>
      </c>
      <c r="F509" s="33" t="s">
        <v>155</v>
      </c>
      <c r="G509" s="33" t="s">
        <v>302</v>
      </c>
      <c r="H509" s="33" t="s">
        <v>222</v>
      </c>
      <c r="I509" s="33" t="s">
        <v>152</v>
      </c>
      <c r="J509" s="33" t="s">
        <v>159</v>
      </c>
      <c r="K509" s="33" t="s">
        <v>160</v>
      </c>
      <c r="L509" s="35" t="n">
        <v>1686.1</v>
      </c>
      <c r="M509" s="33" t="n">
        <v>4</v>
      </c>
      <c r="N509" s="33" t="s">
        <v>146</v>
      </c>
      <c r="O509" s="33" t="s">
        <v>147</v>
      </c>
      <c r="P509" s="39" t="n">
        <f aca="false">C509-B509</f>
        <v>2</v>
      </c>
      <c r="Q509" s="40" t="str">
        <f aca="false">CHOOSE(MONTH(B509),"يناير","فبراير","مارس","أبريل","مايو","يونيو","يوليو","أغسطس","سبتمبر","أكتوبر","نوفمبر","ديسمبر")</f>
        <v>مارس</v>
      </c>
      <c r="R509" s="40" t="str">
        <f aca="false">"الربع "&amp;ROUNDUP(MONTH(B509)/3,0)</f>
        <v>الربع 1</v>
      </c>
      <c r="S509" s="40" t="str">
        <f aca="false">IF(D509&lt;=12,"أطفال (0-12)",IF(D509&lt;=24,"شباب (13-24)",IF(D509&lt;=44,"بالغون (25-44)",IF(D509&lt;=64,"متوسطو العمر (45-64)","كبار السن (+65)"))))</f>
        <v>أطفال (0-12)</v>
      </c>
      <c r="T509" s="41" t="n">
        <f aca="false">IFERROR(L509/P509,0)</f>
        <v>843.05</v>
      </c>
    </row>
    <row r="510" customFormat="false" ht="15" hidden="false" customHeight="false" outlineLevel="0" collapsed="false">
      <c r="A510" s="42" t="s">
        <v>172</v>
      </c>
      <c r="B510" s="43" t="n">
        <v>45381</v>
      </c>
      <c r="C510" s="43" t="n">
        <v>45386</v>
      </c>
      <c r="D510" s="42" t="n">
        <v>45</v>
      </c>
      <c r="E510" s="42" t="s">
        <v>139</v>
      </c>
      <c r="F510" s="42" t="s">
        <v>173</v>
      </c>
      <c r="G510" s="42" t="s">
        <v>174</v>
      </c>
      <c r="H510" s="42" t="s">
        <v>175</v>
      </c>
      <c r="I510" s="42" t="s">
        <v>158</v>
      </c>
      <c r="J510" s="42" t="s">
        <v>176</v>
      </c>
      <c r="K510" s="42" t="s">
        <v>160</v>
      </c>
      <c r="L510" s="44" t="n">
        <v>46395.01</v>
      </c>
      <c r="M510" s="42" t="n">
        <v>5</v>
      </c>
      <c r="N510" s="42" t="s">
        <v>146</v>
      </c>
      <c r="O510" s="42" t="s">
        <v>147</v>
      </c>
      <c r="P510" s="39" t="n">
        <f aca="false">C510-B510</f>
        <v>5</v>
      </c>
      <c r="Q510" s="40" t="str">
        <f aca="false">CHOOSE(MONTH(B510),"يناير","فبراير","مارس","أبريل","مايو","يونيو","يوليو","أغسطس","سبتمبر","أكتوبر","نوفمبر","ديسمبر")</f>
        <v>مارس</v>
      </c>
      <c r="R510" s="40" t="str">
        <f aca="false">"الربع "&amp;ROUNDUP(MONTH(B510)/3,0)</f>
        <v>الربع 1</v>
      </c>
      <c r="S510" s="40" t="str">
        <f aca="false">IF(D510&lt;=12,"أطفال (0-12)",IF(D510&lt;=24,"شباب (13-24)",IF(D510&lt;=44,"بالغون (25-44)",IF(D510&lt;=64,"متوسطو العمر (45-64)","كبار السن (+65)"))))</f>
        <v>متوسطو العمر (45-64)</v>
      </c>
      <c r="T510" s="41" t="n">
        <f aca="false">IFERROR(L510/P510,0)</f>
        <v>9279.002</v>
      </c>
    </row>
    <row r="511" customFormat="false" ht="15" hidden="false" customHeight="false" outlineLevel="0" collapsed="false">
      <c r="A511" s="33" t="s">
        <v>539</v>
      </c>
      <c r="B511" s="34" t="n">
        <v>45381</v>
      </c>
      <c r="C511" s="34" t="n">
        <v>45382</v>
      </c>
      <c r="D511" s="33" t="n">
        <v>79</v>
      </c>
      <c r="E511" s="33" t="s">
        <v>139</v>
      </c>
      <c r="F511" s="33" t="s">
        <v>203</v>
      </c>
      <c r="G511" s="33" t="s">
        <v>192</v>
      </c>
      <c r="H511" s="33" t="s">
        <v>233</v>
      </c>
      <c r="I511" s="33" t="s">
        <v>143</v>
      </c>
      <c r="J511" s="33" t="s">
        <v>159</v>
      </c>
      <c r="K511" s="33" t="s">
        <v>145</v>
      </c>
      <c r="L511" s="35" t="n">
        <v>1046.92</v>
      </c>
      <c r="M511" s="33" t="n">
        <v>3</v>
      </c>
      <c r="N511" s="33" t="s">
        <v>146</v>
      </c>
      <c r="O511" s="33" t="s">
        <v>147</v>
      </c>
      <c r="P511" s="39" t="n">
        <f aca="false">C511-B511</f>
        <v>1</v>
      </c>
      <c r="Q511" s="40" t="str">
        <f aca="false">CHOOSE(MONTH(B511),"يناير","فبراير","مارس","أبريل","مايو","يونيو","يوليو","أغسطس","سبتمبر","أكتوبر","نوفمبر","ديسمبر")</f>
        <v>مارس</v>
      </c>
      <c r="R511" s="40" t="str">
        <f aca="false">"الربع "&amp;ROUNDUP(MONTH(B511)/3,0)</f>
        <v>الربع 1</v>
      </c>
      <c r="S511" s="40" t="str">
        <f aca="false">IF(D511&lt;=12,"أطفال (0-12)",IF(D511&lt;=24,"شباب (13-24)",IF(D511&lt;=44,"بالغون (25-44)",IF(D511&lt;=64,"متوسطو العمر (45-64)","كبار السن (+65)"))))</f>
        <v>كبار السن (+65)</v>
      </c>
      <c r="T511" s="41" t="n">
        <f aca="false">IFERROR(L511/P511,0)</f>
        <v>1046.92</v>
      </c>
    </row>
    <row r="512" customFormat="false" ht="15" hidden="false" customHeight="false" outlineLevel="0" collapsed="false">
      <c r="A512" s="42" t="s">
        <v>235</v>
      </c>
      <c r="B512" s="43" t="n">
        <v>45381</v>
      </c>
      <c r="C512" s="43" t="n">
        <v>45383</v>
      </c>
      <c r="D512" s="42" t="n">
        <v>38</v>
      </c>
      <c r="E512" s="42" t="s">
        <v>154</v>
      </c>
      <c r="F512" s="42" t="s">
        <v>173</v>
      </c>
      <c r="G512" s="42" t="s">
        <v>174</v>
      </c>
      <c r="H512" s="42" t="s">
        <v>199</v>
      </c>
      <c r="I512" s="42" t="s">
        <v>152</v>
      </c>
      <c r="J512" s="42" t="s">
        <v>159</v>
      </c>
      <c r="K512" s="42" t="s">
        <v>145</v>
      </c>
      <c r="L512" s="44" t="n">
        <v>4855.17</v>
      </c>
      <c r="M512" s="42" t="n">
        <v>3</v>
      </c>
      <c r="N512" s="42" t="s">
        <v>146</v>
      </c>
      <c r="O512" s="42" t="s">
        <v>147</v>
      </c>
      <c r="P512" s="39" t="n">
        <f aca="false">C512-B512</f>
        <v>2</v>
      </c>
      <c r="Q512" s="40" t="str">
        <f aca="false">CHOOSE(MONTH(B512),"يناير","فبراير","مارس","أبريل","مايو","يونيو","يوليو","أغسطس","سبتمبر","أكتوبر","نوفمبر","ديسمبر")</f>
        <v>مارس</v>
      </c>
      <c r="R512" s="40" t="str">
        <f aca="false">"الربع "&amp;ROUNDUP(MONTH(B512)/3,0)</f>
        <v>الربع 1</v>
      </c>
      <c r="S512" s="40" t="str">
        <f aca="false">IF(D512&lt;=12,"أطفال (0-12)",IF(D512&lt;=24,"شباب (13-24)",IF(D512&lt;=44,"بالغون (25-44)",IF(D512&lt;=64,"متوسطو العمر (45-64)","كبار السن (+65)"))))</f>
        <v>بالغون (25-44)</v>
      </c>
      <c r="T512" s="41" t="n">
        <f aca="false">IFERROR(L512/P512,0)</f>
        <v>2427.585</v>
      </c>
    </row>
    <row r="513" customFormat="false" ht="15" hidden="false" customHeight="false" outlineLevel="0" collapsed="false">
      <c r="A513" s="33" t="s">
        <v>1040</v>
      </c>
      <c r="B513" s="34" t="n">
        <v>45381</v>
      </c>
      <c r="C513" s="34" t="n">
        <v>45391</v>
      </c>
      <c r="D513" s="33" t="n">
        <v>20</v>
      </c>
      <c r="E513" s="33" t="s">
        <v>139</v>
      </c>
      <c r="F513" s="33" t="s">
        <v>169</v>
      </c>
      <c r="G513" s="33" t="s">
        <v>213</v>
      </c>
      <c r="H513" s="33" t="s">
        <v>195</v>
      </c>
      <c r="I513" s="33" t="s">
        <v>158</v>
      </c>
      <c r="J513" s="33" t="s">
        <v>159</v>
      </c>
      <c r="K513" s="33" t="s">
        <v>145</v>
      </c>
      <c r="L513" s="35" t="n">
        <v>9700.8</v>
      </c>
      <c r="M513" s="33" t="n">
        <v>4</v>
      </c>
      <c r="N513" s="33" t="s">
        <v>146</v>
      </c>
      <c r="O513" s="33" t="s">
        <v>147</v>
      </c>
      <c r="P513" s="39" t="n">
        <f aca="false">C513-B513</f>
        <v>10</v>
      </c>
      <c r="Q513" s="40" t="str">
        <f aca="false">CHOOSE(MONTH(B513),"يناير","فبراير","مارس","أبريل","مايو","يونيو","يوليو","أغسطس","سبتمبر","أكتوبر","نوفمبر","ديسمبر")</f>
        <v>مارس</v>
      </c>
      <c r="R513" s="40" t="str">
        <f aca="false">"الربع "&amp;ROUNDUP(MONTH(B513)/3,0)</f>
        <v>الربع 1</v>
      </c>
      <c r="S513" s="40" t="str">
        <f aca="false">IF(D513&lt;=12,"أطفال (0-12)",IF(D513&lt;=24,"شباب (13-24)",IF(D513&lt;=44,"بالغون (25-44)",IF(D513&lt;=64,"متوسطو العمر (45-64)","كبار السن (+65)"))))</f>
        <v>شباب (13-24)</v>
      </c>
      <c r="T513" s="41" t="n">
        <f aca="false">IFERROR(L513/P513,0)</f>
        <v>970.08</v>
      </c>
    </row>
    <row r="514" customFormat="false" ht="15" hidden="false" customHeight="false" outlineLevel="0" collapsed="false">
      <c r="A514" s="42" t="s">
        <v>807</v>
      </c>
      <c r="B514" s="43" t="n">
        <v>45381</v>
      </c>
      <c r="C514" s="43" t="n">
        <v>45388</v>
      </c>
      <c r="D514" s="42" t="n">
        <v>49</v>
      </c>
      <c r="E514" s="42" t="s">
        <v>139</v>
      </c>
      <c r="F514" s="42" t="s">
        <v>181</v>
      </c>
      <c r="G514" s="42" t="s">
        <v>237</v>
      </c>
      <c r="H514" s="42" t="s">
        <v>245</v>
      </c>
      <c r="I514" s="42" t="s">
        <v>143</v>
      </c>
      <c r="J514" s="42" t="s">
        <v>176</v>
      </c>
      <c r="K514" s="42" t="s">
        <v>160</v>
      </c>
      <c r="L514" s="44" t="n">
        <v>59914.73</v>
      </c>
      <c r="M514" s="42" t="n">
        <v>5</v>
      </c>
      <c r="N514" s="42" t="s">
        <v>146</v>
      </c>
      <c r="O514" s="42" t="s">
        <v>147</v>
      </c>
      <c r="P514" s="39" t="n">
        <f aca="false">C514-B514</f>
        <v>7</v>
      </c>
      <c r="Q514" s="40" t="str">
        <f aca="false">CHOOSE(MONTH(B514),"يناير","فبراير","مارس","أبريل","مايو","يونيو","يوليو","أغسطس","سبتمبر","أكتوبر","نوفمبر","ديسمبر")</f>
        <v>مارس</v>
      </c>
      <c r="R514" s="40" t="str">
        <f aca="false">"الربع "&amp;ROUNDUP(MONTH(B514)/3,0)</f>
        <v>الربع 1</v>
      </c>
      <c r="S514" s="40" t="str">
        <f aca="false">IF(D514&lt;=12,"أطفال (0-12)",IF(D514&lt;=24,"شباب (13-24)",IF(D514&lt;=44,"بالغون (25-44)",IF(D514&lt;=64,"متوسطو العمر (45-64)","كبار السن (+65)"))))</f>
        <v>متوسطو العمر (45-64)</v>
      </c>
      <c r="T514" s="41" t="n">
        <f aca="false">IFERROR(L514/P514,0)</f>
        <v>8559.24714285714</v>
      </c>
    </row>
    <row r="515" customFormat="false" ht="15" hidden="false" customHeight="false" outlineLevel="0" collapsed="false">
      <c r="A515" s="33" t="s">
        <v>1281</v>
      </c>
      <c r="B515" s="34" t="n">
        <v>45381</v>
      </c>
      <c r="C515" s="34" t="n">
        <v>45387</v>
      </c>
      <c r="D515" s="33" t="n">
        <v>52</v>
      </c>
      <c r="E515" s="33" t="s">
        <v>154</v>
      </c>
      <c r="F515" s="33" t="s">
        <v>181</v>
      </c>
      <c r="G515" s="33" t="s">
        <v>188</v>
      </c>
      <c r="H515" s="33" t="s">
        <v>183</v>
      </c>
      <c r="I515" s="33" t="s">
        <v>143</v>
      </c>
      <c r="J515" s="33" t="s">
        <v>159</v>
      </c>
      <c r="K515" s="33" t="s">
        <v>209</v>
      </c>
      <c r="L515" s="35" t="n">
        <v>15218.72</v>
      </c>
      <c r="M515" s="33" t="n">
        <v>4</v>
      </c>
      <c r="N515" s="33" t="s">
        <v>146</v>
      </c>
      <c r="O515" s="33" t="s">
        <v>147</v>
      </c>
      <c r="P515" s="39" t="n">
        <f aca="false">C515-B515</f>
        <v>6</v>
      </c>
      <c r="Q515" s="40" t="str">
        <f aca="false">CHOOSE(MONTH(B515),"يناير","فبراير","مارس","أبريل","مايو","يونيو","يوليو","أغسطس","سبتمبر","أكتوبر","نوفمبر","ديسمبر")</f>
        <v>مارس</v>
      </c>
      <c r="R515" s="40" t="str">
        <f aca="false">"الربع "&amp;ROUNDUP(MONTH(B515)/3,0)</f>
        <v>الربع 1</v>
      </c>
      <c r="S515" s="40" t="str">
        <f aca="false">IF(D515&lt;=12,"أطفال (0-12)",IF(D515&lt;=24,"شباب (13-24)",IF(D515&lt;=44,"بالغون (25-44)",IF(D515&lt;=64,"متوسطو العمر (45-64)","كبار السن (+65)"))))</f>
        <v>متوسطو العمر (45-64)</v>
      </c>
      <c r="T515" s="41" t="n">
        <f aca="false">IFERROR(L515/P515,0)</f>
        <v>2536.45333333333</v>
      </c>
    </row>
    <row r="516" customFormat="false" ht="15" hidden="false" customHeight="false" outlineLevel="0" collapsed="false">
      <c r="A516" s="42" t="s">
        <v>522</v>
      </c>
      <c r="B516" s="43" t="n">
        <v>45382</v>
      </c>
      <c r="C516" s="43" t="n">
        <v>45385</v>
      </c>
      <c r="D516" s="42" t="n">
        <v>35</v>
      </c>
      <c r="E516" s="42" t="s">
        <v>154</v>
      </c>
      <c r="F516" s="42" t="s">
        <v>169</v>
      </c>
      <c r="G516" s="42" t="s">
        <v>230</v>
      </c>
      <c r="H516" s="42" t="s">
        <v>171</v>
      </c>
      <c r="I516" s="42" t="s">
        <v>152</v>
      </c>
      <c r="J516" s="42" t="s">
        <v>159</v>
      </c>
      <c r="K516" s="42" t="s">
        <v>145</v>
      </c>
      <c r="L516" s="44" t="n">
        <v>3296.71</v>
      </c>
      <c r="M516" s="42" t="n">
        <v>2</v>
      </c>
      <c r="N516" s="42" t="s">
        <v>146</v>
      </c>
      <c r="O516" s="42" t="s">
        <v>147</v>
      </c>
      <c r="P516" s="39" t="n">
        <f aca="false">C516-B516</f>
        <v>3</v>
      </c>
      <c r="Q516" s="40" t="str">
        <f aca="false">CHOOSE(MONTH(B516),"يناير","فبراير","مارس","أبريل","مايو","يونيو","يوليو","أغسطس","سبتمبر","أكتوبر","نوفمبر","ديسمبر")</f>
        <v>مارس</v>
      </c>
      <c r="R516" s="40" t="str">
        <f aca="false">"الربع "&amp;ROUNDUP(MONTH(B516)/3,0)</f>
        <v>الربع 1</v>
      </c>
      <c r="S516" s="40" t="str">
        <f aca="false">IF(D516&lt;=12,"أطفال (0-12)",IF(D516&lt;=24,"شباب (13-24)",IF(D516&lt;=44,"بالغون (25-44)",IF(D516&lt;=64,"متوسطو العمر (45-64)","كبار السن (+65)"))))</f>
        <v>بالغون (25-44)</v>
      </c>
      <c r="T516" s="41" t="n">
        <f aca="false">IFERROR(L516/P516,0)</f>
        <v>1098.90333333333</v>
      </c>
    </row>
    <row r="517" customFormat="false" ht="15" hidden="false" customHeight="false" outlineLevel="0" collapsed="false">
      <c r="A517" s="33" t="s">
        <v>712</v>
      </c>
      <c r="B517" s="34" t="n">
        <v>45382</v>
      </c>
      <c r="C517" s="34" t="n">
        <v>45392</v>
      </c>
      <c r="D517" s="33" t="n">
        <v>43</v>
      </c>
      <c r="E517" s="33" t="s">
        <v>154</v>
      </c>
      <c r="F517" s="33" t="s">
        <v>226</v>
      </c>
      <c r="G517" s="33" t="s">
        <v>258</v>
      </c>
      <c r="H517" s="33" t="s">
        <v>263</v>
      </c>
      <c r="I517" s="33" t="s">
        <v>143</v>
      </c>
      <c r="J517" s="33" t="s">
        <v>144</v>
      </c>
      <c r="K517" s="33" t="s">
        <v>145</v>
      </c>
      <c r="L517" s="35" t="n">
        <v>36750.77</v>
      </c>
      <c r="M517" s="33" t="n">
        <v>4</v>
      </c>
      <c r="N517" s="33" t="s">
        <v>146</v>
      </c>
      <c r="O517" s="33" t="s">
        <v>147</v>
      </c>
      <c r="P517" s="39" t="n">
        <f aca="false">C517-B517</f>
        <v>10</v>
      </c>
      <c r="Q517" s="40" t="str">
        <f aca="false">CHOOSE(MONTH(B517),"يناير","فبراير","مارس","أبريل","مايو","يونيو","يوليو","أغسطس","سبتمبر","أكتوبر","نوفمبر","ديسمبر")</f>
        <v>مارس</v>
      </c>
      <c r="R517" s="40" t="str">
        <f aca="false">"الربع "&amp;ROUNDUP(MONTH(B517)/3,0)</f>
        <v>الربع 1</v>
      </c>
      <c r="S517" s="40" t="str">
        <f aca="false">IF(D517&lt;=12,"أطفال (0-12)",IF(D517&lt;=24,"شباب (13-24)",IF(D517&lt;=44,"بالغون (25-44)",IF(D517&lt;=64,"متوسطو العمر (45-64)","كبار السن (+65)"))))</f>
        <v>بالغون (25-44)</v>
      </c>
      <c r="T517" s="41" t="n">
        <f aca="false">IFERROR(L517/P517,0)</f>
        <v>3675.077</v>
      </c>
    </row>
    <row r="518" customFormat="false" ht="15" hidden="false" customHeight="false" outlineLevel="0" collapsed="false">
      <c r="A518" s="42" t="s">
        <v>2066</v>
      </c>
      <c r="B518" s="43" t="n">
        <v>45382</v>
      </c>
      <c r="C518" s="43" t="n">
        <v>45386</v>
      </c>
      <c r="D518" s="42" t="n">
        <v>14</v>
      </c>
      <c r="E518" s="42" t="s">
        <v>154</v>
      </c>
      <c r="F518" s="42" t="s">
        <v>155</v>
      </c>
      <c r="G518" s="42" t="s">
        <v>302</v>
      </c>
      <c r="H518" s="42" t="s">
        <v>222</v>
      </c>
      <c r="I518" s="42" t="s">
        <v>158</v>
      </c>
      <c r="J518" s="42" t="s">
        <v>159</v>
      </c>
      <c r="K518" s="42" t="s">
        <v>145</v>
      </c>
      <c r="L518" s="44" t="n">
        <v>3951.78</v>
      </c>
      <c r="M518" s="42" t="n">
        <v>5</v>
      </c>
      <c r="N518" s="42" t="s">
        <v>146</v>
      </c>
      <c r="O518" s="42" t="s">
        <v>147</v>
      </c>
      <c r="P518" s="39" t="n">
        <f aca="false">C518-B518</f>
        <v>4</v>
      </c>
      <c r="Q518" s="40" t="str">
        <f aca="false">CHOOSE(MONTH(B518),"يناير","فبراير","مارس","أبريل","مايو","يونيو","يوليو","أغسطس","سبتمبر","أكتوبر","نوفمبر","ديسمبر")</f>
        <v>مارس</v>
      </c>
      <c r="R518" s="40" t="str">
        <f aca="false">"الربع "&amp;ROUNDUP(MONTH(B518)/3,0)</f>
        <v>الربع 1</v>
      </c>
      <c r="S518" s="40" t="str">
        <f aca="false">IF(D518&lt;=12,"أطفال (0-12)",IF(D518&lt;=24,"شباب (13-24)",IF(D518&lt;=44,"بالغون (25-44)",IF(D518&lt;=64,"متوسطو العمر (45-64)","كبار السن (+65)"))))</f>
        <v>شباب (13-24)</v>
      </c>
      <c r="T518" s="41" t="n">
        <f aca="false">IFERROR(L518/P518,0)</f>
        <v>987.945</v>
      </c>
    </row>
    <row r="519" customFormat="false" ht="15" hidden="false" customHeight="false" outlineLevel="0" collapsed="false">
      <c r="A519" s="33" t="s">
        <v>1828</v>
      </c>
      <c r="B519" s="34" t="n">
        <v>45382</v>
      </c>
      <c r="C519" s="34" t="n">
        <v>45384</v>
      </c>
      <c r="D519" s="33" t="n">
        <v>11</v>
      </c>
      <c r="E519" s="33" t="s">
        <v>154</v>
      </c>
      <c r="F519" s="33" t="s">
        <v>155</v>
      </c>
      <c r="G519" s="33" t="s">
        <v>302</v>
      </c>
      <c r="H519" s="33" t="s">
        <v>222</v>
      </c>
      <c r="I519" s="33" t="s">
        <v>152</v>
      </c>
      <c r="J519" s="33" t="s">
        <v>159</v>
      </c>
      <c r="K519" s="33" t="s">
        <v>145</v>
      </c>
      <c r="L519" s="35" t="n">
        <v>1579.89</v>
      </c>
      <c r="M519" s="33" t="n">
        <v>5</v>
      </c>
      <c r="N519" s="33" t="s">
        <v>146</v>
      </c>
      <c r="O519" s="33" t="s">
        <v>147</v>
      </c>
      <c r="P519" s="39" t="n">
        <f aca="false">C519-B519</f>
        <v>2</v>
      </c>
      <c r="Q519" s="40" t="str">
        <f aca="false">CHOOSE(MONTH(B519),"يناير","فبراير","مارس","أبريل","مايو","يونيو","يوليو","أغسطس","سبتمبر","أكتوبر","نوفمبر","ديسمبر")</f>
        <v>مارس</v>
      </c>
      <c r="R519" s="40" t="str">
        <f aca="false">"الربع "&amp;ROUNDUP(MONTH(B519)/3,0)</f>
        <v>الربع 1</v>
      </c>
      <c r="S519" s="40" t="str">
        <f aca="false">IF(D519&lt;=12,"أطفال (0-12)",IF(D519&lt;=24,"شباب (13-24)",IF(D519&lt;=44,"بالغون (25-44)",IF(D519&lt;=64,"متوسطو العمر (45-64)","كبار السن (+65)"))))</f>
        <v>أطفال (0-12)</v>
      </c>
      <c r="T519" s="41" t="n">
        <f aca="false">IFERROR(L519/P519,0)</f>
        <v>789.945</v>
      </c>
    </row>
    <row r="520" customFormat="false" ht="15" hidden="false" customHeight="false" outlineLevel="0" collapsed="false">
      <c r="A520" s="42" t="s">
        <v>2205</v>
      </c>
      <c r="B520" s="43" t="n">
        <v>45382</v>
      </c>
      <c r="C520" s="43" t="n">
        <v>45383</v>
      </c>
      <c r="D520" s="42" t="n">
        <v>34</v>
      </c>
      <c r="E520" s="42" t="s">
        <v>139</v>
      </c>
      <c r="F520" s="42" t="s">
        <v>149</v>
      </c>
      <c r="G520" s="42" t="s">
        <v>243</v>
      </c>
      <c r="H520" s="42" t="s">
        <v>151</v>
      </c>
      <c r="I520" s="42" t="s">
        <v>152</v>
      </c>
      <c r="J520" s="42" t="s">
        <v>144</v>
      </c>
      <c r="K520" s="42" t="s">
        <v>209</v>
      </c>
      <c r="L520" s="44" t="n">
        <v>2792.67</v>
      </c>
      <c r="M520" s="42" t="n">
        <v>5</v>
      </c>
      <c r="N520" s="42" t="s">
        <v>146</v>
      </c>
      <c r="O520" s="42" t="s">
        <v>147</v>
      </c>
      <c r="P520" s="39" t="n">
        <f aca="false">C520-B520</f>
        <v>1</v>
      </c>
      <c r="Q520" s="40" t="str">
        <f aca="false">CHOOSE(MONTH(B520),"يناير","فبراير","مارس","أبريل","مايو","يونيو","يوليو","أغسطس","سبتمبر","أكتوبر","نوفمبر","ديسمبر")</f>
        <v>مارس</v>
      </c>
      <c r="R520" s="40" t="str">
        <f aca="false">"الربع "&amp;ROUNDUP(MONTH(B520)/3,0)</f>
        <v>الربع 1</v>
      </c>
      <c r="S520" s="40" t="str">
        <f aca="false">IF(D520&lt;=12,"أطفال (0-12)",IF(D520&lt;=24,"شباب (13-24)",IF(D520&lt;=44,"بالغون (25-44)",IF(D520&lt;=64,"متوسطو العمر (45-64)","كبار السن (+65)"))))</f>
        <v>بالغون (25-44)</v>
      </c>
      <c r="T520" s="41" t="n">
        <f aca="false">IFERROR(L520/P520,0)</f>
        <v>2792.67</v>
      </c>
    </row>
    <row r="521" customFormat="false" ht="15" hidden="false" customHeight="false" outlineLevel="0" collapsed="false">
      <c r="A521" s="33" t="s">
        <v>493</v>
      </c>
      <c r="B521" s="34" t="n">
        <v>45382</v>
      </c>
      <c r="C521" s="34" t="n">
        <v>45387</v>
      </c>
      <c r="D521" s="33" t="n">
        <v>10</v>
      </c>
      <c r="E521" s="33" t="s">
        <v>139</v>
      </c>
      <c r="F521" s="33" t="s">
        <v>203</v>
      </c>
      <c r="G521" s="33" t="s">
        <v>241</v>
      </c>
      <c r="H521" s="33" t="s">
        <v>193</v>
      </c>
      <c r="I521" s="33" t="s">
        <v>143</v>
      </c>
      <c r="J521" s="33" t="s">
        <v>144</v>
      </c>
      <c r="K521" s="33" t="s">
        <v>145</v>
      </c>
      <c r="L521" s="35" t="n">
        <v>8670.5</v>
      </c>
      <c r="M521" s="33" t="n">
        <v>5</v>
      </c>
      <c r="N521" s="33" t="s">
        <v>210</v>
      </c>
      <c r="O521" s="33" t="s">
        <v>147</v>
      </c>
      <c r="P521" s="39" t="n">
        <f aca="false">C521-B521</f>
        <v>5</v>
      </c>
      <c r="Q521" s="40" t="str">
        <f aca="false">CHOOSE(MONTH(B521),"يناير","فبراير","مارس","أبريل","مايو","يونيو","يوليو","أغسطس","سبتمبر","أكتوبر","نوفمبر","ديسمبر")</f>
        <v>مارس</v>
      </c>
      <c r="R521" s="40" t="str">
        <f aca="false">"الربع "&amp;ROUNDUP(MONTH(B521)/3,0)</f>
        <v>الربع 1</v>
      </c>
      <c r="S521" s="40" t="str">
        <f aca="false">IF(D521&lt;=12,"أطفال (0-12)",IF(D521&lt;=24,"شباب (13-24)",IF(D521&lt;=44,"بالغون (25-44)",IF(D521&lt;=64,"متوسطو العمر (45-64)","كبار السن (+65)"))))</f>
        <v>أطفال (0-12)</v>
      </c>
      <c r="T521" s="41" t="n">
        <f aca="false">IFERROR(L521/P521,0)</f>
        <v>1734.1</v>
      </c>
    </row>
    <row r="522" customFormat="false" ht="15" hidden="false" customHeight="false" outlineLevel="0" collapsed="false">
      <c r="A522" s="42" t="s">
        <v>1884</v>
      </c>
      <c r="B522" s="43" t="n">
        <v>45382</v>
      </c>
      <c r="C522" s="43" t="n">
        <v>45384</v>
      </c>
      <c r="D522" s="42" t="n">
        <v>33</v>
      </c>
      <c r="E522" s="42" t="s">
        <v>139</v>
      </c>
      <c r="F522" s="42" t="s">
        <v>140</v>
      </c>
      <c r="G522" s="42" t="s">
        <v>141</v>
      </c>
      <c r="H522" s="42" t="s">
        <v>142</v>
      </c>
      <c r="I522" s="42" t="s">
        <v>152</v>
      </c>
      <c r="J522" s="42" t="s">
        <v>144</v>
      </c>
      <c r="K522" s="42" t="s">
        <v>145</v>
      </c>
      <c r="L522" s="44" t="n">
        <v>9095.53</v>
      </c>
      <c r="M522" s="42" t="n">
        <v>4</v>
      </c>
      <c r="N522" s="42" t="s">
        <v>146</v>
      </c>
      <c r="O522" s="42" t="s">
        <v>206</v>
      </c>
      <c r="P522" s="39" t="n">
        <f aca="false">C522-B522</f>
        <v>2</v>
      </c>
      <c r="Q522" s="40" t="str">
        <f aca="false">CHOOSE(MONTH(B522),"يناير","فبراير","مارس","أبريل","مايو","يونيو","يوليو","أغسطس","سبتمبر","أكتوبر","نوفمبر","ديسمبر")</f>
        <v>مارس</v>
      </c>
      <c r="R522" s="40" t="str">
        <f aca="false">"الربع "&amp;ROUNDUP(MONTH(B522)/3,0)</f>
        <v>الربع 1</v>
      </c>
      <c r="S522" s="40" t="str">
        <f aca="false">IF(D522&lt;=12,"أطفال (0-12)",IF(D522&lt;=24,"شباب (13-24)",IF(D522&lt;=44,"بالغون (25-44)",IF(D522&lt;=64,"متوسطو العمر (45-64)","كبار السن (+65)"))))</f>
        <v>بالغون (25-44)</v>
      </c>
      <c r="T522" s="41" t="n">
        <f aca="false">IFERROR(L522/P522,0)</f>
        <v>4547.765</v>
      </c>
    </row>
    <row r="523" customFormat="false" ht="15" hidden="false" customHeight="false" outlineLevel="0" collapsed="false">
      <c r="A523" s="33" t="s">
        <v>958</v>
      </c>
      <c r="B523" s="34" t="n">
        <v>45382</v>
      </c>
      <c r="C523" s="34" t="n">
        <v>45383</v>
      </c>
      <c r="D523" s="33" t="n">
        <v>69</v>
      </c>
      <c r="E523" s="33" t="s">
        <v>154</v>
      </c>
      <c r="F523" s="33" t="s">
        <v>203</v>
      </c>
      <c r="G523" s="33" t="s">
        <v>232</v>
      </c>
      <c r="H523" s="33" t="s">
        <v>233</v>
      </c>
      <c r="I523" s="33" t="s">
        <v>143</v>
      </c>
      <c r="J523" s="33" t="s">
        <v>159</v>
      </c>
      <c r="K523" s="33" t="s">
        <v>145</v>
      </c>
      <c r="L523" s="35" t="n">
        <v>731.69</v>
      </c>
      <c r="M523" s="33" t="n">
        <v>3</v>
      </c>
      <c r="N523" s="33" t="s">
        <v>146</v>
      </c>
      <c r="O523" s="33" t="s">
        <v>147</v>
      </c>
      <c r="P523" s="39" t="n">
        <f aca="false">C523-B523</f>
        <v>1</v>
      </c>
      <c r="Q523" s="40" t="str">
        <f aca="false">CHOOSE(MONTH(B523),"يناير","فبراير","مارس","أبريل","مايو","يونيو","يوليو","أغسطس","سبتمبر","أكتوبر","نوفمبر","ديسمبر")</f>
        <v>مارس</v>
      </c>
      <c r="R523" s="40" t="str">
        <f aca="false">"الربع "&amp;ROUNDUP(MONTH(B523)/3,0)</f>
        <v>الربع 1</v>
      </c>
      <c r="S523" s="40" t="str">
        <f aca="false">IF(D523&lt;=12,"أطفال (0-12)",IF(D523&lt;=24,"شباب (13-24)",IF(D523&lt;=44,"بالغون (25-44)",IF(D523&lt;=64,"متوسطو العمر (45-64)","كبار السن (+65)"))))</f>
        <v>كبار السن (+65)</v>
      </c>
      <c r="T523" s="41" t="n">
        <f aca="false">IFERROR(L523/P523,0)</f>
        <v>731.69</v>
      </c>
    </row>
    <row r="524" customFormat="false" ht="15" hidden="false" customHeight="false" outlineLevel="0" collapsed="false">
      <c r="A524" s="42" t="s">
        <v>1913</v>
      </c>
      <c r="B524" s="43" t="n">
        <v>45382</v>
      </c>
      <c r="C524" s="43" t="n">
        <v>45385</v>
      </c>
      <c r="D524" s="42" t="n">
        <v>28</v>
      </c>
      <c r="E524" s="42" t="s">
        <v>139</v>
      </c>
      <c r="F524" s="42" t="s">
        <v>149</v>
      </c>
      <c r="G524" s="42" t="s">
        <v>150</v>
      </c>
      <c r="H524" s="42" t="s">
        <v>151</v>
      </c>
      <c r="I524" s="42" t="s">
        <v>158</v>
      </c>
      <c r="J524" s="42" t="s">
        <v>144</v>
      </c>
      <c r="K524" s="42" t="s">
        <v>160</v>
      </c>
      <c r="L524" s="44" t="n">
        <v>8747.88</v>
      </c>
      <c r="M524" s="42" t="n">
        <v>5</v>
      </c>
      <c r="N524" s="42" t="s">
        <v>146</v>
      </c>
      <c r="O524" s="42" t="s">
        <v>147</v>
      </c>
      <c r="P524" s="39" t="n">
        <f aca="false">C524-B524</f>
        <v>3</v>
      </c>
      <c r="Q524" s="40" t="str">
        <f aca="false">CHOOSE(MONTH(B524),"يناير","فبراير","مارس","أبريل","مايو","يونيو","يوليو","أغسطس","سبتمبر","أكتوبر","نوفمبر","ديسمبر")</f>
        <v>مارس</v>
      </c>
      <c r="R524" s="40" t="str">
        <f aca="false">"الربع "&amp;ROUNDUP(MONTH(B524)/3,0)</f>
        <v>الربع 1</v>
      </c>
      <c r="S524" s="40" t="str">
        <f aca="false">IF(D524&lt;=12,"أطفال (0-12)",IF(D524&lt;=24,"شباب (13-24)",IF(D524&lt;=44,"بالغون (25-44)",IF(D524&lt;=64,"متوسطو العمر (45-64)","كبار السن (+65)"))))</f>
        <v>بالغون (25-44)</v>
      </c>
      <c r="T524" s="41" t="n">
        <f aca="false">IFERROR(L524/P524,0)</f>
        <v>2915.96</v>
      </c>
    </row>
    <row r="525" customFormat="false" ht="15" hidden="false" customHeight="false" outlineLevel="0" collapsed="false">
      <c r="A525" s="33" t="s">
        <v>1922</v>
      </c>
      <c r="B525" s="34" t="n">
        <v>45382</v>
      </c>
      <c r="C525" s="34" t="n">
        <v>45385</v>
      </c>
      <c r="D525" s="33" t="n">
        <v>27</v>
      </c>
      <c r="E525" s="33" t="s">
        <v>139</v>
      </c>
      <c r="F525" s="33" t="s">
        <v>169</v>
      </c>
      <c r="G525" s="33" t="s">
        <v>230</v>
      </c>
      <c r="H525" s="33" t="s">
        <v>164</v>
      </c>
      <c r="I525" s="33" t="s">
        <v>152</v>
      </c>
      <c r="J525" s="33" t="s">
        <v>159</v>
      </c>
      <c r="K525" s="33" t="s">
        <v>184</v>
      </c>
      <c r="L525" s="35" t="n">
        <v>3142.22</v>
      </c>
      <c r="M525" s="33" t="n">
        <v>4</v>
      </c>
      <c r="N525" s="33" t="s">
        <v>146</v>
      </c>
      <c r="O525" s="33" t="s">
        <v>147</v>
      </c>
      <c r="P525" s="39" t="n">
        <f aca="false">C525-B525</f>
        <v>3</v>
      </c>
      <c r="Q525" s="40" t="str">
        <f aca="false">CHOOSE(MONTH(B525),"يناير","فبراير","مارس","أبريل","مايو","يونيو","يوليو","أغسطس","سبتمبر","أكتوبر","نوفمبر","ديسمبر")</f>
        <v>مارس</v>
      </c>
      <c r="R525" s="40" t="str">
        <f aca="false">"الربع "&amp;ROUNDUP(MONTH(B525)/3,0)</f>
        <v>الربع 1</v>
      </c>
      <c r="S525" s="40" t="str">
        <f aca="false">IF(D525&lt;=12,"أطفال (0-12)",IF(D525&lt;=24,"شباب (13-24)",IF(D525&lt;=44,"بالغون (25-44)",IF(D525&lt;=64,"متوسطو العمر (45-64)","كبار السن (+65)"))))</f>
        <v>بالغون (25-44)</v>
      </c>
      <c r="T525" s="41" t="n">
        <f aca="false">IFERROR(L525/P525,0)</f>
        <v>1047.40666666667</v>
      </c>
    </row>
    <row r="526" customFormat="false" ht="15" hidden="false" customHeight="false" outlineLevel="0" collapsed="false">
      <c r="A526" s="42" t="s">
        <v>1701</v>
      </c>
      <c r="B526" s="43" t="n">
        <v>45383</v>
      </c>
      <c r="C526" s="43" t="n">
        <v>45384</v>
      </c>
      <c r="D526" s="42" t="n">
        <v>26</v>
      </c>
      <c r="E526" s="42" t="s">
        <v>139</v>
      </c>
      <c r="F526" s="42" t="s">
        <v>149</v>
      </c>
      <c r="G526" s="42" t="s">
        <v>243</v>
      </c>
      <c r="H526" s="42" t="s">
        <v>186</v>
      </c>
      <c r="I526" s="42" t="s">
        <v>152</v>
      </c>
      <c r="J526" s="42" t="s">
        <v>159</v>
      </c>
      <c r="K526" s="42" t="s">
        <v>145</v>
      </c>
      <c r="L526" s="44" t="n">
        <v>1379.5</v>
      </c>
      <c r="M526" s="42" t="n">
        <v>4</v>
      </c>
      <c r="N526" s="42" t="s">
        <v>146</v>
      </c>
      <c r="O526" s="42" t="s">
        <v>147</v>
      </c>
      <c r="P526" s="39" t="n">
        <f aca="false">C526-B526</f>
        <v>1</v>
      </c>
      <c r="Q526" s="40" t="str">
        <f aca="false">CHOOSE(MONTH(B526),"يناير","فبراير","مارس","أبريل","مايو","يونيو","يوليو","أغسطس","سبتمبر","أكتوبر","نوفمبر","ديسمبر")</f>
        <v>أبريل</v>
      </c>
      <c r="R526" s="40" t="str">
        <f aca="false">"الربع "&amp;ROUNDUP(MONTH(B526)/3,0)</f>
        <v>الربع 2</v>
      </c>
      <c r="S526" s="40" t="str">
        <f aca="false">IF(D526&lt;=12,"أطفال (0-12)",IF(D526&lt;=24,"شباب (13-24)",IF(D526&lt;=44,"بالغون (25-44)",IF(D526&lt;=64,"متوسطو العمر (45-64)","كبار السن (+65)"))))</f>
        <v>بالغون (25-44)</v>
      </c>
      <c r="T526" s="41" t="n">
        <f aca="false">IFERROR(L526/P526,0)</f>
        <v>1379.5</v>
      </c>
    </row>
    <row r="527" customFormat="false" ht="15" hidden="false" customHeight="false" outlineLevel="0" collapsed="false">
      <c r="A527" s="33" t="s">
        <v>1875</v>
      </c>
      <c r="B527" s="34" t="n">
        <v>45383</v>
      </c>
      <c r="C527" s="34" t="n">
        <v>45386</v>
      </c>
      <c r="D527" s="33" t="n">
        <v>2</v>
      </c>
      <c r="E527" s="33" t="s">
        <v>139</v>
      </c>
      <c r="F527" s="33" t="s">
        <v>155</v>
      </c>
      <c r="G527" s="33" t="s">
        <v>220</v>
      </c>
      <c r="H527" s="33" t="s">
        <v>157</v>
      </c>
      <c r="I527" s="33" t="s">
        <v>143</v>
      </c>
      <c r="J527" s="33" t="s">
        <v>159</v>
      </c>
      <c r="K527" s="33" t="s">
        <v>160</v>
      </c>
      <c r="L527" s="35" t="n">
        <v>2700.94</v>
      </c>
      <c r="M527" s="33" t="n">
        <v>4</v>
      </c>
      <c r="N527" s="33" t="s">
        <v>146</v>
      </c>
      <c r="O527" s="33" t="s">
        <v>247</v>
      </c>
      <c r="P527" s="39" t="n">
        <f aca="false">C527-B527</f>
        <v>3</v>
      </c>
      <c r="Q527" s="40" t="str">
        <f aca="false">CHOOSE(MONTH(B527),"يناير","فبراير","مارس","أبريل","مايو","يونيو","يوليو","أغسطس","سبتمبر","أكتوبر","نوفمبر","ديسمبر")</f>
        <v>أبريل</v>
      </c>
      <c r="R527" s="40" t="str">
        <f aca="false">"الربع "&amp;ROUNDUP(MONTH(B527)/3,0)</f>
        <v>الربع 2</v>
      </c>
      <c r="S527" s="40" t="str">
        <f aca="false">IF(D527&lt;=12,"أطفال (0-12)",IF(D527&lt;=24,"شباب (13-24)",IF(D527&lt;=44,"بالغون (25-44)",IF(D527&lt;=64,"متوسطو العمر (45-64)","كبار السن (+65)"))))</f>
        <v>أطفال (0-12)</v>
      </c>
      <c r="T527" s="41" t="n">
        <f aca="false">IFERROR(L527/P527,0)</f>
        <v>900.313333333333</v>
      </c>
    </row>
    <row r="528" customFormat="false" ht="15" hidden="false" customHeight="false" outlineLevel="0" collapsed="false">
      <c r="A528" s="42" t="s">
        <v>1555</v>
      </c>
      <c r="B528" s="43" t="n">
        <v>45383</v>
      </c>
      <c r="C528" s="43" t="n">
        <v>45385</v>
      </c>
      <c r="D528" s="42" t="n">
        <v>21</v>
      </c>
      <c r="E528" s="42" t="s">
        <v>139</v>
      </c>
      <c r="F528" s="42" t="s">
        <v>149</v>
      </c>
      <c r="G528" s="42" t="s">
        <v>150</v>
      </c>
      <c r="H528" s="42" t="s">
        <v>2322</v>
      </c>
      <c r="I528" s="42" t="s">
        <v>143</v>
      </c>
      <c r="J528" s="42" t="s">
        <v>159</v>
      </c>
      <c r="K528" s="42" t="s">
        <v>145</v>
      </c>
      <c r="L528" s="44" t="n">
        <v>3007.67</v>
      </c>
      <c r="M528" s="42" t="n">
        <v>5</v>
      </c>
      <c r="N528" s="42" t="s">
        <v>146</v>
      </c>
      <c r="O528" s="42" t="s">
        <v>147</v>
      </c>
      <c r="P528" s="39" t="n">
        <f aca="false">C528-B528</f>
        <v>2</v>
      </c>
      <c r="Q528" s="40" t="str">
        <f aca="false">CHOOSE(MONTH(B528),"يناير","فبراير","مارس","أبريل","مايو","يونيو","يوليو","أغسطس","سبتمبر","أكتوبر","نوفمبر","ديسمبر")</f>
        <v>أبريل</v>
      </c>
      <c r="R528" s="40" t="str">
        <f aca="false">"الربع "&amp;ROUNDUP(MONTH(B528)/3,0)</f>
        <v>الربع 2</v>
      </c>
      <c r="S528" s="40" t="str">
        <f aca="false">IF(D528&lt;=12,"أطفال (0-12)",IF(D528&lt;=24,"شباب (13-24)",IF(D528&lt;=44,"بالغون (25-44)",IF(D528&lt;=64,"متوسطو العمر (45-64)","كبار السن (+65)"))))</f>
        <v>شباب (13-24)</v>
      </c>
      <c r="T528" s="41" t="n">
        <f aca="false">IFERROR(L528/P528,0)</f>
        <v>1503.835</v>
      </c>
    </row>
    <row r="529" customFormat="false" ht="15" hidden="false" customHeight="false" outlineLevel="0" collapsed="false">
      <c r="A529" s="33" t="s">
        <v>1312</v>
      </c>
      <c r="B529" s="34" t="n">
        <v>45383</v>
      </c>
      <c r="C529" s="34" t="n">
        <v>45384</v>
      </c>
      <c r="D529" s="33" t="n">
        <v>39</v>
      </c>
      <c r="E529" s="33" t="s">
        <v>139</v>
      </c>
      <c r="F529" s="33" t="s">
        <v>203</v>
      </c>
      <c r="G529" s="33" t="s">
        <v>232</v>
      </c>
      <c r="H529" s="33" t="s">
        <v>205</v>
      </c>
      <c r="I529" s="33" t="s">
        <v>143</v>
      </c>
      <c r="J529" s="33" t="s">
        <v>176</v>
      </c>
      <c r="K529" s="33" t="s">
        <v>145</v>
      </c>
      <c r="L529" s="35" t="n">
        <v>3643.12</v>
      </c>
      <c r="M529" s="33" t="n">
        <v>3</v>
      </c>
      <c r="N529" s="33" t="s">
        <v>146</v>
      </c>
      <c r="O529" s="33" t="s">
        <v>147</v>
      </c>
      <c r="P529" s="39" t="n">
        <f aca="false">C529-B529</f>
        <v>1</v>
      </c>
      <c r="Q529" s="40" t="str">
        <f aca="false">CHOOSE(MONTH(B529),"يناير","فبراير","مارس","أبريل","مايو","يونيو","يوليو","أغسطس","سبتمبر","أكتوبر","نوفمبر","ديسمبر")</f>
        <v>أبريل</v>
      </c>
      <c r="R529" s="40" t="str">
        <f aca="false">"الربع "&amp;ROUNDUP(MONTH(B529)/3,0)</f>
        <v>الربع 2</v>
      </c>
      <c r="S529" s="40" t="str">
        <f aca="false">IF(D529&lt;=12,"أطفال (0-12)",IF(D529&lt;=24,"شباب (13-24)",IF(D529&lt;=44,"بالغون (25-44)",IF(D529&lt;=64,"متوسطو العمر (45-64)","كبار السن (+65)"))))</f>
        <v>بالغون (25-44)</v>
      </c>
      <c r="T529" s="41" t="n">
        <f aca="false">IFERROR(L529/P529,0)</f>
        <v>3643.12</v>
      </c>
    </row>
    <row r="530" customFormat="false" ht="15" hidden="false" customHeight="false" outlineLevel="0" collapsed="false">
      <c r="A530" s="42" t="s">
        <v>689</v>
      </c>
      <c r="B530" s="43" t="n">
        <v>45384</v>
      </c>
      <c r="C530" s="43" t="n">
        <v>45385</v>
      </c>
      <c r="D530" s="42" t="n">
        <v>31</v>
      </c>
      <c r="E530" s="42" t="s">
        <v>139</v>
      </c>
      <c r="F530" s="42" t="s">
        <v>149</v>
      </c>
      <c r="G530" s="42" t="s">
        <v>224</v>
      </c>
      <c r="H530" s="42" t="s">
        <v>151</v>
      </c>
      <c r="I530" s="42" t="s">
        <v>143</v>
      </c>
      <c r="J530" s="42" t="s">
        <v>159</v>
      </c>
      <c r="K530" s="42" t="s">
        <v>145</v>
      </c>
      <c r="L530" s="44" t="n">
        <v>1281.07</v>
      </c>
      <c r="M530" s="42" t="n">
        <v>4</v>
      </c>
      <c r="N530" s="42" t="s">
        <v>210</v>
      </c>
      <c r="O530" s="42" t="s">
        <v>147</v>
      </c>
      <c r="P530" s="39" t="n">
        <f aca="false">C530-B530</f>
        <v>1</v>
      </c>
      <c r="Q530" s="40" t="str">
        <f aca="false">CHOOSE(MONTH(B530),"يناير","فبراير","مارس","أبريل","مايو","يونيو","يوليو","أغسطس","سبتمبر","أكتوبر","نوفمبر","ديسمبر")</f>
        <v>أبريل</v>
      </c>
      <c r="R530" s="40" t="str">
        <f aca="false">"الربع "&amp;ROUNDUP(MONTH(B530)/3,0)</f>
        <v>الربع 2</v>
      </c>
      <c r="S530" s="40" t="str">
        <f aca="false">IF(D530&lt;=12,"أطفال (0-12)",IF(D530&lt;=24,"شباب (13-24)",IF(D530&lt;=44,"بالغون (25-44)",IF(D530&lt;=64,"متوسطو العمر (45-64)","كبار السن (+65)"))))</f>
        <v>بالغون (25-44)</v>
      </c>
      <c r="T530" s="41" t="n">
        <f aca="false">IFERROR(L530/P530,0)</f>
        <v>1281.07</v>
      </c>
    </row>
    <row r="531" customFormat="false" ht="15" hidden="false" customHeight="false" outlineLevel="0" collapsed="false">
      <c r="A531" s="33" t="s">
        <v>2073</v>
      </c>
      <c r="B531" s="34" t="n">
        <v>45384</v>
      </c>
      <c r="C531" s="34" t="n">
        <v>45385</v>
      </c>
      <c r="D531" s="33" t="n">
        <v>76</v>
      </c>
      <c r="E531" s="33" t="s">
        <v>139</v>
      </c>
      <c r="F531" s="33" t="s">
        <v>140</v>
      </c>
      <c r="G531" s="33" t="s">
        <v>316</v>
      </c>
      <c r="H531" s="33" t="s">
        <v>142</v>
      </c>
      <c r="I531" s="33" t="s">
        <v>143</v>
      </c>
      <c r="J531" s="33" t="s">
        <v>159</v>
      </c>
      <c r="K531" s="33" t="s">
        <v>145</v>
      </c>
      <c r="L531" s="35" t="n">
        <v>2146.09</v>
      </c>
      <c r="M531" s="33" t="n">
        <v>3</v>
      </c>
      <c r="N531" s="33" t="s">
        <v>146</v>
      </c>
      <c r="O531" s="33" t="s">
        <v>147</v>
      </c>
      <c r="P531" s="39" t="n">
        <f aca="false">C531-B531</f>
        <v>1</v>
      </c>
      <c r="Q531" s="40" t="str">
        <f aca="false">CHOOSE(MONTH(B531),"يناير","فبراير","مارس","أبريل","مايو","يونيو","يوليو","أغسطس","سبتمبر","أكتوبر","نوفمبر","ديسمبر")</f>
        <v>أبريل</v>
      </c>
      <c r="R531" s="40" t="str">
        <f aca="false">"الربع "&amp;ROUNDUP(MONTH(B531)/3,0)</f>
        <v>الربع 2</v>
      </c>
      <c r="S531" s="40" t="str">
        <f aca="false">IF(D531&lt;=12,"أطفال (0-12)",IF(D531&lt;=24,"شباب (13-24)",IF(D531&lt;=44,"بالغون (25-44)",IF(D531&lt;=64,"متوسطو العمر (45-64)","كبار السن (+65)"))))</f>
        <v>كبار السن (+65)</v>
      </c>
      <c r="T531" s="41" t="n">
        <f aca="false">IFERROR(L531/P531,0)</f>
        <v>2146.09</v>
      </c>
    </row>
    <row r="532" customFormat="false" ht="15" hidden="false" customHeight="false" outlineLevel="0" collapsed="false">
      <c r="A532" s="42" t="s">
        <v>1753</v>
      </c>
      <c r="B532" s="43" t="n">
        <v>45384</v>
      </c>
      <c r="C532" s="43" t="n">
        <v>45386</v>
      </c>
      <c r="D532" s="42" t="n">
        <v>6</v>
      </c>
      <c r="E532" s="42" t="s">
        <v>139</v>
      </c>
      <c r="F532" s="42" t="s">
        <v>155</v>
      </c>
      <c r="G532" s="42" t="s">
        <v>156</v>
      </c>
      <c r="H532" s="42" t="s">
        <v>157</v>
      </c>
      <c r="I532" s="42" t="s">
        <v>158</v>
      </c>
      <c r="J532" s="42" t="s">
        <v>176</v>
      </c>
      <c r="K532" s="42" t="s">
        <v>145</v>
      </c>
      <c r="L532" s="44" t="n">
        <v>5466.28</v>
      </c>
      <c r="M532" s="42" t="n">
        <v>5</v>
      </c>
      <c r="N532" s="42" t="s">
        <v>210</v>
      </c>
      <c r="O532" s="42" t="s">
        <v>147</v>
      </c>
      <c r="P532" s="39" t="n">
        <f aca="false">C532-B532</f>
        <v>2</v>
      </c>
      <c r="Q532" s="40" t="str">
        <f aca="false">CHOOSE(MONTH(B532),"يناير","فبراير","مارس","أبريل","مايو","يونيو","يوليو","أغسطس","سبتمبر","أكتوبر","نوفمبر","ديسمبر")</f>
        <v>أبريل</v>
      </c>
      <c r="R532" s="40" t="str">
        <f aca="false">"الربع "&amp;ROUNDUP(MONTH(B532)/3,0)</f>
        <v>الربع 2</v>
      </c>
      <c r="S532" s="40" t="str">
        <f aca="false">IF(D532&lt;=12,"أطفال (0-12)",IF(D532&lt;=24,"شباب (13-24)",IF(D532&lt;=44,"بالغون (25-44)",IF(D532&lt;=64,"متوسطو العمر (45-64)","كبار السن (+65)"))))</f>
        <v>أطفال (0-12)</v>
      </c>
      <c r="T532" s="41" t="n">
        <f aca="false">IFERROR(L532/P532,0)</f>
        <v>2733.14</v>
      </c>
    </row>
    <row r="533" customFormat="false" ht="15" hidden="false" customHeight="false" outlineLevel="0" collapsed="false">
      <c r="A533" s="33" t="s">
        <v>436</v>
      </c>
      <c r="B533" s="34" t="n">
        <v>45384</v>
      </c>
      <c r="C533" s="34" t="n">
        <v>45387</v>
      </c>
      <c r="D533" s="33" t="n">
        <v>48</v>
      </c>
      <c r="E533" s="33" t="s">
        <v>154</v>
      </c>
      <c r="F533" s="33" t="s">
        <v>203</v>
      </c>
      <c r="G533" s="33" t="s">
        <v>192</v>
      </c>
      <c r="H533" s="33" t="s">
        <v>205</v>
      </c>
      <c r="I533" s="33" t="s">
        <v>158</v>
      </c>
      <c r="J533" s="33" t="s">
        <v>159</v>
      </c>
      <c r="K533" s="33" t="s">
        <v>160</v>
      </c>
      <c r="L533" s="35" t="n">
        <v>2304.81</v>
      </c>
      <c r="M533" s="33" t="n">
        <v>3</v>
      </c>
      <c r="N533" s="33" t="s">
        <v>146</v>
      </c>
      <c r="O533" s="33" t="s">
        <v>147</v>
      </c>
      <c r="P533" s="39" t="n">
        <f aca="false">C533-B533</f>
        <v>3</v>
      </c>
      <c r="Q533" s="40" t="str">
        <f aca="false">CHOOSE(MONTH(B533),"يناير","فبراير","مارس","أبريل","مايو","يونيو","يوليو","أغسطس","سبتمبر","أكتوبر","نوفمبر","ديسمبر")</f>
        <v>أبريل</v>
      </c>
      <c r="R533" s="40" t="str">
        <f aca="false">"الربع "&amp;ROUNDUP(MONTH(B533)/3,0)</f>
        <v>الربع 2</v>
      </c>
      <c r="S533" s="40" t="str">
        <f aca="false">IF(D533&lt;=12,"أطفال (0-12)",IF(D533&lt;=24,"شباب (13-24)",IF(D533&lt;=44,"بالغون (25-44)",IF(D533&lt;=64,"متوسطو العمر (45-64)","كبار السن (+65)"))))</f>
        <v>متوسطو العمر (45-64)</v>
      </c>
      <c r="T533" s="41" t="n">
        <f aca="false">IFERROR(L533/P533,0)</f>
        <v>768.27</v>
      </c>
    </row>
    <row r="534" customFormat="false" ht="15" hidden="false" customHeight="false" outlineLevel="0" collapsed="false">
      <c r="A534" s="42" t="s">
        <v>1998</v>
      </c>
      <c r="B534" s="43" t="n">
        <v>45384</v>
      </c>
      <c r="C534" s="43" t="n">
        <v>45385</v>
      </c>
      <c r="D534" s="42" t="n">
        <v>45</v>
      </c>
      <c r="E534" s="42" t="s">
        <v>154</v>
      </c>
      <c r="F534" s="42" t="s">
        <v>203</v>
      </c>
      <c r="G534" s="42" t="s">
        <v>192</v>
      </c>
      <c r="H534" s="42" t="s">
        <v>233</v>
      </c>
      <c r="I534" s="42" t="s">
        <v>143</v>
      </c>
      <c r="J534" s="42" t="s">
        <v>159</v>
      </c>
      <c r="K534" s="42" t="s">
        <v>184</v>
      </c>
      <c r="L534" s="44" t="n">
        <v>886.37</v>
      </c>
      <c r="M534" s="42" t="n">
        <v>5</v>
      </c>
      <c r="N534" s="42" t="s">
        <v>146</v>
      </c>
      <c r="O534" s="42" t="s">
        <v>147</v>
      </c>
      <c r="P534" s="39" t="n">
        <f aca="false">C534-B534</f>
        <v>1</v>
      </c>
      <c r="Q534" s="40" t="str">
        <f aca="false">CHOOSE(MONTH(B534),"يناير","فبراير","مارس","أبريل","مايو","يونيو","يوليو","أغسطس","سبتمبر","أكتوبر","نوفمبر","ديسمبر")</f>
        <v>أبريل</v>
      </c>
      <c r="R534" s="40" t="str">
        <f aca="false">"الربع "&amp;ROUNDUP(MONTH(B534)/3,0)</f>
        <v>الربع 2</v>
      </c>
      <c r="S534" s="40" t="str">
        <f aca="false">IF(D534&lt;=12,"أطفال (0-12)",IF(D534&lt;=24,"شباب (13-24)",IF(D534&lt;=44,"بالغون (25-44)",IF(D534&lt;=64,"متوسطو العمر (45-64)","كبار السن (+65)"))))</f>
        <v>متوسطو العمر (45-64)</v>
      </c>
      <c r="T534" s="41" t="n">
        <f aca="false">IFERROR(L534/P534,0)</f>
        <v>886.37</v>
      </c>
    </row>
    <row r="535" customFormat="false" ht="15" hidden="false" customHeight="false" outlineLevel="0" collapsed="false">
      <c r="A535" s="33" t="s">
        <v>2054</v>
      </c>
      <c r="B535" s="34" t="n">
        <v>45385</v>
      </c>
      <c r="C535" s="34" t="n">
        <v>45389</v>
      </c>
      <c r="D535" s="33" t="n">
        <v>39</v>
      </c>
      <c r="E535" s="33" t="s">
        <v>154</v>
      </c>
      <c r="F535" s="33" t="s">
        <v>169</v>
      </c>
      <c r="G535" s="33" t="s">
        <v>170</v>
      </c>
      <c r="H535" s="33" t="s">
        <v>164</v>
      </c>
      <c r="I535" s="33" t="s">
        <v>152</v>
      </c>
      <c r="J535" s="33" t="s">
        <v>159</v>
      </c>
      <c r="K535" s="33" t="s">
        <v>145</v>
      </c>
      <c r="L535" s="35" t="n">
        <v>4421.89</v>
      </c>
      <c r="M535" s="33" t="n">
        <v>4</v>
      </c>
      <c r="N535" s="33" t="s">
        <v>146</v>
      </c>
      <c r="O535" s="33" t="s">
        <v>147</v>
      </c>
      <c r="P535" s="39" t="n">
        <f aca="false">C535-B535</f>
        <v>4</v>
      </c>
      <c r="Q535" s="40" t="str">
        <f aca="false">CHOOSE(MONTH(B535),"يناير","فبراير","مارس","أبريل","مايو","يونيو","يوليو","أغسطس","سبتمبر","أكتوبر","نوفمبر","ديسمبر")</f>
        <v>أبريل</v>
      </c>
      <c r="R535" s="40" t="str">
        <f aca="false">"الربع "&amp;ROUNDUP(MONTH(B535)/3,0)</f>
        <v>الربع 2</v>
      </c>
      <c r="S535" s="40" t="str">
        <f aca="false">IF(D535&lt;=12,"أطفال (0-12)",IF(D535&lt;=24,"شباب (13-24)",IF(D535&lt;=44,"بالغون (25-44)",IF(D535&lt;=64,"متوسطو العمر (45-64)","كبار السن (+65)"))))</f>
        <v>بالغون (25-44)</v>
      </c>
      <c r="T535" s="41" t="n">
        <f aca="false">IFERROR(L535/P535,0)</f>
        <v>1105.4725</v>
      </c>
    </row>
    <row r="536" customFormat="false" ht="15" hidden="false" customHeight="false" outlineLevel="0" collapsed="false">
      <c r="A536" s="42" t="s">
        <v>723</v>
      </c>
      <c r="B536" s="43" t="n">
        <v>45385</v>
      </c>
      <c r="C536" s="43" t="n">
        <v>45389</v>
      </c>
      <c r="D536" s="42" t="n">
        <v>14</v>
      </c>
      <c r="E536" s="42" t="s">
        <v>139</v>
      </c>
      <c r="F536" s="42" t="s">
        <v>169</v>
      </c>
      <c r="G536" s="42" t="s">
        <v>230</v>
      </c>
      <c r="H536" s="42" t="s">
        <v>171</v>
      </c>
      <c r="I536" s="42" t="s">
        <v>143</v>
      </c>
      <c r="J536" s="42" t="s">
        <v>159</v>
      </c>
      <c r="K536" s="42" t="s">
        <v>145</v>
      </c>
      <c r="L536" s="44" t="n">
        <v>4453.35</v>
      </c>
      <c r="M536" s="42" t="n">
        <v>4</v>
      </c>
      <c r="N536" s="42" t="s">
        <v>146</v>
      </c>
      <c r="O536" s="42" t="s">
        <v>147</v>
      </c>
      <c r="P536" s="39" t="n">
        <f aca="false">C536-B536</f>
        <v>4</v>
      </c>
      <c r="Q536" s="40" t="str">
        <f aca="false">CHOOSE(MONTH(B536),"يناير","فبراير","مارس","أبريل","مايو","يونيو","يوليو","أغسطس","سبتمبر","أكتوبر","نوفمبر","ديسمبر")</f>
        <v>أبريل</v>
      </c>
      <c r="R536" s="40" t="str">
        <f aca="false">"الربع "&amp;ROUNDUP(MONTH(B536)/3,0)</f>
        <v>الربع 2</v>
      </c>
      <c r="S536" s="40" t="str">
        <f aca="false">IF(D536&lt;=12,"أطفال (0-12)",IF(D536&lt;=24,"شباب (13-24)",IF(D536&lt;=44,"بالغون (25-44)",IF(D536&lt;=64,"متوسطو العمر (45-64)","كبار السن (+65)"))))</f>
        <v>شباب (13-24)</v>
      </c>
      <c r="T536" s="41" t="n">
        <f aca="false">IFERROR(L536/P536,0)</f>
        <v>1113.3375</v>
      </c>
    </row>
    <row r="537" customFormat="false" ht="15" hidden="false" customHeight="false" outlineLevel="0" collapsed="false">
      <c r="A537" s="33" t="s">
        <v>747</v>
      </c>
      <c r="B537" s="34" t="n">
        <v>45385</v>
      </c>
      <c r="C537" s="34" t="n">
        <v>45397</v>
      </c>
      <c r="D537" s="33" t="n">
        <v>60</v>
      </c>
      <c r="E537" s="33" t="s">
        <v>154</v>
      </c>
      <c r="F537" s="33" t="s">
        <v>169</v>
      </c>
      <c r="G537" s="33" t="s">
        <v>163</v>
      </c>
      <c r="H537" s="33" t="s">
        <v>195</v>
      </c>
      <c r="I537" s="33" t="s">
        <v>143</v>
      </c>
      <c r="J537" s="33" t="s">
        <v>159</v>
      </c>
      <c r="K537" s="33" t="s">
        <v>160</v>
      </c>
      <c r="L537" s="35" t="n">
        <v>13172.17</v>
      </c>
      <c r="M537" s="33" t="n">
        <v>3</v>
      </c>
      <c r="N537" s="33" t="s">
        <v>146</v>
      </c>
      <c r="O537" s="33" t="s">
        <v>147</v>
      </c>
      <c r="P537" s="39" t="n">
        <f aca="false">C537-B537</f>
        <v>12</v>
      </c>
      <c r="Q537" s="40" t="str">
        <f aca="false">CHOOSE(MONTH(B537),"يناير","فبراير","مارس","أبريل","مايو","يونيو","يوليو","أغسطس","سبتمبر","أكتوبر","نوفمبر","ديسمبر")</f>
        <v>أبريل</v>
      </c>
      <c r="R537" s="40" t="str">
        <f aca="false">"الربع "&amp;ROUNDUP(MONTH(B537)/3,0)</f>
        <v>الربع 2</v>
      </c>
      <c r="S537" s="40" t="str">
        <f aca="false">IF(D537&lt;=12,"أطفال (0-12)",IF(D537&lt;=24,"شباب (13-24)",IF(D537&lt;=44,"بالغون (25-44)",IF(D537&lt;=64,"متوسطو العمر (45-64)","كبار السن (+65)"))))</f>
        <v>متوسطو العمر (45-64)</v>
      </c>
      <c r="T537" s="41" t="n">
        <f aca="false">IFERROR(L537/P537,0)</f>
        <v>1097.68083333333</v>
      </c>
    </row>
    <row r="538" customFormat="false" ht="15" hidden="false" customHeight="false" outlineLevel="0" collapsed="false">
      <c r="A538" s="42" t="s">
        <v>2312</v>
      </c>
      <c r="B538" s="43" t="n">
        <v>45385</v>
      </c>
      <c r="C538" s="43" t="n">
        <v>45394</v>
      </c>
      <c r="D538" s="42" t="n">
        <v>57</v>
      </c>
      <c r="E538" s="42" t="s">
        <v>139</v>
      </c>
      <c r="F538" s="42" t="s">
        <v>181</v>
      </c>
      <c r="G538" s="42" t="s">
        <v>188</v>
      </c>
      <c r="H538" s="42" t="s">
        <v>245</v>
      </c>
      <c r="I538" s="42" t="s">
        <v>143</v>
      </c>
      <c r="J538" s="42" t="s">
        <v>159</v>
      </c>
      <c r="K538" s="42" t="s">
        <v>145</v>
      </c>
      <c r="L538" s="44" t="n">
        <v>21496</v>
      </c>
      <c r="M538" s="42" t="n">
        <v>4</v>
      </c>
      <c r="N538" s="42" t="s">
        <v>146</v>
      </c>
      <c r="O538" s="42" t="s">
        <v>147</v>
      </c>
      <c r="P538" s="39" t="n">
        <f aca="false">C538-B538</f>
        <v>9</v>
      </c>
      <c r="Q538" s="40" t="str">
        <f aca="false">CHOOSE(MONTH(B538),"يناير","فبراير","مارس","أبريل","مايو","يونيو","يوليو","أغسطس","سبتمبر","أكتوبر","نوفمبر","ديسمبر")</f>
        <v>أبريل</v>
      </c>
      <c r="R538" s="40" t="str">
        <f aca="false">"الربع "&amp;ROUNDUP(MONTH(B538)/3,0)</f>
        <v>الربع 2</v>
      </c>
      <c r="S538" s="40" t="str">
        <f aca="false">IF(D538&lt;=12,"أطفال (0-12)",IF(D538&lt;=24,"شباب (13-24)",IF(D538&lt;=44,"بالغون (25-44)",IF(D538&lt;=64,"متوسطو العمر (45-64)","كبار السن (+65)"))))</f>
        <v>متوسطو العمر (45-64)</v>
      </c>
      <c r="T538" s="41" t="n">
        <f aca="false">IFERROR(L538/P538,0)</f>
        <v>2388.44444444444</v>
      </c>
    </row>
    <row r="539" customFormat="false" ht="15" hidden="false" customHeight="false" outlineLevel="0" collapsed="false">
      <c r="A539" s="33" t="s">
        <v>1588</v>
      </c>
      <c r="B539" s="34" t="n">
        <v>45385</v>
      </c>
      <c r="C539" s="34" t="n">
        <v>45387</v>
      </c>
      <c r="D539" s="33" t="n">
        <v>43</v>
      </c>
      <c r="E539" s="33" t="s">
        <v>139</v>
      </c>
      <c r="F539" s="33" t="s">
        <v>203</v>
      </c>
      <c r="G539" s="33" t="s">
        <v>217</v>
      </c>
      <c r="H539" s="33" t="s">
        <v>233</v>
      </c>
      <c r="I539" s="33" t="s">
        <v>143</v>
      </c>
      <c r="J539" s="33" t="s">
        <v>159</v>
      </c>
      <c r="K539" s="33" t="s">
        <v>184</v>
      </c>
      <c r="L539" s="35" t="n">
        <v>1514.47</v>
      </c>
      <c r="M539" s="33" t="n">
        <v>4</v>
      </c>
      <c r="N539" s="33" t="s">
        <v>146</v>
      </c>
      <c r="O539" s="33" t="s">
        <v>147</v>
      </c>
      <c r="P539" s="39" t="n">
        <f aca="false">C539-B539</f>
        <v>2</v>
      </c>
      <c r="Q539" s="40" t="str">
        <f aca="false">CHOOSE(MONTH(B539),"يناير","فبراير","مارس","أبريل","مايو","يونيو","يوليو","أغسطس","سبتمبر","أكتوبر","نوفمبر","ديسمبر")</f>
        <v>أبريل</v>
      </c>
      <c r="R539" s="40" t="str">
        <f aca="false">"الربع "&amp;ROUNDUP(MONTH(B539)/3,0)</f>
        <v>الربع 2</v>
      </c>
      <c r="S539" s="40" t="str">
        <f aca="false">IF(D539&lt;=12,"أطفال (0-12)",IF(D539&lt;=24,"شباب (13-24)",IF(D539&lt;=44,"بالغون (25-44)",IF(D539&lt;=64,"متوسطو العمر (45-64)","كبار السن (+65)"))))</f>
        <v>بالغون (25-44)</v>
      </c>
      <c r="T539" s="41" t="n">
        <f aca="false">IFERROR(L539/P539,0)</f>
        <v>757.235</v>
      </c>
    </row>
    <row r="540" customFormat="false" ht="15" hidden="false" customHeight="false" outlineLevel="0" collapsed="false">
      <c r="A540" s="42" t="s">
        <v>265</v>
      </c>
      <c r="B540" s="43" t="n">
        <v>45386</v>
      </c>
      <c r="C540" s="43" t="n">
        <v>45389</v>
      </c>
      <c r="D540" s="42" t="n">
        <v>35</v>
      </c>
      <c r="E540" s="42" t="s">
        <v>139</v>
      </c>
      <c r="F540" s="42" t="s">
        <v>149</v>
      </c>
      <c r="G540" s="42" t="s">
        <v>243</v>
      </c>
      <c r="H540" s="42" t="s">
        <v>151</v>
      </c>
      <c r="I540" s="42" t="s">
        <v>143</v>
      </c>
      <c r="J540" s="42" t="s">
        <v>159</v>
      </c>
      <c r="K540" s="42" t="s">
        <v>145</v>
      </c>
      <c r="L540" s="44" t="n">
        <v>4021.59</v>
      </c>
      <c r="M540" s="42" t="n">
        <v>3</v>
      </c>
      <c r="N540" s="42" t="s">
        <v>210</v>
      </c>
      <c r="O540" s="42" t="s">
        <v>147</v>
      </c>
      <c r="P540" s="39" t="n">
        <f aca="false">C540-B540</f>
        <v>3</v>
      </c>
      <c r="Q540" s="40" t="str">
        <f aca="false">CHOOSE(MONTH(B540),"يناير","فبراير","مارس","أبريل","مايو","يونيو","يوليو","أغسطس","سبتمبر","أكتوبر","نوفمبر","ديسمبر")</f>
        <v>أبريل</v>
      </c>
      <c r="R540" s="40" t="str">
        <f aca="false">"الربع "&amp;ROUNDUP(MONTH(B540)/3,0)</f>
        <v>الربع 2</v>
      </c>
      <c r="S540" s="40" t="str">
        <f aca="false">IF(D540&lt;=12,"أطفال (0-12)",IF(D540&lt;=24,"شباب (13-24)",IF(D540&lt;=44,"بالغون (25-44)",IF(D540&lt;=64,"متوسطو العمر (45-64)","كبار السن (+65)"))))</f>
        <v>بالغون (25-44)</v>
      </c>
      <c r="T540" s="41" t="n">
        <f aca="false">IFERROR(L540/P540,0)</f>
        <v>1340.53</v>
      </c>
    </row>
    <row r="541" customFormat="false" ht="15" hidden="false" customHeight="false" outlineLevel="0" collapsed="false">
      <c r="A541" s="33" t="s">
        <v>366</v>
      </c>
      <c r="B541" s="34" t="n">
        <v>45386</v>
      </c>
      <c r="C541" s="34" t="n">
        <v>45388</v>
      </c>
      <c r="D541" s="33" t="n">
        <v>34</v>
      </c>
      <c r="E541" s="33" t="s">
        <v>139</v>
      </c>
      <c r="F541" s="33" t="s">
        <v>149</v>
      </c>
      <c r="G541" s="33" t="s">
        <v>243</v>
      </c>
      <c r="H541" s="33" t="s">
        <v>151</v>
      </c>
      <c r="I541" s="33" t="s">
        <v>143</v>
      </c>
      <c r="J541" s="33" t="s">
        <v>159</v>
      </c>
      <c r="K541" s="33" t="s">
        <v>145</v>
      </c>
      <c r="L541" s="35" t="n">
        <v>2996.65</v>
      </c>
      <c r="M541" s="33" t="n">
        <v>4</v>
      </c>
      <c r="N541" s="33" t="s">
        <v>146</v>
      </c>
      <c r="O541" s="33" t="s">
        <v>147</v>
      </c>
      <c r="P541" s="39" t="n">
        <f aca="false">C541-B541</f>
        <v>2</v>
      </c>
      <c r="Q541" s="40" t="str">
        <f aca="false">CHOOSE(MONTH(B541),"يناير","فبراير","مارس","أبريل","مايو","يونيو","يوليو","أغسطس","سبتمبر","أكتوبر","نوفمبر","ديسمبر")</f>
        <v>أبريل</v>
      </c>
      <c r="R541" s="40" t="str">
        <f aca="false">"الربع "&amp;ROUNDUP(MONTH(B541)/3,0)</f>
        <v>الربع 2</v>
      </c>
      <c r="S541" s="40" t="str">
        <f aca="false">IF(D541&lt;=12,"أطفال (0-12)",IF(D541&lt;=24,"شباب (13-24)",IF(D541&lt;=44,"بالغون (25-44)",IF(D541&lt;=64,"متوسطو العمر (45-64)","كبار السن (+65)"))))</f>
        <v>بالغون (25-44)</v>
      </c>
      <c r="T541" s="41" t="n">
        <f aca="false">IFERROR(L541/P541,0)</f>
        <v>1498.325</v>
      </c>
    </row>
    <row r="542" customFormat="false" ht="15" hidden="false" customHeight="false" outlineLevel="0" collapsed="false">
      <c r="A542" s="42" t="s">
        <v>2178</v>
      </c>
      <c r="B542" s="43" t="n">
        <v>45386</v>
      </c>
      <c r="C542" s="43" t="n">
        <v>45387</v>
      </c>
      <c r="D542" s="42" t="n">
        <v>26</v>
      </c>
      <c r="E542" s="42" t="s">
        <v>139</v>
      </c>
      <c r="F542" s="42" t="s">
        <v>149</v>
      </c>
      <c r="G542" s="42" t="s">
        <v>243</v>
      </c>
      <c r="H542" s="42" t="s">
        <v>186</v>
      </c>
      <c r="I542" s="42" t="s">
        <v>152</v>
      </c>
      <c r="J542" s="42" t="s">
        <v>159</v>
      </c>
      <c r="K542" s="42" t="s">
        <v>145</v>
      </c>
      <c r="L542" s="44" t="n">
        <v>1609.8</v>
      </c>
      <c r="M542" s="42" t="n">
        <v>4</v>
      </c>
      <c r="N542" s="42" t="s">
        <v>146</v>
      </c>
      <c r="O542" s="42" t="s">
        <v>147</v>
      </c>
      <c r="P542" s="39" t="n">
        <f aca="false">C542-B542</f>
        <v>1</v>
      </c>
      <c r="Q542" s="40" t="str">
        <f aca="false">CHOOSE(MONTH(B542),"يناير","فبراير","مارس","أبريل","مايو","يونيو","يوليو","أغسطس","سبتمبر","أكتوبر","نوفمبر","ديسمبر")</f>
        <v>أبريل</v>
      </c>
      <c r="R542" s="40" t="str">
        <f aca="false">"الربع "&amp;ROUNDUP(MONTH(B542)/3,0)</f>
        <v>الربع 2</v>
      </c>
      <c r="S542" s="40" t="str">
        <f aca="false">IF(D542&lt;=12,"أطفال (0-12)",IF(D542&lt;=24,"شباب (13-24)",IF(D542&lt;=44,"بالغون (25-44)",IF(D542&lt;=64,"متوسطو العمر (45-64)","كبار السن (+65)"))))</f>
        <v>بالغون (25-44)</v>
      </c>
      <c r="T542" s="41" t="n">
        <f aca="false">IFERROR(L542/P542,0)</f>
        <v>1609.8</v>
      </c>
    </row>
    <row r="543" customFormat="false" ht="15" hidden="false" customHeight="false" outlineLevel="0" collapsed="false">
      <c r="A543" s="33" t="s">
        <v>806</v>
      </c>
      <c r="B543" s="34" t="n">
        <v>45386</v>
      </c>
      <c r="C543" s="34" t="n">
        <v>45387</v>
      </c>
      <c r="D543" s="33" t="n">
        <v>23</v>
      </c>
      <c r="E543" s="33" t="s">
        <v>139</v>
      </c>
      <c r="F543" s="33" t="s">
        <v>203</v>
      </c>
      <c r="G543" s="33" t="s">
        <v>217</v>
      </c>
      <c r="H543" s="33" t="s">
        <v>205</v>
      </c>
      <c r="I543" s="33" t="s">
        <v>143</v>
      </c>
      <c r="J543" s="33" t="s">
        <v>159</v>
      </c>
      <c r="K543" s="33" t="s">
        <v>145</v>
      </c>
      <c r="L543" s="35" t="n">
        <v>889.13</v>
      </c>
      <c r="M543" s="33" t="n">
        <v>4</v>
      </c>
      <c r="N543" s="33" t="s">
        <v>210</v>
      </c>
      <c r="O543" s="33" t="s">
        <v>147</v>
      </c>
      <c r="P543" s="39" t="n">
        <f aca="false">C543-B543</f>
        <v>1</v>
      </c>
      <c r="Q543" s="40" t="str">
        <f aca="false">CHOOSE(MONTH(B543),"يناير","فبراير","مارس","أبريل","مايو","يونيو","يوليو","أغسطس","سبتمبر","أكتوبر","نوفمبر","ديسمبر")</f>
        <v>أبريل</v>
      </c>
      <c r="R543" s="40" t="str">
        <f aca="false">"الربع "&amp;ROUNDUP(MONTH(B543)/3,0)</f>
        <v>الربع 2</v>
      </c>
      <c r="S543" s="40" t="str">
        <f aca="false">IF(D543&lt;=12,"أطفال (0-12)",IF(D543&lt;=24,"شباب (13-24)",IF(D543&lt;=44,"بالغون (25-44)",IF(D543&lt;=64,"متوسطو العمر (45-64)","كبار السن (+65)"))))</f>
        <v>شباب (13-24)</v>
      </c>
      <c r="T543" s="41" t="n">
        <f aca="false">IFERROR(L543/P543,0)</f>
        <v>889.13</v>
      </c>
    </row>
    <row r="544" customFormat="false" ht="15" hidden="false" customHeight="false" outlineLevel="0" collapsed="false">
      <c r="A544" s="42" t="s">
        <v>1861</v>
      </c>
      <c r="B544" s="43" t="n">
        <v>45387</v>
      </c>
      <c r="C544" s="43" t="n">
        <v>45388</v>
      </c>
      <c r="D544" s="42" t="n">
        <v>13</v>
      </c>
      <c r="E544" s="42" t="s">
        <v>154</v>
      </c>
      <c r="F544" s="42" t="s">
        <v>155</v>
      </c>
      <c r="G544" s="42" t="s">
        <v>156</v>
      </c>
      <c r="H544" s="42" t="s">
        <v>157</v>
      </c>
      <c r="I544" s="42" t="s">
        <v>152</v>
      </c>
      <c r="J544" s="42" t="s">
        <v>159</v>
      </c>
      <c r="K544" s="42" t="s">
        <v>209</v>
      </c>
      <c r="L544" s="44" t="n">
        <v>1017.79</v>
      </c>
      <c r="M544" s="42" t="n">
        <v>5</v>
      </c>
      <c r="N544" s="42" t="s">
        <v>146</v>
      </c>
      <c r="O544" s="42" t="s">
        <v>247</v>
      </c>
      <c r="P544" s="39" t="n">
        <f aca="false">C544-B544</f>
        <v>1</v>
      </c>
      <c r="Q544" s="40" t="str">
        <f aca="false">CHOOSE(MONTH(B544),"يناير","فبراير","مارس","أبريل","مايو","يونيو","يوليو","أغسطس","سبتمبر","أكتوبر","نوفمبر","ديسمبر")</f>
        <v>أبريل</v>
      </c>
      <c r="R544" s="40" t="str">
        <f aca="false">"الربع "&amp;ROUNDUP(MONTH(B544)/3,0)</f>
        <v>الربع 2</v>
      </c>
      <c r="S544" s="40" t="str">
        <f aca="false">IF(D544&lt;=12,"أطفال (0-12)",IF(D544&lt;=24,"شباب (13-24)",IF(D544&lt;=44,"بالغون (25-44)",IF(D544&lt;=64,"متوسطو العمر (45-64)","كبار السن (+65)"))))</f>
        <v>شباب (13-24)</v>
      </c>
      <c r="T544" s="41" t="n">
        <f aca="false">IFERROR(L544/P544,0)</f>
        <v>1017.79</v>
      </c>
    </row>
    <row r="545" customFormat="false" ht="15" hidden="false" customHeight="false" outlineLevel="0" collapsed="false">
      <c r="A545" s="33" t="s">
        <v>730</v>
      </c>
      <c r="B545" s="34" t="n">
        <v>45387</v>
      </c>
      <c r="C545" s="34" t="n">
        <v>45388</v>
      </c>
      <c r="D545" s="33" t="n">
        <v>25</v>
      </c>
      <c r="E545" s="33" t="s">
        <v>139</v>
      </c>
      <c r="F545" s="33" t="s">
        <v>203</v>
      </c>
      <c r="G545" s="33" t="s">
        <v>204</v>
      </c>
      <c r="H545" s="33" t="s">
        <v>193</v>
      </c>
      <c r="I545" s="33" t="s">
        <v>143</v>
      </c>
      <c r="J545" s="33" t="s">
        <v>159</v>
      </c>
      <c r="K545" s="33" t="s">
        <v>160</v>
      </c>
      <c r="L545" s="35" t="n">
        <v>964.47</v>
      </c>
      <c r="M545" s="33" t="n">
        <v>3</v>
      </c>
      <c r="N545" s="33" t="s">
        <v>146</v>
      </c>
      <c r="O545" s="33" t="s">
        <v>147</v>
      </c>
      <c r="P545" s="39" t="n">
        <f aca="false">C545-B545</f>
        <v>1</v>
      </c>
      <c r="Q545" s="40" t="str">
        <f aca="false">CHOOSE(MONTH(B545),"يناير","فبراير","مارس","أبريل","مايو","يونيو","يوليو","أغسطس","سبتمبر","أكتوبر","نوفمبر","ديسمبر")</f>
        <v>أبريل</v>
      </c>
      <c r="R545" s="40" t="str">
        <f aca="false">"الربع "&amp;ROUNDUP(MONTH(B545)/3,0)</f>
        <v>الربع 2</v>
      </c>
      <c r="S545" s="40" t="str">
        <f aca="false">IF(D545&lt;=12,"أطفال (0-12)",IF(D545&lt;=24,"شباب (13-24)",IF(D545&lt;=44,"بالغون (25-44)",IF(D545&lt;=64,"متوسطو العمر (45-64)","كبار السن (+65)"))))</f>
        <v>بالغون (25-44)</v>
      </c>
      <c r="T545" s="41" t="n">
        <f aca="false">IFERROR(L545/P545,0)</f>
        <v>964.47</v>
      </c>
    </row>
    <row r="546" customFormat="false" ht="15" hidden="false" customHeight="false" outlineLevel="0" collapsed="false">
      <c r="A546" s="42" t="s">
        <v>1287</v>
      </c>
      <c r="B546" s="43" t="n">
        <v>45388</v>
      </c>
      <c r="C546" s="43" t="n">
        <v>45401</v>
      </c>
      <c r="D546" s="42" t="n">
        <v>68</v>
      </c>
      <c r="E546" s="42" t="s">
        <v>154</v>
      </c>
      <c r="F546" s="42" t="s">
        <v>226</v>
      </c>
      <c r="G546" s="42" t="s">
        <v>386</v>
      </c>
      <c r="H546" s="42" t="s">
        <v>263</v>
      </c>
      <c r="I546" s="42" t="s">
        <v>152</v>
      </c>
      <c r="J546" s="42" t="s">
        <v>176</v>
      </c>
      <c r="K546" s="42" t="s">
        <v>145</v>
      </c>
      <c r="L546" s="44" t="n">
        <v>123839.31</v>
      </c>
      <c r="M546" s="42" t="n">
        <v>3</v>
      </c>
      <c r="N546" s="42" t="s">
        <v>210</v>
      </c>
      <c r="O546" s="42" t="s">
        <v>147</v>
      </c>
      <c r="P546" s="39" t="n">
        <f aca="false">C546-B546</f>
        <v>13</v>
      </c>
      <c r="Q546" s="40" t="str">
        <f aca="false">CHOOSE(MONTH(B546),"يناير","فبراير","مارس","أبريل","مايو","يونيو","يوليو","أغسطس","سبتمبر","أكتوبر","نوفمبر","ديسمبر")</f>
        <v>أبريل</v>
      </c>
      <c r="R546" s="40" t="str">
        <f aca="false">"الربع "&amp;ROUNDUP(MONTH(B546)/3,0)</f>
        <v>الربع 2</v>
      </c>
      <c r="S546" s="40" t="str">
        <f aca="false">IF(D546&lt;=12,"أطفال (0-12)",IF(D546&lt;=24,"شباب (13-24)",IF(D546&lt;=44,"بالغون (25-44)",IF(D546&lt;=64,"متوسطو العمر (45-64)","كبار السن (+65)"))))</f>
        <v>كبار السن (+65)</v>
      </c>
      <c r="T546" s="41" t="n">
        <f aca="false">IFERROR(L546/P546,0)</f>
        <v>9526.10076923077</v>
      </c>
    </row>
    <row r="547" customFormat="false" ht="15" hidden="false" customHeight="false" outlineLevel="0" collapsed="false">
      <c r="A547" s="33" t="s">
        <v>2139</v>
      </c>
      <c r="B547" s="34" t="n">
        <v>45388</v>
      </c>
      <c r="C547" s="34" t="n">
        <v>45390</v>
      </c>
      <c r="D547" s="33" t="n">
        <v>88</v>
      </c>
      <c r="E547" s="33" t="s">
        <v>154</v>
      </c>
      <c r="F547" s="33" t="s">
        <v>169</v>
      </c>
      <c r="G547" s="33" t="s">
        <v>213</v>
      </c>
      <c r="H547" s="33" t="s">
        <v>164</v>
      </c>
      <c r="I547" s="33" t="s">
        <v>143</v>
      </c>
      <c r="J547" s="33" t="s">
        <v>159</v>
      </c>
      <c r="K547" s="33" t="s">
        <v>160</v>
      </c>
      <c r="L547" s="35" t="n">
        <v>2348.25</v>
      </c>
      <c r="M547" s="33" t="n">
        <v>4</v>
      </c>
      <c r="N547" s="33" t="s">
        <v>146</v>
      </c>
      <c r="O547" s="33" t="s">
        <v>147</v>
      </c>
      <c r="P547" s="39" t="n">
        <f aca="false">C547-B547</f>
        <v>2</v>
      </c>
      <c r="Q547" s="40" t="str">
        <f aca="false">CHOOSE(MONTH(B547),"يناير","فبراير","مارس","أبريل","مايو","يونيو","يوليو","أغسطس","سبتمبر","أكتوبر","نوفمبر","ديسمبر")</f>
        <v>أبريل</v>
      </c>
      <c r="R547" s="40" t="str">
        <f aca="false">"الربع "&amp;ROUNDUP(MONTH(B547)/3,0)</f>
        <v>الربع 2</v>
      </c>
      <c r="S547" s="40" t="str">
        <f aca="false">IF(D547&lt;=12,"أطفال (0-12)",IF(D547&lt;=24,"شباب (13-24)",IF(D547&lt;=44,"بالغون (25-44)",IF(D547&lt;=64,"متوسطو العمر (45-64)","كبار السن (+65)"))))</f>
        <v>كبار السن (+65)</v>
      </c>
      <c r="T547" s="41" t="n">
        <f aca="false">IFERROR(L547/P547,0)</f>
        <v>1174.125</v>
      </c>
    </row>
    <row r="548" customFormat="false" ht="15" hidden="false" customHeight="false" outlineLevel="0" collapsed="false">
      <c r="A548" s="42" t="s">
        <v>624</v>
      </c>
      <c r="B548" s="43" t="n">
        <v>45388</v>
      </c>
      <c r="C548" s="43" t="n">
        <v>45391</v>
      </c>
      <c r="D548" s="42" t="n">
        <v>20</v>
      </c>
      <c r="E548" s="42" t="s">
        <v>139</v>
      </c>
      <c r="F548" s="42" t="s">
        <v>173</v>
      </c>
      <c r="G548" s="42" t="s">
        <v>174</v>
      </c>
      <c r="H548" s="42" t="s">
        <v>199</v>
      </c>
      <c r="I548" s="42" t="s">
        <v>143</v>
      </c>
      <c r="J548" s="42" t="s">
        <v>159</v>
      </c>
      <c r="K548" s="42" t="s">
        <v>160</v>
      </c>
      <c r="L548" s="44" t="n">
        <v>7899.66</v>
      </c>
      <c r="M548" s="42" t="n">
        <v>3</v>
      </c>
      <c r="N548" s="42" t="s">
        <v>146</v>
      </c>
      <c r="O548" s="42" t="s">
        <v>147</v>
      </c>
      <c r="P548" s="39" t="n">
        <f aca="false">C548-B548</f>
        <v>3</v>
      </c>
      <c r="Q548" s="40" t="str">
        <f aca="false">CHOOSE(MONTH(B548),"يناير","فبراير","مارس","أبريل","مايو","يونيو","يوليو","أغسطس","سبتمبر","أكتوبر","نوفمبر","ديسمبر")</f>
        <v>أبريل</v>
      </c>
      <c r="R548" s="40" t="str">
        <f aca="false">"الربع "&amp;ROUNDUP(MONTH(B548)/3,0)</f>
        <v>الربع 2</v>
      </c>
      <c r="S548" s="40" t="str">
        <f aca="false">IF(D548&lt;=12,"أطفال (0-12)",IF(D548&lt;=24,"شباب (13-24)",IF(D548&lt;=44,"بالغون (25-44)",IF(D548&lt;=64,"متوسطو العمر (45-64)","كبار السن (+65)"))))</f>
        <v>شباب (13-24)</v>
      </c>
      <c r="T548" s="41" t="n">
        <f aca="false">IFERROR(L548/P548,0)</f>
        <v>2633.22</v>
      </c>
    </row>
    <row r="549" customFormat="false" ht="15" hidden="false" customHeight="false" outlineLevel="0" collapsed="false">
      <c r="A549" s="33" t="s">
        <v>1412</v>
      </c>
      <c r="B549" s="34" t="n">
        <v>45388</v>
      </c>
      <c r="C549" s="34" t="n">
        <v>45394</v>
      </c>
      <c r="D549" s="33" t="n">
        <v>27</v>
      </c>
      <c r="E549" s="33" t="s">
        <v>154</v>
      </c>
      <c r="F549" s="33" t="s">
        <v>173</v>
      </c>
      <c r="G549" s="33" t="s">
        <v>178</v>
      </c>
      <c r="H549" s="33" t="s">
        <v>199</v>
      </c>
      <c r="I549" s="33" t="s">
        <v>152</v>
      </c>
      <c r="J549" s="33" t="s">
        <v>159</v>
      </c>
      <c r="K549" s="33" t="s">
        <v>145</v>
      </c>
      <c r="L549" s="35" t="n">
        <v>16267.96</v>
      </c>
      <c r="M549" s="33" t="n">
        <v>3</v>
      </c>
      <c r="N549" s="33" t="s">
        <v>146</v>
      </c>
      <c r="O549" s="33" t="s">
        <v>147</v>
      </c>
      <c r="P549" s="39" t="n">
        <f aca="false">C549-B549</f>
        <v>6</v>
      </c>
      <c r="Q549" s="40" t="str">
        <f aca="false">CHOOSE(MONTH(B549),"يناير","فبراير","مارس","أبريل","مايو","يونيو","يوليو","أغسطس","سبتمبر","أكتوبر","نوفمبر","ديسمبر")</f>
        <v>أبريل</v>
      </c>
      <c r="R549" s="40" t="str">
        <f aca="false">"الربع "&amp;ROUNDUP(MONTH(B549)/3,0)</f>
        <v>الربع 2</v>
      </c>
      <c r="S549" s="40" t="str">
        <f aca="false">IF(D549&lt;=12,"أطفال (0-12)",IF(D549&lt;=24,"شباب (13-24)",IF(D549&lt;=44,"بالغون (25-44)",IF(D549&lt;=64,"متوسطو العمر (45-64)","كبار السن (+65)"))))</f>
        <v>بالغون (25-44)</v>
      </c>
      <c r="T549" s="41" t="n">
        <f aca="false">IFERROR(L549/P549,0)</f>
        <v>2711.32666666667</v>
      </c>
    </row>
    <row r="550" customFormat="false" ht="15" hidden="false" customHeight="false" outlineLevel="0" collapsed="false">
      <c r="A550" s="42" t="s">
        <v>275</v>
      </c>
      <c r="B550" s="43" t="n">
        <v>45388</v>
      </c>
      <c r="C550" s="43" t="n">
        <v>45391</v>
      </c>
      <c r="D550" s="42" t="n">
        <v>35</v>
      </c>
      <c r="E550" s="42" t="s">
        <v>139</v>
      </c>
      <c r="F550" s="42" t="s">
        <v>149</v>
      </c>
      <c r="G550" s="42" t="s">
        <v>243</v>
      </c>
      <c r="H550" s="42" t="s">
        <v>151</v>
      </c>
      <c r="I550" s="42" t="s">
        <v>152</v>
      </c>
      <c r="J550" s="42" t="s">
        <v>159</v>
      </c>
      <c r="K550" s="42" t="s">
        <v>160</v>
      </c>
      <c r="L550" s="44" t="n">
        <v>4392.73</v>
      </c>
      <c r="M550" s="42" t="n">
        <v>3</v>
      </c>
      <c r="N550" s="42" t="s">
        <v>146</v>
      </c>
      <c r="O550" s="42" t="s">
        <v>147</v>
      </c>
      <c r="P550" s="39" t="n">
        <f aca="false">C550-B550</f>
        <v>3</v>
      </c>
      <c r="Q550" s="40" t="str">
        <f aca="false">CHOOSE(MONTH(B550),"يناير","فبراير","مارس","أبريل","مايو","يونيو","يوليو","أغسطس","سبتمبر","أكتوبر","نوفمبر","ديسمبر")</f>
        <v>أبريل</v>
      </c>
      <c r="R550" s="40" t="str">
        <f aca="false">"الربع "&amp;ROUNDUP(MONTH(B550)/3,0)</f>
        <v>الربع 2</v>
      </c>
      <c r="S550" s="40" t="str">
        <f aca="false">IF(D550&lt;=12,"أطفال (0-12)",IF(D550&lt;=24,"شباب (13-24)",IF(D550&lt;=44,"بالغون (25-44)",IF(D550&lt;=64,"متوسطو العمر (45-64)","كبار السن (+65)"))))</f>
        <v>بالغون (25-44)</v>
      </c>
      <c r="T550" s="41" t="n">
        <f aca="false">IFERROR(L550/P550,0)</f>
        <v>1464.24333333333</v>
      </c>
    </row>
    <row r="551" customFormat="false" ht="15" hidden="false" customHeight="false" outlineLevel="0" collapsed="false">
      <c r="A551" s="33" t="s">
        <v>872</v>
      </c>
      <c r="B551" s="34" t="n">
        <v>45388</v>
      </c>
      <c r="C551" s="34" t="n">
        <v>45392</v>
      </c>
      <c r="D551" s="33" t="n">
        <v>3</v>
      </c>
      <c r="E551" s="33" t="s">
        <v>154</v>
      </c>
      <c r="F551" s="33" t="s">
        <v>155</v>
      </c>
      <c r="G551" s="33" t="s">
        <v>302</v>
      </c>
      <c r="H551" s="33" t="s">
        <v>222</v>
      </c>
      <c r="I551" s="33" t="s">
        <v>143</v>
      </c>
      <c r="J551" s="33" t="s">
        <v>159</v>
      </c>
      <c r="K551" s="33" t="s">
        <v>145</v>
      </c>
      <c r="L551" s="35" t="n">
        <v>2641.25</v>
      </c>
      <c r="M551" s="33" t="n">
        <v>5</v>
      </c>
      <c r="N551" s="33" t="s">
        <v>146</v>
      </c>
      <c r="O551" s="33" t="s">
        <v>147</v>
      </c>
      <c r="P551" s="39" t="n">
        <f aca="false">C551-B551</f>
        <v>4</v>
      </c>
      <c r="Q551" s="40" t="str">
        <f aca="false">CHOOSE(MONTH(B551),"يناير","فبراير","مارس","أبريل","مايو","يونيو","يوليو","أغسطس","سبتمبر","أكتوبر","نوفمبر","ديسمبر")</f>
        <v>أبريل</v>
      </c>
      <c r="R551" s="40" t="str">
        <f aca="false">"الربع "&amp;ROUNDUP(MONTH(B551)/3,0)</f>
        <v>الربع 2</v>
      </c>
      <c r="S551" s="40" t="str">
        <f aca="false">IF(D551&lt;=12,"أطفال (0-12)",IF(D551&lt;=24,"شباب (13-24)",IF(D551&lt;=44,"بالغون (25-44)",IF(D551&lt;=64,"متوسطو العمر (45-64)","كبار السن (+65)"))))</f>
        <v>أطفال (0-12)</v>
      </c>
      <c r="T551" s="41" t="n">
        <f aca="false">IFERROR(L551/P551,0)</f>
        <v>660.3125</v>
      </c>
    </row>
    <row r="552" customFormat="false" ht="15" hidden="false" customHeight="false" outlineLevel="0" collapsed="false">
      <c r="A552" s="42" t="s">
        <v>185</v>
      </c>
      <c r="B552" s="43" t="n">
        <v>45389</v>
      </c>
      <c r="C552" s="43" t="n">
        <v>45390</v>
      </c>
      <c r="D552" s="42" t="n">
        <v>18</v>
      </c>
      <c r="E552" s="42" t="s">
        <v>139</v>
      </c>
      <c r="F552" s="42" t="s">
        <v>149</v>
      </c>
      <c r="G552" s="42" t="s">
        <v>150</v>
      </c>
      <c r="H552" s="42" t="s">
        <v>186</v>
      </c>
      <c r="I552" s="42" t="s">
        <v>143</v>
      </c>
      <c r="J552" s="42" t="s">
        <v>176</v>
      </c>
      <c r="K552" s="42" t="s">
        <v>160</v>
      </c>
      <c r="L552" s="44" t="n">
        <v>5284.81</v>
      </c>
      <c r="M552" s="42" t="n">
        <v>3</v>
      </c>
      <c r="N552" s="42" t="s">
        <v>146</v>
      </c>
      <c r="O552" s="42" t="s">
        <v>147</v>
      </c>
      <c r="P552" s="39" t="n">
        <f aca="false">C552-B552</f>
        <v>1</v>
      </c>
      <c r="Q552" s="40" t="str">
        <f aca="false">CHOOSE(MONTH(B552),"يناير","فبراير","مارس","أبريل","مايو","يونيو","يوليو","أغسطس","سبتمبر","أكتوبر","نوفمبر","ديسمبر")</f>
        <v>أبريل</v>
      </c>
      <c r="R552" s="40" t="str">
        <f aca="false">"الربع "&amp;ROUNDUP(MONTH(B552)/3,0)</f>
        <v>الربع 2</v>
      </c>
      <c r="S552" s="40" t="str">
        <f aca="false">IF(D552&lt;=12,"أطفال (0-12)",IF(D552&lt;=24,"شباب (13-24)",IF(D552&lt;=44,"بالغون (25-44)",IF(D552&lt;=64,"متوسطو العمر (45-64)","كبار السن (+65)"))))</f>
        <v>شباب (13-24)</v>
      </c>
      <c r="T552" s="41" t="n">
        <f aca="false">IFERROR(L552/P552,0)</f>
        <v>5284.81</v>
      </c>
    </row>
    <row r="553" customFormat="false" ht="15" hidden="false" customHeight="false" outlineLevel="0" collapsed="false">
      <c r="A553" s="33" t="s">
        <v>1246</v>
      </c>
      <c r="B553" s="34" t="n">
        <v>45389</v>
      </c>
      <c r="C553" s="34" t="n">
        <v>45390</v>
      </c>
      <c r="D553" s="33" t="n">
        <v>74</v>
      </c>
      <c r="E553" s="33" t="s">
        <v>139</v>
      </c>
      <c r="F553" s="33" t="s">
        <v>140</v>
      </c>
      <c r="G553" s="33" t="s">
        <v>141</v>
      </c>
      <c r="H553" s="33" t="s">
        <v>290</v>
      </c>
      <c r="I553" s="33" t="s">
        <v>152</v>
      </c>
      <c r="J553" s="33" t="s">
        <v>144</v>
      </c>
      <c r="K553" s="33" t="s">
        <v>209</v>
      </c>
      <c r="L553" s="35" t="n">
        <v>3917.08</v>
      </c>
      <c r="M553" s="33" t="n">
        <v>3</v>
      </c>
      <c r="N553" s="33" t="s">
        <v>146</v>
      </c>
      <c r="O553" s="33" t="s">
        <v>147</v>
      </c>
      <c r="P553" s="39" t="n">
        <f aca="false">C553-B553</f>
        <v>1</v>
      </c>
      <c r="Q553" s="40" t="str">
        <f aca="false">CHOOSE(MONTH(B553),"يناير","فبراير","مارس","أبريل","مايو","يونيو","يوليو","أغسطس","سبتمبر","أكتوبر","نوفمبر","ديسمبر")</f>
        <v>أبريل</v>
      </c>
      <c r="R553" s="40" t="str">
        <f aca="false">"الربع "&amp;ROUNDUP(MONTH(B553)/3,0)</f>
        <v>الربع 2</v>
      </c>
      <c r="S553" s="40" t="str">
        <f aca="false">IF(D553&lt;=12,"أطفال (0-12)",IF(D553&lt;=24,"شباب (13-24)",IF(D553&lt;=44,"بالغون (25-44)",IF(D553&lt;=64,"متوسطو العمر (45-64)","كبار السن (+65)"))))</f>
        <v>كبار السن (+65)</v>
      </c>
      <c r="T553" s="41" t="n">
        <f aca="false">IFERROR(L553/P553,0)</f>
        <v>3917.08</v>
      </c>
    </row>
    <row r="554" customFormat="false" ht="15" hidden="false" customHeight="false" outlineLevel="0" collapsed="false">
      <c r="A554" s="42" t="s">
        <v>1742</v>
      </c>
      <c r="B554" s="43" t="n">
        <v>45389</v>
      </c>
      <c r="C554" s="43" t="n">
        <v>45390</v>
      </c>
      <c r="D554" s="42" t="n">
        <v>38</v>
      </c>
      <c r="E554" s="42" t="s">
        <v>154</v>
      </c>
      <c r="F554" s="42" t="s">
        <v>203</v>
      </c>
      <c r="G554" s="42" t="s">
        <v>217</v>
      </c>
      <c r="H554" s="42" t="s">
        <v>233</v>
      </c>
      <c r="I554" s="42" t="s">
        <v>143</v>
      </c>
      <c r="J554" s="42" t="s">
        <v>159</v>
      </c>
      <c r="K554" s="42" t="s">
        <v>160</v>
      </c>
      <c r="L554" s="44" t="n">
        <v>997.18</v>
      </c>
      <c r="M554" s="42" t="n">
        <v>3</v>
      </c>
      <c r="N554" s="42" t="s">
        <v>210</v>
      </c>
      <c r="O554" s="42" t="s">
        <v>147</v>
      </c>
      <c r="P554" s="39" t="n">
        <f aca="false">C554-B554</f>
        <v>1</v>
      </c>
      <c r="Q554" s="40" t="str">
        <f aca="false">CHOOSE(MONTH(B554),"يناير","فبراير","مارس","أبريل","مايو","يونيو","يوليو","أغسطس","سبتمبر","أكتوبر","نوفمبر","ديسمبر")</f>
        <v>أبريل</v>
      </c>
      <c r="R554" s="40" t="str">
        <f aca="false">"الربع "&amp;ROUNDUP(MONTH(B554)/3,0)</f>
        <v>الربع 2</v>
      </c>
      <c r="S554" s="40" t="str">
        <f aca="false">IF(D554&lt;=12,"أطفال (0-12)",IF(D554&lt;=24,"شباب (13-24)",IF(D554&lt;=44,"بالغون (25-44)",IF(D554&lt;=64,"متوسطو العمر (45-64)","كبار السن (+65)"))))</f>
        <v>بالغون (25-44)</v>
      </c>
      <c r="T554" s="41" t="n">
        <f aca="false">IFERROR(L554/P554,0)</f>
        <v>997.18</v>
      </c>
    </row>
    <row r="555" customFormat="false" ht="15" hidden="false" customHeight="false" outlineLevel="0" collapsed="false">
      <c r="A555" s="33" t="s">
        <v>1016</v>
      </c>
      <c r="B555" s="34" t="n">
        <v>45389</v>
      </c>
      <c r="C555" s="34" t="n">
        <v>45395</v>
      </c>
      <c r="D555" s="33" t="n">
        <v>60</v>
      </c>
      <c r="E555" s="33" t="s">
        <v>154</v>
      </c>
      <c r="F555" s="33" t="s">
        <v>173</v>
      </c>
      <c r="G555" s="33" t="s">
        <v>198</v>
      </c>
      <c r="H555" s="33" t="s">
        <v>199</v>
      </c>
      <c r="I555" s="33" t="s">
        <v>152</v>
      </c>
      <c r="J555" s="33" t="s">
        <v>159</v>
      </c>
      <c r="K555" s="33" t="s">
        <v>184</v>
      </c>
      <c r="L555" s="35" t="n">
        <v>17266.16</v>
      </c>
      <c r="M555" s="33" t="n">
        <v>4</v>
      </c>
      <c r="N555" s="33" t="s">
        <v>146</v>
      </c>
      <c r="O555" s="33" t="s">
        <v>147</v>
      </c>
      <c r="P555" s="39" t="n">
        <f aca="false">C555-B555</f>
        <v>6</v>
      </c>
      <c r="Q555" s="40" t="str">
        <f aca="false">CHOOSE(MONTH(B555),"يناير","فبراير","مارس","أبريل","مايو","يونيو","يوليو","أغسطس","سبتمبر","أكتوبر","نوفمبر","ديسمبر")</f>
        <v>أبريل</v>
      </c>
      <c r="R555" s="40" t="str">
        <f aca="false">"الربع "&amp;ROUNDUP(MONTH(B555)/3,0)</f>
        <v>الربع 2</v>
      </c>
      <c r="S555" s="40" t="str">
        <f aca="false">IF(D555&lt;=12,"أطفال (0-12)",IF(D555&lt;=24,"شباب (13-24)",IF(D555&lt;=44,"بالغون (25-44)",IF(D555&lt;=64,"متوسطو العمر (45-64)","كبار السن (+65)"))))</f>
        <v>متوسطو العمر (45-64)</v>
      </c>
      <c r="T555" s="41" t="n">
        <f aca="false">IFERROR(L555/P555,0)</f>
        <v>2877.69333333333</v>
      </c>
    </row>
    <row r="556" customFormat="false" ht="15" hidden="false" customHeight="false" outlineLevel="0" collapsed="false">
      <c r="A556" s="42" t="s">
        <v>313</v>
      </c>
      <c r="B556" s="43" t="n">
        <v>45389</v>
      </c>
      <c r="C556" s="43" t="n">
        <v>45391</v>
      </c>
      <c r="D556" s="42" t="n">
        <v>9</v>
      </c>
      <c r="E556" s="42" t="s">
        <v>154</v>
      </c>
      <c r="F556" s="42" t="s">
        <v>203</v>
      </c>
      <c r="G556" s="42" t="s">
        <v>217</v>
      </c>
      <c r="H556" s="42" t="s">
        <v>193</v>
      </c>
      <c r="I556" s="42" t="s">
        <v>143</v>
      </c>
      <c r="J556" s="42" t="s">
        <v>159</v>
      </c>
      <c r="K556" s="42" t="s">
        <v>145</v>
      </c>
      <c r="L556" s="44" t="n">
        <v>1487.02</v>
      </c>
      <c r="M556" s="42" t="n">
        <v>4</v>
      </c>
      <c r="N556" s="42" t="s">
        <v>146</v>
      </c>
      <c r="O556" s="42" t="s">
        <v>147</v>
      </c>
      <c r="P556" s="39" t="n">
        <f aca="false">C556-B556</f>
        <v>2</v>
      </c>
      <c r="Q556" s="40" t="str">
        <f aca="false">CHOOSE(MONTH(B556),"يناير","فبراير","مارس","أبريل","مايو","يونيو","يوليو","أغسطس","سبتمبر","أكتوبر","نوفمبر","ديسمبر")</f>
        <v>أبريل</v>
      </c>
      <c r="R556" s="40" t="str">
        <f aca="false">"الربع "&amp;ROUNDUP(MONTH(B556)/3,0)</f>
        <v>الربع 2</v>
      </c>
      <c r="S556" s="40" t="str">
        <f aca="false">IF(D556&lt;=12,"أطفال (0-12)",IF(D556&lt;=24,"شباب (13-24)",IF(D556&lt;=44,"بالغون (25-44)",IF(D556&lt;=64,"متوسطو العمر (45-64)","كبار السن (+65)"))))</f>
        <v>أطفال (0-12)</v>
      </c>
      <c r="T556" s="41" t="n">
        <f aca="false">IFERROR(L556/P556,0)</f>
        <v>743.51</v>
      </c>
    </row>
    <row r="557" customFormat="false" ht="15" hidden="false" customHeight="false" outlineLevel="0" collapsed="false">
      <c r="A557" s="33" t="s">
        <v>1848</v>
      </c>
      <c r="B557" s="34" t="n">
        <v>45389</v>
      </c>
      <c r="C557" s="34" t="n">
        <v>45395</v>
      </c>
      <c r="D557" s="33" t="n">
        <v>1</v>
      </c>
      <c r="E557" s="33" t="s">
        <v>139</v>
      </c>
      <c r="F557" s="33" t="s">
        <v>155</v>
      </c>
      <c r="G557" s="33" t="s">
        <v>156</v>
      </c>
      <c r="H557" s="33" t="s">
        <v>222</v>
      </c>
      <c r="I557" s="33" t="s">
        <v>143</v>
      </c>
      <c r="J557" s="33" t="s">
        <v>144</v>
      </c>
      <c r="K557" s="33" t="s">
        <v>145</v>
      </c>
      <c r="L557" s="35" t="n">
        <v>9248.45</v>
      </c>
      <c r="M557" s="33" t="n">
        <v>4</v>
      </c>
      <c r="N557" s="33" t="s">
        <v>146</v>
      </c>
      <c r="O557" s="33" t="s">
        <v>147</v>
      </c>
      <c r="P557" s="39" t="n">
        <f aca="false">C557-B557</f>
        <v>6</v>
      </c>
      <c r="Q557" s="40" t="str">
        <f aca="false">CHOOSE(MONTH(B557),"يناير","فبراير","مارس","أبريل","مايو","يونيو","يوليو","أغسطس","سبتمبر","أكتوبر","نوفمبر","ديسمبر")</f>
        <v>أبريل</v>
      </c>
      <c r="R557" s="40" t="str">
        <f aca="false">"الربع "&amp;ROUNDUP(MONTH(B557)/3,0)</f>
        <v>الربع 2</v>
      </c>
      <c r="S557" s="40" t="str">
        <f aca="false">IF(D557&lt;=12,"أطفال (0-12)",IF(D557&lt;=24,"شباب (13-24)",IF(D557&lt;=44,"بالغون (25-44)",IF(D557&lt;=64,"متوسطو العمر (45-64)","كبار السن (+65)"))))</f>
        <v>أطفال (0-12)</v>
      </c>
      <c r="T557" s="41" t="n">
        <f aca="false">IFERROR(L557/P557,0)</f>
        <v>1541.40833333333</v>
      </c>
    </row>
    <row r="558" customFormat="false" ht="15" hidden="false" customHeight="false" outlineLevel="0" collapsed="false">
      <c r="A558" s="42" t="s">
        <v>575</v>
      </c>
      <c r="B558" s="43" t="n">
        <v>45389</v>
      </c>
      <c r="C558" s="43" t="n">
        <v>45392</v>
      </c>
      <c r="D558" s="42" t="n">
        <v>45</v>
      </c>
      <c r="E558" s="42" t="s">
        <v>154</v>
      </c>
      <c r="F558" s="42" t="s">
        <v>173</v>
      </c>
      <c r="G558" s="42" t="s">
        <v>178</v>
      </c>
      <c r="H558" s="42" t="s">
        <v>175</v>
      </c>
      <c r="I558" s="42" t="s">
        <v>152</v>
      </c>
      <c r="J558" s="42" t="s">
        <v>159</v>
      </c>
      <c r="K558" s="42" t="s">
        <v>184</v>
      </c>
      <c r="L558" s="44" t="n">
        <v>8629.12</v>
      </c>
      <c r="M558" s="42" t="n">
        <v>4</v>
      </c>
      <c r="N558" s="42" t="s">
        <v>146</v>
      </c>
      <c r="O558" s="42" t="s">
        <v>147</v>
      </c>
      <c r="P558" s="39" t="n">
        <f aca="false">C558-B558</f>
        <v>3</v>
      </c>
      <c r="Q558" s="40" t="str">
        <f aca="false">CHOOSE(MONTH(B558),"يناير","فبراير","مارس","أبريل","مايو","يونيو","يوليو","أغسطس","سبتمبر","أكتوبر","نوفمبر","ديسمبر")</f>
        <v>أبريل</v>
      </c>
      <c r="R558" s="40" t="str">
        <f aca="false">"الربع "&amp;ROUNDUP(MONTH(B558)/3,0)</f>
        <v>الربع 2</v>
      </c>
      <c r="S558" s="40" t="str">
        <f aca="false">IF(D558&lt;=12,"أطفال (0-12)",IF(D558&lt;=24,"شباب (13-24)",IF(D558&lt;=44,"بالغون (25-44)",IF(D558&lt;=64,"متوسطو العمر (45-64)","كبار السن (+65)"))))</f>
        <v>متوسطو العمر (45-64)</v>
      </c>
      <c r="T558" s="41" t="n">
        <f aca="false">IFERROR(L558/P558,0)</f>
        <v>2876.37333333333</v>
      </c>
    </row>
    <row r="559" customFormat="false" ht="15" hidden="false" customHeight="false" outlineLevel="0" collapsed="false">
      <c r="A559" s="33" t="s">
        <v>1195</v>
      </c>
      <c r="B559" s="34" t="n">
        <v>45390</v>
      </c>
      <c r="C559" s="34" t="n">
        <v>45391</v>
      </c>
      <c r="D559" s="33" t="n">
        <v>1</v>
      </c>
      <c r="E559" s="33" t="s">
        <v>154</v>
      </c>
      <c r="F559" s="33" t="s">
        <v>155</v>
      </c>
      <c r="G559" s="33" t="s">
        <v>156</v>
      </c>
      <c r="H559" s="33" t="s">
        <v>157</v>
      </c>
      <c r="I559" s="33" t="s">
        <v>143</v>
      </c>
      <c r="J559" s="33" t="s">
        <v>176</v>
      </c>
      <c r="K559" s="33" t="s">
        <v>145</v>
      </c>
      <c r="L559" s="35" t="n">
        <v>3189.82</v>
      </c>
      <c r="M559" s="33" t="n">
        <v>4</v>
      </c>
      <c r="N559" s="33" t="s">
        <v>146</v>
      </c>
      <c r="O559" s="33" t="s">
        <v>295</v>
      </c>
      <c r="P559" s="39" t="n">
        <f aca="false">C559-B559</f>
        <v>1</v>
      </c>
      <c r="Q559" s="40" t="str">
        <f aca="false">CHOOSE(MONTH(B559),"يناير","فبراير","مارس","أبريل","مايو","يونيو","يوليو","أغسطس","سبتمبر","أكتوبر","نوفمبر","ديسمبر")</f>
        <v>أبريل</v>
      </c>
      <c r="R559" s="40" t="str">
        <f aca="false">"الربع "&amp;ROUNDUP(MONTH(B559)/3,0)</f>
        <v>الربع 2</v>
      </c>
      <c r="S559" s="40" t="str">
        <f aca="false">IF(D559&lt;=12,"أطفال (0-12)",IF(D559&lt;=24,"شباب (13-24)",IF(D559&lt;=44,"بالغون (25-44)",IF(D559&lt;=64,"متوسطو العمر (45-64)","كبار السن (+65)"))))</f>
        <v>أطفال (0-12)</v>
      </c>
      <c r="T559" s="41" t="n">
        <f aca="false">IFERROR(L559/P559,0)</f>
        <v>3189.82</v>
      </c>
    </row>
    <row r="560" customFormat="false" ht="15" hidden="false" customHeight="false" outlineLevel="0" collapsed="false">
      <c r="A560" s="42" t="s">
        <v>1264</v>
      </c>
      <c r="B560" s="43" t="n">
        <v>45390</v>
      </c>
      <c r="C560" s="43" t="n">
        <v>45391</v>
      </c>
      <c r="D560" s="42" t="n">
        <v>15</v>
      </c>
      <c r="E560" s="42" t="s">
        <v>154</v>
      </c>
      <c r="F560" s="42" t="s">
        <v>169</v>
      </c>
      <c r="G560" s="42" t="s">
        <v>213</v>
      </c>
      <c r="H560" s="42" t="s">
        <v>171</v>
      </c>
      <c r="I560" s="42" t="s">
        <v>158</v>
      </c>
      <c r="J560" s="42" t="s">
        <v>159</v>
      </c>
      <c r="K560" s="42" t="s">
        <v>145</v>
      </c>
      <c r="L560" s="44" t="n">
        <v>1064.29</v>
      </c>
      <c r="M560" s="42" t="n">
        <v>4</v>
      </c>
      <c r="N560" s="42" t="s">
        <v>146</v>
      </c>
      <c r="O560" s="42" t="s">
        <v>147</v>
      </c>
      <c r="P560" s="39" t="n">
        <f aca="false">C560-B560</f>
        <v>1</v>
      </c>
      <c r="Q560" s="40" t="str">
        <f aca="false">CHOOSE(MONTH(B560),"يناير","فبراير","مارس","أبريل","مايو","يونيو","يوليو","أغسطس","سبتمبر","أكتوبر","نوفمبر","ديسمبر")</f>
        <v>أبريل</v>
      </c>
      <c r="R560" s="40" t="str">
        <f aca="false">"الربع "&amp;ROUNDUP(MONTH(B560)/3,0)</f>
        <v>الربع 2</v>
      </c>
      <c r="S560" s="40" t="str">
        <f aca="false">IF(D560&lt;=12,"أطفال (0-12)",IF(D560&lt;=24,"شباب (13-24)",IF(D560&lt;=44,"بالغون (25-44)",IF(D560&lt;=64,"متوسطو العمر (45-64)","كبار السن (+65)"))))</f>
        <v>شباب (13-24)</v>
      </c>
      <c r="T560" s="41" t="n">
        <f aca="false">IFERROR(L560/P560,0)</f>
        <v>1064.29</v>
      </c>
    </row>
    <row r="561" customFormat="false" ht="15" hidden="false" customHeight="false" outlineLevel="0" collapsed="false">
      <c r="A561" s="33" t="s">
        <v>500</v>
      </c>
      <c r="B561" s="34" t="n">
        <v>45390</v>
      </c>
      <c r="C561" s="34" t="n">
        <v>45394</v>
      </c>
      <c r="D561" s="33" t="n">
        <v>60</v>
      </c>
      <c r="E561" s="33" t="s">
        <v>154</v>
      </c>
      <c r="F561" s="33" t="s">
        <v>169</v>
      </c>
      <c r="G561" s="33" t="s">
        <v>163</v>
      </c>
      <c r="H561" s="33" t="s">
        <v>195</v>
      </c>
      <c r="I561" s="33" t="s">
        <v>152</v>
      </c>
      <c r="J561" s="33" t="s">
        <v>159</v>
      </c>
      <c r="K561" s="33" t="s">
        <v>145</v>
      </c>
      <c r="L561" s="35" t="n">
        <v>5406.01</v>
      </c>
      <c r="M561" s="33" t="n">
        <v>5</v>
      </c>
      <c r="N561" s="33" t="s">
        <v>146</v>
      </c>
      <c r="O561" s="33" t="s">
        <v>147</v>
      </c>
      <c r="P561" s="39" t="n">
        <f aca="false">C561-B561</f>
        <v>4</v>
      </c>
      <c r="Q561" s="40" t="str">
        <f aca="false">CHOOSE(MONTH(B561),"يناير","فبراير","مارس","أبريل","مايو","يونيو","يوليو","أغسطس","سبتمبر","أكتوبر","نوفمبر","ديسمبر")</f>
        <v>أبريل</v>
      </c>
      <c r="R561" s="40" t="str">
        <f aca="false">"الربع "&amp;ROUNDUP(MONTH(B561)/3,0)</f>
        <v>الربع 2</v>
      </c>
      <c r="S561" s="40" t="str">
        <f aca="false">IF(D561&lt;=12,"أطفال (0-12)",IF(D561&lt;=24,"شباب (13-24)",IF(D561&lt;=44,"بالغون (25-44)",IF(D561&lt;=64,"متوسطو العمر (45-64)","كبار السن (+65)"))))</f>
        <v>متوسطو العمر (45-64)</v>
      </c>
      <c r="T561" s="41" t="n">
        <f aca="false">IFERROR(L561/P561,0)</f>
        <v>1351.5025</v>
      </c>
    </row>
    <row r="562" customFormat="false" ht="15" hidden="false" customHeight="false" outlineLevel="0" collapsed="false">
      <c r="A562" s="42" t="s">
        <v>1642</v>
      </c>
      <c r="B562" s="43" t="n">
        <v>45391</v>
      </c>
      <c r="C562" s="43" t="n">
        <v>45397</v>
      </c>
      <c r="D562" s="42" t="n">
        <v>10</v>
      </c>
      <c r="E562" s="42" t="s">
        <v>139</v>
      </c>
      <c r="F562" s="42" t="s">
        <v>155</v>
      </c>
      <c r="G562" s="42" t="s">
        <v>220</v>
      </c>
      <c r="H562" s="42" t="s">
        <v>157</v>
      </c>
      <c r="I562" s="42" t="s">
        <v>143</v>
      </c>
      <c r="J562" s="42" t="s">
        <v>159</v>
      </c>
      <c r="K562" s="42" t="s">
        <v>184</v>
      </c>
      <c r="L562" s="44" t="n">
        <v>5160.58</v>
      </c>
      <c r="M562" s="42" t="n">
        <v>2</v>
      </c>
      <c r="N562" s="42" t="s">
        <v>146</v>
      </c>
      <c r="O562" s="42" t="s">
        <v>147</v>
      </c>
      <c r="P562" s="39" t="n">
        <f aca="false">C562-B562</f>
        <v>6</v>
      </c>
      <c r="Q562" s="40" t="str">
        <f aca="false">CHOOSE(MONTH(B562),"يناير","فبراير","مارس","أبريل","مايو","يونيو","يوليو","أغسطس","سبتمبر","أكتوبر","نوفمبر","ديسمبر")</f>
        <v>أبريل</v>
      </c>
      <c r="R562" s="40" t="str">
        <f aca="false">"الربع "&amp;ROUNDUP(MONTH(B562)/3,0)</f>
        <v>الربع 2</v>
      </c>
      <c r="S562" s="40" t="str">
        <f aca="false">IF(D562&lt;=12,"أطفال (0-12)",IF(D562&lt;=24,"شباب (13-24)",IF(D562&lt;=44,"بالغون (25-44)",IF(D562&lt;=64,"متوسطو العمر (45-64)","كبار السن (+65)"))))</f>
        <v>أطفال (0-12)</v>
      </c>
      <c r="T562" s="41" t="n">
        <f aca="false">IFERROR(L562/P562,0)</f>
        <v>860.096666666667</v>
      </c>
    </row>
    <row r="563" customFormat="false" ht="15" hidden="false" customHeight="false" outlineLevel="0" collapsed="false">
      <c r="A563" s="33" t="s">
        <v>1695</v>
      </c>
      <c r="B563" s="34" t="n">
        <v>45391</v>
      </c>
      <c r="C563" s="34" t="n">
        <v>45393</v>
      </c>
      <c r="D563" s="33" t="n">
        <v>49</v>
      </c>
      <c r="E563" s="33" t="s">
        <v>139</v>
      </c>
      <c r="F563" s="33" t="s">
        <v>203</v>
      </c>
      <c r="G563" s="33" t="s">
        <v>204</v>
      </c>
      <c r="H563" s="33" t="s">
        <v>205</v>
      </c>
      <c r="I563" s="33" t="s">
        <v>143</v>
      </c>
      <c r="J563" s="33" t="s">
        <v>176</v>
      </c>
      <c r="K563" s="33" t="s">
        <v>160</v>
      </c>
      <c r="L563" s="35" t="n">
        <v>6486.61</v>
      </c>
      <c r="M563" s="33" t="n">
        <v>2</v>
      </c>
      <c r="N563" s="33" t="s">
        <v>146</v>
      </c>
      <c r="O563" s="33" t="s">
        <v>147</v>
      </c>
      <c r="P563" s="39" t="n">
        <f aca="false">C563-B563</f>
        <v>2</v>
      </c>
      <c r="Q563" s="40" t="str">
        <f aca="false">CHOOSE(MONTH(B563),"يناير","فبراير","مارس","أبريل","مايو","يونيو","يوليو","أغسطس","سبتمبر","أكتوبر","نوفمبر","ديسمبر")</f>
        <v>أبريل</v>
      </c>
      <c r="R563" s="40" t="str">
        <f aca="false">"الربع "&amp;ROUNDUP(MONTH(B563)/3,0)</f>
        <v>الربع 2</v>
      </c>
      <c r="S563" s="40" t="str">
        <f aca="false">IF(D563&lt;=12,"أطفال (0-12)",IF(D563&lt;=24,"شباب (13-24)",IF(D563&lt;=44,"بالغون (25-44)",IF(D563&lt;=64,"متوسطو العمر (45-64)","كبار السن (+65)"))))</f>
        <v>متوسطو العمر (45-64)</v>
      </c>
      <c r="T563" s="41" t="n">
        <f aca="false">IFERROR(L563/P563,0)</f>
        <v>3243.305</v>
      </c>
    </row>
    <row r="564" customFormat="false" ht="15" hidden="false" customHeight="false" outlineLevel="0" collapsed="false">
      <c r="A564" s="42" t="s">
        <v>1860</v>
      </c>
      <c r="B564" s="43" t="n">
        <v>45391</v>
      </c>
      <c r="C564" s="43" t="n">
        <v>45392</v>
      </c>
      <c r="D564" s="42" t="n">
        <v>8</v>
      </c>
      <c r="E564" s="42" t="s">
        <v>154</v>
      </c>
      <c r="F564" s="42" t="s">
        <v>155</v>
      </c>
      <c r="G564" s="42" t="s">
        <v>156</v>
      </c>
      <c r="H564" s="42" t="s">
        <v>222</v>
      </c>
      <c r="I564" s="42" t="s">
        <v>143</v>
      </c>
      <c r="J564" s="42" t="s">
        <v>176</v>
      </c>
      <c r="K564" s="42" t="s">
        <v>209</v>
      </c>
      <c r="L564" s="44" t="n">
        <v>3148.23</v>
      </c>
      <c r="M564" s="42" t="n">
        <v>3</v>
      </c>
      <c r="N564" s="42" t="s">
        <v>146</v>
      </c>
      <c r="O564" s="42" t="s">
        <v>147</v>
      </c>
      <c r="P564" s="39" t="n">
        <f aca="false">C564-B564</f>
        <v>1</v>
      </c>
      <c r="Q564" s="40" t="str">
        <f aca="false">CHOOSE(MONTH(B564),"يناير","فبراير","مارس","أبريل","مايو","يونيو","يوليو","أغسطس","سبتمبر","أكتوبر","نوفمبر","ديسمبر")</f>
        <v>أبريل</v>
      </c>
      <c r="R564" s="40" t="str">
        <f aca="false">"الربع "&amp;ROUNDUP(MONTH(B564)/3,0)</f>
        <v>الربع 2</v>
      </c>
      <c r="S564" s="40" t="str">
        <f aca="false">IF(D564&lt;=12,"أطفال (0-12)",IF(D564&lt;=24,"شباب (13-24)",IF(D564&lt;=44,"بالغون (25-44)",IF(D564&lt;=64,"متوسطو العمر (45-64)","كبار السن (+65)"))))</f>
        <v>أطفال (0-12)</v>
      </c>
      <c r="T564" s="41" t="n">
        <f aca="false">IFERROR(L564/P564,0)</f>
        <v>3148.23</v>
      </c>
    </row>
    <row r="565" customFormat="false" ht="15" hidden="false" customHeight="false" outlineLevel="0" collapsed="false">
      <c r="A565" s="33" t="s">
        <v>752</v>
      </c>
      <c r="B565" s="34" t="n">
        <v>45391</v>
      </c>
      <c r="C565" s="34" t="n">
        <v>45399</v>
      </c>
      <c r="D565" s="33" t="n">
        <v>57</v>
      </c>
      <c r="E565" s="33" t="s">
        <v>154</v>
      </c>
      <c r="F565" s="33" t="s">
        <v>169</v>
      </c>
      <c r="G565" s="33" t="s">
        <v>213</v>
      </c>
      <c r="H565" s="33" t="s">
        <v>171</v>
      </c>
      <c r="I565" s="33" t="s">
        <v>143</v>
      </c>
      <c r="J565" s="33" t="s">
        <v>144</v>
      </c>
      <c r="K565" s="33" t="s">
        <v>184</v>
      </c>
      <c r="L565" s="35" t="n">
        <v>17603.08</v>
      </c>
      <c r="M565" s="33" t="n">
        <v>4</v>
      </c>
      <c r="N565" s="33" t="s">
        <v>146</v>
      </c>
      <c r="O565" s="33" t="s">
        <v>147</v>
      </c>
      <c r="P565" s="39" t="n">
        <f aca="false">C565-B565</f>
        <v>8</v>
      </c>
      <c r="Q565" s="40" t="str">
        <f aca="false">CHOOSE(MONTH(B565),"يناير","فبراير","مارس","أبريل","مايو","يونيو","يوليو","أغسطس","سبتمبر","أكتوبر","نوفمبر","ديسمبر")</f>
        <v>أبريل</v>
      </c>
      <c r="R565" s="40" t="str">
        <f aca="false">"الربع "&amp;ROUNDUP(MONTH(B565)/3,0)</f>
        <v>الربع 2</v>
      </c>
      <c r="S565" s="40" t="str">
        <f aca="false">IF(D565&lt;=12,"أطفال (0-12)",IF(D565&lt;=24,"شباب (13-24)",IF(D565&lt;=44,"بالغون (25-44)",IF(D565&lt;=64,"متوسطو العمر (45-64)","كبار السن (+65)"))))</f>
        <v>متوسطو العمر (45-64)</v>
      </c>
      <c r="T565" s="41" t="n">
        <f aca="false">IFERROR(L565/P565,0)</f>
        <v>2200.385</v>
      </c>
    </row>
    <row r="566" customFormat="false" ht="15" hidden="false" customHeight="false" outlineLevel="0" collapsed="false">
      <c r="A566" s="42" t="s">
        <v>2314</v>
      </c>
      <c r="B566" s="43" t="n">
        <v>45391</v>
      </c>
      <c r="C566" s="43" t="n">
        <v>45395</v>
      </c>
      <c r="D566" s="42" t="n">
        <v>44</v>
      </c>
      <c r="E566" s="42" t="s">
        <v>154</v>
      </c>
      <c r="F566" s="42" t="s">
        <v>169</v>
      </c>
      <c r="G566" s="42" t="s">
        <v>213</v>
      </c>
      <c r="H566" s="42" t="s">
        <v>171</v>
      </c>
      <c r="I566" s="42" t="s">
        <v>143</v>
      </c>
      <c r="J566" s="42" t="s">
        <v>159</v>
      </c>
      <c r="K566" s="42" t="s">
        <v>145</v>
      </c>
      <c r="L566" s="44" t="n">
        <v>4396.2</v>
      </c>
      <c r="M566" s="42" t="n">
        <v>2</v>
      </c>
      <c r="N566" s="42" t="s">
        <v>146</v>
      </c>
      <c r="O566" s="42" t="s">
        <v>147</v>
      </c>
      <c r="P566" s="39" t="n">
        <f aca="false">C566-B566</f>
        <v>4</v>
      </c>
      <c r="Q566" s="40" t="str">
        <f aca="false">CHOOSE(MONTH(B566),"يناير","فبراير","مارس","أبريل","مايو","يونيو","يوليو","أغسطس","سبتمبر","أكتوبر","نوفمبر","ديسمبر")</f>
        <v>أبريل</v>
      </c>
      <c r="R566" s="40" t="str">
        <f aca="false">"الربع "&amp;ROUNDUP(MONTH(B566)/3,0)</f>
        <v>الربع 2</v>
      </c>
      <c r="S566" s="40" t="str">
        <f aca="false">IF(D566&lt;=12,"أطفال (0-12)",IF(D566&lt;=24,"شباب (13-24)",IF(D566&lt;=44,"بالغون (25-44)",IF(D566&lt;=64,"متوسطو العمر (45-64)","كبار السن (+65)"))))</f>
        <v>بالغون (25-44)</v>
      </c>
      <c r="T566" s="41" t="n">
        <f aca="false">IFERROR(L566/P566,0)</f>
        <v>1099.05</v>
      </c>
    </row>
    <row r="567" customFormat="false" ht="15" hidden="false" customHeight="false" outlineLevel="0" collapsed="false">
      <c r="A567" s="33" t="s">
        <v>997</v>
      </c>
      <c r="B567" s="34" t="n">
        <v>45392</v>
      </c>
      <c r="C567" s="34" t="n">
        <v>45398</v>
      </c>
      <c r="D567" s="33" t="n">
        <v>95</v>
      </c>
      <c r="E567" s="33" t="s">
        <v>154</v>
      </c>
      <c r="F567" s="33" t="s">
        <v>181</v>
      </c>
      <c r="G567" s="33" t="s">
        <v>182</v>
      </c>
      <c r="H567" s="33" t="s">
        <v>183</v>
      </c>
      <c r="I567" s="33" t="s">
        <v>143</v>
      </c>
      <c r="J567" s="33" t="s">
        <v>176</v>
      </c>
      <c r="K567" s="33" t="s">
        <v>209</v>
      </c>
      <c r="L567" s="35" t="n">
        <v>52135.62</v>
      </c>
      <c r="M567" s="33" t="n">
        <v>4</v>
      </c>
      <c r="N567" s="33" t="s">
        <v>146</v>
      </c>
      <c r="O567" s="33" t="s">
        <v>147</v>
      </c>
      <c r="P567" s="39" t="n">
        <f aca="false">C567-B567</f>
        <v>6</v>
      </c>
      <c r="Q567" s="40" t="str">
        <f aca="false">CHOOSE(MONTH(B567),"يناير","فبراير","مارس","أبريل","مايو","يونيو","يوليو","أغسطس","سبتمبر","أكتوبر","نوفمبر","ديسمبر")</f>
        <v>أبريل</v>
      </c>
      <c r="R567" s="40" t="str">
        <f aca="false">"الربع "&amp;ROUNDUP(MONTH(B567)/3,0)</f>
        <v>الربع 2</v>
      </c>
      <c r="S567" s="40" t="str">
        <f aca="false">IF(D567&lt;=12,"أطفال (0-12)",IF(D567&lt;=24,"شباب (13-24)",IF(D567&lt;=44,"بالغون (25-44)",IF(D567&lt;=64,"متوسطو العمر (45-64)","كبار السن (+65)"))))</f>
        <v>كبار السن (+65)</v>
      </c>
      <c r="T567" s="41" t="n">
        <f aca="false">IFERROR(L567/P567,0)</f>
        <v>8689.27</v>
      </c>
    </row>
    <row r="568" customFormat="false" ht="15" hidden="false" customHeight="false" outlineLevel="0" collapsed="false">
      <c r="A568" s="42" t="s">
        <v>1116</v>
      </c>
      <c r="B568" s="43" t="n">
        <v>45392</v>
      </c>
      <c r="C568" s="43" t="n">
        <v>45393</v>
      </c>
      <c r="D568" s="42" t="n">
        <v>50</v>
      </c>
      <c r="E568" s="42" t="s">
        <v>154</v>
      </c>
      <c r="F568" s="42" t="s">
        <v>203</v>
      </c>
      <c r="G568" s="42" t="s">
        <v>204</v>
      </c>
      <c r="H568" s="42" t="s">
        <v>233</v>
      </c>
      <c r="I568" s="42" t="s">
        <v>143</v>
      </c>
      <c r="J568" s="42" t="s">
        <v>159</v>
      </c>
      <c r="K568" s="42" t="s">
        <v>160</v>
      </c>
      <c r="L568" s="44" t="n">
        <v>861.16</v>
      </c>
      <c r="M568" s="42" t="n">
        <v>4</v>
      </c>
      <c r="N568" s="42" t="s">
        <v>146</v>
      </c>
      <c r="O568" s="42" t="s">
        <v>147</v>
      </c>
      <c r="P568" s="39" t="n">
        <f aca="false">C568-B568</f>
        <v>1</v>
      </c>
      <c r="Q568" s="40" t="str">
        <f aca="false">CHOOSE(MONTH(B568),"يناير","فبراير","مارس","أبريل","مايو","يونيو","يوليو","أغسطس","سبتمبر","أكتوبر","نوفمبر","ديسمبر")</f>
        <v>أبريل</v>
      </c>
      <c r="R568" s="40" t="str">
        <f aca="false">"الربع "&amp;ROUNDUP(MONTH(B568)/3,0)</f>
        <v>الربع 2</v>
      </c>
      <c r="S568" s="40" t="str">
        <f aca="false">IF(D568&lt;=12,"أطفال (0-12)",IF(D568&lt;=24,"شباب (13-24)",IF(D568&lt;=44,"بالغون (25-44)",IF(D568&lt;=64,"متوسطو العمر (45-64)","كبار السن (+65)"))))</f>
        <v>متوسطو العمر (45-64)</v>
      </c>
      <c r="T568" s="41" t="n">
        <f aca="false">IFERROR(L568/P568,0)</f>
        <v>861.16</v>
      </c>
    </row>
    <row r="569" customFormat="false" ht="15" hidden="false" customHeight="false" outlineLevel="0" collapsed="false">
      <c r="A569" s="33" t="s">
        <v>596</v>
      </c>
      <c r="B569" s="34" t="n">
        <v>45392</v>
      </c>
      <c r="C569" s="34" t="n">
        <v>45393</v>
      </c>
      <c r="D569" s="33" t="n">
        <v>28</v>
      </c>
      <c r="E569" s="33" t="s">
        <v>154</v>
      </c>
      <c r="F569" s="33" t="s">
        <v>203</v>
      </c>
      <c r="G569" s="33" t="s">
        <v>232</v>
      </c>
      <c r="H569" s="33" t="s">
        <v>233</v>
      </c>
      <c r="I569" s="33" t="s">
        <v>152</v>
      </c>
      <c r="J569" s="33" t="s">
        <v>144</v>
      </c>
      <c r="K569" s="33" t="s">
        <v>184</v>
      </c>
      <c r="L569" s="35" t="n">
        <v>1598.72</v>
      </c>
      <c r="M569" s="33" t="n">
        <v>4</v>
      </c>
      <c r="N569" s="33" t="s">
        <v>146</v>
      </c>
      <c r="O569" s="33" t="s">
        <v>147</v>
      </c>
      <c r="P569" s="39" t="n">
        <f aca="false">C569-B569</f>
        <v>1</v>
      </c>
      <c r="Q569" s="40" t="str">
        <f aca="false">CHOOSE(MONTH(B569),"يناير","فبراير","مارس","أبريل","مايو","يونيو","يوليو","أغسطس","سبتمبر","أكتوبر","نوفمبر","ديسمبر")</f>
        <v>أبريل</v>
      </c>
      <c r="R569" s="40" t="str">
        <f aca="false">"الربع "&amp;ROUNDUP(MONTH(B569)/3,0)</f>
        <v>الربع 2</v>
      </c>
      <c r="S569" s="40" t="str">
        <f aca="false">IF(D569&lt;=12,"أطفال (0-12)",IF(D569&lt;=24,"شباب (13-24)",IF(D569&lt;=44,"بالغون (25-44)",IF(D569&lt;=64,"متوسطو العمر (45-64)","كبار السن (+65)"))))</f>
        <v>بالغون (25-44)</v>
      </c>
      <c r="T569" s="41" t="n">
        <f aca="false">IFERROR(L569/P569,0)</f>
        <v>1598.72</v>
      </c>
    </row>
    <row r="570" customFormat="false" ht="15" hidden="false" customHeight="false" outlineLevel="0" collapsed="false">
      <c r="A570" s="42" t="s">
        <v>773</v>
      </c>
      <c r="B570" s="43" t="n">
        <v>45392</v>
      </c>
      <c r="C570" s="43" t="n">
        <v>45393</v>
      </c>
      <c r="D570" s="42" t="n">
        <v>61</v>
      </c>
      <c r="E570" s="42" t="s">
        <v>154</v>
      </c>
      <c r="F570" s="42" t="s">
        <v>203</v>
      </c>
      <c r="G570" s="42" t="s">
        <v>241</v>
      </c>
      <c r="H570" s="42" t="s">
        <v>193</v>
      </c>
      <c r="I570" s="42" t="s">
        <v>143</v>
      </c>
      <c r="J570" s="42" t="s">
        <v>159</v>
      </c>
      <c r="K570" s="42" t="s">
        <v>160</v>
      </c>
      <c r="L570" s="44" t="n">
        <v>909.74</v>
      </c>
      <c r="M570" s="42" t="n">
        <v>4</v>
      </c>
      <c r="N570" s="42" t="s">
        <v>146</v>
      </c>
      <c r="O570" s="42" t="s">
        <v>147</v>
      </c>
      <c r="P570" s="39" t="n">
        <f aca="false">C570-B570</f>
        <v>1</v>
      </c>
      <c r="Q570" s="40" t="str">
        <f aca="false">CHOOSE(MONTH(B570),"يناير","فبراير","مارس","أبريل","مايو","يونيو","يوليو","أغسطس","سبتمبر","أكتوبر","نوفمبر","ديسمبر")</f>
        <v>أبريل</v>
      </c>
      <c r="R570" s="40" t="str">
        <f aca="false">"الربع "&amp;ROUNDUP(MONTH(B570)/3,0)</f>
        <v>الربع 2</v>
      </c>
      <c r="S570" s="40" t="str">
        <f aca="false">IF(D570&lt;=12,"أطفال (0-12)",IF(D570&lt;=24,"شباب (13-24)",IF(D570&lt;=44,"بالغون (25-44)",IF(D570&lt;=64,"متوسطو العمر (45-64)","كبار السن (+65)"))))</f>
        <v>متوسطو العمر (45-64)</v>
      </c>
      <c r="T570" s="41" t="n">
        <f aca="false">IFERROR(L570/P570,0)</f>
        <v>909.74</v>
      </c>
    </row>
    <row r="571" customFormat="false" ht="15" hidden="false" customHeight="false" outlineLevel="0" collapsed="false">
      <c r="A571" s="33" t="s">
        <v>1313</v>
      </c>
      <c r="B571" s="34" t="n">
        <v>45393</v>
      </c>
      <c r="C571" s="34" t="n">
        <v>45396</v>
      </c>
      <c r="D571" s="33" t="n">
        <v>11</v>
      </c>
      <c r="E571" s="33" t="s">
        <v>154</v>
      </c>
      <c r="F571" s="33" t="s">
        <v>155</v>
      </c>
      <c r="G571" s="33" t="s">
        <v>302</v>
      </c>
      <c r="H571" s="33" t="s">
        <v>222</v>
      </c>
      <c r="I571" s="33" t="s">
        <v>143</v>
      </c>
      <c r="J571" s="33" t="s">
        <v>144</v>
      </c>
      <c r="K571" s="33" t="s">
        <v>145</v>
      </c>
      <c r="L571" s="35" t="n">
        <v>5690.23</v>
      </c>
      <c r="M571" s="33" t="n">
        <v>4</v>
      </c>
      <c r="N571" s="33" t="s">
        <v>146</v>
      </c>
      <c r="O571" s="33" t="s">
        <v>147</v>
      </c>
      <c r="P571" s="39" t="n">
        <f aca="false">C571-B571</f>
        <v>3</v>
      </c>
      <c r="Q571" s="40" t="str">
        <f aca="false">CHOOSE(MONTH(B571),"يناير","فبراير","مارس","أبريل","مايو","يونيو","يوليو","أغسطس","سبتمبر","أكتوبر","نوفمبر","ديسمبر")</f>
        <v>أبريل</v>
      </c>
      <c r="R571" s="40" t="str">
        <f aca="false">"الربع "&amp;ROUNDUP(MONTH(B571)/3,0)</f>
        <v>الربع 2</v>
      </c>
      <c r="S571" s="40" t="str">
        <f aca="false">IF(D571&lt;=12,"أطفال (0-12)",IF(D571&lt;=24,"شباب (13-24)",IF(D571&lt;=44,"بالغون (25-44)",IF(D571&lt;=64,"متوسطو العمر (45-64)","كبار السن (+65)"))))</f>
        <v>أطفال (0-12)</v>
      </c>
      <c r="T571" s="41" t="n">
        <f aca="false">IFERROR(L571/P571,0)</f>
        <v>1896.74333333333</v>
      </c>
    </row>
    <row r="572" customFormat="false" ht="15" hidden="false" customHeight="false" outlineLevel="0" collapsed="false">
      <c r="A572" s="42" t="s">
        <v>1299</v>
      </c>
      <c r="B572" s="43" t="n">
        <v>45393</v>
      </c>
      <c r="C572" s="43" t="n">
        <v>45399</v>
      </c>
      <c r="D572" s="42" t="n">
        <v>44</v>
      </c>
      <c r="E572" s="42" t="s">
        <v>139</v>
      </c>
      <c r="F572" s="42" t="s">
        <v>181</v>
      </c>
      <c r="G572" s="42" t="s">
        <v>237</v>
      </c>
      <c r="H572" s="42" t="s">
        <v>245</v>
      </c>
      <c r="I572" s="42" t="s">
        <v>152</v>
      </c>
      <c r="J572" s="42" t="s">
        <v>144</v>
      </c>
      <c r="K572" s="42" t="s">
        <v>145</v>
      </c>
      <c r="L572" s="44" t="n">
        <v>24612.24</v>
      </c>
      <c r="M572" s="42" t="n">
        <v>5</v>
      </c>
      <c r="N572" s="42" t="s">
        <v>146</v>
      </c>
      <c r="O572" s="42" t="s">
        <v>147</v>
      </c>
      <c r="P572" s="39" t="n">
        <f aca="false">C572-B572</f>
        <v>6</v>
      </c>
      <c r="Q572" s="40" t="str">
        <f aca="false">CHOOSE(MONTH(B572),"يناير","فبراير","مارس","أبريل","مايو","يونيو","يوليو","أغسطس","سبتمبر","أكتوبر","نوفمبر","ديسمبر")</f>
        <v>أبريل</v>
      </c>
      <c r="R572" s="40" t="str">
        <f aca="false">"الربع "&amp;ROUNDUP(MONTH(B572)/3,0)</f>
        <v>الربع 2</v>
      </c>
      <c r="S572" s="40" t="str">
        <f aca="false">IF(D572&lt;=12,"أطفال (0-12)",IF(D572&lt;=24,"شباب (13-24)",IF(D572&lt;=44,"بالغون (25-44)",IF(D572&lt;=64,"متوسطو العمر (45-64)","كبار السن (+65)"))))</f>
        <v>بالغون (25-44)</v>
      </c>
      <c r="T572" s="41" t="n">
        <f aca="false">IFERROR(L572/P572,0)</f>
        <v>4102.04</v>
      </c>
    </row>
    <row r="573" customFormat="false" ht="15" hidden="false" customHeight="false" outlineLevel="0" collapsed="false">
      <c r="A573" s="33" t="s">
        <v>2251</v>
      </c>
      <c r="B573" s="34" t="n">
        <v>45393</v>
      </c>
      <c r="C573" s="34" t="n">
        <v>45394</v>
      </c>
      <c r="D573" s="33" t="n">
        <v>25</v>
      </c>
      <c r="E573" s="33" t="s">
        <v>139</v>
      </c>
      <c r="F573" s="33" t="s">
        <v>149</v>
      </c>
      <c r="G573" s="33" t="s">
        <v>150</v>
      </c>
      <c r="H573" s="33" t="s">
        <v>151</v>
      </c>
      <c r="I573" s="33" t="s">
        <v>158</v>
      </c>
      <c r="J573" s="33" t="s">
        <v>159</v>
      </c>
      <c r="K573" s="33" t="s">
        <v>145</v>
      </c>
      <c r="L573" s="35" t="n">
        <v>1439.86</v>
      </c>
      <c r="M573" s="33" t="n">
        <v>4</v>
      </c>
      <c r="N573" s="33" t="s">
        <v>146</v>
      </c>
      <c r="O573" s="33" t="s">
        <v>147</v>
      </c>
      <c r="P573" s="39" t="n">
        <f aca="false">C573-B573</f>
        <v>1</v>
      </c>
      <c r="Q573" s="40" t="str">
        <f aca="false">CHOOSE(MONTH(B573),"يناير","فبراير","مارس","أبريل","مايو","يونيو","يوليو","أغسطس","سبتمبر","أكتوبر","نوفمبر","ديسمبر")</f>
        <v>أبريل</v>
      </c>
      <c r="R573" s="40" t="str">
        <f aca="false">"الربع "&amp;ROUNDUP(MONTH(B573)/3,0)</f>
        <v>الربع 2</v>
      </c>
      <c r="S573" s="40" t="str">
        <f aca="false">IF(D573&lt;=12,"أطفال (0-12)",IF(D573&lt;=24,"شباب (13-24)",IF(D573&lt;=44,"بالغون (25-44)",IF(D573&lt;=64,"متوسطو العمر (45-64)","كبار السن (+65)"))))</f>
        <v>بالغون (25-44)</v>
      </c>
      <c r="T573" s="41" t="n">
        <f aca="false">IFERROR(L573/P573,0)</f>
        <v>1439.86</v>
      </c>
    </row>
    <row r="574" customFormat="false" ht="15" hidden="false" customHeight="false" outlineLevel="0" collapsed="false">
      <c r="A574" s="42" t="s">
        <v>920</v>
      </c>
      <c r="B574" s="43" t="n">
        <v>45393</v>
      </c>
      <c r="C574" s="43" t="n">
        <v>45402</v>
      </c>
      <c r="D574" s="42" t="n">
        <v>37</v>
      </c>
      <c r="E574" s="42" t="s">
        <v>139</v>
      </c>
      <c r="F574" s="42" t="s">
        <v>226</v>
      </c>
      <c r="G574" s="42" t="s">
        <v>386</v>
      </c>
      <c r="H574" s="42" t="s">
        <v>263</v>
      </c>
      <c r="I574" s="42" t="s">
        <v>143</v>
      </c>
      <c r="J574" s="42" t="s">
        <v>176</v>
      </c>
      <c r="K574" s="42" t="s">
        <v>160</v>
      </c>
      <c r="L574" s="44" t="n">
        <v>85914.5</v>
      </c>
      <c r="M574" s="42" t="n">
        <v>4</v>
      </c>
      <c r="N574" s="42" t="s">
        <v>146</v>
      </c>
      <c r="O574" s="42" t="s">
        <v>147</v>
      </c>
      <c r="P574" s="39" t="n">
        <f aca="false">C574-B574</f>
        <v>9</v>
      </c>
      <c r="Q574" s="40" t="str">
        <f aca="false">CHOOSE(MONTH(B574),"يناير","فبراير","مارس","أبريل","مايو","يونيو","يوليو","أغسطس","سبتمبر","أكتوبر","نوفمبر","ديسمبر")</f>
        <v>أبريل</v>
      </c>
      <c r="R574" s="40" t="str">
        <f aca="false">"الربع "&amp;ROUNDUP(MONTH(B574)/3,0)</f>
        <v>الربع 2</v>
      </c>
      <c r="S574" s="40" t="str">
        <f aca="false">IF(D574&lt;=12,"أطفال (0-12)",IF(D574&lt;=24,"شباب (13-24)",IF(D574&lt;=44,"بالغون (25-44)",IF(D574&lt;=64,"متوسطو العمر (45-64)","كبار السن (+65)"))))</f>
        <v>بالغون (25-44)</v>
      </c>
      <c r="T574" s="41" t="n">
        <f aca="false">IFERROR(L574/P574,0)</f>
        <v>9546.05555555556</v>
      </c>
    </row>
    <row r="575" customFormat="false" ht="15" hidden="false" customHeight="false" outlineLevel="0" collapsed="false">
      <c r="A575" s="33" t="s">
        <v>239</v>
      </c>
      <c r="B575" s="34" t="n">
        <v>45393</v>
      </c>
      <c r="C575" s="34" t="n">
        <v>45394</v>
      </c>
      <c r="D575" s="33" t="n">
        <v>67</v>
      </c>
      <c r="E575" s="33" t="s">
        <v>154</v>
      </c>
      <c r="F575" s="33" t="s">
        <v>203</v>
      </c>
      <c r="G575" s="33" t="s">
        <v>241</v>
      </c>
      <c r="H575" s="33" t="s">
        <v>205</v>
      </c>
      <c r="I575" s="33" t="s">
        <v>143</v>
      </c>
      <c r="J575" s="33" t="s">
        <v>144</v>
      </c>
      <c r="K575" s="33" t="s">
        <v>145</v>
      </c>
      <c r="L575" s="35" t="n">
        <v>1428.88</v>
      </c>
      <c r="M575" s="33" t="n">
        <v>4</v>
      </c>
      <c r="N575" s="33" t="s">
        <v>146</v>
      </c>
      <c r="O575" s="33" t="s">
        <v>147</v>
      </c>
      <c r="P575" s="39" t="n">
        <f aca="false">C575-B575</f>
        <v>1</v>
      </c>
      <c r="Q575" s="40" t="str">
        <f aca="false">CHOOSE(MONTH(B575),"يناير","فبراير","مارس","أبريل","مايو","يونيو","يوليو","أغسطس","سبتمبر","أكتوبر","نوفمبر","ديسمبر")</f>
        <v>أبريل</v>
      </c>
      <c r="R575" s="40" t="str">
        <f aca="false">"الربع "&amp;ROUNDUP(MONTH(B575)/3,0)</f>
        <v>الربع 2</v>
      </c>
      <c r="S575" s="40" t="str">
        <f aca="false">IF(D575&lt;=12,"أطفال (0-12)",IF(D575&lt;=24,"شباب (13-24)",IF(D575&lt;=44,"بالغون (25-44)",IF(D575&lt;=64,"متوسطو العمر (45-64)","كبار السن (+65)"))))</f>
        <v>كبار السن (+65)</v>
      </c>
      <c r="T575" s="41" t="n">
        <f aca="false">IFERROR(L575/P575,0)</f>
        <v>1428.88</v>
      </c>
    </row>
    <row r="576" customFormat="false" ht="15" hidden="false" customHeight="false" outlineLevel="0" collapsed="false">
      <c r="A576" s="42" t="s">
        <v>472</v>
      </c>
      <c r="B576" s="43" t="n">
        <v>45393</v>
      </c>
      <c r="C576" s="43" t="n">
        <v>45399</v>
      </c>
      <c r="D576" s="42" t="n">
        <v>44</v>
      </c>
      <c r="E576" s="42" t="s">
        <v>154</v>
      </c>
      <c r="F576" s="42" t="s">
        <v>169</v>
      </c>
      <c r="G576" s="42" t="s">
        <v>163</v>
      </c>
      <c r="H576" s="42" t="s">
        <v>171</v>
      </c>
      <c r="I576" s="42" t="s">
        <v>143</v>
      </c>
      <c r="J576" s="42" t="s">
        <v>144</v>
      </c>
      <c r="K576" s="42" t="s">
        <v>160</v>
      </c>
      <c r="L576" s="44" t="n">
        <v>11070.66</v>
      </c>
      <c r="M576" s="42" t="n">
        <v>5</v>
      </c>
      <c r="N576" s="42" t="s">
        <v>146</v>
      </c>
      <c r="O576" s="42" t="s">
        <v>147</v>
      </c>
      <c r="P576" s="39" t="n">
        <f aca="false">C576-B576</f>
        <v>6</v>
      </c>
      <c r="Q576" s="40" t="str">
        <f aca="false">CHOOSE(MONTH(B576),"يناير","فبراير","مارس","أبريل","مايو","يونيو","يوليو","أغسطس","سبتمبر","أكتوبر","نوفمبر","ديسمبر")</f>
        <v>أبريل</v>
      </c>
      <c r="R576" s="40" t="str">
        <f aca="false">"الربع "&amp;ROUNDUP(MONTH(B576)/3,0)</f>
        <v>الربع 2</v>
      </c>
      <c r="S576" s="40" t="str">
        <f aca="false">IF(D576&lt;=12,"أطفال (0-12)",IF(D576&lt;=24,"شباب (13-24)",IF(D576&lt;=44,"بالغون (25-44)",IF(D576&lt;=64,"متوسطو العمر (45-64)","كبار السن (+65)"))))</f>
        <v>بالغون (25-44)</v>
      </c>
      <c r="T576" s="41" t="n">
        <f aca="false">IFERROR(L576/P576,0)</f>
        <v>1845.11</v>
      </c>
    </row>
    <row r="577" customFormat="false" ht="15" hidden="false" customHeight="false" outlineLevel="0" collapsed="false">
      <c r="A577" s="33" t="s">
        <v>1659</v>
      </c>
      <c r="B577" s="34" t="n">
        <v>45393</v>
      </c>
      <c r="C577" s="34" t="n">
        <v>45399</v>
      </c>
      <c r="D577" s="33" t="n">
        <v>16</v>
      </c>
      <c r="E577" s="33" t="s">
        <v>139</v>
      </c>
      <c r="F577" s="33" t="s">
        <v>140</v>
      </c>
      <c r="G577" s="33" t="s">
        <v>316</v>
      </c>
      <c r="H577" s="33" t="s">
        <v>142</v>
      </c>
      <c r="I577" s="33" t="s">
        <v>143</v>
      </c>
      <c r="J577" s="33" t="s">
        <v>144</v>
      </c>
      <c r="K577" s="33" t="s">
        <v>145</v>
      </c>
      <c r="L577" s="35" t="n">
        <v>24871.32</v>
      </c>
      <c r="M577" s="33" t="n">
        <v>3</v>
      </c>
      <c r="N577" s="33" t="s">
        <v>146</v>
      </c>
      <c r="O577" s="33" t="s">
        <v>147</v>
      </c>
      <c r="P577" s="39" t="n">
        <f aca="false">C577-B577</f>
        <v>6</v>
      </c>
      <c r="Q577" s="40" t="str">
        <f aca="false">CHOOSE(MONTH(B577),"يناير","فبراير","مارس","أبريل","مايو","يونيو","يوليو","أغسطس","سبتمبر","أكتوبر","نوفمبر","ديسمبر")</f>
        <v>أبريل</v>
      </c>
      <c r="R577" s="40" t="str">
        <f aca="false">"الربع "&amp;ROUNDUP(MONTH(B577)/3,0)</f>
        <v>الربع 2</v>
      </c>
      <c r="S577" s="40" t="str">
        <f aca="false">IF(D577&lt;=12,"أطفال (0-12)",IF(D577&lt;=24,"شباب (13-24)",IF(D577&lt;=44,"بالغون (25-44)",IF(D577&lt;=64,"متوسطو العمر (45-64)","كبار السن (+65)"))))</f>
        <v>شباب (13-24)</v>
      </c>
      <c r="T577" s="41" t="n">
        <f aca="false">IFERROR(L577/P577,0)</f>
        <v>4145.22</v>
      </c>
    </row>
    <row r="578" customFormat="false" ht="15" hidden="false" customHeight="false" outlineLevel="0" collapsed="false">
      <c r="A578" s="42" t="s">
        <v>546</v>
      </c>
      <c r="B578" s="43" t="n">
        <v>45394</v>
      </c>
      <c r="C578" s="43" t="n">
        <v>45399</v>
      </c>
      <c r="D578" s="42" t="n">
        <v>44</v>
      </c>
      <c r="E578" s="42" t="s">
        <v>154</v>
      </c>
      <c r="F578" s="42" t="s">
        <v>169</v>
      </c>
      <c r="G578" s="42" t="s">
        <v>230</v>
      </c>
      <c r="H578" s="42" t="s">
        <v>164</v>
      </c>
      <c r="I578" s="42" t="s">
        <v>143</v>
      </c>
      <c r="J578" s="42" t="s">
        <v>176</v>
      </c>
      <c r="K578" s="42" t="s">
        <v>145</v>
      </c>
      <c r="L578" s="44" t="n">
        <v>15112.9</v>
      </c>
      <c r="M578" s="42" t="n">
        <v>5</v>
      </c>
      <c r="N578" s="42" t="s">
        <v>146</v>
      </c>
      <c r="O578" s="42" t="s">
        <v>247</v>
      </c>
      <c r="P578" s="39" t="n">
        <f aca="false">C578-B578</f>
        <v>5</v>
      </c>
      <c r="Q578" s="40" t="str">
        <f aca="false">CHOOSE(MONTH(B578),"يناير","فبراير","مارس","أبريل","مايو","يونيو","يوليو","أغسطس","سبتمبر","أكتوبر","نوفمبر","ديسمبر")</f>
        <v>أبريل</v>
      </c>
      <c r="R578" s="40" t="str">
        <f aca="false">"الربع "&amp;ROUNDUP(MONTH(B578)/3,0)</f>
        <v>الربع 2</v>
      </c>
      <c r="S578" s="40" t="str">
        <f aca="false">IF(D578&lt;=12,"أطفال (0-12)",IF(D578&lt;=24,"شباب (13-24)",IF(D578&lt;=44,"بالغون (25-44)",IF(D578&lt;=64,"متوسطو العمر (45-64)","كبار السن (+65)"))))</f>
        <v>بالغون (25-44)</v>
      </c>
      <c r="T578" s="41" t="n">
        <f aca="false">IFERROR(L578/P578,0)</f>
        <v>3022.58</v>
      </c>
    </row>
    <row r="579" customFormat="false" ht="15" hidden="false" customHeight="false" outlineLevel="0" collapsed="false">
      <c r="A579" s="33" t="s">
        <v>2153</v>
      </c>
      <c r="B579" s="34" t="n">
        <v>45394</v>
      </c>
      <c r="C579" s="34" t="n">
        <v>45395</v>
      </c>
      <c r="D579" s="33" t="n">
        <v>67</v>
      </c>
      <c r="E579" s="33" t="s">
        <v>139</v>
      </c>
      <c r="F579" s="33" t="s">
        <v>203</v>
      </c>
      <c r="G579" s="33" t="s">
        <v>217</v>
      </c>
      <c r="H579" s="33" t="s">
        <v>205</v>
      </c>
      <c r="I579" s="33" t="s">
        <v>152</v>
      </c>
      <c r="J579" s="33" t="s">
        <v>159</v>
      </c>
      <c r="K579" s="33" t="s">
        <v>145</v>
      </c>
      <c r="L579" s="35" t="n">
        <v>864.94</v>
      </c>
      <c r="M579" s="33" t="n">
        <v>3</v>
      </c>
      <c r="N579" s="33" t="s">
        <v>146</v>
      </c>
      <c r="O579" s="33" t="s">
        <v>147</v>
      </c>
      <c r="P579" s="39" t="n">
        <f aca="false">C579-B579</f>
        <v>1</v>
      </c>
      <c r="Q579" s="40" t="str">
        <f aca="false">CHOOSE(MONTH(B579),"يناير","فبراير","مارس","أبريل","مايو","يونيو","يوليو","أغسطس","سبتمبر","أكتوبر","نوفمبر","ديسمبر")</f>
        <v>أبريل</v>
      </c>
      <c r="R579" s="40" t="str">
        <f aca="false">"الربع "&amp;ROUNDUP(MONTH(B579)/3,0)</f>
        <v>الربع 2</v>
      </c>
      <c r="S579" s="40" t="str">
        <f aca="false">IF(D579&lt;=12,"أطفال (0-12)",IF(D579&lt;=24,"شباب (13-24)",IF(D579&lt;=44,"بالغون (25-44)",IF(D579&lt;=64,"متوسطو العمر (45-64)","كبار السن (+65)"))))</f>
        <v>كبار السن (+65)</v>
      </c>
      <c r="T579" s="41" t="n">
        <f aca="false">IFERROR(L579/P579,0)</f>
        <v>864.94</v>
      </c>
    </row>
    <row r="580" customFormat="false" ht="15" hidden="false" customHeight="false" outlineLevel="0" collapsed="false">
      <c r="A580" s="42" t="s">
        <v>1247</v>
      </c>
      <c r="B580" s="43" t="n">
        <v>45394</v>
      </c>
      <c r="C580" s="43" t="n">
        <v>45397</v>
      </c>
      <c r="D580" s="42" t="n">
        <v>30</v>
      </c>
      <c r="E580" s="42" t="s">
        <v>139</v>
      </c>
      <c r="F580" s="42" t="s">
        <v>149</v>
      </c>
      <c r="G580" s="42" t="s">
        <v>150</v>
      </c>
      <c r="H580" s="42" t="s">
        <v>186</v>
      </c>
      <c r="I580" s="42" t="s">
        <v>143</v>
      </c>
      <c r="J580" s="42" t="s">
        <v>144</v>
      </c>
      <c r="K580" s="42" t="s">
        <v>184</v>
      </c>
      <c r="L580" s="44" t="n">
        <v>8628.5</v>
      </c>
      <c r="M580" s="42" t="n">
        <v>4</v>
      </c>
      <c r="N580" s="42" t="s">
        <v>146</v>
      </c>
      <c r="O580" s="42" t="s">
        <v>147</v>
      </c>
      <c r="P580" s="39" t="n">
        <f aca="false">C580-B580</f>
        <v>3</v>
      </c>
      <c r="Q580" s="40" t="str">
        <f aca="false">CHOOSE(MONTH(B580),"يناير","فبراير","مارس","أبريل","مايو","يونيو","يوليو","أغسطس","سبتمبر","أكتوبر","نوفمبر","ديسمبر")</f>
        <v>أبريل</v>
      </c>
      <c r="R580" s="40" t="str">
        <f aca="false">"الربع "&amp;ROUNDUP(MONTH(B580)/3,0)</f>
        <v>الربع 2</v>
      </c>
      <c r="S580" s="40" t="str">
        <f aca="false">IF(D580&lt;=12,"أطفال (0-12)",IF(D580&lt;=24,"شباب (13-24)",IF(D580&lt;=44,"بالغون (25-44)",IF(D580&lt;=64,"متوسطو العمر (45-64)","كبار السن (+65)"))))</f>
        <v>بالغون (25-44)</v>
      </c>
      <c r="T580" s="41" t="n">
        <f aca="false">IFERROR(L580/P580,0)</f>
        <v>2876.16666666667</v>
      </c>
    </row>
    <row r="581" customFormat="false" ht="15" hidden="false" customHeight="false" outlineLevel="0" collapsed="false">
      <c r="A581" s="33" t="s">
        <v>692</v>
      </c>
      <c r="B581" s="34" t="n">
        <v>45394</v>
      </c>
      <c r="C581" s="34" t="n">
        <v>45405</v>
      </c>
      <c r="D581" s="33" t="n">
        <v>47</v>
      </c>
      <c r="E581" s="33" t="s">
        <v>139</v>
      </c>
      <c r="F581" s="33" t="s">
        <v>181</v>
      </c>
      <c r="G581" s="33" t="s">
        <v>188</v>
      </c>
      <c r="H581" s="33" t="s">
        <v>183</v>
      </c>
      <c r="I581" s="33" t="s">
        <v>152</v>
      </c>
      <c r="J581" s="33" t="s">
        <v>159</v>
      </c>
      <c r="K581" s="33" t="s">
        <v>184</v>
      </c>
      <c r="L581" s="35" t="n">
        <v>23134.4</v>
      </c>
      <c r="M581" s="33" t="n">
        <v>5</v>
      </c>
      <c r="N581" s="33" t="s">
        <v>146</v>
      </c>
      <c r="O581" s="33" t="s">
        <v>147</v>
      </c>
      <c r="P581" s="39" t="n">
        <f aca="false">C581-B581</f>
        <v>11</v>
      </c>
      <c r="Q581" s="40" t="str">
        <f aca="false">CHOOSE(MONTH(B581),"يناير","فبراير","مارس","أبريل","مايو","يونيو","يوليو","أغسطس","سبتمبر","أكتوبر","نوفمبر","ديسمبر")</f>
        <v>أبريل</v>
      </c>
      <c r="R581" s="40" t="str">
        <f aca="false">"الربع "&amp;ROUNDUP(MONTH(B581)/3,0)</f>
        <v>الربع 2</v>
      </c>
      <c r="S581" s="40" t="str">
        <f aca="false">IF(D581&lt;=12,"أطفال (0-12)",IF(D581&lt;=24,"شباب (13-24)",IF(D581&lt;=44,"بالغون (25-44)",IF(D581&lt;=64,"متوسطو العمر (45-64)","كبار السن (+65)"))))</f>
        <v>متوسطو العمر (45-64)</v>
      </c>
      <c r="T581" s="41" t="n">
        <f aca="false">IFERROR(L581/P581,0)</f>
        <v>2103.12727272727</v>
      </c>
    </row>
    <row r="582" customFormat="false" ht="15" hidden="false" customHeight="false" outlineLevel="0" collapsed="false">
      <c r="A582" s="42" t="s">
        <v>524</v>
      </c>
      <c r="B582" s="43" t="n">
        <v>45394</v>
      </c>
      <c r="C582" s="43" t="n">
        <v>45396</v>
      </c>
      <c r="D582" s="42" t="n">
        <v>38</v>
      </c>
      <c r="E582" s="42" t="s">
        <v>154</v>
      </c>
      <c r="F582" s="42" t="s">
        <v>169</v>
      </c>
      <c r="G582" s="42" t="s">
        <v>230</v>
      </c>
      <c r="H582" s="42" t="s">
        <v>171</v>
      </c>
      <c r="I582" s="42" t="s">
        <v>143</v>
      </c>
      <c r="J582" s="42" t="s">
        <v>159</v>
      </c>
      <c r="K582" s="42" t="s">
        <v>184</v>
      </c>
      <c r="L582" s="44" t="n">
        <v>2248.67</v>
      </c>
      <c r="M582" s="42" t="n">
        <v>3</v>
      </c>
      <c r="N582" s="42" t="s">
        <v>146</v>
      </c>
      <c r="O582" s="42" t="s">
        <v>147</v>
      </c>
      <c r="P582" s="39" t="n">
        <f aca="false">C582-B582</f>
        <v>2</v>
      </c>
      <c r="Q582" s="40" t="str">
        <f aca="false">CHOOSE(MONTH(B582),"يناير","فبراير","مارس","أبريل","مايو","يونيو","يوليو","أغسطس","سبتمبر","أكتوبر","نوفمبر","ديسمبر")</f>
        <v>أبريل</v>
      </c>
      <c r="R582" s="40" t="str">
        <f aca="false">"الربع "&amp;ROUNDUP(MONTH(B582)/3,0)</f>
        <v>الربع 2</v>
      </c>
      <c r="S582" s="40" t="str">
        <f aca="false">IF(D582&lt;=12,"أطفال (0-12)",IF(D582&lt;=24,"شباب (13-24)",IF(D582&lt;=44,"بالغون (25-44)",IF(D582&lt;=64,"متوسطو العمر (45-64)","كبار السن (+65)"))))</f>
        <v>بالغون (25-44)</v>
      </c>
      <c r="T582" s="41" t="n">
        <f aca="false">IFERROR(L582/P582,0)</f>
        <v>1124.335</v>
      </c>
    </row>
    <row r="583" customFormat="false" ht="15" hidden="false" customHeight="false" outlineLevel="0" collapsed="false">
      <c r="A583" s="33" t="s">
        <v>670</v>
      </c>
      <c r="B583" s="34" t="n">
        <v>45394</v>
      </c>
      <c r="C583" s="34" t="n">
        <v>45405</v>
      </c>
      <c r="D583" s="33" t="n">
        <v>62</v>
      </c>
      <c r="E583" s="33" t="s">
        <v>139</v>
      </c>
      <c r="F583" s="33" t="s">
        <v>169</v>
      </c>
      <c r="G583" s="33" t="s">
        <v>213</v>
      </c>
      <c r="H583" s="33" t="s">
        <v>164</v>
      </c>
      <c r="I583" s="33" t="s">
        <v>143</v>
      </c>
      <c r="J583" s="33" t="s">
        <v>159</v>
      </c>
      <c r="K583" s="33" t="s">
        <v>184</v>
      </c>
      <c r="L583" s="35" t="n">
        <v>10743.92</v>
      </c>
      <c r="M583" s="33" t="n">
        <v>3</v>
      </c>
      <c r="N583" s="33" t="s">
        <v>146</v>
      </c>
      <c r="O583" s="33" t="s">
        <v>147</v>
      </c>
      <c r="P583" s="39" t="n">
        <f aca="false">C583-B583</f>
        <v>11</v>
      </c>
      <c r="Q583" s="40" t="str">
        <f aca="false">CHOOSE(MONTH(B583),"يناير","فبراير","مارس","أبريل","مايو","يونيو","يوليو","أغسطس","سبتمبر","أكتوبر","نوفمبر","ديسمبر")</f>
        <v>أبريل</v>
      </c>
      <c r="R583" s="40" t="str">
        <f aca="false">"الربع "&amp;ROUNDUP(MONTH(B583)/3,0)</f>
        <v>الربع 2</v>
      </c>
      <c r="S583" s="40" t="str">
        <f aca="false">IF(D583&lt;=12,"أطفال (0-12)",IF(D583&lt;=24,"شباب (13-24)",IF(D583&lt;=44,"بالغون (25-44)",IF(D583&lt;=64,"متوسطو العمر (45-64)","كبار السن (+65)"))))</f>
        <v>متوسطو العمر (45-64)</v>
      </c>
      <c r="T583" s="41" t="n">
        <f aca="false">IFERROR(L583/P583,0)</f>
        <v>976.72</v>
      </c>
    </row>
    <row r="584" customFormat="false" ht="15" hidden="false" customHeight="false" outlineLevel="0" collapsed="false">
      <c r="A584" s="42" t="s">
        <v>445</v>
      </c>
      <c r="B584" s="43" t="n">
        <v>45394</v>
      </c>
      <c r="C584" s="43" t="n">
        <v>45397</v>
      </c>
      <c r="D584" s="42" t="n">
        <v>69</v>
      </c>
      <c r="E584" s="42" t="s">
        <v>154</v>
      </c>
      <c r="F584" s="42" t="s">
        <v>140</v>
      </c>
      <c r="G584" s="42" t="s">
        <v>167</v>
      </c>
      <c r="H584" s="42" t="s">
        <v>290</v>
      </c>
      <c r="I584" s="42" t="s">
        <v>143</v>
      </c>
      <c r="J584" s="42" t="s">
        <v>159</v>
      </c>
      <c r="K584" s="42" t="s">
        <v>160</v>
      </c>
      <c r="L584" s="44" t="n">
        <v>7025.16</v>
      </c>
      <c r="M584" s="42" t="n">
        <v>4</v>
      </c>
      <c r="N584" s="42" t="s">
        <v>146</v>
      </c>
      <c r="O584" s="42" t="s">
        <v>147</v>
      </c>
      <c r="P584" s="39" t="n">
        <f aca="false">C584-B584</f>
        <v>3</v>
      </c>
      <c r="Q584" s="40" t="str">
        <f aca="false">CHOOSE(MONTH(B584),"يناير","فبراير","مارس","أبريل","مايو","يونيو","يوليو","أغسطس","سبتمبر","أكتوبر","نوفمبر","ديسمبر")</f>
        <v>أبريل</v>
      </c>
      <c r="R584" s="40" t="str">
        <f aca="false">"الربع "&amp;ROUNDUP(MONTH(B584)/3,0)</f>
        <v>الربع 2</v>
      </c>
      <c r="S584" s="40" t="str">
        <f aca="false">IF(D584&lt;=12,"أطفال (0-12)",IF(D584&lt;=24,"شباب (13-24)",IF(D584&lt;=44,"بالغون (25-44)",IF(D584&lt;=64,"متوسطو العمر (45-64)","كبار السن (+65)"))))</f>
        <v>كبار السن (+65)</v>
      </c>
      <c r="T584" s="41" t="n">
        <f aca="false">IFERROR(L584/P584,0)</f>
        <v>2341.72</v>
      </c>
    </row>
    <row r="585" customFormat="false" ht="15" hidden="false" customHeight="false" outlineLevel="0" collapsed="false">
      <c r="A585" s="33" t="s">
        <v>2026</v>
      </c>
      <c r="B585" s="34" t="n">
        <v>45394</v>
      </c>
      <c r="C585" s="34" t="n">
        <v>45397</v>
      </c>
      <c r="D585" s="33" t="n">
        <v>0</v>
      </c>
      <c r="E585" s="33" t="s">
        <v>154</v>
      </c>
      <c r="F585" s="33" t="s">
        <v>203</v>
      </c>
      <c r="G585" s="33" t="s">
        <v>217</v>
      </c>
      <c r="H585" s="33" t="s">
        <v>205</v>
      </c>
      <c r="I585" s="33" t="s">
        <v>143</v>
      </c>
      <c r="J585" s="33" t="s">
        <v>159</v>
      </c>
      <c r="K585" s="33" t="s">
        <v>160</v>
      </c>
      <c r="L585" s="35" t="n">
        <v>2548.84</v>
      </c>
      <c r="M585" s="33" t="n">
        <v>3</v>
      </c>
      <c r="N585" s="33" t="s">
        <v>210</v>
      </c>
      <c r="O585" s="33" t="s">
        <v>147</v>
      </c>
      <c r="P585" s="39" t="n">
        <f aca="false">C585-B585</f>
        <v>3</v>
      </c>
      <c r="Q585" s="40" t="str">
        <f aca="false">CHOOSE(MONTH(B585),"يناير","فبراير","مارس","أبريل","مايو","يونيو","يوليو","أغسطس","سبتمبر","أكتوبر","نوفمبر","ديسمبر")</f>
        <v>أبريل</v>
      </c>
      <c r="R585" s="40" t="str">
        <f aca="false">"الربع "&amp;ROUNDUP(MONTH(B585)/3,0)</f>
        <v>الربع 2</v>
      </c>
      <c r="S585" s="40" t="str">
        <f aca="false">IF(D585&lt;=12,"أطفال (0-12)",IF(D585&lt;=24,"شباب (13-24)",IF(D585&lt;=44,"بالغون (25-44)",IF(D585&lt;=64,"متوسطو العمر (45-64)","كبار السن (+65)"))))</f>
        <v>أطفال (0-12)</v>
      </c>
      <c r="T585" s="41" t="n">
        <f aca="false">IFERROR(L585/P585,0)</f>
        <v>849.613333333333</v>
      </c>
    </row>
    <row r="586" customFormat="false" ht="15" hidden="false" customHeight="false" outlineLevel="0" collapsed="false">
      <c r="A586" s="42" t="s">
        <v>789</v>
      </c>
      <c r="B586" s="43" t="n">
        <v>45395</v>
      </c>
      <c r="C586" s="43" t="n">
        <v>45401</v>
      </c>
      <c r="D586" s="42" t="n">
        <v>16</v>
      </c>
      <c r="E586" s="42" t="s">
        <v>139</v>
      </c>
      <c r="F586" s="42" t="s">
        <v>140</v>
      </c>
      <c r="G586" s="42" t="s">
        <v>316</v>
      </c>
      <c r="H586" s="42" t="s">
        <v>142</v>
      </c>
      <c r="I586" s="42" t="s">
        <v>143</v>
      </c>
      <c r="J586" s="42" t="s">
        <v>159</v>
      </c>
      <c r="K586" s="42" t="s">
        <v>145</v>
      </c>
      <c r="L586" s="44" t="n">
        <v>13920.12</v>
      </c>
      <c r="M586" s="42" t="n">
        <v>2</v>
      </c>
      <c r="N586" s="42" t="s">
        <v>146</v>
      </c>
      <c r="O586" s="42" t="s">
        <v>247</v>
      </c>
      <c r="P586" s="39" t="n">
        <f aca="false">C586-B586</f>
        <v>6</v>
      </c>
      <c r="Q586" s="40" t="str">
        <f aca="false">CHOOSE(MONTH(B586),"يناير","فبراير","مارس","أبريل","مايو","يونيو","يوليو","أغسطس","سبتمبر","أكتوبر","نوفمبر","ديسمبر")</f>
        <v>أبريل</v>
      </c>
      <c r="R586" s="40" t="str">
        <f aca="false">"الربع "&amp;ROUNDUP(MONTH(B586)/3,0)</f>
        <v>الربع 2</v>
      </c>
      <c r="S586" s="40" t="str">
        <f aca="false">IF(D586&lt;=12,"أطفال (0-12)",IF(D586&lt;=24,"شباب (13-24)",IF(D586&lt;=44,"بالغون (25-44)",IF(D586&lt;=64,"متوسطو العمر (45-64)","كبار السن (+65)"))))</f>
        <v>شباب (13-24)</v>
      </c>
      <c r="T586" s="41" t="n">
        <f aca="false">IFERROR(L586/P586,0)</f>
        <v>2320.02</v>
      </c>
    </row>
    <row r="587" customFormat="false" ht="15" hidden="false" customHeight="false" outlineLevel="0" collapsed="false">
      <c r="A587" s="33" t="s">
        <v>385</v>
      </c>
      <c r="B587" s="34" t="n">
        <v>45395</v>
      </c>
      <c r="C587" s="34" t="n">
        <v>45398</v>
      </c>
      <c r="D587" s="33" t="n">
        <v>68</v>
      </c>
      <c r="E587" s="33" t="s">
        <v>139</v>
      </c>
      <c r="F587" s="33" t="s">
        <v>226</v>
      </c>
      <c r="G587" s="33" t="s">
        <v>386</v>
      </c>
      <c r="H587" s="33" t="s">
        <v>228</v>
      </c>
      <c r="I587" s="33" t="s">
        <v>143</v>
      </c>
      <c r="J587" s="33" t="s">
        <v>159</v>
      </c>
      <c r="K587" s="33" t="s">
        <v>184</v>
      </c>
      <c r="L587" s="35" t="n">
        <v>9358.13</v>
      </c>
      <c r="M587" s="33" t="n">
        <v>5</v>
      </c>
      <c r="N587" s="33" t="s">
        <v>210</v>
      </c>
      <c r="O587" s="33" t="s">
        <v>147</v>
      </c>
      <c r="P587" s="39" t="n">
        <f aca="false">C587-B587</f>
        <v>3</v>
      </c>
      <c r="Q587" s="40" t="str">
        <f aca="false">CHOOSE(MONTH(B587),"يناير","فبراير","مارس","أبريل","مايو","يونيو","يوليو","أغسطس","سبتمبر","أكتوبر","نوفمبر","ديسمبر")</f>
        <v>أبريل</v>
      </c>
      <c r="R587" s="40" t="str">
        <f aca="false">"الربع "&amp;ROUNDUP(MONTH(B587)/3,0)</f>
        <v>الربع 2</v>
      </c>
      <c r="S587" s="40" t="str">
        <f aca="false">IF(D587&lt;=12,"أطفال (0-12)",IF(D587&lt;=24,"شباب (13-24)",IF(D587&lt;=44,"بالغون (25-44)",IF(D587&lt;=64,"متوسطو العمر (45-64)","كبار السن (+65)"))))</f>
        <v>كبار السن (+65)</v>
      </c>
      <c r="T587" s="41" t="n">
        <f aca="false">IFERROR(L587/P587,0)</f>
        <v>3119.37666666667</v>
      </c>
    </row>
    <row r="588" customFormat="false" ht="15" hidden="false" customHeight="false" outlineLevel="0" collapsed="false">
      <c r="A588" s="42" t="s">
        <v>1328</v>
      </c>
      <c r="B588" s="43" t="n">
        <v>45395</v>
      </c>
      <c r="C588" s="43" t="n">
        <v>45398</v>
      </c>
      <c r="D588" s="42" t="n">
        <v>68</v>
      </c>
      <c r="E588" s="42" t="s">
        <v>154</v>
      </c>
      <c r="F588" s="42" t="s">
        <v>140</v>
      </c>
      <c r="G588" s="42" t="s">
        <v>167</v>
      </c>
      <c r="H588" s="42" t="s">
        <v>142</v>
      </c>
      <c r="I588" s="42" t="s">
        <v>152</v>
      </c>
      <c r="J588" s="42" t="s">
        <v>159</v>
      </c>
      <c r="K588" s="42" t="s">
        <v>145</v>
      </c>
      <c r="L588" s="44" t="n">
        <v>5286.82</v>
      </c>
      <c r="M588" s="42" t="n">
        <v>5</v>
      </c>
      <c r="N588" s="42" t="s">
        <v>146</v>
      </c>
      <c r="O588" s="42" t="s">
        <v>147</v>
      </c>
      <c r="P588" s="39" t="n">
        <f aca="false">C588-B588</f>
        <v>3</v>
      </c>
      <c r="Q588" s="40" t="str">
        <f aca="false">CHOOSE(MONTH(B588),"يناير","فبراير","مارس","أبريل","مايو","يونيو","يوليو","أغسطس","سبتمبر","أكتوبر","نوفمبر","ديسمبر")</f>
        <v>أبريل</v>
      </c>
      <c r="R588" s="40" t="str">
        <f aca="false">"الربع "&amp;ROUNDUP(MONTH(B588)/3,0)</f>
        <v>الربع 2</v>
      </c>
      <c r="S588" s="40" t="str">
        <f aca="false">IF(D588&lt;=12,"أطفال (0-12)",IF(D588&lt;=24,"شباب (13-24)",IF(D588&lt;=44,"بالغون (25-44)",IF(D588&lt;=64,"متوسطو العمر (45-64)","كبار السن (+65)"))))</f>
        <v>كبار السن (+65)</v>
      </c>
      <c r="T588" s="41" t="n">
        <f aca="false">IFERROR(L588/P588,0)</f>
        <v>1762.27333333333</v>
      </c>
    </row>
    <row r="589" customFormat="false" ht="15" hidden="false" customHeight="false" outlineLevel="0" collapsed="false">
      <c r="A589" s="33" t="s">
        <v>1401</v>
      </c>
      <c r="B589" s="34" t="n">
        <v>45395</v>
      </c>
      <c r="C589" s="34" t="n">
        <v>45396</v>
      </c>
      <c r="D589" s="33" t="n">
        <v>0</v>
      </c>
      <c r="E589" s="33" t="s">
        <v>139</v>
      </c>
      <c r="F589" s="33" t="s">
        <v>155</v>
      </c>
      <c r="G589" s="33" t="s">
        <v>156</v>
      </c>
      <c r="H589" s="33" t="s">
        <v>157</v>
      </c>
      <c r="I589" s="33" t="s">
        <v>143</v>
      </c>
      <c r="J589" s="33" t="s">
        <v>159</v>
      </c>
      <c r="K589" s="33" t="s">
        <v>160</v>
      </c>
      <c r="L589" s="35" t="n">
        <v>760.62</v>
      </c>
      <c r="M589" s="33" t="n">
        <v>3</v>
      </c>
      <c r="N589" s="33" t="s">
        <v>146</v>
      </c>
      <c r="O589" s="33" t="s">
        <v>147</v>
      </c>
      <c r="P589" s="39" t="n">
        <f aca="false">C589-B589</f>
        <v>1</v>
      </c>
      <c r="Q589" s="40" t="str">
        <f aca="false">CHOOSE(MONTH(B589),"يناير","فبراير","مارس","أبريل","مايو","يونيو","يوليو","أغسطس","سبتمبر","أكتوبر","نوفمبر","ديسمبر")</f>
        <v>أبريل</v>
      </c>
      <c r="R589" s="40" t="str">
        <f aca="false">"الربع "&amp;ROUNDUP(MONTH(B589)/3,0)</f>
        <v>الربع 2</v>
      </c>
      <c r="S589" s="40" t="str">
        <f aca="false">IF(D589&lt;=12,"أطفال (0-12)",IF(D589&lt;=24,"شباب (13-24)",IF(D589&lt;=44,"بالغون (25-44)",IF(D589&lt;=64,"متوسطو العمر (45-64)","كبار السن (+65)"))))</f>
        <v>أطفال (0-12)</v>
      </c>
      <c r="T589" s="41" t="n">
        <f aca="false">IFERROR(L589/P589,0)</f>
        <v>760.62</v>
      </c>
    </row>
    <row r="590" customFormat="false" ht="15" hidden="false" customHeight="false" outlineLevel="0" collapsed="false">
      <c r="A590" s="42" t="s">
        <v>1335</v>
      </c>
      <c r="B590" s="43" t="n">
        <v>45396</v>
      </c>
      <c r="C590" s="43" t="n">
        <v>45398</v>
      </c>
      <c r="D590" s="42" t="n">
        <v>53</v>
      </c>
      <c r="E590" s="42" t="s">
        <v>139</v>
      </c>
      <c r="F590" s="42" t="s">
        <v>169</v>
      </c>
      <c r="G590" s="42" t="s">
        <v>170</v>
      </c>
      <c r="H590" s="42" t="s">
        <v>171</v>
      </c>
      <c r="I590" s="42" t="s">
        <v>152</v>
      </c>
      <c r="J590" s="42" t="s">
        <v>144</v>
      </c>
      <c r="K590" s="42" t="s">
        <v>209</v>
      </c>
      <c r="L590" s="44" t="n">
        <v>2653.13</v>
      </c>
      <c r="M590" s="42" t="n">
        <v>3</v>
      </c>
      <c r="N590" s="42" t="s">
        <v>146</v>
      </c>
      <c r="O590" s="42" t="s">
        <v>147</v>
      </c>
      <c r="P590" s="39" t="n">
        <f aca="false">C590-B590</f>
        <v>2</v>
      </c>
      <c r="Q590" s="40" t="str">
        <f aca="false">CHOOSE(MONTH(B590),"يناير","فبراير","مارس","أبريل","مايو","يونيو","يوليو","أغسطس","سبتمبر","أكتوبر","نوفمبر","ديسمبر")</f>
        <v>أبريل</v>
      </c>
      <c r="R590" s="40" t="str">
        <f aca="false">"الربع "&amp;ROUNDUP(MONTH(B590)/3,0)</f>
        <v>الربع 2</v>
      </c>
      <c r="S590" s="40" t="str">
        <f aca="false">IF(D590&lt;=12,"أطفال (0-12)",IF(D590&lt;=24,"شباب (13-24)",IF(D590&lt;=44,"بالغون (25-44)",IF(D590&lt;=64,"متوسطو العمر (45-64)","كبار السن (+65)"))))</f>
        <v>متوسطو العمر (45-64)</v>
      </c>
      <c r="T590" s="41" t="n">
        <f aca="false">IFERROR(L590/P590,0)</f>
        <v>1326.565</v>
      </c>
    </row>
    <row r="591" customFormat="false" ht="15" hidden="false" customHeight="false" outlineLevel="0" collapsed="false">
      <c r="A591" s="33" t="s">
        <v>910</v>
      </c>
      <c r="B591" s="34" t="n">
        <v>45396</v>
      </c>
      <c r="C591" s="34" t="n">
        <v>45403</v>
      </c>
      <c r="D591" s="33" t="n">
        <v>43</v>
      </c>
      <c r="E591" s="33" t="s">
        <v>154</v>
      </c>
      <c r="F591" s="33" t="s">
        <v>140</v>
      </c>
      <c r="G591" s="33" t="s">
        <v>316</v>
      </c>
      <c r="H591" s="33" t="s">
        <v>142</v>
      </c>
      <c r="I591" s="33" t="s">
        <v>143</v>
      </c>
      <c r="J591" s="33" t="s">
        <v>159</v>
      </c>
      <c r="K591" s="33" t="s">
        <v>160</v>
      </c>
      <c r="L591" s="35" t="n">
        <v>14336.45</v>
      </c>
      <c r="M591" s="33" t="n">
        <v>4</v>
      </c>
      <c r="N591" s="33" t="s">
        <v>146</v>
      </c>
      <c r="O591" s="33" t="s">
        <v>147</v>
      </c>
      <c r="P591" s="39" t="n">
        <f aca="false">C591-B591</f>
        <v>7</v>
      </c>
      <c r="Q591" s="40" t="str">
        <f aca="false">CHOOSE(MONTH(B591),"يناير","فبراير","مارس","أبريل","مايو","يونيو","يوليو","أغسطس","سبتمبر","أكتوبر","نوفمبر","ديسمبر")</f>
        <v>أبريل</v>
      </c>
      <c r="R591" s="40" t="str">
        <f aca="false">"الربع "&amp;ROUNDUP(MONTH(B591)/3,0)</f>
        <v>الربع 2</v>
      </c>
      <c r="S591" s="40" t="str">
        <f aca="false">IF(D591&lt;=12,"أطفال (0-12)",IF(D591&lt;=24,"شباب (13-24)",IF(D591&lt;=44,"بالغون (25-44)",IF(D591&lt;=64,"متوسطو العمر (45-64)","كبار السن (+65)"))))</f>
        <v>بالغون (25-44)</v>
      </c>
      <c r="T591" s="41" t="n">
        <f aca="false">IFERROR(L591/P591,0)</f>
        <v>2048.06428571429</v>
      </c>
    </row>
    <row r="592" customFormat="false" ht="15" hidden="false" customHeight="false" outlineLevel="0" collapsed="false">
      <c r="A592" s="42" t="s">
        <v>886</v>
      </c>
      <c r="B592" s="43" t="n">
        <v>45396</v>
      </c>
      <c r="C592" s="43" t="n">
        <v>45398</v>
      </c>
      <c r="D592" s="42" t="n">
        <v>2</v>
      </c>
      <c r="E592" s="42" t="s">
        <v>154</v>
      </c>
      <c r="F592" s="42" t="s">
        <v>155</v>
      </c>
      <c r="G592" s="42" t="s">
        <v>220</v>
      </c>
      <c r="H592" s="42" t="s">
        <v>157</v>
      </c>
      <c r="I592" s="42" t="s">
        <v>152</v>
      </c>
      <c r="J592" s="42" t="s">
        <v>159</v>
      </c>
      <c r="K592" s="42" t="s">
        <v>160</v>
      </c>
      <c r="L592" s="44" t="n">
        <v>1637.4</v>
      </c>
      <c r="M592" s="42" t="n">
        <v>4</v>
      </c>
      <c r="N592" s="42" t="s">
        <v>146</v>
      </c>
      <c r="O592" s="42" t="s">
        <v>147</v>
      </c>
      <c r="P592" s="39" t="n">
        <f aca="false">C592-B592</f>
        <v>2</v>
      </c>
      <c r="Q592" s="40" t="str">
        <f aca="false">CHOOSE(MONTH(B592),"يناير","فبراير","مارس","أبريل","مايو","يونيو","يوليو","أغسطس","سبتمبر","أكتوبر","نوفمبر","ديسمبر")</f>
        <v>أبريل</v>
      </c>
      <c r="R592" s="40" t="str">
        <f aca="false">"الربع "&amp;ROUNDUP(MONTH(B592)/3,0)</f>
        <v>الربع 2</v>
      </c>
      <c r="S592" s="40" t="str">
        <f aca="false">IF(D592&lt;=12,"أطفال (0-12)",IF(D592&lt;=24,"شباب (13-24)",IF(D592&lt;=44,"بالغون (25-44)",IF(D592&lt;=64,"متوسطو العمر (45-64)","كبار السن (+65)"))))</f>
        <v>أطفال (0-12)</v>
      </c>
      <c r="T592" s="41" t="n">
        <f aca="false">IFERROR(L592/P592,0)</f>
        <v>818.7</v>
      </c>
    </row>
    <row r="593" customFormat="false" ht="15" hidden="false" customHeight="false" outlineLevel="0" collapsed="false">
      <c r="A593" s="33" t="s">
        <v>564</v>
      </c>
      <c r="B593" s="34" t="n">
        <v>45396</v>
      </c>
      <c r="C593" s="34" t="n">
        <v>45399</v>
      </c>
      <c r="D593" s="33" t="n">
        <v>14</v>
      </c>
      <c r="E593" s="33" t="s">
        <v>154</v>
      </c>
      <c r="F593" s="33" t="s">
        <v>203</v>
      </c>
      <c r="G593" s="33" t="s">
        <v>192</v>
      </c>
      <c r="H593" s="33" t="s">
        <v>233</v>
      </c>
      <c r="I593" s="33" t="s">
        <v>143</v>
      </c>
      <c r="J593" s="33" t="s">
        <v>144</v>
      </c>
      <c r="K593" s="33" t="s">
        <v>184</v>
      </c>
      <c r="L593" s="35" t="n">
        <v>4480.67</v>
      </c>
      <c r="M593" s="33" t="n">
        <v>3</v>
      </c>
      <c r="N593" s="33" t="s">
        <v>146</v>
      </c>
      <c r="O593" s="33" t="s">
        <v>147</v>
      </c>
      <c r="P593" s="39" t="n">
        <f aca="false">C593-B593</f>
        <v>3</v>
      </c>
      <c r="Q593" s="40" t="str">
        <f aca="false">CHOOSE(MONTH(B593),"يناير","فبراير","مارس","أبريل","مايو","يونيو","يوليو","أغسطس","سبتمبر","أكتوبر","نوفمبر","ديسمبر")</f>
        <v>أبريل</v>
      </c>
      <c r="R593" s="40" t="str">
        <f aca="false">"الربع "&amp;ROUNDUP(MONTH(B593)/3,0)</f>
        <v>الربع 2</v>
      </c>
      <c r="S593" s="40" t="str">
        <f aca="false">IF(D593&lt;=12,"أطفال (0-12)",IF(D593&lt;=24,"شباب (13-24)",IF(D593&lt;=44,"بالغون (25-44)",IF(D593&lt;=64,"متوسطو العمر (45-64)","كبار السن (+65)"))))</f>
        <v>شباب (13-24)</v>
      </c>
      <c r="T593" s="41" t="n">
        <f aca="false">IFERROR(L593/P593,0)</f>
        <v>1493.55666666667</v>
      </c>
    </row>
    <row r="594" customFormat="false" ht="15" hidden="false" customHeight="false" outlineLevel="0" collapsed="false">
      <c r="A594" s="42" t="s">
        <v>604</v>
      </c>
      <c r="B594" s="43" t="n">
        <v>45396</v>
      </c>
      <c r="C594" s="43" t="n">
        <v>45403</v>
      </c>
      <c r="D594" s="42" t="n">
        <v>57</v>
      </c>
      <c r="E594" s="42" t="s">
        <v>139</v>
      </c>
      <c r="F594" s="42" t="s">
        <v>173</v>
      </c>
      <c r="G594" s="42" t="s">
        <v>174</v>
      </c>
      <c r="H594" s="42" t="s">
        <v>175</v>
      </c>
      <c r="I594" s="42" t="s">
        <v>152</v>
      </c>
      <c r="J594" s="42" t="s">
        <v>144</v>
      </c>
      <c r="K594" s="42" t="s">
        <v>160</v>
      </c>
      <c r="L594" s="44" t="n">
        <v>34859.11</v>
      </c>
      <c r="M594" s="42" t="n">
        <v>5</v>
      </c>
      <c r="N594" s="42" t="s">
        <v>146</v>
      </c>
      <c r="O594" s="42" t="s">
        <v>147</v>
      </c>
      <c r="P594" s="39" t="n">
        <f aca="false">C594-B594</f>
        <v>7</v>
      </c>
      <c r="Q594" s="40" t="str">
        <f aca="false">CHOOSE(MONTH(B594),"يناير","فبراير","مارس","أبريل","مايو","يونيو","يوليو","أغسطس","سبتمبر","أكتوبر","نوفمبر","ديسمبر")</f>
        <v>أبريل</v>
      </c>
      <c r="R594" s="40" t="str">
        <f aca="false">"الربع "&amp;ROUNDUP(MONTH(B594)/3,0)</f>
        <v>الربع 2</v>
      </c>
      <c r="S594" s="40" t="str">
        <f aca="false">IF(D594&lt;=12,"أطفال (0-12)",IF(D594&lt;=24,"شباب (13-24)",IF(D594&lt;=44,"بالغون (25-44)",IF(D594&lt;=64,"متوسطو العمر (45-64)","كبار السن (+65)"))))</f>
        <v>متوسطو العمر (45-64)</v>
      </c>
      <c r="T594" s="41" t="n">
        <f aca="false">IFERROR(L594/P594,0)</f>
        <v>4979.87285714286</v>
      </c>
    </row>
    <row r="595" customFormat="false" ht="15" hidden="false" customHeight="false" outlineLevel="0" collapsed="false">
      <c r="A595" s="33" t="s">
        <v>1186</v>
      </c>
      <c r="B595" s="34" t="n">
        <v>45397</v>
      </c>
      <c r="C595" s="34" t="n">
        <v>45403</v>
      </c>
      <c r="D595" s="33" t="n">
        <v>55</v>
      </c>
      <c r="E595" s="33" t="s">
        <v>139</v>
      </c>
      <c r="F595" s="33" t="s">
        <v>169</v>
      </c>
      <c r="G595" s="33" t="s">
        <v>163</v>
      </c>
      <c r="H595" s="33" t="s">
        <v>164</v>
      </c>
      <c r="I595" s="33" t="s">
        <v>143</v>
      </c>
      <c r="J595" s="33" t="s">
        <v>144</v>
      </c>
      <c r="K595" s="33" t="s">
        <v>145</v>
      </c>
      <c r="L595" s="35" t="n">
        <v>10600.01</v>
      </c>
      <c r="M595" s="33" t="n">
        <v>5</v>
      </c>
      <c r="N595" s="33" t="s">
        <v>146</v>
      </c>
      <c r="O595" s="33" t="s">
        <v>147</v>
      </c>
      <c r="P595" s="39" t="n">
        <f aca="false">C595-B595</f>
        <v>6</v>
      </c>
      <c r="Q595" s="40" t="str">
        <f aca="false">CHOOSE(MONTH(B595),"يناير","فبراير","مارس","أبريل","مايو","يونيو","يوليو","أغسطس","سبتمبر","أكتوبر","نوفمبر","ديسمبر")</f>
        <v>أبريل</v>
      </c>
      <c r="R595" s="40" t="str">
        <f aca="false">"الربع "&amp;ROUNDUP(MONTH(B595)/3,0)</f>
        <v>الربع 2</v>
      </c>
      <c r="S595" s="40" t="str">
        <f aca="false">IF(D595&lt;=12,"أطفال (0-12)",IF(D595&lt;=24,"شباب (13-24)",IF(D595&lt;=44,"بالغون (25-44)",IF(D595&lt;=64,"متوسطو العمر (45-64)","كبار السن (+65)"))))</f>
        <v>متوسطو العمر (45-64)</v>
      </c>
      <c r="T595" s="41" t="n">
        <f aca="false">IFERROR(L595/P595,0)</f>
        <v>1766.66833333333</v>
      </c>
    </row>
    <row r="596" customFormat="false" ht="15" hidden="false" customHeight="false" outlineLevel="0" collapsed="false">
      <c r="A596" s="42" t="s">
        <v>1893</v>
      </c>
      <c r="B596" s="43" t="n">
        <v>45397</v>
      </c>
      <c r="C596" s="43" t="n">
        <v>45398</v>
      </c>
      <c r="D596" s="42" t="n">
        <v>29</v>
      </c>
      <c r="E596" s="42" t="s">
        <v>139</v>
      </c>
      <c r="F596" s="42" t="s">
        <v>149</v>
      </c>
      <c r="G596" s="42" t="s">
        <v>243</v>
      </c>
      <c r="H596" s="42" t="s">
        <v>186</v>
      </c>
      <c r="I596" s="42" t="s">
        <v>152</v>
      </c>
      <c r="J596" s="42" t="s">
        <v>159</v>
      </c>
      <c r="K596" s="42" t="s">
        <v>209</v>
      </c>
      <c r="L596" s="44" t="n">
        <v>1359.06</v>
      </c>
      <c r="M596" s="42" t="n">
        <v>3</v>
      </c>
      <c r="N596" s="42" t="s">
        <v>146</v>
      </c>
      <c r="O596" s="42" t="s">
        <v>147</v>
      </c>
      <c r="P596" s="39" t="n">
        <f aca="false">C596-B596</f>
        <v>1</v>
      </c>
      <c r="Q596" s="40" t="str">
        <f aca="false">CHOOSE(MONTH(B596),"يناير","فبراير","مارس","أبريل","مايو","يونيو","يوليو","أغسطس","سبتمبر","أكتوبر","نوفمبر","ديسمبر")</f>
        <v>أبريل</v>
      </c>
      <c r="R596" s="40" t="str">
        <f aca="false">"الربع "&amp;ROUNDUP(MONTH(B596)/3,0)</f>
        <v>الربع 2</v>
      </c>
      <c r="S596" s="40" t="str">
        <f aca="false">IF(D596&lt;=12,"أطفال (0-12)",IF(D596&lt;=24,"شباب (13-24)",IF(D596&lt;=44,"بالغون (25-44)",IF(D596&lt;=64,"متوسطو العمر (45-64)","كبار السن (+65)"))))</f>
        <v>بالغون (25-44)</v>
      </c>
      <c r="T596" s="41" t="n">
        <f aca="false">IFERROR(L596/P596,0)</f>
        <v>1359.06</v>
      </c>
    </row>
    <row r="597" customFormat="false" ht="15" hidden="false" customHeight="false" outlineLevel="0" collapsed="false">
      <c r="A597" s="33" t="s">
        <v>1749</v>
      </c>
      <c r="B597" s="34" t="n">
        <v>45397</v>
      </c>
      <c r="C597" s="34" t="n">
        <v>45411</v>
      </c>
      <c r="D597" s="33" t="n">
        <v>50</v>
      </c>
      <c r="E597" s="33" t="s">
        <v>139</v>
      </c>
      <c r="F597" s="33" t="s">
        <v>173</v>
      </c>
      <c r="G597" s="33" t="s">
        <v>178</v>
      </c>
      <c r="H597" s="33" t="s">
        <v>175</v>
      </c>
      <c r="I597" s="33" t="s">
        <v>143</v>
      </c>
      <c r="J597" s="33" t="s">
        <v>159</v>
      </c>
      <c r="K597" s="33" t="s">
        <v>145</v>
      </c>
      <c r="L597" s="35" t="n">
        <v>35180.3</v>
      </c>
      <c r="M597" s="33" t="n">
        <v>3</v>
      </c>
      <c r="N597" s="33" t="s">
        <v>146</v>
      </c>
      <c r="O597" s="33" t="s">
        <v>147</v>
      </c>
      <c r="P597" s="39" t="n">
        <f aca="false">C597-B597</f>
        <v>14</v>
      </c>
      <c r="Q597" s="40" t="str">
        <f aca="false">CHOOSE(MONTH(B597),"يناير","فبراير","مارس","أبريل","مايو","يونيو","يوليو","أغسطس","سبتمبر","أكتوبر","نوفمبر","ديسمبر")</f>
        <v>أبريل</v>
      </c>
      <c r="R597" s="40" t="str">
        <f aca="false">"الربع "&amp;ROUNDUP(MONTH(B597)/3,0)</f>
        <v>الربع 2</v>
      </c>
      <c r="S597" s="40" t="str">
        <f aca="false">IF(D597&lt;=12,"أطفال (0-12)",IF(D597&lt;=24,"شباب (13-24)",IF(D597&lt;=44,"بالغون (25-44)",IF(D597&lt;=64,"متوسطو العمر (45-64)","كبار السن (+65)"))))</f>
        <v>متوسطو العمر (45-64)</v>
      </c>
      <c r="T597" s="41" t="n">
        <f aca="false">IFERROR(L597/P597,0)</f>
        <v>2512.87857142857</v>
      </c>
    </row>
    <row r="598" customFormat="false" ht="15" hidden="false" customHeight="false" outlineLevel="0" collapsed="false">
      <c r="A598" s="42" t="s">
        <v>381</v>
      </c>
      <c r="B598" s="43" t="n">
        <v>45397</v>
      </c>
      <c r="C598" s="43" t="n">
        <v>45399</v>
      </c>
      <c r="D598" s="42" t="n">
        <v>26</v>
      </c>
      <c r="E598" s="42" t="s">
        <v>139</v>
      </c>
      <c r="F598" s="42" t="s">
        <v>169</v>
      </c>
      <c r="G598" s="42" t="s">
        <v>163</v>
      </c>
      <c r="H598" s="42" t="s">
        <v>195</v>
      </c>
      <c r="I598" s="42" t="s">
        <v>143</v>
      </c>
      <c r="J598" s="42" t="s">
        <v>159</v>
      </c>
      <c r="K598" s="42" t="s">
        <v>184</v>
      </c>
      <c r="L598" s="44" t="n">
        <v>2377.09</v>
      </c>
      <c r="M598" s="42" t="n">
        <v>5</v>
      </c>
      <c r="N598" s="42" t="s">
        <v>146</v>
      </c>
      <c r="O598" s="42" t="s">
        <v>147</v>
      </c>
      <c r="P598" s="39" t="n">
        <f aca="false">C598-B598</f>
        <v>2</v>
      </c>
      <c r="Q598" s="40" t="str">
        <f aca="false">CHOOSE(MONTH(B598),"يناير","فبراير","مارس","أبريل","مايو","يونيو","يوليو","أغسطس","سبتمبر","أكتوبر","نوفمبر","ديسمبر")</f>
        <v>أبريل</v>
      </c>
      <c r="R598" s="40" t="str">
        <f aca="false">"الربع "&amp;ROUNDUP(MONTH(B598)/3,0)</f>
        <v>الربع 2</v>
      </c>
      <c r="S598" s="40" t="str">
        <f aca="false">IF(D598&lt;=12,"أطفال (0-12)",IF(D598&lt;=24,"شباب (13-24)",IF(D598&lt;=44,"بالغون (25-44)",IF(D598&lt;=64,"متوسطو العمر (45-64)","كبار السن (+65)"))))</f>
        <v>بالغون (25-44)</v>
      </c>
      <c r="T598" s="41" t="n">
        <f aca="false">IFERROR(L598/P598,0)</f>
        <v>1188.545</v>
      </c>
    </row>
    <row r="599" customFormat="false" ht="15" hidden="false" customHeight="false" outlineLevel="0" collapsed="false">
      <c r="A599" s="33" t="s">
        <v>637</v>
      </c>
      <c r="B599" s="34" t="n">
        <v>45397</v>
      </c>
      <c r="C599" s="34" t="n">
        <v>45398</v>
      </c>
      <c r="D599" s="33" t="n">
        <v>4</v>
      </c>
      <c r="E599" s="33" t="s">
        <v>154</v>
      </c>
      <c r="F599" s="33" t="s">
        <v>155</v>
      </c>
      <c r="G599" s="33" t="s">
        <v>302</v>
      </c>
      <c r="H599" s="33" t="s">
        <v>157</v>
      </c>
      <c r="I599" s="33" t="s">
        <v>152</v>
      </c>
      <c r="J599" s="33" t="s">
        <v>159</v>
      </c>
      <c r="K599" s="33" t="s">
        <v>184</v>
      </c>
      <c r="L599" s="35" t="n">
        <v>786.71</v>
      </c>
      <c r="M599" s="33" t="n">
        <v>4</v>
      </c>
      <c r="N599" s="33" t="s">
        <v>210</v>
      </c>
      <c r="O599" s="33" t="s">
        <v>147</v>
      </c>
      <c r="P599" s="39" t="n">
        <f aca="false">C599-B599</f>
        <v>1</v>
      </c>
      <c r="Q599" s="40" t="str">
        <f aca="false">CHOOSE(MONTH(B599),"يناير","فبراير","مارس","أبريل","مايو","يونيو","يوليو","أغسطس","سبتمبر","أكتوبر","نوفمبر","ديسمبر")</f>
        <v>أبريل</v>
      </c>
      <c r="R599" s="40" t="str">
        <f aca="false">"الربع "&amp;ROUNDUP(MONTH(B599)/3,0)</f>
        <v>الربع 2</v>
      </c>
      <c r="S599" s="40" t="str">
        <f aca="false">IF(D599&lt;=12,"أطفال (0-12)",IF(D599&lt;=24,"شباب (13-24)",IF(D599&lt;=44,"بالغون (25-44)",IF(D599&lt;=64,"متوسطو العمر (45-64)","كبار السن (+65)"))))</f>
        <v>أطفال (0-12)</v>
      </c>
      <c r="T599" s="41" t="n">
        <f aca="false">IFERROR(L599/P599,0)</f>
        <v>786.71</v>
      </c>
    </row>
    <row r="600" customFormat="false" ht="15" hidden="false" customHeight="false" outlineLevel="0" collapsed="false">
      <c r="A600" s="42" t="s">
        <v>782</v>
      </c>
      <c r="B600" s="43" t="n">
        <v>45397</v>
      </c>
      <c r="C600" s="43" t="n">
        <v>45401</v>
      </c>
      <c r="D600" s="42" t="n">
        <v>79</v>
      </c>
      <c r="E600" s="42" t="s">
        <v>154</v>
      </c>
      <c r="F600" s="42" t="s">
        <v>169</v>
      </c>
      <c r="G600" s="42" t="s">
        <v>213</v>
      </c>
      <c r="H600" s="42" t="s">
        <v>195</v>
      </c>
      <c r="I600" s="42" t="s">
        <v>143</v>
      </c>
      <c r="J600" s="42" t="s">
        <v>159</v>
      </c>
      <c r="K600" s="42" t="s">
        <v>160</v>
      </c>
      <c r="L600" s="44" t="n">
        <v>4554.24</v>
      </c>
      <c r="M600" s="42" t="n">
        <v>3</v>
      </c>
      <c r="N600" s="42" t="s">
        <v>146</v>
      </c>
      <c r="O600" s="42" t="s">
        <v>147</v>
      </c>
      <c r="P600" s="39" t="n">
        <f aca="false">C600-B600</f>
        <v>4</v>
      </c>
      <c r="Q600" s="40" t="str">
        <f aca="false">CHOOSE(MONTH(B600),"يناير","فبراير","مارس","أبريل","مايو","يونيو","يوليو","أغسطس","سبتمبر","أكتوبر","نوفمبر","ديسمبر")</f>
        <v>أبريل</v>
      </c>
      <c r="R600" s="40" t="str">
        <f aca="false">"الربع "&amp;ROUNDUP(MONTH(B600)/3,0)</f>
        <v>الربع 2</v>
      </c>
      <c r="S600" s="40" t="str">
        <f aca="false">IF(D600&lt;=12,"أطفال (0-12)",IF(D600&lt;=24,"شباب (13-24)",IF(D600&lt;=44,"بالغون (25-44)",IF(D600&lt;=64,"متوسطو العمر (45-64)","كبار السن (+65)"))))</f>
        <v>كبار السن (+65)</v>
      </c>
      <c r="T600" s="41" t="n">
        <f aca="false">IFERROR(L600/P600,0)</f>
        <v>1138.56</v>
      </c>
    </row>
    <row r="601" customFormat="false" ht="15" hidden="false" customHeight="false" outlineLevel="0" collapsed="false">
      <c r="A601" s="33" t="s">
        <v>1700</v>
      </c>
      <c r="B601" s="34" t="n">
        <v>45397</v>
      </c>
      <c r="C601" s="34" t="n">
        <v>45413</v>
      </c>
      <c r="D601" s="33" t="n">
        <v>35</v>
      </c>
      <c r="E601" s="33" t="s">
        <v>154</v>
      </c>
      <c r="F601" s="33" t="s">
        <v>169</v>
      </c>
      <c r="G601" s="33" t="s">
        <v>170</v>
      </c>
      <c r="H601" s="33" t="s">
        <v>171</v>
      </c>
      <c r="I601" s="33" t="s">
        <v>143</v>
      </c>
      <c r="J601" s="33" t="s">
        <v>159</v>
      </c>
      <c r="K601" s="33" t="s">
        <v>209</v>
      </c>
      <c r="L601" s="35" t="n">
        <v>24556.62</v>
      </c>
      <c r="M601" s="33" t="n">
        <v>2</v>
      </c>
      <c r="N601" s="33" t="s">
        <v>146</v>
      </c>
      <c r="O601" s="33" t="s">
        <v>147</v>
      </c>
      <c r="P601" s="39" t="n">
        <f aca="false">C601-B601</f>
        <v>16</v>
      </c>
      <c r="Q601" s="40" t="str">
        <f aca="false">CHOOSE(MONTH(B601),"يناير","فبراير","مارس","أبريل","مايو","يونيو","يوليو","أغسطس","سبتمبر","أكتوبر","نوفمبر","ديسمبر")</f>
        <v>أبريل</v>
      </c>
      <c r="R601" s="40" t="str">
        <f aca="false">"الربع "&amp;ROUNDUP(MONTH(B601)/3,0)</f>
        <v>الربع 2</v>
      </c>
      <c r="S601" s="40" t="str">
        <f aca="false">IF(D601&lt;=12,"أطفال (0-12)",IF(D601&lt;=24,"شباب (13-24)",IF(D601&lt;=44,"بالغون (25-44)",IF(D601&lt;=64,"متوسطو العمر (45-64)","كبار السن (+65)"))))</f>
        <v>بالغون (25-44)</v>
      </c>
      <c r="T601" s="41" t="n">
        <f aca="false">IFERROR(L601/P601,0)</f>
        <v>1534.78875</v>
      </c>
    </row>
    <row r="602" customFormat="false" ht="15" hidden="false" customHeight="false" outlineLevel="0" collapsed="false">
      <c r="A602" s="42" t="s">
        <v>1923</v>
      </c>
      <c r="B602" s="43" t="n">
        <v>45398</v>
      </c>
      <c r="C602" s="43" t="n">
        <v>45399</v>
      </c>
      <c r="D602" s="42" t="n">
        <v>37</v>
      </c>
      <c r="E602" s="42" t="s">
        <v>139</v>
      </c>
      <c r="F602" s="42" t="s">
        <v>149</v>
      </c>
      <c r="G602" s="42" t="s">
        <v>224</v>
      </c>
      <c r="H602" s="42" t="s">
        <v>186</v>
      </c>
      <c r="I602" s="42" t="s">
        <v>152</v>
      </c>
      <c r="J602" s="42" t="s">
        <v>159</v>
      </c>
      <c r="K602" s="42" t="s">
        <v>209</v>
      </c>
      <c r="L602" s="44" t="n">
        <v>1345.52</v>
      </c>
      <c r="M602" s="42" t="n">
        <v>4</v>
      </c>
      <c r="N602" s="42" t="s">
        <v>146</v>
      </c>
      <c r="O602" s="42" t="s">
        <v>147</v>
      </c>
      <c r="P602" s="39" t="n">
        <f aca="false">C602-B602</f>
        <v>1</v>
      </c>
      <c r="Q602" s="40" t="str">
        <f aca="false">CHOOSE(MONTH(B602),"يناير","فبراير","مارس","أبريل","مايو","يونيو","يوليو","أغسطس","سبتمبر","أكتوبر","نوفمبر","ديسمبر")</f>
        <v>أبريل</v>
      </c>
      <c r="R602" s="40" t="str">
        <f aca="false">"الربع "&amp;ROUNDUP(MONTH(B602)/3,0)</f>
        <v>الربع 2</v>
      </c>
      <c r="S602" s="40" t="str">
        <f aca="false">IF(D602&lt;=12,"أطفال (0-12)",IF(D602&lt;=24,"شباب (13-24)",IF(D602&lt;=44,"بالغون (25-44)",IF(D602&lt;=64,"متوسطو العمر (45-64)","كبار السن (+65)"))))</f>
        <v>بالغون (25-44)</v>
      </c>
      <c r="T602" s="41" t="n">
        <f aca="false">IFERROR(L602/P602,0)</f>
        <v>1345.52</v>
      </c>
    </row>
    <row r="603" customFormat="false" ht="15" hidden="false" customHeight="false" outlineLevel="0" collapsed="false">
      <c r="A603" s="33" t="s">
        <v>2005</v>
      </c>
      <c r="B603" s="34" t="n">
        <v>45398</v>
      </c>
      <c r="C603" s="34" t="n">
        <v>45413</v>
      </c>
      <c r="D603" s="33" t="n">
        <v>47</v>
      </c>
      <c r="E603" s="33" t="s">
        <v>154</v>
      </c>
      <c r="F603" s="33" t="s">
        <v>226</v>
      </c>
      <c r="G603" s="33" t="s">
        <v>227</v>
      </c>
      <c r="H603" s="33" t="s">
        <v>228</v>
      </c>
      <c r="I603" s="33" t="s">
        <v>152</v>
      </c>
      <c r="J603" s="33" t="s">
        <v>144</v>
      </c>
      <c r="K603" s="33" t="s">
        <v>160</v>
      </c>
      <c r="L603" s="35" t="n">
        <v>81389.86</v>
      </c>
      <c r="M603" s="33" t="n">
        <v>3</v>
      </c>
      <c r="N603" s="33" t="s">
        <v>210</v>
      </c>
      <c r="O603" s="33" t="s">
        <v>147</v>
      </c>
      <c r="P603" s="39" t="n">
        <f aca="false">C603-B603</f>
        <v>15</v>
      </c>
      <c r="Q603" s="40" t="str">
        <f aca="false">CHOOSE(MONTH(B603),"يناير","فبراير","مارس","أبريل","مايو","يونيو","يوليو","أغسطس","سبتمبر","أكتوبر","نوفمبر","ديسمبر")</f>
        <v>أبريل</v>
      </c>
      <c r="R603" s="40" t="str">
        <f aca="false">"الربع "&amp;ROUNDUP(MONTH(B603)/3,0)</f>
        <v>الربع 2</v>
      </c>
      <c r="S603" s="40" t="str">
        <f aca="false">IF(D603&lt;=12,"أطفال (0-12)",IF(D603&lt;=24,"شباب (13-24)",IF(D603&lt;=44,"بالغون (25-44)",IF(D603&lt;=64,"متوسطو العمر (45-64)","كبار السن (+65)"))))</f>
        <v>متوسطو العمر (45-64)</v>
      </c>
      <c r="T603" s="41" t="n">
        <f aca="false">IFERROR(L603/P603,0)</f>
        <v>5425.99066666667</v>
      </c>
    </row>
    <row r="604" customFormat="false" ht="15" hidden="false" customHeight="false" outlineLevel="0" collapsed="false">
      <c r="A604" s="42" t="s">
        <v>335</v>
      </c>
      <c r="B604" s="43" t="n">
        <v>45398</v>
      </c>
      <c r="C604" s="43" t="n">
        <v>45403</v>
      </c>
      <c r="D604" s="42" t="n">
        <v>13</v>
      </c>
      <c r="E604" s="42" t="s">
        <v>139</v>
      </c>
      <c r="F604" s="42" t="s">
        <v>169</v>
      </c>
      <c r="G604" s="42" t="s">
        <v>230</v>
      </c>
      <c r="H604" s="42" t="s">
        <v>195</v>
      </c>
      <c r="I604" s="42" t="s">
        <v>152</v>
      </c>
      <c r="J604" s="42" t="s">
        <v>159</v>
      </c>
      <c r="K604" s="42" t="s">
        <v>160</v>
      </c>
      <c r="L604" s="44" t="n">
        <v>6641.24</v>
      </c>
      <c r="M604" s="42" t="n">
        <v>3</v>
      </c>
      <c r="N604" s="42" t="s">
        <v>146</v>
      </c>
      <c r="O604" s="42" t="s">
        <v>147</v>
      </c>
      <c r="P604" s="39" t="n">
        <f aca="false">C604-B604</f>
        <v>5</v>
      </c>
      <c r="Q604" s="40" t="str">
        <f aca="false">CHOOSE(MONTH(B604),"يناير","فبراير","مارس","أبريل","مايو","يونيو","يوليو","أغسطس","سبتمبر","أكتوبر","نوفمبر","ديسمبر")</f>
        <v>أبريل</v>
      </c>
      <c r="R604" s="40" t="str">
        <f aca="false">"الربع "&amp;ROUNDUP(MONTH(B604)/3,0)</f>
        <v>الربع 2</v>
      </c>
      <c r="S604" s="40" t="str">
        <f aca="false">IF(D604&lt;=12,"أطفال (0-12)",IF(D604&lt;=24,"شباب (13-24)",IF(D604&lt;=44,"بالغون (25-44)",IF(D604&lt;=64,"متوسطو العمر (45-64)","كبار السن (+65)"))))</f>
        <v>شباب (13-24)</v>
      </c>
      <c r="T604" s="41" t="n">
        <f aca="false">IFERROR(L604/P604,0)</f>
        <v>1328.248</v>
      </c>
    </row>
    <row r="605" customFormat="false" ht="15" hidden="false" customHeight="false" outlineLevel="0" collapsed="false">
      <c r="A605" s="33" t="s">
        <v>2069</v>
      </c>
      <c r="B605" s="34" t="n">
        <v>45398</v>
      </c>
      <c r="C605" s="34" t="n">
        <v>45399</v>
      </c>
      <c r="D605" s="33" t="n">
        <v>10</v>
      </c>
      <c r="E605" s="33" t="s">
        <v>154</v>
      </c>
      <c r="F605" s="33" t="s">
        <v>155</v>
      </c>
      <c r="G605" s="33" t="s">
        <v>220</v>
      </c>
      <c r="H605" s="33" t="s">
        <v>222</v>
      </c>
      <c r="I605" s="33" t="s">
        <v>152</v>
      </c>
      <c r="J605" s="33" t="s">
        <v>159</v>
      </c>
      <c r="K605" s="33" t="s">
        <v>184</v>
      </c>
      <c r="L605" s="35" t="n">
        <v>877.76</v>
      </c>
      <c r="M605" s="33" t="n">
        <v>3</v>
      </c>
      <c r="N605" s="33" t="s">
        <v>146</v>
      </c>
      <c r="O605" s="33" t="s">
        <v>147</v>
      </c>
      <c r="P605" s="39" t="n">
        <f aca="false">C605-B605</f>
        <v>1</v>
      </c>
      <c r="Q605" s="40" t="str">
        <f aca="false">CHOOSE(MONTH(B605),"يناير","فبراير","مارس","أبريل","مايو","يونيو","يوليو","أغسطس","سبتمبر","أكتوبر","نوفمبر","ديسمبر")</f>
        <v>أبريل</v>
      </c>
      <c r="R605" s="40" t="str">
        <f aca="false">"الربع "&amp;ROUNDUP(MONTH(B605)/3,0)</f>
        <v>الربع 2</v>
      </c>
      <c r="S605" s="40" t="str">
        <f aca="false">IF(D605&lt;=12,"أطفال (0-12)",IF(D605&lt;=24,"شباب (13-24)",IF(D605&lt;=44,"بالغون (25-44)",IF(D605&lt;=64,"متوسطو العمر (45-64)","كبار السن (+65)"))))</f>
        <v>أطفال (0-12)</v>
      </c>
      <c r="T605" s="41" t="n">
        <f aca="false">IFERROR(L605/P605,0)</f>
        <v>877.76</v>
      </c>
    </row>
    <row r="606" customFormat="false" ht="15" hidden="false" customHeight="false" outlineLevel="0" collapsed="false">
      <c r="A606" s="42" t="s">
        <v>1366</v>
      </c>
      <c r="B606" s="43" t="n">
        <v>45398</v>
      </c>
      <c r="C606" s="43" t="n">
        <v>45400</v>
      </c>
      <c r="D606" s="42" t="n">
        <v>51</v>
      </c>
      <c r="E606" s="42" t="s">
        <v>154</v>
      </c>
      <c r="F606" s="42" t="s">
        <v>181</v>
      </c>
      <c r="G606" s="42" t="s">
        <v>188</v>
      </c>
      <c r="H606" s="42" t="s">
        <v>183</v>
      </c>
      <c r="I606" s="42" t="s">
        <v>143</v>
      </c>
      <c r="J606" s="42" t="s">
        <v>159</v>
      </c>
      <c r="K606" s="42" t="s">
        <v>160</v>
      </c>
      <c r="L606" s="44" t="n">
        <v>4399.25</v>
      </c>
      <c r="M606" s="42" t="n">
        <v>5</v>
      </c>
      <c r="N606" s="42" t="s">
        <v>146</v>
      </c>
      <c r="O606" s="42" t="s">
        <v>147</v>
      </c>
      <c r="P606" s="39" t="n">
        <f aca="false">C606-B606</f>
        <v>2</v>
      </c>
      <c r="Q606" s="40" t="str">
        <f aca="false">CHOOSE(MONTH(B606),"يناير","فبراير","مارس","أبريل","مايو","يونيو","يوليو","أغسطس","سبتمبر","أكتوبر","نوفمبر","ديسمبر")</f>
        <v>أبريل</v>
      </c>
      <c r="R606" s="40" t="str">
        <f aca="false">"الربع "&amp;ROUNDUP(MONTH(B606)/3,0)</f>
        <v>الربع 2</v>
      </c>
      <c r="S606" s="40" t="str">
        <f aca="false">IF(D606&lt;=12,"أطفال (0-12)",IF(D606&lt;=24,"شباب (13-24)",IF(D606&lt;=44,"بالغون (25-44)",IF(D606&lt;=64,"متوسطو العمر (45-64)","كبار السن (+65)"))))</f>
        <v>متوسطو العمر (45-64)</v>
      </c>
      <c r="T606" s="41" t="n">
        <f aca="false">IFERROR(L606/P606,0)</f>
        <v>2199.625</v>
      </c>
    </row>
    <row r="607" customFormat="false" ht="15" hidden="false" customHeight="false" outlineLevel="0" collapsed="false">
      <c r="A607" s="33" t="s">
        <v>677</v>
      </c>
      <c r="B607" s="34" t="n">
        <v>45398</v>
      </c>
      <c r="C607" s="34" t="n">
        <v>45400</v>
      </c>
      <c r="D607" s="33" t="n">
        <v>51</v>
      </c>
      <c r="E607" s="33" t="s">
        <v>139</v>
      </c>
      <c r="F607" s="33" t="s">
        <v>169</v>
      </c>
      <c r="G607" s="33" t="s">
        <v>163</v>
      </c>
      <c r="H607" s="33" t="s">
        <v>171</v>
      </c>
      <c r="I607" s="33" t="s">
        <v>143</v>
      </c>
      <c r="J607" s="33" t="s">
        <v>159</v>
      </c>
      <c r="K607" s="33" t="s">
        <v>184</v>
      </c>
      <c r="L607" s="35" t="n">
        <v>2196.54</v>
      </c>
      <c r="M607" s="33" t="n">
        <v>5</v>
      </c>
      <c r="N607" s="33" t="s">
        <v>146</v>
      </c>
      <c r="O607" s="33" t="s">
        <v>147</v>
      </c>
      <c r="P607" s="39" t="n">
        <f aca="false">C607-B607</f>
        <v>2</v>
      </c>
      <c r="Q607" s="40" t="str">
        <f aca="false">CHOOSE(MONTH(B607),"يناير","فبراير","مارس","أبريل","مايو","يونيو","يوليو","أغسطس","سبتمبر","أكتوبر","نوفمبر","ديسمبر")</f>
        <v>أبريل</v>
      </c>
      <c r="R607" s="40" t="str">
        <f aca="false">"الربع "&amp;ROUNDUP(MONTH(B607)/3,0)</f>
        <v>الربع 2</v>
      </c>
      <c r="S607" s="40" t="str">
        <f aca="false">IF(D607&lt;=12,"أطفال (0-12)",IF(D607&lt;=24,"شباب (13-24)",IF(D607&lt;=44,"بالغون (25-44)",IF(D607&lt;=64,"متوسطو العمر (45-64)","كبار السن (+65)"))))</f>
        <v>متوسطو العمر (45-64)</v>
      </c>
      <c r="T607" s="41" t="n">
        <f aca="false">IFERROR(L607/P607,0)</f>
        <v>1098.27</v>
      </c>
    </row>
    <row r="608" customFormat="false" ht="15" hidden="false" customHeight="false" outlineLevel="0" collapsed="false">
      <c r="A608" s="42" t="s">
        <v>541</v>
      </c>
      <c r="B608" s="43" t="n">
        <v>45399</v>
      </c>
      <c r="C608" s="43" t="n">
        <v>45403</v>
      </c>
      <c r="D608" s="42" t="n">
        <v>48</v>
      </c>
      <c r="E608" s="42" t="s">
        <v>139</v>
      </c>
      <c r="F608" s="42" t="s">
        <v>173</v>
      </c>
      <c r="G608" s="42" t="s">
        <v>174</v>
      </c>
      <c r="H608" s="42" t="s">
        <v>199</v>
      </c>
      <c r="I608" s="42" t="s">
        <v>143</v>
      </c>
      <c r="J608" s="42" t="s">
        <v>159</v>
      </c>
      <c r="K608" s="42" t="s">
        <v>160</v>
      </c>
      <c r="L608" s="44" t="n">
        <v>10884.57</v>
      </c>
      <c r="M608" s="42" t="n">
        <v>5</v>
      </c>
      <c r="N608" s="42" t="s">
        <v>146</v>
      </c>
      <c r="O608" s="42" t="s">
        <v>147</v>
      </c>
      <c r="P608" s="39" t="n">
        <f aca="false">C608-B608</f>
        <v>4</v>
      </c>
      <c r="Q608" s="40" t="str">
        <f aca="false">CHOOSE(MONTH(B608),"يناير","فبراير","مارس","أبريل","مايو","يونيو","يوليو","أغسطس","سبتمبر","أكتوبر","نوفمبر","ديسمبر")</f>
        <v>أبريل</v>
      </c>
      <c r="R608" s="40" t="str">
        <f aca="false">"الربع "&amp;ROUNDUP(MONTH(B608)/3,0)</f>
        <v>الربع 2</v>
      </c>
      <c r="S608" s="40" t="str">
        <f aca="false">IF(D608&lt;=12,"أطفال (0-12)",IF(D608&lt;=24,"شباب (13-24)",IF(D608&lt;=44,"بالغون (25-44)",IF(D608&lt;=64,"متوسطو العمر (45-64)","كبار السن (+65)"))))</f>
        <v>متوسطو العمر (45-64)</v>
      </c>
      <c r="T608" s="41" t="n">
        <f aca="false">IFERROR(L608/P608,0)</f>
        <v>2721.1425</v>
      </c>
    </row>
    <row r="609" customFormat="false" ht="15" hidden="false" customHeight="false" outlineLevel="0" collapsed="false">
      <c r="A609" s="33" t="s">
        <v>248</v>
      </c>
      <c r="B609" s="34" t="n">
        <v>45399</v>
      </c>
      <c r="C609" s="34" t="n">
        <v>45400</v>
      </c>
      <c r="D609" s="33" t="n">
        <v>40</v>
      </c>
      <c r="E609" s="33" t="s">
        <v>154</v>
      </c>
      <c r="F609" s="33" t="s">
        <v>203</v>
      </c>
      <c r="G609" s="33" t="s">
        <v>204</v>
      </c>
      <c r="H609" s="33" t="s">
        <v>193</v>
      </c>
      <c r="I609" s="33" t="s">
        <v>143</v>
      </c>
      <c r="J609" s="33" t="s">
        <v>159</v>
      </c>
      <c r="K609" s="33" t="s">
        <v>145</v>
      </c>
      <c r="L609" s="35" t="n">
        <v>861.64</v>
      </c>
      <c r="M609" s="33" t="n">
        <v>3</v>
      </c>
      <c r="N609" s="33" t="s">
        <v>146</v>
      </c>
      <c r="O609" s="33" t="s">
        <v>147</v>
      </c>
      <c r="P609" s="39" t="n">
        <f aca="false">C609-B609</f>
        <v>1</v>
      </c>
      <c r="Q609" s="40" t="str">
        <f aca="false">CHOOSE(MONTH(B609),"يناير","فبراير","مارس","أبريل","مايو","يونيو","يوليو","أغسطس","سبتمبر","أكتوبر","نوفمبر","ديسمبر")</f>
        <v>أبريل</v>
      </c>
      <c r="R609" s="40" t="str">
        <f aca="false">"الربع "&amp;ROUNDUP(MONTH(B609)/3,0)</f>
        <v>الربع 2</v>
      </c>
      <c r="S609" s="40" t="str">
        <f aca="false">IF(D609&lt;=12,"أطفال (0-12)",IF(D609&lt;=24,"شباب (13-24)",IF(D609&lt;=44,"بالغون (25-44)",IF(D609&lt;=64,"متوسطو العمر (45-64)","كبار السن (+65)"))))</f>
        <v>بالغون (25-44)</v>
      </c>
      <c r="T609" s="41" t="n">
        <f aca="false">IFERROR(L609/P609,0)</f>
        <v>861.64</v>
      </c>
    </row>
    <row r="610" customFormat="false" ht="15" hidden="false" customHeight="false" outlineLevel="0" collapsed="false">
      <c r="A610" s="42" t="s">
        <v>480</v>
      </c>
      <c r="B610" s="43" t="n">
        <v>45399</v>
      </c>
      <c r="C610" s="43" t="n">
        <v>45402</v>
      </c>
      <c r="D610" s="42" t="n">
        <v>24</v>
      </c>
      <c r="E610" s="42" t="s">
        <v>139</v>
      </c>
      <c r="F610" s="42" t="s">
        <v>149</v>
      </c>
      <c r="G610" s="42" t="s">
        <v>224</v>
      </c>
      <c r="H610" s="42" t="s">
        <v>186</v>
      </c>
      <c r="I610" s="42" t="s">
        <v>143</v>
      </c>
      <c r="J610" s="42" t="s">
        <v>159</v>
      </c>
      <c r="K610" s="42" t="s">
        <v>184</v>
      </c>
      <c r="L610" s="44" t="n">
        <v>4639.16</v>
      </c>
      <c r="M610" s="42" t="n">
        <v>4</v>
      </c>
      <c r="N610" s="42" t="s">
        <v>146</v>
      </c>
      <c r="O610" s="42" t="s">
        <v>147</v>
      </c>
      <c r="P610" s="39" t="n">
        <f aca="false">C610-B610</f>
        <v>3</v>
      </c>
      <c r="Q610" s="40" t="str">
        <f aca="false">CHOOSE(MONTH(B610),"يناير","فبراير","مارس","أبريل","مايو","يونيو","يوليو","أغسطس","سبتمبر","أكتوبر","نوفمبر","ديسمبر")</f>
        <v>أبريل</v>
      </c>
      <c r="R610" s="40" t="str">
        <f aca="false">"الربع "&amp;ROUNDUP(MONTH(B610)/3,0)</f>
        <v>الربع 2</v>
      </c>
      <c r="S610" s="40" t="str">
        <f aca="false">IF(D610&lt;=12,"أطفال (0-12)",IF(D610&lt;=24,"شباب (13-24)",IF(D610&lt;=44,"بالغون (25-44)",IF(D610&lt;=64,"متوسطو العمر (45-64)","كبار السن (+65)"))))</f>
        <v>شباب (13-24)</v>
      </c>
      <c r="T610" s="41" t="n">
        <f aca="false">IFERROR(L610/P610,0)</f>
        <v>1546.38666666667</v>
      </c>
    </row>
    <row r="611" customFormat="false" ht="15" hidden="false" customHeight="false" outlineLevel="0" collapsed="false">
      <c r="A611" s="33" t="s">
        <v>1209</v>
      </c>
      <c r="B611" s="34" t="n">
        <v>45399</v>
      </c>
      <c r="C611" s="34" t="n">
        <v>45404</v>
      </c>
      <c r="D611" s="33" t="n">
        <v>56</v>
      </c>
      <c r="E611" s="33" t="s">
        <v>139</v>
      </c>
      <c r="F611" s="33" t="s">
        <v>226</v>
      </c>
      <c r="G611" s="33" t="s">
        <v>258</v>
      </c>
      <c r="H611" s="33" t="s">
        <v>228</v>
      </c>
      <c r="I611" s="33" t="s">
        <v>143</v>
      </c>
      <c r="J611" s="33" t="s">
        <v>144</v>
      </c>
      <c r="K611" s="33" t="s">
        <v>160</v>
      </c>
      <c r="L611" s="35" t="n">
        <v>29696.1</v>
      </c>
      <c r="M611" s="33" t="n">
        <v>4</v>
      </c>
      <c r="N611" s="33" t="s">
        <v>210</v>
      </c>
      <c r="O611" s="33" t="s">
        <v>147</v>
      </c>
      <c r="P611" s="39" t="n">
        <f aca="false">C611-B611</f>
        <v>5</v>
      </c>
      <c r="Q611" s="40" t="str">
        <f aca="false">CHOOSE(MONTH(B611),"يناير","فبراير","مارس","أبريل","مايو","يونيو","يوليو","أغسطس","سبتمبر","أكتوبر","نوفمبر","ديسمبر")</f>
        <v>أبريل</v>
      </c>
      <c r="R611" s="40" t="str">
        <f aca="false">"الربع "&amp;ROUNDUP(MONTH(B611)/3,0)</f>
        <v>الربع 2</v>
      </c>
      <c r="S611" s="40" t="str">
        <f aca="false">IF(D611&lt;=12,"أطفال (0-12)",IF(D611&lt;=24,"شباب (13-24)",IF(D611&lt;=44,"بالغون (25-44)",IF(D611&lt;=64,"متوسطو العمر (45-64)","كبار السن (+65)"))))</f>
        <v>متوسطو العمر (45-64)</v>
      </c>
      <c r="T611" s="41" t="n">
        <f aca="false">IFERROR(L611/P611,0)</f>
        <v>5939.22</v>
      </c>
    </row>
    <row r="612" customFormat="false" ht="15" hidden="false" customHeight="false" outlineLevel="0" collapsed="false">
      <c r="A612" s="42" t="s">
        <v>320</v>
      </c>
      <c r="B612" s="43" t="n">
        <v>45399</v>
      </c>
      <c r="C612" s="43" t="n">
        <v>45400</v>
      </c>
      <c r="D612" s="42" t="n">
        <v>9</v>
      </c>
      <c r="E612" s="42" t="s">
        <v>154</v>
      </c>
      <c r="F612" s="42" t="s">
        <v>155</v>
      </c>
      <c r="G612" s="42" t="s">
        <v>220</v>
      </c>
      <c r="H612" s="42" t="s">
        <v>222</v>
      </c>
      <c r="I612" s="42" t="s">
        <v>158</v>
      </c>
      <c r="J612" s="42" t="s">
        <v>159</v>
      </c>
      <c r="K612" s="42" t="s">
        <v>160</v>
      </c>
      <c r="L612" s="44" t="n">
        <v>1005.85</v>
      </c>
      <c r="M612" s="42" t="n">
        <v>4</v>
      </c>
      <c r="N612" s="42" t="s">
        <v>146</v>
      </c>
      <c r="O612" s="42" t="s">
        <v>147</v>
      </c>
      <c r="P612" s="39" t="n">
        <f aca="false">C612-B612</f>
        <v>1</v>
      </c>
      <c r="Q612" s="40" t="str">
        <f aca="false">CHOOSE(MONTH(B612),"يناير","فبراير","مارس","أبريل","مايو","يونيو","يوليو","أغسطس","سبتمبر","أكتوبر","نوفمبر","ديسمبر")</f>
        <v>أبريل</v>
      </c>
      <c r="R612" s="40" t="str">
        <f aca="false">"الربع "&amp;ROUNDUP(MONTH(B612)/3,0)</f>
        <v>الربع 2</v>
      </c>
      <c r="S612" s="40" t="str">
        <f aca="false">IF(D612&lt;=12,"أطفال (0-12)",IF(D612&lt;=24,"شباب (13-24)",IF(D612&lt;=44,"بالغون (25-44)",IF(D612&lt;=64,"متوسطو العمر (45-64)","كبار السن (+65)"))))</f>
        <v>أطفال (0-12)</v>
      </c>
      <c r="T612" s="41" t="n">
        <f aca="false">IFERROR(L612/P612,0)</f>
        <v>1005.85</v>
      </c>
    </row>
    <row r="613" customFormat="false" ht="15" hidden="false" customHeight="false" outlineLevel="0" collapsed="false">
      <c r="A613" s="33" t="s">
        <v>448</v>
      </c>
      <c r="B613" s="34" t="n">
        <v>45400</v>
      </c>
      <c r="C613" s="34" t="n">
        <v>45402</v>
      </c>
      <c r="D613" s="33" t="n">
        <v>58</v>
      </c>
      <c r="E613" s="33" t="s">
        <v>139</v>
      </c>
      <c r="F613" s="33" t="s">
        <v>173</v>
      </c>
      <c r="G613" s="33" t="s">
        <v>174</v>
      </c>
      <c r="H613" s="33" t="s">
        <v>175</v>
      </c>
      <c r="I613" s="33" t="s">
        <v>143</v>
      </c>
      <c r="J613" s="33" t="s">
        <v>159</v>
      </c>
      <c r="K613" s="33" t="s">
        <v>145</v>
      </c>
      <c r="L613" s="35" t="n">
        <v>5259.78</v>
      </c>
      <c r="M613" s="33" t="n">
        <v>3</v>
      </c>
      <c r="N613" s="33" t="s">
        <v>146</v>
      </c>
      <c r="O613" s="33" t="s">
        <v>147</v>
      </c>
      <c r="P613" s="39" t="n">
        <f aca="false">C613-B613</f>
        <v>2</v>
      </c>
      <c r="Q613" s="40" t="str">
        <f aca="false">CHOOSE(MONTH(B613),"يناير","فبراير","مارس","أبريل","مايو","يونيو","يوليو","أغسطس","سبتمبر","أكتوبر","نوفمبر","ديسمبر")</f>
        <v>أبريل</v>
      </c>
      <c r="R613" s="40" t="str">
        <f aca="false">"الربع "&amp;ROUNDUP(MONTH(B613)/3,0)</f>
        <v>الربع 2</v>
      </c>
      <c r="S613" s="40" t="str">
        <f aca="false">IF(D613&lt;=12,"أطفال (0-12)",IF(D613&lt;=24,"شباب (13-24)",IF(D613&lt;=44,"بالغون (25-44)",IF(D613&lt;=64,"متوسطو العمر (45-64)","كبار السن (+65)"))))</f>
        <v>متوسطو العمر (45-64)</v>
      </c>
      <c r="T613" s="41" t="n">
        <f aca="false">IFERROR(L613/P613,0)</f>
        <v>2629.89</v>
      </c>
    </row>
    <row r="614" customFormat="false" ht="15" hidden="false" customHeight="false" outlineLevel="0" collapsed="false">
      <c r="A614" s="42" t="s">
        <v>915</v>
      </c>
      <c r="B614" s="43" t="n">
        <v>45400</v>
      </c>
      <c r="C614" s="43" t="n">
        <v>45403</v>
      </c>
      <c r="D614" s="42" t="n">
        <v>58</v>
      </c>
      <c r="E614" s="42" t="s">
        <v>139</v>
      </c>
      <c r="F614" s="42" t="s">
        <v>203</v>
      </c>
      <c r="G614" s="42" t="s">
        <v>217</v>
      </c>
      <c r="H614" s="42" t="s">
        <v>205</v>
      </c>
      <c r="I614" s="42" t="s">
        <v>143</v>
      </c>
      <c r="J614" s="42" t="s">
        <v>159</v>
      </c>
      <c r="K614" s="42" t="s">
        <v>145</v>
      </c>
      <c r="L614" s="44" t="n">
        <v>2846.69</v>
      </c>
      <c r="M614" s="42" t="n">
        <v>3</v>
      </c>
      <c r="N614" s="42" t="s">
        <v>210</v>
      </c>
      <c r="O614" s="42" t="s">
        <v>147</v>
      </c>
      <c r="P614" s="39" t="n">
        <f aca="false">C614-B614</f>
        <v>3</v>
      </c>
      <c r="Q614" s="40" t="str">
        <f aca="false">CHOOSE(MONTH(B614),"يناير","فبراير","مارس","أبريل","مايو","يونيو","يوليو","أغسطس","سبتمبر","أكتوبر","نوفمبر","ديسمبر")</f>
        <v>أبريل</v>
      </c>
      <c r="R614" s="40" t="str">
        <f aca="false">"الربع "&amp;ROUNDUP(MONTH(B614)/3,0)</f>
        <v>الربع 2</v>
      </c>
      <c r="S614" s="40" t="str">
        <f aca="false">IF(D614&lt;=12,"أطفال (0-12)",IF(D614&lt;=24,"شباب (13-24)",IF(D614&lt;=44,"بالغون (25-44)",IF(D614&lt;=64,"متوسطو العمر (45-64)","كبار السن (+65)"))))</f>
        <v>متوسطو العمر (45-64)</v>
      </c>
      <c r="T614" s="41" t="n">
        <f aca="false">IFERROR(L614/P614,0)</f>
        <v>948.896666666667</v>
      </c>
    </row>
    <row r="615" customFormat="false" ht="15" hidden="false" customHeight="false" outlineLevel="0" collapsed="false">
      <c r="A615" s="33" t="s">
        <v>1819</v>
      </c>
      <c r="B615" s="34" t="n">
        <v>45400</v>
      </c>
      <c r="C615" s="34" t="n">
        <v>45404</v>
      </c>
      <c r="D615" s="33" t="n">
        <v>55</v>
      </c>
      <c r="E615" s="33" t="s">
        <v>139</v>
      </c>
      <c r="F615" s="33" t="s">
        <v>181</v>
      </c>
      <c r="G615" s="33" t="s">
        <v>237</v>
      </c>
      <c r="H615" s="33" t="s">
        <v>245</v>
      </c>
      <c r="I615" s="33" t="s">
        <v>152</v>
      </c>
      <c r="J615" s="33" t="s">
        <v>159</v>
      </c>
      <c r="K615" s="33" t="s">
        <v>160</v>
      </c>
      <c r="L615" s="35" t="n">
        <v>11198.7</v>
      </c>
      <c r="M615" s="33" t="n">
        <v>5</v>
      </c>
      <c r="N615" s="33" t="s">
        <v>146</v>
      </c>
      <c r="O615" s="33" t="s">
        <v>147</v>
      </c>
      <c r="P615" s="39" t="n">
        <f aca="false">C615-B615</f>
        <v>4</v>
      </c>
      <c r="Q615" s="40" t="str">
        <f aca="false">CHOOSE(MONTH(B615),"يناير","فبراير","مارس","أبريل","مايو","يونيو","يوليو","أغسطس","سبتمبر","أكتوبر","نوفمبر","ديسمبر")</f>
        <v>أبريل</v>
      </c>
      <c r="R615" s="40" t="str">
        <f aca="false">"الربع "&amp;ROUNDUP(MONTH(B615)/3,0)</f>
        <v>الربع 2</v>
      </c>
      <c r="S615" s="40" t="str">
        <f aca="false">IF(D615&lt;=12,"أطفال (0-12)",IF(D615&lt;=24,"شباب (13-24)",IF(D615&lt;=44,"بالغون (25-44)",IF(D615&lt;=64,"متوسطو العمر (45-64)","كبار السن (+65)"))))</f>
        <v>متوسطو العمر (45-64)</v>
      </c>
      <c r="T615" s="41" t="n">
        <f aca="false">IFERROR(L615/P615,0)</f>
        <v>2799.675</v>
      </c>
    </row>
    <row r="616" customFormat="false" ht="15" hidden="false" customHeight="false" outlineLevel="0" collapsed="false">
      <c r="A616" s="42" t="s">
        <v>1925</v>
      </c>
      <c r="B616" s="43" t="n">
        <v>45400</v>
      </c>
      <c r="C616" s="43" t="n">
        <v>45402</v>
      </c>
      <c r="D616" s="42" t="n">
        <v>59</v>
      </c>
      <c r="E616" s="42" t="s">
        <v>154</v>
      </c>
      <c r="F616" s="42" t="s">
        <v>203</v>
      </c>
      <c r="G616" s="42" t="s">
        <v>232</v>
      </c>
      <c r="H616" s="42" t="s">
        <v>205</v>
      </c>
      <c r="I616" s="42" t="s">
        <v>143</v>
      </c>
      <c r="J616" s="42" t="s">
        <v>159</v>
      </c>
      <c r="K616" s="42" t="s">
        <v>209</v>
      </c>
      <c r="L616" s="44" t="n">
        <v>2007.64</v>
      </c>
      <c r="M616" s="42" t="n">
        <v>4</v>
      </c>
      <c r="N616" s="42" t="s">
        <v>146</v>
      </c>
      <c r="O616" s="42" t="s">
        <v>147</v>
      </c>
      <c r="P616" s="39" t="n">
        <f aca="false">C616-B616</f>
        <v>2</v>
      </c>
      <c r="Q616" s="40" t="str">
        <f aca="false">CHOOSE(MONTH(B616),"يناير","فبراير","مارس","أبريل","مايو","يونيو","يوليو","أغسطس","سبتمبر","أكتوبر","نوفمبر","ديسمبر")</f>
        <v>أبريل</v>
      </c>
      <c r="R616" s="40" t="str">
        <f aca="false">"الربع "&amp;ROUNDUP(MONTH(B616)/3,0)</f>
        <v>الربع 2</v>
      </c>
      <c r="S616" s="40" t="str">
        <f aca="false">IF(D616&lt;=12,"أطفال (0-12)",IF(D616&lt;=24,"شباب (13-24)",IF(D616&lt;=44,"بالغون (25-44)",IF(D616&lt;=64,"متوسطو العمر (45-64)","كبار السن (+65)"))))</f>
        <v>متوسطو العمر (45-64)</v>
      </c>
      <c r="T616" s="41" t="n">
        <f aca="false">IFERROR(L616/P616,0)</f>
        <v>1003.82</v>
      </c>
    </row>
    <row r="617" customFormat="false" ht="15" hidden="false" customHeight="false" outlineLevel="0" collapsed="false">
      <c r="A617" s="33" t="s">
        <v>1378</v>
      </c>
      <c r="B617" s="34" t="n">
        <v>45400</v>
      </c>
      <c r="C617" s="34" t="n">
        <v>45401</v>
      </c>
      <c r="D617" s="33" t="n">
        <v>23</v>
      </c>
      <c r="E617" s="33" t="s">
        <v>139</v>
      </c>
      <c r="F617" s="33" t="s">
        <v>149</v>
      </c>
      <c r="G617" s="33" t="s">
        <v>224</v>
      </c>
      <c r="H617" s="33" t="s">
        <v>151</v>
      </c>
      <c r="I617" s="33" t="s">
        <v>158</v>
      </c>
      <c r="J617" s="33" t="s">
        <v>159</v>
      </c>
      <c r="K617" s="33" t="s">
        <v>145</v>
      </c>
      <c r="L617" s="35" t="n">
        <v>1563.83</v>
      </c>
      <c r="M617" s="33" t="n">
        <v>5</v>
      </c>
      <c r="N617" s="33" t="s">
        <v>146</v>
      </c>
      <c r="O617" s="33" t="s">
        <v>147</v>
      </c>
      <c r="P617" s="39" t="n">
        <f aca="false">C617-B617</f>
        <v>1</v>
      </c>
      <c r="Q617" s="40" t="str">
        <f aca="false">CHOOSE(MONTH(B617),"يناير","فبراير","مارس","أبريل","مايو","يونيو","يوليو","أغسطس","سبتمبر","أكتوبر","نوفمبر","ديسمبر")</f>
        <v>أبريل</v>
      </c>
      <c r="R617" s="40" t="str">
        <f aca="false">"الربع "&amp;ROUNDUP(MONTH(B617)/3,0)</f>
        <v>الربع 2</v>
      </c>
      <c r="S617" s="40" t="str">
        <f aca="false">IF(D617&lt;=12,"أطفال (0-12)",IF(D617&lt;=24,"شباب (13-24)",IF(D617&lt;=44,"بالغون (25-44)",IF(D617&lt;=64,"متوسطو العمر (45-64)","كبار السن (+65)"))))</f>
        <v>شباب (13-24)</v>
      </c>
      <c r="T617" s="41" t="n">
        <f aca="false">IFERROR(L617/P617,0)</f>
        <v>1563.83</v>
      </c>
    </row>
    <row r="618" customFormat="false" ht="15" hidden="false" customHeight="false" outlineLevel="0" collapsed="false">
      <c r="A618" s="42" t="s">
        <v>1181</v>
      </c>
      <c r="B618" s="43" t="n">
        <v>45400</v>
      </c>
      <c r="C618" s="43" t="n">
        <v>45402</v>
      </c>
      <c r="D618" s="42" t="n">
        <v>43</v>
      </c>
      <c r="E618" s="42" t="s">
        <v>139</v>
      </c>
      <c r="F618" s="42" t="s">
        <v>203</v>
      </c>
      <c r="G618" s="42" t="s">
        <v>232</v>
      </c>
      <c r="H618" s="42" t="s">
        <v>233</v>
      </c>
      <c r="I618" s="42" t="s">
        <v>143</v>
      </c>
      <c r="J618" s="42" t="s">
        <v>159</v>
      </c>
      <c r="K618" s="42" t="s">
        <v>160</v>
      </c>
      <c r="L618" s="44" t="n">
        <v>1498.58</v>
      </c>
      <c r="M618" s="42" t="n">
        <v>4</v>
      </c>
      <c r="N618" s="42" t="s">
        <v>210</v>
      </c>
      <c r="O618" s="42" t="s">
        <v>147</v>
      </c>
      <c r="P618" s="39" t="n">
        <f aca="false">C618-B618</f>
        <v>2</v>
      </c>
      <c r="Q618" s="40" t="str">
        <f aca="false">CHOOSE(MONTH(B618),"يناير","فبراير","مارس","أبريل","مايو","يونيو","يوليو","أغسطس","سبتمبر","أكتوبر","نوفمبر","ديسمبر")</f>
        <v>أبريل</v>
      </c>
      <c r="R618" s="40" t="str">
        <f aca="false">"الربع "&amp;ROUNDUP(MONTH(B618)/3,0)</f>
        <v>الربع 2</v>
      </c>
      <c r="S618" s="40" t="str">
        <f aca="false">IF(D618&lt;=12,"أطفال (0-12)",IF(D618&lt;=24,"شباب (13-24)",IF(D618&lt;=44,"بالغون (25-44)",IF(D618&lt;=64,"متوسطو العمر (45-64)","كبار السن (+65)"))))</f>
        <v>بالغون (25-44)</v>
      </c>
      <c r="T618" s="41" t="n">
        <f aca="false">IFERROR(L618/P618,0)</f>
        <v>749.29</v>
      </c>
    </row>
    <row r="619" customFormat="false" ht="15" hidden="false" customHeight="false" outlineLevel="0" collapsed="false">
      <c r="A619" s="33" t="s">
        <v>501</v>
      </c>
      <c r="B619" s="34" t="n">
        <v>45400</v>
      </c>
      <c r="C619" s="34" t="n">
        <v>45401</v>
      </c>
      <c r="D619" s="33" t="n">
        <v>33</v>
      </c>
      <c r="E619" s="33" t="s">
        <v>139</v>
      </c>
      <c r="F619" s="33" t="s">
        <v>149</v>
      </c>
      <c r="G619" s="33" t="s">
        <v>224</v>
      </c>
      <c r="H619" s="33" t="s">
        <v>186</v>
      </c>
      <c r="I619" s="33" t="s">
        <v>143</v>
      </c>
      <c r="J619" s="33" t="s">
        <v>144</v>
      </c>
      <c r="K619" s="33" t="s">
        <v>145</v>
      </c>
      <c r="L619" s="35" t="n">
        <v>3160.48</v>
      </c>
      <c r="M619" s="33" t="n">
        <v>4</v>
      </c>
      <c r="N619" s="33" t="s">
        <v>210</v>
      </c>
      <c r="O619" s="33" t="s">
        <v>147</v>
      </c>
      <c r="P619" s="39" t="n">
        <f aca="false">C619-B619</f>
        <v>1</v>
      </c>
      <c r="Q619" s="40" t="str">
        <f aca="false">CHOOSE(MONTH(B619),"يناير","فبراير","مارس","أبريل","مايو","يونيو","يوليو","أغسطس","سبتمبر","أكتوبر","نوفمبر","ديسمبر")</f>
        <v>أبريل</v>
      </c>
      <c r="R619" s="40" t="str">
        <f aca="false">"الربع "&amp;ROUNDUP(MONTH(B619)/3,0)</f>
        <v>الربع 2</v>
      </c>
      <c r="S619" s="40" t="str">
        <f aca="false">IF(D619&lt;=12,"أطفال (0-12)",IF(D619&lt;=24,"شباب (13-24)",IF(D619&lt;=44,"بالغون (25-44)",IF(D619&lt;=64,"متوسطو العمر (45-64)","كبار السن (+65)"))))</f>
        <v>بالغون (25-44)</v>
      </c>
      <c r="T619" s="41" t="n">
        <f aca="false">IFERROR(L619/P619,0)</f>
        <v>3160.48</v>
      </c>
    </row>
    <row r="620" customFormat="false" ht="15" hidden="false" customHeight="false" outlineLevel="0" collapsed="false">
      <c r="A620" s="42" t="s">
        <v>1418</v>
      </c>
      <c r="B620" s="43" t="n">
        <v>45400</v>
      </c>
      <c r="C620" s="43" t="n">
        <v>45401</v>
      </c>
      <c r="D620" s="42" t="n">
        <v>9</v>
      </c>
      <c r="E620" s="42" t="s">
        <v>154</v>
      </c>
      <c r="F620" s="42" t="s">
        <v>155</v>
      </c>
      <c r="G620" s="42" t="s">
        <v>302</v>
      </c>
      <c r="H620" s="42" t="s">
        <v>222</v>
      </c>
      <c r="I620" s="42" t="s">
        <v>143</v>
      </c>
      <c r="J620" s="42" t="s">
        <v>144</v>
      </c>
      <c r="K620" s="42" t="s">
        <v>184</v>
      </c>
      <c r="L620" s="44" t="n">
        <v>1196.76</v>
      </c>
      <c r="M620" s="42" t="n">
        <v>2</v>
      </c>
      <c r="N620" s="42" t="s">
        <v>146</v>
      </c>
      <c r="O620" s="42" t="s">
        <v>147</v>
      </c>
      <c r="P620" s="39" t="n">
        <f aca="false">C620-B620</f>
        <v>1</v>
      </c>
      <c r="Q620" s="40" t="str">
        <f aca="false">CHOOSE(MONTH(B620),"يناير","فبراير","مارس","أبريل","مايو","يونيو","يوليو","أغسطس","سبتمبر","أكتوبر","نوفمبر","ديسمبر")</f>
        <v>أبريل</v>
      </c>
      <c r="R620" s="40" t="str">
        <f aca="false">"الربع "&amp;ROUNDUP(MONTH(B620)/3,0)</f>
        <v>الربع 2</v>
      </c>
      <c r="S620" s="40" t="str">
        <f aca="false">IF(D620&lt;=12,"أطفال (0-12)",IF(D620&lt;=24,"شباب (13-24)",IF(D620&lt;=44,"بالغون (25-44)",IF(D620&lt;=64,"متوسطو العمر (45-64)","كبار السن (+65)"))))</f>
        <v>أطفال (0-12)</v>
      </c>
      <c r="T620" s="41" t="n">
        <f aca="false">IFERROR(L620/P620,0)</f>
        <v>1196.76</v>
      </c>
    </row>
    <row r="621" customFormat="false" ht="15" hidden="false" customHeight="false" outlineLevel="0" collapsed="false">
      <c r="A621" s="33" t="s">
        <v>1049</v>
      </c>
      <c r="B621" s="34" t="n">
        <v>45401</v>
      </c>
      <c r="C621" s="34" t="n">
        <v>45404</v>
      </c>
      <c r="D621" s="33" t="n">
        <v>46</v>
      </c>
      <c r="E621" s="33" t="s">
        <v>139</v>
      </c>
      <c r="F621" s="33" t="s">
        <v>181</v>
      </c>
      <c r="G621" s="33" t="s">
        <v>237</v>
      </c>
      <c r="H621" s="33" t="s">
        <v>245</v>
      </c>
      <c r="I621" s="33" t="s">
        <v>143</v>
      </c>
      <c r="J621" s="33" t="s">
        <v>159</v>
      </c>
      <c r="K621" s="33" t="s">
        <v>184</v>
      </c>
      <c r="L621" s="35" t="n">
        <v>6624.85</v>
      </c>
      <c r="M621" s="33" t="n">
        <v>4</v>
      </c>
      <c r="N621" s="33" t="s">
        <v>146</v>
      </c>
      <c r="O621" s="33" t="s">
        <v>206</v>
      </c>
      <c r="P621" s="39" t="n">
        <f aca="false">C621-B621</f>
        <v>3</v>
      </c>
      <c r="Q621" s="40" t="str">
        <f aca="false">CHOOSE(MONTH(B621),"يناير","فبراير","مارس","أبريل","مايو","يونيو","يوليو","أغسطس","سبتمبر","أكتوبر","نوفمبر","ديسمبر")</f>
        <v>أبريل</v>
      </c>
      <c r="R621" s="40" t="str">
        <f aca="false">"الربع "&amp;ROUNDUP(MONTH(B621)/3,0)</f>
        <v>الربع 2</v>
      </c>
      <c r="S621" s="40" t="str">
        <f aca="false">IF(D621&lt;=12,"أطفال (0-12)",IF(D621&lt;=24,"شباب (13-24)",IF(D621&lt;=44,"بالغون (25-44)",IF(D621&lt;=64,"متوسطو العمر (45-64)","كبار السن (+65)"))))</f>
        <v>متوسطو العمر (45-64)</v>
      </c>
      <c r="T621" s="41" t="n">
        <f aca="false">IFERROR(L621/P621,0)</f>
        <v>2208.28333333333</v>
      </c>
    </row>
    <row r="622" customFormat="false" ht="15" hidden="false" customHeight="false" outlineLevel="0" collapsed="false">
      <c r="A622" s="42" t="s">
        <v>1696</v>
      </c>
      <c r="B622" s="43" t="n">
        <v>45401</v>
      </c>
      <c r="C622" s="43" t="n">
        <v>45407</v>
      </c>
      <c r="D622" s="42" t="n">
        <v>45</v>
      </c>
      <c r="E622" s="42" t="s">
        <v>154</v>
      </c>
      <c r="F622" s="42" t="s">
        <v>181</v>
      </c>
      <c r="G622" s="42" t="s">
        <v>188</v>
      </c>
      <c r="H622" s="42" t="s">
        <v>245</v>
      </c>
      <c r="I622" s="42" t="s">
        <v>152</v>
      </c>
      <c r="J622" s="42" t="s">
        <v>159</v>
      </c>
      <c r="K622" s="42" t="s">
        <v>160</v>
      </c>
      <c r="L622" s="44" t="n">
        <v>16654.01</v>
      </c>
      <c r="M622" s="42" t="n">
        <v>4</v>
      </c>
      <c r="N622" s="42" t="s">
        <v>146</v>
      </c>
      <c r="O622" s="42" t="s">
        <v>147</v>
      </c>
      <c r="P622" s="39" t="n">
        <f aca="false">C622-B622</f>
        <v>6</v>
      </c>
      <c r="Q622" s="40" t="str">
        <f aca="false">CHOOSE(MONTH(B622),"يناير","فبراير","مارس","أبريل","مايو","يونيو","يوليو","أغسطس","سبتمبر","أكتوبر","نوفمبر","ديسمبر")</f>
        <v>أبريل</v>
      </c>
      <c r="R622" s="40" t="str">
        <f aca="false">"الربع "&amp;ROUNDUP(MONTH(B622)/3,0)</f>
        <v>الربع 2</v>
      </c>
      <c r="S622" s="40" t="str">
        <f aca="false">IF(D622&lt;=12,"أطفال (0-12)",IF(D622&lt;=24,"شباب (13-24)",IF(D622&lt;=44,"بالغون (25-44)",IF(D622&lt;=64,"متوسطو العمر (45-64)","كبار السن (+65)"))))</f>
        <v>متوسطو العمر (45-64)</v>
      </c>
      <c r="T622" s="41" t="n">
        <f aca="false">IFERROR(L622/P622,0)</f>
        <v>2775.66833333333</v>
      </c>
    </row>
    <row r="623" customFormat="false" ht="15" hidden="false" customHeight="false" outlineLevel="0" collapsed="false">
      <c r="A623" s="33" t="s">
        <v>868</v>
      </c>
      <c r="B623" s="34" t="n">
        <v>45401</v>
      </c>
      <c r="C623" s="34" t="n">
        <v>45405</v>
      </c>
      <c r="D623" s="33" t="n">
        <v>65</v>
      </c>
      <c r="E623" s="33" t="s">
        <v>139</v>
      </c>
      <c r="F623" s="33" t="s">
        <v>226</v>
      </c>
      <c r="G623" s="33" t="s">
        <v>227</v>
      </c>
      <c r="H623" s="33" t="s">
        <v>263</v>
      </c>
      <c r="I623" s="33" t="s">
        <v>143</v>
      </c>
      <c r="J623" s="33" t="s">
        <v>144</v>
      </c>
      <c r="K623" s="33" t="s">
        <v>160</v>
      </c>
      <c r="L623" s="35" t="n">
        <v>16866.85</v>
      </c>
      <c r="M623" s="33" t="n">
        <v>4</v>
      </c>
      <c r="N623" s="33" t="s">
        <v>146</v>
      </c>
      <c r="O623" s="33" t="s">
        <v>147</v>
      </c>
      <c r="P623" s="39" t="n">
        <f aca="false">C623-B623</f>
        <v>4</v>
      </c>
      <c r="Q623" s="40" t="str">
        <f aca="false">CHOOSE(MONTH(B623),"يناير","فبراير","مارس","أبريل","مايو","يونيو","يوليو","أغسطس","سبتمبر","أكتوبر","نوفمبر","ديسمبر")</f>
        <v>أبريل</v>
      </c>
      <c r="R623" s="40" t="str">
        <f aca="false">"الربع "&amp;ROUNDUP(MONTH(B623)/3,0)</f>
        <v>الربع 2</v>
      </c>
      <c r="S623" s="40" t="str">
        <f aca="false">IF(D623&lt;=12,"أطفال (0-12)",IF(D623&lt;=24,"شباب (13-24)",IF(D623&lt;=44,"بالغون (25-44)",IF(D623&lt;=64,"متوسطو العمر (45-64)","كبار السن (+65)"))))</f>
        <v>كبار السن (+65)</v>
      </c>
      <c r="T623" s="41" t="n">
        <f aca="false">IFERROR(L623/P623,0)</f>
        <v>4216.7125</v>
      </c>
    </row>
    <row r="624" customFormat="false" ht="15" hidden="false" customHeight="false" outlineLevel="0" collapsed="false">
      <c r="A624" s="42" t="s">
        <v>860</v>
      </c>
      <c r="B624" s="43" t="n">
        <v>45401</v>
      </c>
      <c r="C624" s="43" t="n">
        <v>45403</v>
      </c>
      <c r="D624" s="42" t="n">
        <v>24</v>
      </c>
      <c r="E624" s="42" t="s">
        <v>139</v>
      </c>
      <c r="F624" s="42" t="s">
        <v>169</v>
      </c>
      <c r="G624" s="42" t="s">
        <v>213</v>
      </c>
      <c r="H624" s="42" t="s">
        <v>164</v>
      </c>
      <c r="I624" s="42" t="s">
        <v>143</v>
      </c>
      <c r="J624" s="42" t="s">
        <v>176</v>
      </c>
      <c r="K624" s="42" t="s">
        <v>209</v>
      </c>
      <c r="L624" s="44" t="n">
        <v>7413.54</v>
      </c>
      <c r="M624" s="42" t="n">
        <v>4</v>
      </c>
      <c r="N624" s="42" t="s">
        <v>146</v>
      </c>
      <c r="O624" s="42" t="s">
        <v>295</v>
      </c>
      <c r="P624" s="39" t="n">
        <f aca="false">C624-B624</f>
        <v>2</v>
      </c>
      <c r="Q624" s="40" t="str">
        <f aca="false">CHOOSE(MONTH(B624),"يناير","فبراير","مارس","أبريل","مايو","يونيو","يوليو","أغسطس","سبتمبر","أكتوبر","نوفمبر","ديسمبر")</f>
        <v>أبريل</v>
      </c>
      <c r="R624" s="40" t="str">
        <f aca="false">"الربع "&amp;ROUNDUP(MONTH(B624)/3,0)</f>
        <v>الربع 2</v>
      </c>
      <c r="S624" s="40" t="str">
        <f aca="false">IF(D624&lt;=12,"أطفال (0-12)",IF(D624&lt;=24,"شباب (13-24)",IF(D624&lt;=44,"بالغون (25-44)",IF(D624&lt;=64,"متوسطو العمر (45-64)","كبار السن (+65)"))))</f>
        <v>شباب (13-24)</v>
      </c>
      <c r="T624" s="41" t="n">
        <f aca="false">IFERROR(L624/P624,0)</f>
        <v>3706.77</v>
      </c>
    </row>
    <row r="625" customFormat="false" ht="15" hidden="false" customHeight="false" outlineLevel="0" collapsed="false">
      <c r="A625" s="33" t="s">
        <v>403</v>
      </c>
      <c r="B625" s="34" t="n">
        <v>45401</v>
      </c>
      <c r="C625" s="34" t="n">
        <v>45406</v>
      </c>
      <c r="D625" s="33" t="n">
        <v>64</v>
      </c>
      <c r="E625" s="33" t="s">
        <v>139</v>
      </c>
      <c r="F625" s="33" t="s">
        <v>226</v>
      </c>
      <c r="G625" s="33" t="s">
        <v>258</v>
      </c>
      <c r="H625" s="33" t="s">
        <v>263</v>
      </c>
      <c r="I625" s="33" t="s">
        <v>143</v>
      </c>
      <c r="J625" s="33" t="s">
        <v>144</v>
      </c>
      <c r="K625" s="33" t="s">
        <v>160</v>
      </c>
      <c r="L625" s="35" t="n">
        <v>26761.37</v>
      </c>
      <c r="M625" s="33" t="n">
        <v>5</v>
      </c>
      <c r="N625" s="33" t="s">
        <v>146</v>
      </c>
      <c r="O625" s="33" t="s">
        <v>295</v>
      </c>
      <c r="P625" s="39" t="n">
        <f aca="false">C625-B625</f>
        <v>5</v>
      </c>
      <c r="Q625" s="40" t="str">
        <f aca="false">CHOOSE(MONTH(B625),"يناير","فبراير","مارس","أبريل","مايو","يونيو","يوليو","أغسطس","سبتمبر","أكتوبر","نوفمبر","ديسمبر")</f>
        <v>أبريل</v>
      </c>
      <c r="R625" s="40" t="str">
        <f aca="false">"الربع "&amp;ROUNDUP(MONTH(B625)/3,0)</f>
        <v>الربع 2</v>
      </c>
      <c r="S625" s="40" t="str">
        <f aca="false">IF(D625&lt;=12,"أطفال (0-12)",IF(D625&lt;=24,"شباب (13-24)",IF(D625&lt;=44,"بالغون (25-44)",IF(D625&lt;=64,"متوسطو العمر (45-64)","كبار السن (+65)"))))</f>
        <v>متوسطو العمر (45-64)</v>
      </c>
      <c r="T625" s="41" t="n">
        <f aca="false">IFERROR(L625/P625,0)</f>
        <v>5352.274</v>
      </c>
    </row>
    <row r="626" customFormat="false" ht="15" hidden="false" customHeight="false" outlineLevel="0" collapsed="false">
      <c r="A626" s="42" t="s">
        <v>1790</v>
      </c>
      <c r="B626" s="43" t="n">
        <v>45401</v>
      </c>
      <c r="C626" s="43" t="n">
        <v>45403</v>
      </c>
      <c r="D626" s="42" t="n">
        <v>27</v>
      </c>
      <c r="E626" s="42" t="s">
        <v>154</v>
      </c>
      <c r="F626" s="42" t="s">
        <v>203</v>
      </c>
      <c r="G626" s="42" t="s">
        <v>217</v>
      </c>
      <c r="H626" s="42" t="s">
        <v>205</v>
      </c>
      <c r="I626" s="42" t="s">
        <v>143</v>
      </c>
      <c r="J626" s="42" t="s">
        <v>159</v>
      </c>
      <c r="K626" s="42" t="s">
        <v>184</v>
      </c>
      <c r="L626" s="44" t="n">
        <v>1541.02</v>
      </c>
      <c r="M626" s="42" t="n">
        <v>4</v>
      </c>
      <c r="N626" s="42" t="s">
        <v>146</v>
      </c>
      <c r="O626" s="42" t="s">
        <v>147</v>
      </c>
      <c r="P626" s="39" t="n">
        <f aca="false">C626-B626</f>
        <v>2</v>
      </c>
      <c r="Q626" s="40" t="str">
        <f aca="false">CHOOSE(MONTH(B626),"يناير","فبراير","مارس","أبريل","مايو","يونيو","يوليو","أغسطس","سبتمبر","أكتوبر","نوفمبر","ديسمبر")</f>
        <v>أبريل</v>
      </c>
      <c r="R626" s="40" t="str">
        <f aca="false">"الربع "&amp;ROUNDUP(MONTH(B626)/3,0)</f>
        <v>الربع 2</v>
      </c>
      <c r="S626" s="40" t="str">
        <f aca="false">IF(D626&lt;=12,"أطفال (0-12)",IF(D626&lt;=24,"شباب (13-24)",IF(D626&lt;=44,"بالغون (25-44)",IF(D626&lt;=64,"متوسطو العمر (45-64)","كبار السن (+65)"))))</f>
        <v>بالغون (25-44)</v>
      </c>
      <c r="T626" s="41" t="n">
        <f aca="false">IFERROR(L626/P626,0)</f>
        <v>770.51</v>
      </c>
    </row>
    <row r="627" customFormat="false" ht="15" hidden="false" customHeight="false" outlineLevel="0" collapsed="false">
      <c r="A627" s="33" t="s">
        <v>1563</v>
      </c>
      <c r="B627" s="34" t="n">
        <v>45402</v>
      </c>
      <c r="C627" s="34" t="n">
        <v>45403</v>
      </c>
      <c r="D627" s="33" t="n">
        <v>46</v>
      </c>
      <c r="E627" s="33" t="s">
        <v>139</v>
      </c>
      <c r="F627" s="33" t="s">
        <v>203</v>
      </c>
      <c r="G627" s="33" t="s">
        <v>217</v>
      </c>
      <c r="H627" s="33" t="s">
        <v>205</v>
      </c>
      <c r="I627" s="33" t="s">
        <v>143</v>
      </c>
      <c r="J627" s="33" t="s">
        <v>159</v>
      </c>
      <c r="K627" s="33" t="s">
        <v>145</v>
      </c>
      <c r="L627" s="35" t="n">
        <v>1022.04</v>
      </c>
      <c r="M627" s="33" t="n">
        <v>4</v>
      </c>
      <c r="N627" s="33" t="s">
        <v>146</v>
      </c>
      <c r="O627" s="33" t="s">
        <v>147</v>
      </c>
      <c r="P627" s="39" t="n">
        <f aca="false">C627-B627</f>
        <v>1</v>
      </c>
      <c r="Q627" s="40" t="str">
        <f aca="false">CHOOSE(MONTH(B627),"يناير","فبراير","مارس","أبريل","مايو","يونيو","يوليو","أغسطس","سبتمبر","أكتوبر","نوفمبر","ديسمبر")</f>
        <v>أبريل</v>
      </c>
      <c r="R627" s="40" t="str">
        <f aca="false">"الربع "&amp;ROUNDUP(MONTH(B627)/3,0)</f>
        <v>الربع 2</v>
      </c>
      <c r="S627" s="40" t="str">
        <f aca="false">IF(D627&lt;=12,"أطفال (0-12)",IF(D627&lt;=24,"شباب (13-24)",IF(D627&lt;=44,"بالغون (25-44)",IF(D627&lt;=64,"متوسطو العمر (45-64)","كبار السن (+65)"))))</f>
        <v>متوسطو العمر (45-64)</v>
      </c>
      <c r="T627" s="41" t="n">
        <f aca="false">IFERROR(L627/P627,0)</f>
        <v>1022.04</v>
      </c>
    </row>
    <row r="628" customFormat="false" ht="15" hidden="false" customHeight="false" outlineLevel="0" collapsed="false">
      <c r="A628" s="42" t="s">
        <v>1727</v>
      </c>
      <c r="B628" s="43" t="n">
        <v>45402</v>
      </c>
      <c r="C628" s="43" t="n">
        <v>45405</v>
      </c>
      <c r="D628" s="42" t="n">
        <v>37</v>
      </c>
      <c r="E628" s="42" t="s">
        <v>139</v>
      </c>
      <c r="F628" s="42" t="s">
        <v>149</v>
      </c>
      <c r="G628" s="42" t="s">
        <v>150</v>
      </c>
      <c r="H628" s="42" t="s">
        <v>186</v>
      </c>
      <c r="I628" s="42" t="s">
        <v>152</v>
      </c>
      <c r="J628" s="42" t="s">
        <v>144</v>
      </c>
      <c r="K628" s="42" t="s">
        <v>145</v>
      </c>
      <c r="L628" s="44" t="n">
        <v>8075.07</v>
      </c>
      <c r="M628" s="42" t="n">
        <v>5</v>
      </c>
      <c r="N628" s="42" t="s">
        <v>146</v>
      </c>
      <c r="O628" s="42" t="s">
        <v>147</v>
      </c>
      <c r="P628" s="39" t="n">
        <f aca="false">C628-B628</f>
        <v>3</v>
      </c>
      <c r="Q628" s="40" t="str">
        <f aca="false">CHOOSE(MONTH(B628),"يناير","فبراير","مارس","أبريل","مايو","يونيو","يوليو","أغسطس","سبتمبر","أكتوبر","نوفمبر","ديسمبر")</f>
        <v>أبريل</v>
      </c>
      <c r="R628" s="40" t="str">
        <f aca="false">"الربع "&amp;ROUNDUP(MONTH(B628)/3,0)</f>
        <v>الربع 2</v>
      </c>
      <c r="S628" s="40" t="str">
        <f aca="false">IF(D628&lt;=12,"أطفال (0-12)",IF(D628&lt;=24,"شباب (13-24)",IF(D628&lt;=44,"بالغون (25-44)",IF(D628&lt;=64,"متوسطو العمر (45-64)","كبار السن (+65)"))))</f>
        <v>بالغون (25-44)</v>
      </c>
      <c r="T628" s="41" t="n">
        <f aca="false">IFERROR(L628/P628,0)</f>
        <v>2691.69</v>
      </c>
    </row>
    <row r="629" customFormat="false" ht="15" hidden="false" customHeight="false" outlineLevel="0" collapsed="false">
      <c r="A629" s="33" t="s">
        <v>536</v>
      </c>
      <c r="B629" s="34" t="n">
        <v>45402</v>
      </c>
      <c r="C629" s="34" t="n">
        <v>45408</v>
      </c>
      <c r="D629" s="33" t="n">
        <v>70</v>
      </c>
      <c r="E629" s="33" t="s">
        <v>139</v>
      </c>
      <c r="F629" s="33" t="s">
        <v>173</v>
      </c>
      <c r="G629" s="33" t="s">
        <v>198</v>
      </c>
      <c r="H629" s="33" t="s">
        <v>175</v>
      </c>
      <c r="I629" s="33" t="s">
        <v>143</v>
      </c>
      <c r="J629" s="33" t="s">
        <v>159</v>
      </c>
      <c r="K629" s="33" t="s">
        <v>160</v>
      </c>
      <c r="L629" s="35" t="n">
        <v>15317.04</v>
      </c>
      <c r="M629" s="33" t="n">
        <v>2</v>
      </c>
      <c r="N629" s="33" t="s">
        <v>146</v>
      </c>
      <c r="O629" s="33" t="s">
        <v>147</v>
      </c>
      <c r="P629" s="39" t="n">
        <f aca="false">C629-B629</f>
        <v>6</v>
      </c>
      <c r="Q629" s="40" t="str">
        <f aca="false">CHOOSE(MONTH(B629),"يناير","فبراير","مارس","أبريل","مايو","يونيو","يوليو","أغسطس","سبتمبر","أكتوبر","نوفمبر","ديسمبر")</f>
        <v>أبريل</v>
      </c>
      <c r="R629" s="40" t="str">
        <f aca="false">"الربع "&amp;ROUNDUP(MONTH(B629)/3,0)</f>
        <v>الربع 2</v>
      </c>
      <c r="S629" s="40" t="str">
        <f aca="false">IF(D629&lt;=12,"أطفال (0-12)",IF(D629&lt;=24,"شباب (13-24)",IF(D629&lt;=44,"بالغون (25-44)",IF(D629&lt;=64,"متوسطو العمر (45-64)","كبار السن (+65)"))))</f>
        <v>كبار السن (+65)</v>
      </c>
      <c r="T629" s="41" t="n">
        <f aca="false">IFERROR(L629/P629,0)</f>
        <v>2552.84</v>
      </c>
    </row>
    <row r="630" customFormat="false" ht="15" hidden="false" customHeight="false" outlineLevel="0" collapsed="false">
      <c r="A630" s="42" t="s">
        <v>549</v>
      </c>
      <c r="B630" s="43" t="n">
        <v>45402</v>
      </c>
      <c r="C630" s="43" t="n">
        <v>45406</v>
      </c>
      <c r="D630" s="42" t="n">
        <v>40</v>
      </c>
      <c r="E630" s="42" t="s">
        <v>154</v>
      </c>
      <c r="F630" s="42" t="s">
        <v>140</v>
      </c>
      <c r="G630" s="42" t="s">
        <v>316</v>
      </c>
      <c r="H630" s="42" t="s">
        <v>290</v>
      </c>
      <c r="I630" s="42" t="s">
        <v>143</v>
      </c>
      <c r="J630" s="42" t="s">
        <v>144</v>
      </c>
      <c r="K630" s="42" t="s">
        <v>145</v>
      </c>
      <c r="L630" s="44" t="n">
        <v>15504.91</v>
      </c>
      <c r="M630" s="42" t="n">
        <v>5</v>
      </c>
      <c r="N630" s="42" t="s">
        <v>146</v>
      </c>
      <c r="O630" s="42" t="s">
        <v>147</v>
      </c>
      <c r="P630" s="39" t="n">
        <f aca="false">C630-B630</f>
        <v>4</v>
      </c>
      <c r="Q630" s="40" t="str">
        <f aca="false">CHOOSE(MONTH(B630),"يناير","فبراير","مارس","أبريل","مايو","يونيو","يوليو","أغسطس","سبتمبر","أكتوبر","نوفمبر","ديسمبر")</f>
        <v>أبريل</v>
      </c>
      <c r="R630" s="40" t="str">
        <f aca="false">"الربع "&amp;ROUNDUP(MONTH(B630)/3,0)</f>
        <v>الربع 2</v>
      </c>
      <c r="S630" s="40" t="str">
        <f aca="false">IF(D630&lt;=12,"أطفال (0-12)",IF(D630&lt;=24,"شباب (13-24)",IF(D630&lt;=44,"بالغون (25-44)",IF(D630&lt;=64,"متوسطو العمر (45-64)","كبار السن (+65)"))))</f>
        <v>بالغون (25-44)</v>
      </c>
      <c r="T630" s="41" t="n">
        <f aca="false">IFERROR(L630/P630,0)</f>
        <v>3876.2275</v>
      </c>
    </row>
    <row r="631" customFormat="false" ht="15" hidden="false" customHeight="false" outlineLevel="0" collapsed="false">
      <c r="A631" s="33" t="s">
        <v>833</v>
      </c>
      <c r="B631" s="34" t="n">
        <v>45402</v>
      </c>
      <c r="C631" s="34" t="n">
        <v>45404</v>
      </c>
      <c r="D631" s="33" t="n">
        <v>53</v>
      </c>
      <c r="E631" s="33" t="s">
        <v>139</v>
      </c>
      <c r="F631" s="33" t="s">
        <v>226</v>
      </c>
      <c r="G631" s="33" t="s">
        <v>258</v>
      </c>
      <c r="H631" s="33" t="s">
        <v>228</v>
      </c>
      <c r="I631" s="33" t="s">
        <v>152</v>
      </c>
      <c r="J631" s="33" t="s">
        <v>144</v>
      </c>
      <c r="K631" s="33" t="s">
        <v>160</v>
      </c>
      <c r="L631" s="35" t="n">
        <v>11658.47</v>
      </c>
      <c r="M631" s="33" t="n">
        <v>5</v>
      </c>
      <c r="N631" s="33" t="s">
        <v>210</v>
      </c>
      <c r="O631" s="33" t="s">
        <v>147</v>
      </c>
      <c r="P631" s="39" t="n">
        <f aca="false">C631-B631</f>
        <v>2</v>
      </c>
      <c r="Q631" s="40" t="str">
        <f aca="false">CHOOSE(MONTH(B631),"يناير","فبراير","مارس","أبريل","مايو","يونيو","يوليو","أغسطس","سبتمبر","أكتوبر","نوفمبر","ديسمبر")</f>
        <v>أبريل</v>
      </c>
      <c r="R631" s="40" t="str">
        <f aca="false">"الربع "&amp;ROUNDUP(MONTH(B631)/3,0)</f>
        <v>الربع 2</v>
      </c>
      <c r="S631" s="40" t="str">
        <f aca="false">IF(D631&lt;=12,"أطفال (0-12)",IF(D631&lt;=24,"شباب (13-24)",IF(D631&lt;=44,"بالغون (25-44)",IF(D631&lt;=64,"متوسطو العمر (45-64)","كبار السن (+65)"))))</f>
        <v>متوسطو العمر (45-64)</v>
      </c>
      <c r="T631" s="41" t="n">
        <f aca="false">IFERROR(L631/P631,0)</f>
        <v>5829.235</v>
      </c>
    </row>
    <row r="632" customFormat="false" ht="15" hidden="false" customHeight="false" outlineLevel="0" collapsed="false">
      <c r="A632" s="42" t="s">
        <v>1202</v>
      </c>
      <c r="B632" s="43" t="n">
        <v>45402</v>
      </c>
      <c r="C632" s="43" t="n">
        <v>45404</v>
      </c>
      <c r="D632" s="42" t="n">
        <v>67</v>
      </c>
      <c r="E632" s="42" t="s">
        <v>154</v>
      </c>
      <c r="F632" s="42" t="s">
        <v>203</v>
      </c>
      <c r="G632" s="42" t="s">
        <v>204</v>
      </c>
      <c r="H632" s="42" t="s">
        <v>193</v>
      </c>
      <c r="I632" s="42" t="s">
        <v>143</v>
      </c>
      <c r="J632" s="42" t="s">
        <v>159</v>
      </c>
      <c r="K632" s="42" t="s">
        <v>209</v>
      </c>
      <c r="L632" s="44" t="n">
        <v>1562.05</v>
      </c>
      <c r="M632" s="42" t="n">
        <v>4</v>
      </c>
      <c r="N632" s="42" t="s">
        <v>146</v>
      </c>
      <c r="O632" s="42" t="s">
        <v>206</v>
      </c>
      <c r="P632" s="39" t="n">
        <f aca="false">C632-B632</f>
        <v>2</v>
      </c>
      <c r="Q632" s="40" t="str">
        <f aca="false">CHOOSE(MONTH(B632),"يناير","فبراير","مارس","أبريل","مايو","يونيو","يوليو","أغسطس","سبتمبر","أكتوبر","نوفمبر","ديسمبر")</f>
        <v>أبريل</v>
      </c>
      <c r="R632" s="40" t="str">
        <f aca="false">"الربع "&amp;ROUNDUP(MONTH(B632)/3,0)</f>
        <v>الربع 2</v>
      </c>
      <c r="S632" s="40" t="str">
        <f aca="false">IF(D632&lt;=12,"أطفال (0-12)",IF(D632&lt;=24,"شباب (13-24)",IF(D632&lt;=44,"بالغون (25-44)",IF(D632&lt;=64,"متوسطو العمر (45-64)","كبار السن (+65)"))))</f>
        <v>كبار السن (+65)</v>
      </c>
      <c r="T632" s="41" t="n">
        <f aca="false">IFERROR(L632/P632,0)</f>
        <v>781.025</v>
      </c>
    </row>
    <row r="633" customFormat="false" ht="15" hidden="false" customHeight="false" outlineLevel="0" collapsed="false">
      <c r="A633" s="33" t="s">
        <v>696</v>
      </c>
      <c r="B633" s="34" t="n">
        <v>45402</v>
      </c>
      <c r="C633" s="34" t="n">
        <v>45404</v>
      </c>
      <c r="D633" s="33" t="n">
        <v>24</v>
      </c>
      <c r="E633" s="33" t="s">
        <v>139</v>
      </c>
      <c r="F633" s="33" t="s">
        <v>203</v>
      </c>
      <c r="G633" s="33" t="s">
        <v>217</v>
      </c>
      <c r="H633" s="33" t="s">
        <v>233</v>
      </c>
      <c r="I633" s="33" t="s">
        <v>143</v>
      </c>
      <c r="J633" s="33" t="s">
        <v>159</v>
      </c>
      <c r="K633" s="33" t="s">
        <v>145</v>
      </c>
      <c r="L633" s="35" t="n">
        <v>1842.54</v>
      </c>
      <c r="M633" s="33" t="n">
        <v>4</v>
      </c>
      <c r="N633" s="33" t="s">
        <v>146</v>
      </c>
      <c r="O633" s="33" t="s">
        <v>147</v>
      </c>
      <c r="P633" s="39" t="n">
        <f aca="false">C633-B633</f>
        <v>2</v>
      </c>
      <c r="Q633" s="40" t="str">
        <f aca="false">CHOOSE(MONTH(B633),"يناير","فبراير","مارس","أبريل","مايو","يونيو","يوليو","أغسطس","سبتمبر","أكتوبر","نوفمبر","ديسمبر")</f>
        <v>أبريل</v>
      </c>
      <c r="R633" s="40" t="str">
        <f aca="false">"الربع "&amp;ROUNDUP(MONTH(B633)/3,0)</f>
        <v>الربع 2</v>
      </c>
      <c r="S633" s="40" t="str">
        <f aca="false">IF(D633&lt;=12,"أطفال (0-12)",IF(D633&lt;=24,"شباب (13-24)",IF(D633&lt;=44,"بالغون (25-44)",IF(D633&lt;=64,"متوسطو العمر (45-64)","كبار السن (+65)"))))</f>
        <v>شباب (13-24)</v>
      </c>
      <c r="T633" s="41" t="n">
        <f aca="false">IFERROR(L633/P633,0)</f>
        <v>921.27</v>
      </c>
    </row>
    <row r="634" customFormat="false" ht="15" hidden="false" customHeight="false" outlineLevel="0" collapsed="false">
      <c r="A634" s="42" t="s">
        <v>304</v>
      </c>
      <c r="B634" s="43" t="n">
        <v>45402</v>
      </c>
      <c r="C634" s="43" t="n">
        <v>45404</v>
      </c>
      <c r="D634" s="42" t="n">
        <v>8</v>
      </c>
      <c r="E634" s="42" t="s">
        <v>139</v>
      </c>
      <c r="F634" s="42" t="s">
        <v>155</v>
      </c>
      <c r="G634" s="42" t="s">
        <v>156</v>
      </c>
      <c r="H634" s="42" t="s">
        <v>222</v>
      </c>
      <c r="I634" s="42" t="s">
        <v>152</v>
      </c>
      <c r="J634" s="42" t="s">
        <v>159</v>
      </c>
      <c r="K634" s="42" t="s">
        <v>160</v>
      </c>
      <c r="L634" s="44" t="n">
        <v>1579</v>
      </c>
      <c r="M634" s="42" t="n">
        <v>3</v>
      </c>
      <c r="N634" s="42" t="s">
        <v>146</v>
      </c>
      <c r="O634" s="42" t="s">
        <v>147</v>
      </c>
      <c r="P634" s="39" t="n">
        <f aca="false">C634-B634</f>
        <v>2</v>
      </c>
      <c r="Q634" s="40" t="str">
        <f aca="false">CHOOSE(MONTH(B634),"يناير","فبراير","مارس","أبريل","مايو","يونيو","يوليو","أغسطس","سبتمبر","أكتوبر","نوفمبر","ديسمبر")</f>
        <v>أبريل</v>
      </c>
      <c r="R634" s="40" t="str">
        <f aca="false">"الربع "&amp;ROUNDUP(MONTH(B634)/3,0)</f>
        <v>الربع 2</v>
      </c>
      <c r="S634" s="40" t="str">
        <f aca="false">IF(D634&lt;=12,"أطفال (0-12)",IF(D634&lt;=24,"شباب (13-24)",IF(D634&lt;=44,"بالغون (25-44)",IF(D634&lt;=64,"متوسطو العمر (45-64)","كبار السن (+65)"))))</f>
        <v>أطفال (0-12)</v>
      </c>
      <c r="T634" s="41" t="n">
        <f aca="false">IFERROR(L634/P634,0)</f>
        <v>789.5</v>
      </c>
    </row>
    <row r="635" customFormat="false" ht="15" hidden="false" customHeight="false" outlineLevel="0" collapsed="false">
      <c r="A635" s="33" t="s">
        <v>1314</v>
      </c>
      <c r="B635" s="34" t="n">
        <v>45402</v>
      </c>
      <c r="C635" s="34" t="n">
        <v>45403</v>
      </c>
      <c r="D635" s="33" t="n">
        <v>49</v>
      </c>
      <c r="E635" s="33" t="s">
        <v>154</v>
      </c>
      <c r="F635" s="33" t="s">
        <v>169</v>
      </c>
      <c r="G635" s="33" t="s">
        <v>170</v>
      </c>
      <c r="H635" s="33" t="s">
        <v>171</v>
      </c>
      <c r="I635" s="33" t="s">
        <v>143</v>
      </c>
      <c r="J635" s="33" t="s">
        <v>144</v>
      </c>
      <c r="K635" s="33" t="s">
        <v>209</v>
      </c>
      <c r="L635" s="35" t="n">
        <v>2056.72</v>
      </c>
      <c r="M635" s="33" t="n">
        <v>4</v>
      </c>
      <c r="N635" s="33" t="s">
        <v>146</v>
      </c>
      <c r="O635" s="33" t="s">
        <v>147</v>
      </c>
      <c r="P635" s="39" t="n">
        <f aca="false">C635-B635</f>
        <v>1</v>
      </c>
      <c r="Q635" s="40" t="str">
        <f aca="false">CHOOSE(MONTH(B635),"يناير","فبراير","مارس","أبريل","مايو","يونيو","يوليو","أغسطس","سبتمبر","أكتوبر","نوفمبر","ديسمبر")</f>
        <v>أبريل</v>
      </c>
      <c r="R635" s="40" t="str">
        <f aca="false">"الربع "&amp;ROUNDUP(MONTH(B635)/3,0)</f>
        <v>الربع 2</v>
      </c>
      <c r="S635" s="40" t="str">
        <f aca="false">IF(D635&lt;=12,"أطفال (0-12)",IF(D635&lt;=24,"شباب (13-24)",IF(D635&lt;=44,"بالغون (25-44)",IF(D635&lt;=64,"متوسطو العمر (45-64)","كبار السن (+65)"))))</f>
        <v>متوسطو العمر (45-64)</v>
      </c>
      <c r="T635" s="41" t="n">
        <f aca="false">IFERROR(L635/P635,0)</f>
        <v>2056.72</v>
      </c>
    </row>
    <row r="636" customFormat="false" ht="15" hidden="false" customHeight="false" outlineLevel="0" collapsed="false">
      <c r="A636" s="42" t="s">
        <v>1322</v>
      </c>
      <c r="B636" s="43" t="n">
        <v>45402</v>
      </c>
      <c r="C636" s="43" t="n">
        <v>45404</v>
      </c>
      <c r="D636" s="42" t="n">
        <v>27</v>
      </c>
      <c r="E636" s="42" t="s">
        <v>139</v>
      </c>
      <c r="F636" s="42" t="s">
        <v>149</v>
      </c>
      <c r="G636" s="42" t="s">
        <v>224</v>
      </c>
      <c r="H636" s="42" t="s">
        <v>186</v>
      </c>
      <c r="I636" s="42" t="s">
        <v>152</v>
      </c>
      <c r="J636" s="42" t="s">
        <v>159</v>
      </c>
      <c r="K636" s="42" t="s">
        <v>184</v>
      </c>
      <c r="L636" s="44" t="n">
        <v>2415.62</v>
      </c>
      <c r="M636" s="42" t="n">
        <v>5</v>
      </c>
      <c r="N636" s="42" t="s">
        <v>146</v>
      </c>
      <c r="O636" s="42" t="s">
        <v>147</v>
      </c>
      <c r="P636" s="39" t="n">
        <f aca="false">C636-B636</f>
        <v>2</v>
      </c>
      <c r="Q636" s="40" t="str">
        <f aca="false">CHOOSE(MONTH(B636),"يناير","فبراير","مارس","أبريل","مايو","يونيو","يوليو","أغسطس","سبتمبر","أكتوبر","نوفمبر","ديسمبر")</f>
        <v>أبريل</v>
      </c>
      <c r="R636" s="40" t="str">
        <f aca="false">"الربع "&amp;ROUNDUP(MONTH(B636)/3,0)</f>
        <v>الربع 2</v>
      </c>
      <c r="S636" s="40" t="str">
        <f aca="false">IF(D636&lt;=12,"أطفال (0-12)",IF(D636&lt;=24,"شباب (13-24)",IF(D636&lt;=44,"بالغون (25-44)",IF(D636&lt;=64,"متوسطو العمر (45-64)","كبار السن (+65)"))))</f>
        <v>بالغون (25-44)</v>
      </c>
      <c r="T636" s="41" t="n">
        <f aca="false">IFERROR(L636/P636,0)</f>
        <v>1207.81</v>
      </c>
    </row>
    <row r="637" customFormat="false" ht="15" hidden="false" customHeight="false" outlineLevel="0" collapsed="false">
      <c r="A637" s="33" t="s">
        <v>379</v>
      </c>
      <c r="B637" s="34" t="n">
        <v>45402</v>
      </c>
      <c r="C637" s="34" t="n">
        <v>45413</v>
      </c>
      <c r="D637" s="33" t="n">
        <v>36</v>
      </c>
      <c r="E637" s="33" t="s">
        <v>154</v>
      </c>
      <c r="F637" s="33" t="s">
        <v>226</v>
      </c>
      <c r="G637" s="33" t="s">
        <v>258</v>
      </c>
      <c r="H637" s="33" t="s">
        <v>228</v>
      </c>
      <c r="I637" s="33" t="s">
        <v>143</v>
      </c>
      <c r="J637" s="33" t="s">
        <v>159</v>
      </c>
      <c r="K637" s="33" t="s">
        <v>160</v>
      </c>
      <c r="L637" s="35" t="n">
        <v>31786.56</v>
      </c>
      <c r="M637" s="33" t="n">
        <v>4</v>
      </c>
      <c r="N637" s="33" t="s">
        <v>146</v>
      </c>
      <c r="O637" s="33" t="s">
        <v>147</v>
      </c>
      <c r="P637" s="39" t="n">
        <f aca="false">C637-B637</f>
        <v>11</v>
      </c>
      <c r="Q637" s="40" t="str">
        <f aca="false">CHOOSE(MONTH(B637),"يناير","فبراير","مارس","أبريل","مايو","يونيو","يوليو","أغسطس","سبتمبر","أكتوبر","نوفمبر","ديسمبر")</f>
        <v>أبريل</v>
      </c>
      <c r="R637" s="40" t="str">
        <f aca="false">"الربع "&amp;ROUNDUP(MONTH(B637)/3,0)</f>
        <v>الربع 2</v>
      </c>
      <c r="S637" s="40" t="str">
        <f aca="false">IF(D637&lt;=12,"أطفال (0-12)",IF(D637&lt;=24,"شباب (13-24)",IF(D637&lt;=44,"بالغون (25-44)",IF(D637&lt;=64,"متوسطو العمر (45-64)","كبار السن (+65)"))))</f>
        <v>بالغون (25-44)</v>
      </c>
      <c r="T637" s="41" t="n">
        <f aca="false">IFERROR(L637/P637,0)</f>
        <v>2889.68727272727</v>
      </c>
    </row>
    <row r="638" customFormat="false" ht="15" hidden="false" customHeight="false" outlineLevel="0" collapsed="false">
      <c r="A638" s="42" t="s">
        <v>1194</v>
      </c>
      <c r="B638" s="43" t="n">
        <v>45403</v>
      </c>
      <c r="C638" s="43" t="n">
        <v>45405</v>
      </c>
      <c r="D638" s="42" t="n">
        <v>96</v>
      </c>
      <c r="E638" s="42" t="s">
        <v>139</v>
      </c>
      <c r="F638" s="42" t="s">
        <v>173</v>
      </c>
      <c r="G638" s="42" t="s">
        <v>198</v>
      </c>
      <c r="H638" s="42" t="s">
        <v>199</v>
      </c>
      <c r="I638" s="42" t="s">
        <v>152</v>
      </c>
      <c r="J638" s="42" t="s">
        <v>144</v>
      </c>
      <c r="K638" s="42" t="s">
        <v>160</v>
      </c>
      <c r="L638" s="44" t="n">
        <v>10025.83</v>
      </c>
      <c r="M638" s="42" t="n">
        <v>5</v>
      </c>
      <c r="N638" s="42" t="s">
        <v>210</v>
      </c>
      <c r="O638" s="42" t="s">
        <v>147</v>
      </c>
      <c r="P638" s="39" t="n">
        <f aca="false">C638-B638</f>
        <v>2</v>
      </c>
      <c r="Q638" s="40" t="str">
        <f aca="false">CHOOSE(MONTH(B638),"يناير","فبراير","مارس","أبريل","مايو","يونيو","يوليو","أغسطس","سبتمبر","أكتوبر","نوفمبر","ديسمبر")</f>
        <v>أبريل</v>
      </c>
      <c r="R638" s="40" t="str">
        <f aca="false">"الربع "&amp;ROUNDUP(MONTH(B638)/3,0)</f>
        <v>الربع 2</v>
      </c>
      <c r="S638" s="40" t="str">
        <f aca="false">IF(D638&lt;=12,"أطفال (0-12)",IF(D638&lt;=24,"شباب (13-24)",IF(D638&lt;=44,"بالغون (25-44)",IF(D638&lt;=64,"متوسطو العمر (45-64)","كبار السن (+65)"))))</f>
        <v>كبار السن (+65)</v>
      </c>
      <c r="T638" s="41" t="n">
        <f aca="false">IFERROR(L638/P638,0)</f>
        <v>5012.915</v>
      </c>
    </row>
    <row r="639" customFormat="false" ht="15" hidden="false" customHeight="false" outlineLevel="0" collapsed="false">
      <c r="A639" s="33" t="s">
        <v>2267</v>
      </c>
      <c r="B639" s="34" t="n">
        <v>45403</v>
      </c>
      <c r="C639" s="34" t="n">
        <v>45408</v>
      </c>
      <c r="D639" s="33" t="n">
        <v>79</v>
      </c>
      <c r="E639" s="33" t="s">
        <v>154</v>
      </c>
      <c r="F639" s="33" t="s">
        <v>140</v>
      </c>
      <c r="G639" s="33" t="s">
        <v>167</v>
      </c>
      <c r="H639" s="33" t="s">
        <v>290</v>
      </c>
      <c r="I639" s="33" t="s">
        <v>143</v>
      </c>
      <c r="J639" s="33" t="s">
        <v>159</v>
      </c>
      <c r="K639" s="33" t="s">
        <v>145</v>
      </c>
      <c r="L639" s="35" t="n">
        <v>12090.34</v>
      </c>
      <c r="M639" s="33" t="n">
        <v>3</v>
      </c>
      <c r="N639" s="33" t="s">
        <v>146</v>
      </c>
      <c r="O639" s="33" t="s">
        <v>147</v>
      </c>
      <c r="P639" s="39" t="n">
        <f aca="false">C639-B639</f>
        <v>5</v>
      </c>
      <c r="Q639" s="40" t="str">
        <f aca="false">CHOOSE(MONTH(B639),"يناير","فبراير","مارس","أبريل","مايو","يونيو","يوليو","أغسطس","سبتمبر","أكتوبر","نوفمبر","ديسمبر")</f>
        <v>أبريل</v>
      </c>
      <c r="R639" s="40" t="str">
        <f aca="false">"الربع "&amp;ROUNDUP(MONTH(B639)/3,0)</f>
        <v>الربع 2</v>
      </c>
      <c r="S639" s="40" t="str">
        <f aca="false">IF(D639&lt;=12,"أطفال (0-12)",IF(D639&lt;=24,"شباب (13-24)",IF(D639&lt;=44,"بالغون (25-44)",IF(D639&lt;=64,"متوسطو العمر (45-64)","كبار السن (+65)"))))</f>
        <v>كبار السن (+65)</v>
      </c>
      <c r="T639" s="41" t="n">
        <f aca="false">IFERROR(L639/P639,0)</f>
        <v>2418.068</v>
      </c>
    </row>
    <row r="640" customFormat="false" ht="15" hidden="false" customHeight="false" outlineLevel="0" collapsed="false">
      <c r="A640" s="42" t="s">
        <v>1598</v>
      </c>
      <c r="B640" s="43" t="n">
        <v>45403</v>
      </c>
      <c r="C640" s="43" t="n">
        <v>45405</v>
      </c>
      <c r="D640" s="42" t="n">
        <v>62</v>
      </c>
      <c r="E640" s="42" t="s">
        <v>139</v>
      </c>
      <c r="F640" s="42" t="s">
        <v>226</v>
      </c>
      <c r="G640" s="42" t="s">
        <v>227</v>
      </c>
      <c r="H640" s="42" t="s">
        <v>228</v>
      </c>
      <c r="I640" s="42" t="s">
        <v>143</v>
      </c>
      <c r="J640" s="42" t="s">
        <v>159</v>
      </c>
      <c r="K640" s="42" t="s">
        <v>209</v>
      </c>
      <c r="L640" s="44" t="n">
        <v>5616.68</v>
      </c>
      <c r="M640" s="42" t="n">
        <v>3</v>
      </c>
      <c r="N640" s="42" t="s">
        <v>146</v>
      </c>
      <c r="O640" s="42" t="s">
        <v>147</v>
      </c>
      <c r="P640" s="39" t="n">
        <f aca="false">C640-B640</f>
        <v>2</v>
      </c>
      <c r="Q640" s="40" t="str">
        <f aca="false">CHOOSE(MONTH(B640),"يناير","فبراير","مارس","أبريل","مايو","يونيو","يوليو","أغسطس","سبتمبر","أكتوبر","نوفمبر","ديسمبر")</f>
        <v>أبريل</v>
      </c>
      <c r="R640" s="40" t="str">
        <f aca="false">"الربع "&amp;ROUNDUP(MONTH(B640)/3,0)</f>
        <v>الربع 2</v>
      </c>
      <c r="S640" s="40" t="str">
        <f aca="false">IF(D640&lt;=12,"أطفال (0-12)",IF(D640&lt;=24,"شباب (13-24)",IF(D640&lt;=44,"بالغون (25-44)",IF(D640&lt;=64,"متوسطو العمر (45-64)","كبار السن (+65)"))))</f>
        <v>متوسطو العمر (45-64)</v>
      </c>
      <c r="T640" s="41" t="n">
        <f aca="false">IFERROR(L640/P640,0)</f>
        <v>2808.34</v>
      </c>
    </row>
    <row r="641" customFormat="false" ht="15" hidden="false" customHeight="false" outlineLevel="0" collapsed="false">
      <c r="A641" s="33" t="s">
        <v>1238</v>
      </c>
      <c r="B641" s="34" t="n">
        <v>45403</v>
      </c>
      <c r="C641" s="34" t="n">
        <v>45409</v>
      </c>
      <c r="D641" s="33" t="n">
        <v>31</v>
      </c>
      <c r="E641" s="33" t="s">
        <v>139</v>
      </c>
      <c r="F641" s="33" t="s">
        <v>169</v>
      </c>
      <c r="G641" s="33" t="s">
        <v>163</v>
      </c>
      <c r="H641" s="33" t="s">
        <v>164</v>
      </c>
      <c r="I641" s="33" t="s">
        <v>143</v>
      </c>
      <c r="J641" s="33" t="s">
        <v>176</v>
      </c>
      <c r="K641" s="33" t="s">
        <v>145</v>
      </c>
      <c r="L641" s="35" t="n">
        <v>22710.02</v>
      </c>
      <c r="M641" s="33" t="n">
        <v>5</v>
      </c>
      <c r="N641" s="33" t="s">
        <v>146</v>
      </c>
      <c r="O641" s="33" t="s">
        <v>147</v>
      </c>
      <c r="P641" s="39" t="n">
        <f aca="false">C641-B641</f>
        <v>6</v>
      </c>
      <c r="Q641" s="40" t="str">
        <f aca="false">CHOOSE(MONTH(B641),"يناير","فبراير","مارس","أبريل","مايو","يونيو","يوليو","أغسطس","سبتمبر","أكتوبر","نوفمبر","ديسمبر")</f>
        <v>أبريل</v>
      </c>
      <c r="R641" s="40" t="str">
        <f aca="false">"الربع "&amp;ROUNDUP(MONTH(B641)/3,0)</f>
        <v>الربع 2</v>
      </c>
      <c r="S641" s="40" t="str">
        <f aca="false">IF(D641&lt;=12,"أطفال (0-12)",IF(D641&lt;=24,"شباب (13-24)",IF(D641&lt;=44,"بالغون (25-44)",IF(D641&lt;=64,"متوسطو العمر (45-64)","كبار السن (+65)"))))</f>
        <v>بالغون (25-44)</v>
      </c>
      <c r="T641" s="41" t="n">
        <f aca="false">IFERROR(L641/P641,0)</f>
        <v>3785.00333333333</v>
      </c>
    </row>
    <row r="642" customFormat="false" ht="15" hidden="false" customHeight="false" outlineLevel="0" collapsed="false">
      <c r="A642" s="42" t="s">
        <v>1874</v>
      </c>
      <c r="B642" s="43" t="n">
        <v>45403</v>
      </c>
      <c r="C642" s="43" t="n">
        <v>45404</v>
      </c>
      <c r="D642" s="42" t="n">
        <v>45</v>
      </c>
      <c r="E642" s="42" t="s">
        <v>139</v>
      </c>
      <c r="F642" s="42" t="s">
        <v>203</v>
      </c>
      <c r="G642" s="42" t="s">
        <v>217</v>
      </c>
      <c r="H642" s="42" t="s">
        <v>193</v>
      </c>
      <c r="I642" s="42" t="s">
        <v>143</v>
      </c>
      <c r="J642" s="42" t="s">
        <v>159</v>
      </c>
      <c r="K642" s="42" t="s">
        <v>145</v>
      </c>
      <c r="L642" s="44" t="n">
        <v>968.99</v>
      </c>
      <c r="M642" s="42" t="n">
        <v>4</v>
      </c>
      <c r="N642" s="42" t="s">
        <v>210</v>
      </c>
      <c r="O642" s="42" t="s">
        <v>247</v>
      </c>
      <c r="P642" s="39" t="n">
        <f aca="false">C642-B642</f>
        <v>1</v>
      </c>
      <c r="Q642" s="40" t="str">
        <f aca="false">CHOOSE(MONTH(B642),"يناير","فبراير","مارس","أبريل","مايو","يونيو","يوليو","أغسطس","سبتمبر","أكتوبر","نوفمبر","ديسمبر")</f>
        <v>أبريل</v>
      </c>
      <c r="R642" s="40" t="str">
        <f aca="false">"الربع "&amp;ROUNDUP(MONTH(B642)/3,0)</f>
        <v>الربع 2</v>
      </c>
      <c r="S642" s="40" t="str">
        <f aca="false">IF(D642&lt;=12,"أطفال (0-12)",IF(D642&lt;=24,"شباب (13-24)",IF(D642&lt;=44,"بالغون (25-44)",IF(D642&lt;=64,"متوسطو العمر (45-64)","كبار السن (+65)"))))</f>
        <v>متوسطو العمر (45-64)</v>
      </c>
      <c r="T642" s="41" t="n">
        <f aca="false">IFERROR(L642/P642,0)</f>
        <v>968.99</v>
      </c>
    </row>
    <row r="643" customFormat="false" ht="15" hidden="false" customHeight="false" outlineLevel="0" collapsed="false">
      <c r="A643" s="33" t="s">
        <v>899</v>
      </c>
      <c r="B643" s="34" t="n">
        <v>45403</v>
      </c>
      <c r="C643" s="34" t="n">
        <v>45404</v>
      </c>
      <c r="D643" s="33" t="n">
        <v>38</v>
      </c>
      <c r="E643" s="33" t="s">
        <v>154</v>
      </c>
      <c r="F643" s="33" t="s">
        <v>173</v>
      </c>
      <c r="G643" s="33" t="s">
        <v>178</v>
      </c>
      <c r="H643" s="33" t="s">
        <v>199</v>
      </c>
      <c r="I643" s="33" t="s">
        <v>143</v>
      </c>
      <c r="J643" s="33" t="s">
        <v>159</v>
      </c>
      <c r="K643" s="33" t="s">
        <v>160</v>
      </c>
      <c r="L643" s="35" t="n">
        <v>3136.8</v>
      </c>
      <c r="M643" s="33" t="n">
        <v>5</v>
      </c>
      <c r="N643" s="33" t="s">
        <v>210</v>
      </c>
      <c r="O643" s="33" t="s">
        <v>147</v>
      </c>
      <c r="P643" s="39" t="n">
        <f aca="false">C643-B643</f>
        <v>1</v>
      </c>
      <c r="Q643" s="40" t="str">
        <f aca="false">CHOOSE(MONTH(B643),"يناير","فبراير","مارس","أبريل","مايو","يونيو","يوليو","أغسطس","سبتمبر","أكتوبر","نوفمبر","ديسمبر")</f>
        <v>أبريل</v>
      </c>
      <c r="R643" s="40" t="str">
        <f aca="false">"الربع "&amp;ROUNDUP(MONTH(B643)/3,0)</f>
        <v>الربع 2</v>
      </c>
      <c r="S643" s="40" t="str">
        <f aca="false">IF(D643&lt;=12,"أطفال (0-12)",IF(D643&lt;=24,"شباب (13-24)",IF(D643&lt;=44,"بالغون (25-44)",IF(D643&lt;=64,"متوسطو العمر (45-64)","كبار السن (+65)"))))</f>
        <v>بالغون (25-44)</v>
      </c>
      <c r="T643" s="41" t="n">
        <f aca="false">IFERROR(L643/P643,0)</f>
        <v>3136.8</v>
      </c>
    </row>
    <row r="644" customFormat="false" ht="15" hidden="false" customHeight="false" outlineLevel="0" collapsed="false">
      <c r="A644" s="42" t="s">
        <v>2192</v>
      </c>
      <c r="B644" s="43" t="n">
        <v>45403</v>
      </c>
      <c r="C644" s="43" t="n">
        <v>45408</v>
      </c>
      <c r="D644" s="42" t="n">
        <v>21</v>
      </c>
      <c r="E644" s="42" t="s">
        <v>154</v>
      </c>
      <c r="F644" s="42" t="s">
        <v>169</v>
      </c>
      <c r="G644" s="42" t="s">
        <v>170</v>
      </c>
      <c r="H644" s="42" t="s">
        <v>164</v>
      </c>
      <c r="I644" s="42" t="s">
        <v>143</v>
      </c>
      <c r="J644" s="42" t="s">
        <v>159</v>
      </c>
      <c r="K644" s="42" t="s">
        <v>145</v>
      </c>
      <c r="L644" s="44" t="n">
        <v>4495.27</v>
      </c>
      <c r="M644" s="42" t="n">
        <v>3</v>
      </c>
      <c r="N644" s="42" t="s">
        <v>146</v>
      </c>
      <c r="O644" s="42" t="s">
        <v>147</v>
      </c>
      <c r="P644" s="39" t="n">
        <f aca="false">C644-B644</f>
        <v>5</v>
      </c>
      <c r="Q644" s="40" t="str">
        <f aca="false">CHOOSE(MONTH(B644),"يناير","فبراير","مارس","أبريل","مايو","يونيو","يوليو","أغسطس","سبتمبر","أكتوبر","نوفمبر","ديسمبر")</f>
        <v>أبريل</v>
      </c>
      <c r="R644" s="40" t="str">
        <f aca="false">"الربع "&amp;ROUNDUP(MONTH(B644)/3,0)</f>
        <v>الربع 2</v>
      </c>
      <c r="S644" s="40" t="str">
        <f aca="false">IF(D644&lt;=12,"أطفال (0-12)",IF(D644&lt;=24,"شباب (13-24)",IF(D644&lt;=44,"بالغون (25-44)",IF(D644&lt;=64,"متوسطو العمر (45-64)","كبار السن (+65)"))))</f>
        <v>شباب (13-24)</v>
      </c>
      <c r="T644" s="41" t="n">
        <f aca="false">IFERROR(L644/P644,0)</f>
        <v>899.054</v>
      </c>
    </row>
    <row r="645" customFormat="false" ht="15" hidden="false" customHeight="false" outlineLevel="0" collapsed="false">
      <c r="A645" s="33" t="s">
        <v>2134</v>
      </c>
      <c r="B645" s="34" t="n">
        <v>45404</v>
      </c>
      <c r="C645" s="34" t="n">
        <v>45405</v>
      </c>
      <c r="D645" s="33" t="n">
        <v>58</v>
      </c>
      <c r="E645" s="33" t="s">
        <v>139</v>
      </c>
      <c r="F645" s="33" t="s">
        <v>203</v>
      </c>
      <c r="G645" s="33" t="s">
        <v>241</v>
      </c>
      <c r="H645" s="33" t="s">
        <v>193</v>
      </c>
      <c r="I645" s="33" t="s">
        <v>143</v>
      </c>
      <c r="J645" s="33" t="s">
        <v>176</v>
      </c>
      <c r="K645" s="33" t="s">
        <v>145</v>
      </c>
      <c r="L645" s="35" t="n">
        <v>2532.34</v>
      </c>
      <c r="M645" s="33" t="n">
        <v>3</v>
      </c>
      <c r="N645" s="33" t="s">
        <v>146</v>
      </c>
      <c r="O645" s="33" t="s">
        <v>147</v>
      </c>
      <c r="P645" s="39" t="n">
        <f aca="false">C645-B645</f>
        <v>1</v>
      </c>
      <c r="Q645" s="40" t="str">
        <f aca="false">CHOOSE(MONTH(B645),"يناير","فبراير","مارس","أبريل","مايو","يونيو","يوليو","أغسطس","سبتمبر","أكتوبر","نوفمبر","ديسمبر")</f>
        <v>أبريل</v>
      </c>
      <c r="R645" s="40" t="str">
        <f aca="false">"الربع "&amp;ROUNDUP(MONTH(B645)/3,0)</f>
        <v>الربع 2</v>
      </c>
      <c r="S645" s="40" t="str">
        <f aca="false">IF(D645&lt;=12,"أطفال (0-12)",IF(D645&lt;=24,"شباب (13-24)",IF(D645&lt;=44,"بالغون (25-44)",IF(D645&lt;=64,"متوسطو العمر (45-64)","كبار السن (+65)"))))</f>
        <v>متوسطو العمر (45-64)</v>
      </c>
      <c r="T645" s="41" t="n">
        <f aca="false">IFERROR(L645/P645,0)</f>
        <v>2532.34</v>
      </c>
    </row>
    <row r="646" customFormat="false" ht="15" hidden="false" customHeight="false" outlineLevel="0" collapsed="false">
      <c r="A646" s="42" t="s">
        <v>1240</v>
      </c>
      <c r="B646" s="43" t="n">
        <v>45404</v>
      </c>
      <c r="C646" s="43" t="n">
        <v>45405</v>
      </c>
      <c r="D646" s="42" t="n">
        <v>63</v>
      </c>
      <c r="E646" s="42" t="s">
        <v>139</v>
      </c>
      <c r="F646" s="42" t="s">
        <v>203</v>
      </c>
      <c r="G646" s="42" t="s">
        <v>217</v>
      </c>
      <c r="H646" s="42" t="s">
        <v>193</v>
      </c>
      <c r="I646" s="42" t="s">
        <v>143</v>
      </c>
      <c r="J646" s="42" t="s">
        <v>176</v>
      </c>
      <c r="K646" s="42" t="s">
        <v>145</v>
      </c>
      <c r="L646" s="44" t="n">
        <v>2493.04</v>
      </c>
      <c r="M646" s="42" t="n">
        <v>4</v>
      </c>
      <c r="N646" s="42" t="s">
        <v>146</v>
      </c>
      <c r="O646" s="42" t="s">
        <v>147</v>
      </c>
      <c r="P646" s="39" t="n">
        <f aca="false">C646-B646</f>
        <v>1</v>
      </c>
      <c r="Q646" s="40" t="str">
        <f aca="false">CHOOSE(MONTH(B646),"يناير","فبراير","مارس","أبريل","مايو","يونيو","يوليو","أغسطس","سبتمبر","أكتوبر","نوفمبر","ديسمبر")</f>
        <v>أبريل</v>
      </c>
      <c r="R646" s="40" t="str">
        <f aca="false">"الربع "&amp;ROUNDUP(MONTH(B646)/3,0)</f>
        <v>الربع 2</v>
      </c>
      <c r="S646" s="40" t="str">
        <f aca="false">IF(D646&lt;=12,"أطفال (0-12)",IF(D646&lt;=24,"شباب (13-24)",IF(D646&lt;=44,"بالغون (25-44)",IF(D646&lt;=64,"متوسطو العمر (45-64)","كبار السن (+65)"))))</f>
        <v>متوسطو العمر (45-64)</v>
      </c>
      <c r="T646" s="41" t="n">
        <f aca="false">IFERROR(L646/P646,0)</f>
        <v>2493.04</v>
      </c>
    </row>
    <row r="647" customFormat="false" ht="15" hidden="false" customHeight="false" outlineLevel="0" collapsed="false">
      <c r="A647" s="33" t="s">
        <v>2016</v>
      </c>
      <c r="B647" s="34" t="n">
        <v>45404</v>
      </c>
      <c r="C647" s="34" t="n">
        <v>45408</v>
      </c>
      <c r="D647" s="33" t="n">
        <v>26</v>
      </c>
      <c r="E647" s="33" t="s">
        <v>139</v>
      </c>
      <c r="F647" s="33" t="s">
        <v>169</v>
      </c>
      <c r="G647" s="33" t="s">
        <v>163</v>
      </c>
      <c r="H647" s="33" t="s">
        <v>164</v>
      </c>
      <c r="I647" s="33" t="s">
        <v>143</v>
      </c>
      <c r="J647" s="33" t="s">
        <v>159</v>
      </c>
      <c r="K647" s="33" t="s">
        <v>160</v>
      </c>
      <c r="L647" s="35" t="n">
        <v>4316.94</v>
      </c>
      <c r="M647" s="33" t="n">
        <v>5</v>
      </c>
      <c r="N647" s="33" t="s">
        <v>146</v>
      </c>
      <c r="O647" s="33" t="s">
        <v>147</v>
      </c>
      <c r="P647" s="39" t="n">
        <f aca="false">C647-B647</f>
        <v>4</v>
      </c>
      <c r="Q647" s="40" t="str">
        <f aca="false">CHOOSE(MONTH(B647),"يناير","فبراير","مارس","أبريل","مايو","يونيو","يوليو","أغسطس","سبتمبر","أكتوبر","نوفمبر","ديسمبر")</f>
        <v>أبريل</v>
      </c>
      <c r="R647" s="40" t="str">
        <f aca="false">"الربع "&amp;ROUNDUP(MONTH(B647)/3,0)</f>
        <v>الربع 2</v>
      </c>
      <c r="S647" s="40" t="str">
        <f aca="false">IF(D647&lt;=12,"أطفال (0-12)",IF(D647&lt;=24,"شباب (13-24)",IF(D647&lt;=44,"بالغون (25-44)",IF(D647&lt;=64,"متوسطو العمر (45-64)","كبار السن (+65)"))))</f>
        <v>بالغون (25-44)</v>
      </c>
      <c r="T647" s="41" t="n">
        <f aca="false">IFERROR(L647/P647,0)</f>
        <v>1079.235</v>
      </c>
    </row>
    <row r="648" customFormat="false" ht="15" hidden="false" customHeight="false" outlineLevel="0" collapsed="false">
      <c r="A648" s="42" t="s">
        <v>444</v>
      </c>
      <c r="B648" s="43" t="n">
        <v>45404</v>
      </c>
      <c r="C648" s="43" t="n">
        <v>45409</v>
      </c>
      <c r="D648" s="42" t="n">
        <v>1</v>
      </c>
      <c r="E648" s="42" t="s">
        <v>139</v>
      </c>
      <c r="F648" s="42" t="s">
        <v>169</v>
      </c>
      <c r="G648" s="42" t="s">
        <v>213</v>
      </c>
      <c r="H648" s="42" t="s">
        <v>171</v>
      </c>
      <c r="I648" s="42" t="s">
        <v>143</v>
      </c>
      <c r="J648" s="42" t="s">
        <v>144</v>
      </c>
      <c r="K648" s="42" t="s">
        <v>145</v>
      </c>
      <c r="L648" s="44" t="n">
        <v>9576.43</v>
      </c>
      <c r="M648" s="42" t="n">
        <v>5</v>
      </c>
      <c r="N648" s="42" t="s">
        <v>146</v>
      </c>
      <c r="O648" s="42" t="s">
        <v>147</v>
      </c>
      <c r="P648" s="39" t="n">
        <f aca="false">C648-B648</f>
        <v>5</v>
      </c>
      <c r="Q648" s="40" t="str">
        <f aca="false">CHOOSE(MONTH(B648),"يناير","فبراير","مارس","أبريل","مايو","يونيو","يوليو","أغسطس","سبتمبر","أكتوبر","نوفمبر","ديسمبر")</f>
        <v>أبريل</v>
      </c>
      <c r="R648" s="40" t="str">
        <f aca="false">"الربع "&amp;ROUNDUP(MONTH(B648)/3,0)</f>
        <v>الربع 2</v>
      </c>
      <c r="S648" s="40" t="str">
        <f aca="false">IF(D648&lt;=12,"أطفال (0-12)",IF(D648&lt;=24,"شباب (13-24)",IF(D648&lt;=44,"بالغون (25-44)",IF(D648&lt;=64,"متوسطو العمر (45-64)","كبار السن (+65)"))))</f>
        <v>أطفال (0-12)</v>
      </c>
      <c r="T648" s="41" t="n">
        <f aca="false">IFERROR(L648/P648,0)</f>
        <v>1915.286</v>
      </c>
    </row>
    <row r="649" customFormat="false" ht="15" hidden="false" customHeight="false" outlineLevel="0" collapsed="false">
      <c r="A649" s="33" t="s">
        <v>2164</v>
      </c>
      <c r="B649" s="34" t="n">
        <v>45405</v>
      </c>
      <c r="C649" s="34" t="n">
        <v>45422</v>
      </c>
      <c r="D649" s="33" t="n">
        <v>48</v>
      </c>
      <c r="E649" s="33" t="s">
        <v>154</v>
      </c>
      <c r="F649" s="33" t="s">
        <v>226</v>
      </c>
      <c r="G649" s="33" t="s">
        <v>227</v>
      </c>
      <c r="H649" s="33" t="s">
        <v>228</v>
      </c>
      <c r="I649" s="33" t="s">
        <v>143</v>
      </c>
      <c r="J649" s="33" t="s">
        <v>159</v>
      </c>
      <c r="K649" s="33" t="s">
        <v>184</v>
      </c>
      <c r="L649" s="35" t="n">
        <v>49953.97</v>
      </c>
      <c r="M649" s="33" t="n">
        <v>4</v>
      </c>
      <c r="N649" s="33" t="s">
        <v>210</v>
      </c>
      <c r="O649" s="33" t="s">
        <v>147</v>
      </c>
      <c r="P649" s="39" t="n">
        <f aca="false">C649-B649</f>
        <v>17</v>
      </c>
      <c r="Q649" s="40" t="str">
        <f aca="false">CHOOSE(MONTH(B649),"يناير","فبراير","مارس","أبريل","مايو","يونيو","يوليو","أغسطس","سبتمبر","أكتوبر","نوفمبر","ديسمبر")</f>
        <v>أبريل</v>
      </c>
      <c r="R649" s="40" t="str">
        <f aca="false">"الربع "&amp;ROUNDUP(MONTH(B649)/3,0)</f>
        <v>الربع 2</v>
      </c>
      <c r="S649" s="40" t="str">
        <f aca="false">IF(D649&lt;=12,"أطفال (0-12)",IF(D649&lt;=24,"شباب (13-24)",IF(D649&lt;=44,"بالغون (25-44)",IF(D649&lt;=64,"متوسطو العمر (45-64)","كبار السن (+65)"))))</f>
        <v>متوسطو العمر (45-64)</v>
      </c>
      <c r="T649" s="41" t="n">
        <f aca="false">IFERROR(L649/P649,0)</f>
        <v>2938.46882352941</v>
      </c>
    </row>
    <row r="650" customFormat="false" ht="15" hidden="false" customHeight="false" outlineLevel="0" collapsed="false">
      <c r="A650" s="42" t="s">
        <v>1260</v>
      </c>
      <c r="B650" s="43" t="n">
        <v>45405</v>
      </c>
      <c r="C650" s="43" t="n">
        <v>45409</v>
      </c>
      <c r="D650" s="42" t="n">
        <v>77</v>
      </c>
      <c r="E650" s="42" t="s">
        <v>139</v>
      </c>
      <c r="F650" s="42" t="s">
        <v>181</v>
      </c>
      <c r="G650" s="42" t="s">
        <v>237</v>
      </c>
      <c r="H650" s="42" t="s">
        <v>245</v>
      </c>
      <c r="I650" s="42" t="s">
        <v>152</v>
      </c>
      <c r="J650" s="42" t="s">
        <v>144</v>
      </c>
      <c r="K650" s="42" t="s">
        <v>184</v>
      </c>
      <c r="L650" s="44" t="n">
        <v>18189.93</v>
      </c>
      <c r="M650" s="42" t="n">
        <v>3</v>
      </c>
      <c r="N650" s="42" t="s">
        <v>146</v>
      </c>
      <c r="O650" s="42" t="s">
        <v>147</v>
      </c>
      <c r="P650" s="39" t="n">
        <f aca="false">C650-B650</f>
        <v>4</v>
      </c>
      <c r="Q650" s="40" t="str">
        <f aca="false">CHOOSE(MONTH(B650),"يناير","فبراير","مارس","أبريل","مايو","يونيو","يوليو","أغسطس","سبتمبر","أكتوبر","نوفمبر","ديسمبر")</f>
        <v>أبريل</v>
      </c>
      <c r="R650" s="40" t="str">
        <f aca="false">"الربع "&amp;ROUNDUP(MONTH(B650)/3,0)</f>
        <v>الربع 2</v>
      </c>
      <c r="S650" s="40" t="str">
        <f aca="false">IF(D650&lt;=12,"أطفال (0-12)",IF(D650&lt;=24,"شباب (13-24)",IF(D650&lt;=44,"بالغون (25-44)",IF(D650&lt;=64,"متوسطو العمر (45-64)","كبار السن (+65)"))))</f>
        <v>كبار السن (+65)</v>
      </c>
      <c r="T650" s="41" t="n">
        <f aca="false">IFERROR(L650/P650,0)</f>
        <v>4547.4825</v>
      </c>
    </row>
    <row r="651" customFormat="false" ht="15" hidden="false" customHeight="false" outlineLevel="0" collapsed="false">
      <c r="A651" s="33" t="s">
        <v>314</v>
      </c>
      <c r="B651" s="34" t="n">
        <v>45405</v>
      </c>
      <c r="C651" s="34" t="n">
        <v>45406</v>
      </c>
      <c r="D651" s="33" t="n">
        <v>47</v>
      </c>
      <c r="E651" s="33" t="s">
        <v>139</v>
      </c>
      <c r="F651" s="33" t="s">
        <v>203</v>
      </c>
      <c r="G651" s="33" t="s">
        <v>192</v>
      </c>
      <c r="H651" s="33" t="s">
        <v>205</v>
      </c>
      <c r="I651" s="33" t="s">
        <v>143</v>
      </c>
      <c r="J651" s="33" t="s">
        <v>159</v>
      </c>
      <c r="K651" s="33" t="s">
        <v>160</v>
      </c>
      <c r="L651" s="35" t="n">
        <v>839.11</v>
      </c>
      <c r="M651" s="33" t="n">
        <v>5</v>
      </c>
      <c r="N651" s="33" t="s">
        <v>146</v>
      </c>
      <c r="O651" s="33" t="s">
        <v>247</v>
      </c>
      <c r="P651" s="39" t="n">
        <f aca="false">C651-B651</f>
        <v>1</v>
      </c>
      <c r="Q651" s="40" t="str">
        <f aca="false">CHOOSE(MONTH(B651),"يناير","فبراير","مارس","أبريل","مايو","يونيو","يوليو","أغسطس","سبتمبر","أكتوبر","نوفمبر","ديسمبر")</f>
        <v>أبريل</v>
      </c>
      <c r="R651" s="40" t="str">
        <f aca="false">"الربع "&amp;ROUNDUP(MONTH(B651)/3,0)</f>
        <v>الربع 2</v>
      </c>
      <c r="S651" s="40" t="str">
        <f aca="false">IF(D651&lt;=12,"أطفال (0-12)",IF(D651&lt;=24,"شباب (13-24)",IF(D651&lt;=44,"بالغون (25-44)",IF(D651&lt;=64,"متوسطو العمر (45-64)","كبار السن (+65)"))))</f>
        <v>متوسطو العمر (45-64)</v>
      </c>
      <c r="T651" s="41" t="n">
        <f aca="false">IFERROR(L651/P651,0)</f>
        <v>839.11</v>
      </c>
    </row>
    <row r="652" customFormat="false" ht="15" hidden="false" customHeight="false" outlineLevel="0" collapsed="false">
      <c r="A652" s="42" t="s">
        <v>1132</v>
      </c>
      <c r="B652" s="43" t="n">
        <v>45405</v>
      </c>
      <c r="C652" s="43" t="n">
        <v>45408</v>
      </c>
      <c r="D652" s="42" t="n">
        <v>0</v>
      </c>
      <c r="E652" s="42" t="s">
        <v>139</v>
      </c>
      <c r="F652" s="42" t="s">
        <v>155</v>
      </c>
      <c r="G652" s="42" t="s">
        <v>220</v>
      </c>
      <c r="H652" s="42" t="s">
        <v>222</v>
      </c>
      <c r="I652" s="42" t="s">
        <v>152</v>
      </c>
      <c r="J652" s="42" t="s">
        <v>159</v>
      </c>
      <c r="K652" s="42" t="s">
        <v>160</v>
      </c>
      <c r="L652" s="44" t="n">
        <v>2712.67</v>
      </c>
      <c r="M652" s="42" t="n">
        <v>4</v>
      </c>
      <c r="N652" s="42" t="s">
        <v>146</v>
      </c>
      <c r="O652" s="42" t="s">
        <v>147</v>
      </c>
      <c r="P652" s="39" t="n">
        <f aca="false">C652-B652</f>
        <v>3</v>
      </c>
      <c r="Q652" s="40" t="str">
        <f aca="false">CHOOSE(MONTH(B652),"يناير","فبراير","مارس","أبريل","مايو","يونيو","يوليو","أغسطس","سبتمبر","أكتوبر","نوفمبر","ديسمبر")</f>
        <v>أبريل</v>
      </c>
      <c r="R652" s="40" t="str">
        <f aca="false">"الربع "&amp;ROUNDUP(MONTH(B652)/3,0)</f>
        <v>الربع 2</v>
      </c>
      <c r="S652" s="40" t="str">
        <f aca="false">IF(D652&lt;=12,"أطفال (0-12)",IF(D652&lt;=24,"شباب (13-24)",IF(D652&lt;=44,"بالغون (25-44)",IF(D652&lt;=64,"متوسطو العمر (45-64)","كبار السن (+65)"))))</f>
        <v>أطفال (0-12)</v>
      </c>
      <c r="T652" s="41" t="n">
        <f aca="false">IFERROR(L652/P652,0)</f>
        <v>904.223333333333</v>
      </c>
    </row>
    <row r="653" customFormat="false" ht="15" hidden="false" customHeight="false" outlineLevel="0" collapsed="false">
      <c r="A653" s="33" t="s">
        <v>427</v>
      </c>
      <c r="B653" s="34" t="n">
        <v>45406</v>
      </c>
      <c r="C653" s="34" t="n">
        <v>45410</v>
      </c>
      <c r="D653" s="33" t="n">
        <v>49</v>
      </c>
      <c r="E653" s="33" t="s">
        <v>154</v>
      </c>
      <c r="F653" s="33" t="s">
        <v>169</v>
      </c>
      <c r="G653" s="33" t="s">
        <v>170</v>
      </c>
      <c r="H653" s="33" t="s">
        <v>195</v>
      </c>
      <c r="I653" s="33" t="s">
        <v>152</v>
      </c>
      <c r="J653" s="33" t="s">
        <v>159</v>
      </c>
      <c r="K653" s="33" t="s">
        <v>145</v>
      </c>
      <c r="L653" s="35" t="n">
        <v>4469.21</v>
      </c>
      <c r="M653" s="33" t="n">
        <v>5</v>
      </c>
      <c r="N653" s="33" t="s">
        <v>146</v>
      </c>
      <c r="O653" s="33" t="s">
        <v>147</v>
      </c>
      <c r="P653" s="39" t="n">
        <f aca="false">C653-B653</f>
        <v>4</v>
      </c>
      <c r="Q653" s="40" t="str">
        <f aca="false">CHOOSE(MONTH(B653),"يناير","فبراير","مارس","أبريل","مايو","يونيو","يوليو","أغسطس","سبتمبر","أكتوبر","نوفمبر","ديسمبر")</f>
        <v>أبريل</v>
      </c>
      <c r="R653" s="40" t="str">
        <f aca="false">"الربع "&amp;ROUNDUP(MONTH(B653)/3,0)</f>
        <v>الربع 2</v>
      </c>
      <c r="S653" s="40" t="str">
        <f aca="false">IF(D653&lt;=12,"أطفال (0-12)",IF(D653&lt;=24,"شباب (13-24)",IF(D653&lt;=44,"بالغون (25-44)",IF(D653&lt;=64,"متوسطو العمر (45-64)","كبار السن (+65)"))))</f>
        <v>متوسطو العمر (45-64)</v>
      </c>
      <c r="T653" s="41" t="n">
        <f aca="false">IFERROR(L653/P653,0)</f>
        <v>1117.3025</v>
      </c>
    </row>
    <row r="654" customFormat="false" ht="15" hidden="false" customHeight="false" outlineLevel="0" collapsed="false">
      <c r="A654" s="42" t="s">
        <v>707</v>
      </c>
      <c r="B654" s="43" t="n">
        <v>45406</v>
      </c>
      <c r="C654" s="43" t="n">
        <v>45408</v>
      </c>
      <c r="D654" s="42" t="n">
        <v>43</v>
      </c>
      <c r="E654" s="42" t="s">
        <v>139</v>
      </c>
      <c r="F654" s="42" t="s">
        <v>181</v>
      </c>
      <c r="G654" s="42" t="s">
        <v>182</v>
      </c>
      <c r="H654" s="42" t="s">
        <v>245</v>
      </c>
      <c r="I654" s="42" t="s">
        <v>143</v>
      </c>
      <c r="J654" s="42" t="s">
        <v>159</v>
      </c>
      <c r="K654" s="42" t="s">
        <v>160</v>
      </c>
      <c r="L654" s="44" t="n">
        <v>4602.01</v>
      </c>
      <c r="M654" s="42" t="n">
        <v>5</v>
      </c>
      <c r="N654" s="42" t="s">
        <v>210</v>
      </c>
      <c r="O654" s="42" t="s">
        <v>147</v>
      </c>
      <c r="P654" s="39" t="n">
        <f aca="false">C654-B654</f>
        <v>2</v>
      </c>
      <c r="Q654" s="40" t="str">
        <f aca="false">CHOOSE(MONTH(B654),"يناير","فبراير","مارس","أبريل","مايو","يونيو","يوليو","أغسطس","سبتمبر","أكتوبر","نوفمبر","ديسمبر")</f>
        <v>أبريل</v>
      </c>
      <c r="R654" s="40" t="str">
        <f aca="false">"الربع "&amp;ROUNDUP(MONTH(B654)/3,0)</f>
        <v>الربع 2</v>
      </c>
      <c r="S654" s="40" t="str">
        <f aca="false">IF(D654&lt;=12,"أطفال (0-12)",IF(D654&lt;=24,"شباب (13-24)",IF(D654&lt;=44,"بالغون (25-44)",IF(D654&lt;=64,"متوسطو العمر (45-64)","كبار السن (+65)"))))</f>
        <v>بالغون (25-44)</v>
      </c>
      <c r="T654" s="41" t="n">
        <f aca="false">IFERROR(L654/P654,0)</f>
        <v>2301.005</v>
      </c>
    </row>
    <row r="655" customFormat="false" ht="15" hidden="false" customHeight="false" outlineLevel="0" collapsed="false">
      <c r="A655" s="33" t="s">
        <v>630</v>
      </c>
      <c r="B655" s="34" t="n">
        <v>45406</v>
      </c>
      <c r="C655" s="34" t="n">
        <v>45407</v>
      </c>
      <c r="D655" s="33" t="n">
        <v>27</v>
      </c>
      <c r="E655" s="33" t="s">
        <v>154</v>
      </c>
      <c r="F655" s="33" t="s">
        <v>203</v>
      </c>
      <c r="G655" s="33" t="s">
        <v>241</v>
      </c>
      <c r="H655" s="33" t="s">
        <v>205</v>
      </c>
      <c r="I655" s="33" t="s">
        <v>143</v>
      </c>
      <c r="J655" s="33" t="s">
        <v>159</v>
      </c>
      <c r="K655" s="33" t="s">
        <v>145</v>
      </c>
      <c r="L655" s="35" t="n">
        <v>973</v>
      </c>
      <c r="M655" s="33" t="n">
        <v>2</v>
      </c>
      <c r="N655" s="33" t="s">
        <v>146</v>
      </c>
      <c r="O655" s="33" t="s">
        <v>147</v>
      </c>
      <c r="P655" s="39" t="n">
        <f aca="false">C655-B655</f>
        <v>1</v>
      </c>
      <c r="Q655" s="40" t="str">
        <f aca="false">CHOOSE(MONTH(B655),"يناير","فبراير","مارس","أبريل","مايو","يونيو","يوليو","أغسطس","سبتمبر","أكتوبر","نوفمبر","ديسمبر")</f>
        <v>أبريل</v>
      </c>
      <c r="R655" s="40" t="str">
        <f aca="false">"الربع "&amp;ROUNDUP(MONTH(B655)/3,0)</f>
        <v>الربع 2</v>
      </c>
      <c r="S655" s="40" t="str">
        <f aca="false">IF(D655&lt;=12,"أطفال (0-12)",IF(D655&lt;=24,"شباب (13-24)",IF(D655&lt;=44,"بالغون (25-44)",IF(D655&lt;=64,"متوسطو العمر (45-64)","كبار السن (+65)"))))</f>
        <v>بالغون (25-44)</v>
      </c>
      <c r="T655" s="41" t="n">
        <f aca="false">IFERROR(L655/P655,0)</f>
        <v>973</v>
      </c>
    </row>
    <row r="656" customFormat="false" ht="15" hidden="false" customHeight="false" outlineLevel="0" collapsed="false">
      <c r="A656" s="42" t="s">
        <v>1442</v>
      </c>
      <c r="B656" s="43" t="n">
        <v>45406</v>
      </c>
      <c r="C656" s="43" t="n">
        <v>45410</v>
      </c>
      <c r="D656" s="42" t="n">
        <v>62</v>
      </c>
      <c r="E656" s="42" t="s">
        <v>154</v>
      </c>
      <c r="F656" s="42" t="s">
        <v>226</v>
      </c>
      <c r="G656" s="42" t="s">
        <v>258</v>
      </c>
      <c r="H656" s="42" t="s">
        <v>263</v>
      </c>
      <c r="I656" s="42" t="s">
        <v>152</v>
      </c>
      <c r="J656" s="42" t="s">
        <v>159</v>
      </c>
      <c r="K656" s="42" t="s">
        <v>160</v>
      </c>
      <c r="L656" s="44" t="n">
        <v>13290.13</v>
      </c>
      <c r="M656" s="42" t="n">
        <v>4</v>
      </c>
      <c r="N656" s="42" t="s">
        <v>146</v>
      </c>
      <c r="O656" s="42" t="s">
        <v>147</v>
      </c>
      <c r="P656" s="39" t="n">
        <f aca="false">C656-B656</f>
        <v>4</v>
      </c>
      <c r="Q656" s="40" t="str">
        <f aca="false">CHOOSE(MONTH(B656),"يناير","فبراير","مارس","أبريل","مايو","يونيو","يوليو","أغسطس","سبتمبر","أكتوبر","نوفمبر","ديسمبر")</f>
        <v>أبريل</v>
      </c>
      <c r="R656" s="40" t="str">
        <f aca="false">"الربع "&amp;ROUNDUP(MONTH(B656)/3,0)</f>
        <v>الربع 2</v>
      </c>
      <c r="S656" s="40" t="str">
        <f aca="false">IF(D656&lt;=12,"أطفال (0-12)",IF(D656&lt;=24,"شباب (13-24)",IF(D656&lt;=44,"بالغون (25-44)",IF(D656&lt;=64,"متوسطو العمر (45-64)","كبار السن (+65)"))))</f>
        <v>متوسطو العمر (45-64)</v>
      </c>
      <c r="T656" s="41" t="n">
        <f aca="false">IFERROR(L656/P656,0)</f>
        <v>3322.5325</v>
      </c>
    </row>
    <row r="657" customFormat="false" ht="15" hidden="false" customHeight="false" outlineLevel="0" collapsed="false">
      <c r="A657" s="33" t="s">
        <v>1363</v>
      </c>
      <c r="B657" s="34" t="n">
        <v>45406</v>
      </c>
      <c r="C657" s="34" t="n">
        <v>45407</v>
      </c>
      <c r="D657" s="33" t="n">
        <v>60</v>
      </c>
      <c r="E657" s="33" t="s">
        <v>139</v>
      </c>
      <c r="F657" s="33" t="s">
        <v>181</v>
      </c>
      <c r="G657" s="33" t="s">
        <v>188</v>
      </c>
      <c r="H657" s="33" t="s">
        <v>183</v>
      </c>
      <c r="I657" s="33" t="s">
        <v>152</v>
      </c>
      <c r="J657" s="33" t="s">
        <v>159</v>
      </c>
      <c r="K657" s="33" t="s">
        <v>145</v>
      </c>
      <c r="L657" s="35" t="n">
        <v>2585.29</v>
      </c>
      <c r="M657" s="33" t="n">
        <v>4</v>
      </c>
      <c r="N657" s="33" t="s">
        <v>146</v>
      </c>
      <c r="O657" s="33" t="s">
        <v>147</v>
      </c>
      <c r="P657" s="39" t="n">
        <f aca="false">C657-B657</f>
        <v>1</v>
      </c>
      <c r="Q657" s="40" t="str">
        <f aca="false">CHOOSE(MONTH(B657),"يناير","فبراير","مارس","أبريل","مايو","يونيو","يوليو","أغسطس","سبتمبر","أكتوبر","نوفمبر","ديسمبر")</f>
        <v>أبريل</v>
      </c>
      <c r="R657" s="40" t="str">
        <f aca="false">"الربع "&amp;ROUNDUP(MONTH(B657)/3,0)</f>
        <v>الربع 2</v>
      </c>
      <c r="S657" s="40" t="str">
        <f aca="false">IF(D657&lt;=12,"أطفال (0-12)",IF(D657&lt;=24,"شباب (13-24)",IF(D657&lt;=44,"بالغون (25-44)",IF(D657&lt;=64,"متوسطو العمر (45-64)","كبار السن (+65)"))))</f>
        <v>متوسطو العمر (45-64)</v>
      </c>
      <c r="T657" s="41" t="n">
        <f aca="false">IFERROR(L657/P657,0)</f>
        <v>2585.29</v>
      </c>
    </row>
    <row r="658" customFormat="false" ht="15" hidden="false" customHeight="false" outlineLevel="0" collapsed="false">
      <c r="A658" s="42" t="s">
        <v>625</v>
      </c>
      <c r="B658" s="43" t="n">
        <v>45406</v>
      </c>
      <c r="C658" s="43" t="n">
        <v>45414</v>
      </c>
      <c r="D658" s="42" t="n">
        <v>19</v>
      </c>
      <c r="E658" s="42" t="s">
        <v>154</v>
      </c>
      <c r="F658" s="42" t="s">
        <v>169</v>
      </c>
      <c r="G658" s="42" t="s">
        <v>163</v>
      </c>
      <c r="H658" s="42" t="s">
        <v>164</v>
      </c>
      <c r="I658" s="42" t="s">
        <v>143</v>
      </c>
      <c r="J658" s="42" t="s">
        <v>159</v>
      </c>
      <c r="K658" s="42" t="s">
        <v>160</v>
      </c>
      <c r="L658" s="44" t="n">
        <v>8949.56</v>
      </c>
      <c r="M658" s="42" t="n">
        <v>4</v>
      </c>
      <c r="N658" s="42" t="s">
        <v>146</v>
      </c>
      <c r="O658" s="42" t="s">
        <v>147</v>
      </c>
      <c r="P658" s="39" t="n">
        <f aca="false">C658-B658</f>
        <v>8</v>
      </c>
      <c r="Q658" s="40" t="str">
        <f aca="false">CHOOSE(MONTH(B658),"يناير","فبراير","مارس","أبريل","مايو","يونيو","يوليو","أغسطس","سبتمبر","أكتوبر","نوفمبر","ديسمبر")</f>
        <v>أبريل</v>
      </c>
      <c r="R658" s="40" t="str">
        <f aca="false">"الربع "&amp;ROUNDUP(MONTH(B658)/3,0)</f>
        <v>الربع 2</v>
      </c>
      <c r="S658" s="40" t="str">
        <f aca="false">IF(D658&lt;=12,"أطفال (0-12)",IF(D658&lt;=24,"شباب (13-24)",IF(D658&lt;=44,"بالغون (25-44)",IF(D658&lt;=64,"متوسطو العمر (45-64)","كبار السن (+65)"))))</f>
        <v>شباب (13-24)</v>
      </c>
      <c r="T658" s="41" t="n">
        <f aca="false">IFERROR(L658/P658,0)</f>
        <v>1118.695</v>
      </c>
    </row>
    <row r="659" customFormat="false" ht="15" hidden="false" customHeight="false" outlineLevel="0" collapsed="false">
      <c r="A659" s="33" t="s">
        <v>1519</v>
      </c>
      <c r="B659" s="34" t="n">
        <v>45407</v>
      </c>
      <c r="C659" s="34" t="n">
        <v>45409</v>
      </c>
      <c r="D659" s="33" t="n">
        <v>66</v>
      </c>
      <c r="E659" s="33" t="s">
        <v>154</v>
      </c>
      <c r="F659" s="33" t="s">
        <v>181</v>
      </c>
      <c r="G659" s="33" t="s">
        <v>188</v>
      </c>
      <c r="H659" s="33" t="s">
        <v>183</v>
      </c>
      <c r="I659" s="33" t="s">
        <v>143</v>
      </c>
      <c r="J659" s="33" t="s">
        <v>176</v>
      </c>
      <c r="K659" s="33" t="s">
        <v>160</v>
      </c>
      <c r="L659" s="35" t="n">
        <v>15667.23</v>
      </c>
      <c r="M659" s="33" t="n">
        <v>4</v>
      </c>
      <c r="N659" s="33" t="s">
        <v>210</v>
      </c>
      <c r="O659" s="33" t="s">
        <v>147</v>
      </c>
      <c r="P659" s="39" t="n">
        <f aca="false">C659-B659</f>
        <v>2</v>
      </c>
      <c r="Q659" s="40" t="str">
        <f aca="false">CHOOSE(MONTH(B659),"يناير","فبراير","مارس","أبريل","مايو","يونيو","يوليو","أغسطس","سبتمبر","أكتوبر","نوفمبر","ديسمبر")</f>
        <v>أبريل</v>
      </c>
      <c r="R659" s="40" t="str">
        <f aca="false">"الربع "&amp;ROUNDUP(MONTH(B659)/3,0)</f>
        <v>الربع 2</v>
      </c>
      <c r="S659" s="40" t="str">
        <f aca="false">IF(D659&lt;=12,"أطفال (0-12)",IF(D659&lt;=24,"شباب (13-24)",IF(D659&lt;=44,"بالغون (25-44)",IF(D659&lt;=64,"متوسطو العمر (45-64)","كبار السن (+65)"))))</f>
        <v>كبار السن (+65)</v>
      </c>
      <c r="T659" s="41" t="n">
        <f aca="false">IFERROR(L659/P659,0)</f>
        <v>7833.615</v>
      </c>
    </row>
    <row r="660" customFormat="false" ht="15" hidden="false" customHeight="false" outlineLevel="0" collapsed="false">
      <c r="A660" s="42" t="s">
        <v>238</v>
      </c>
      <c r="B660" s="43" t="n">
        <v>45407</v>
      </c>
      <c r="C660" s="43" t="n">
        <v>45415</v>
      </c>
      <c r="D660" s="42" t="n">
        <v>44</v>
      </c>
      <c r="E660" s="42" t="s">
        <v>154</v>
      </c>
      <c r="F660" s="42" t="s">
        <v>169</v>
      </c>
      <c r="G660" s="42" t="s">
        <v>213</v>
      </c>
      <c r="H660" s="42" t="s">
        <v>171</v>
      </c>
      <c r="I660" s="42" t="s">
        <v>143</v>
      </c>
      <c r="J660" s="42" t="s">
        <v>159</v>
      </c>
      <c r="K660" s="42" t="s">
        <v>145</v>
      </c>
      <c r="L660" s="44" t="n">
        <v>6876.01</v>
      </c>
      <c r="M660" s="42" t="n">
        <v>5</v>
      </c>
      <c r="N660" s="42" t="s">
        <v>146</v>
      </c>
      <c r="O660" s="42" t="s">
        <v>147</v>
      </c>
      <c r="P660" s="39" t="n">
        <f aca="false">C660-B660</f>
        <v>8</v>
      </c>
      <c r="Q660" s="40" t="str">
        <f aca="false">CHOOSE(MONTH(B660),"يناير","فبراير","مارس","أبريل","مايو","يونيو","يوليو","أغسطس","سبتمبر","أكتوبر","نوفمبر","ديسمبر")</f>
        <v>أبريل</v>
      </c>
      <c r="R660" s="40" t="str">
        <f aca="false">"الربع "&amp;ROUNDUP(MONTH(B660)/3,0)</f>
        <v>الربع 2</v>
      </c>
      <c r="S660" s="40" t="str">
        <f aca="false">IF(D660&lt;=12,"أطفال (0-12)",IF(D660&lt;=24,"شباب (13-24)",IF(D660&lt;=44,"بالغون (25-44)",IF(D660&lt;=64,"متوسطو العمر (45-64)","كبار السن (+65)"))))</f>
        <v>بالغون (25-44)</v>
      </c>
      <c r="T660" s="41" t="n">
        <f aca="false">IFERROR(L660/P660,0)</f>
        <v>859.50125</v>
      </c>
    </row>
    <row r="661" customFormat="false" ht="15" hidden="false" customHeight="false" outlineLevel="0" collapsed="false">
      <c r="A661" s="33" t="s">
        <v>586</v>
      </c>
      <c r="B661" s="34" t="n">
        <v>45407</v>
      </c>
      <c r="C661" s="34" t="n">
        <v>45411</v>
      </c>
      <c r="D661" s="33" t="n">
        <v>24</v>
      </c>
      <c r="E661" s="33" t="s">
        <v>139</v>
      </c>
      <c r="F661" s="33" t="s">
        <v>169</v>
      </c>
      <c r="G661" s="33" t="s">
        <v>170</v>
      </c>
      <c r="H661" s="33" t="s">
        <v>164</v>
      </c>
      <c r="I661" s="33" t="s">
        <v>158</v>
      </c>
      <c r="J661" s="33" t="s">
        <v>159</v>
      </c>
      <c r="K661" s="33" t="s">
        <v>145</v>
      </c>
      <c r="L661" s="35" t="n">
        <v>4932.96</v>
      </c>
      <c r="M661" s="33" t="n">
        <v>5</v>
      </c>
      <c r="N661" s="33" t="s">
        <v>146</v>
      </c>
      <c r="O661" s="33" t="s">
        <v>147</v>
      </c>
      <c r="P661" s="39" t="n">
        <f aca="false">C661-B661</f>
        <v>4</v>
      </c>
      <c r="Q661" s="40" t="str">
        <f aca="false">CHOOSE(MONTH(B661),"يناير","فبراير","مارس","أبريل","مايو","يونيو","يوليو","أغسطس","سبتمبر","أكتوبر","نوفمبر","ديسمبر")</f>
        <v>أبريل</v>
      </c>
      <c r="R661" s="40" t="str">
        <f aca="false">"الربع "&amp;ROUNDUP(MONTH(B661)/3,0)</f>
        <v>الربع 2</v>
      </c>
      <c r="S661" s="40" t="str">
        <f aca="false">IF(D661&lt;=12,"أطفال (0-12)",IF(D661&lt;=24,"شباب (13-24)",IF(D661&lt;=44,"بالغون (25-44)",IF(D661&lt;=64,"متوسطو العمر (45-64)","كبار السن (+65)"))))</f>
        <v>شباب (13-24)</v>
      </c>
      <c r="T661" s="41" t="n">
        <f aca="false">IFERROR(L661/P661,0)</f>
        <v>1233.24</v>
      </c>
    </row>
    <row r="662" customFormat="false" ht="15" hidden="false" customHeight="false" outlineLevel="0" collapsed="false">
      <c r="A662" s="42" t="s">
        <v>1261</v>
      </c>
      <c r="B662" s="43" t="n">
        <v>45407</v>
      </c>
      <c r="C662" s="43" t="n">
        <v>45408</v>
      </c>
      <c r="D662" s="42" t="n">
        <v>59</v>
      </c>
      <c r="E662" s="42" t="s">
        <v>139</v>
      </c>
      <c r="F662" s="42" t="s">
        <v>203</v>
      </c>
      <c r="G662" s="42" t="s">
        <v>217</v>
      </c>
      <c r="H662" s="42" t="s">
        <v>193</v>
      </c>
      <c r="I662" s="42" t="s">
        <v>143</v>
      </c>
      <c r="J662" s="42" t="s">
        <v>159</v>
      </c>
      <c r="K662" s="42" t="s">
        <v>160</v>
      </c>
      <c r="L662" s="44" t="n">
        <v>1091.03</v>
      </c>
      <c r="M662" s="42" t="n">
        <v>3</v>
      </c>
      <c r="N662" s="42" t="s">
        <v>146</v>
      </c>
      <c r="O662" s="42" t="s">
        <v>247</v>
      </c>
      <c r="P662" s="39" t="n">
        <f aca="false">C662-B662</f>
        <v>1</v>
      </c>
      <c r="Q662" s="40" t="str">
        <f aca="false">CHOOSE(MONTH(B662),"يناير","فبراير","مارس","أبريل","مايو","يونيو","يوليو","أغسطس","سبتمبر","أكتوبر","نوفمبر","ديسمبر")</f>
        <v>أبريل</v>
      </c>
      <c r="R662" s="40" t="str">
        <f aca="false">"الربع "&amp;ROUNDUP(MONTH(B662)/3,0)</f>
        <v>الربع 2</v>
      </c>
      <c r="S662" s="40" t="str">
        <f aca="false">IF(D662&lt;=12,"أطفال (0-12)",IF(D662&lt;=24,"شباب (13-24)",IF(D662&lt;=44,"بالغون (25-44)",IF(D662&lt;=64,"متوسطو العمر (45-64)","كبار السن (+65)"))))</f>
        <v>متوسطو العمر (45-64)</v>
      </c>
      <c r="T662" s="41" t="n">
        <f aca="false">IFERROR(L662/P662,0)</f>
        <v>1091.03</v>
      </c>
    </row>
    <row r="663" customFormat="false" ht="15" hidden="false" customHeight="false" outlineLevel="0" collapsed="false">
      <c r="A663" s="33" t="s">
        <v>482</v>
      </c>
      <c r="B663" s="34" t="n">
        <v>45407</v>
      </c>
      <c r="C663" s="34" t="n">
        <v>45409</v>
      </c>
      <c r="D663" s="33" t="n">
        <v>35</v>
      </c>
      <c r="E663" s="33" t="s">
        <v>139</v>
      </c>
      <c r="F663" s="33" t="s">
        <v>149</v>
      </c>
      <c r="G663" s="33" t="s">
        <v>150</v>
      </c>
      <c r="H663" s="33" t="s">
        <v>186</v>
      </c>
      <c r="I663" s="33" t="s">
        <v>143</v>
      </c>
      <c r="J663" s="33" t="s">
        <v>159</v>
      </c>
      <c r="K663" s="33" t="s">
        <v>160</v>
      </c>
      <c r="L663" s="35" t="n">
        <v>3364.61</v>
      </c>
      <c r="M663" s="33" t="n">
        <v>4</v>
      </c>
      <c r="N663" s="33" t="s">
        <v>146</v>
      </c>
      <c r="O663" s="33" t="s">
        <v>147</v>
      </c>
      <c r="P663" s="39" t="n">
        <f aca="false">C663-B663</f>
        <v>2</v>
      </c>
      <c r="Q663" s="40" t="str">
        <f aca="false">CHOOSE(MONTH(B663),"يناير","فبراير","مارس","أبريل","مايو","يونيو","يوليو","أغسطس","سبتمبر","أكتوبر","نوفمبر","ديسمبر")</f>
        <v>أبريل</v>
      </c>
      <c r="R663" s="40" t="str">
        <f aca="false">"الربع "&amp;ROUNDUP(MONTH(B663)/3,0)</f>
        <v>الربع 2</v>
      </c>
      <c r="S663" s="40" t="str">
        <f aca="false">IF(D663&lt;=12,"أطفال (0-12)",IF(D663&lt;=24,"شباب (13-24)",IF(D663&lt;=44,"بالغون (25-44)",IF(D663&lt;=64,"متوسطو العمر (45-64)","كبار السن (+65)"))))</f>
        <v>بالغون (25-44)</v>
      </c>
      <c r="T663" s="41" t="n">
        <f aca="false">IFERROR(L663/P663,0)</f>
        <v>1682.305</v>
      </c>
    </row>
    <row r="664" customFormat="false" ht="15" hidden="false" customHeight="false" outlineLevel="0" collapsed="false">
      <c r="A664" s="42" t="s">
        <v>1955</v>
      </c>
      <c r="B664" s="43" t="n">
        <v>45407</v>
      </c>
      <c r="C664" s="43" t="n">
        <v>45410</v>
      </c>
      <c r="D664" s="42" t="n">
        <v>79</v>
      </c>
      <c r="E664" s="42" t="s">
        <v>139</v>
      </c>
      <c r="F664" s="42" t="s">
        <v>169</v>
      </c>
      <c r="G664" s="42" t="s">
        <v>170</v>
      </c>
      <c r="H664" s="42" t="s">
        <v>171</v>
      </c>
      <c r="I664" s="42" t="s">
        <v>152</v>
      </c>
      <c r="J664" s="42" t="s">
        <v>144</v>
      </c>
      <c r="K664" s="42" t="s">
        <v>145</v>
      </c>
      <c r="L664" s="44" t="n">
        <v>5006.22</v>
      </c>
      <c r="M664" s="42" t="n">
        <v>4</v>
      </c>
      <c r="N664" s="42" t="s">
        <v>146</v>
      </c>
      <c r="O664" s="42" t="s">
        <v>147</v>
      </c>
      <c r="P664" s="39" t="n">
        <f aca="false">C664-B664</f>
        <v>3</v>
      </c>
      <c r="Q664" s="40" t="str">
        <f aca="false">CHOOSE(MONTH(B664),"يناير","فبراير","مارس","أبريل","مايو","يونيو","يوليو","أغسطس","سبتمبر","أكتوبر","نوفمبر","ديسمبر")</f>
        <v>أبريل</v>
      </c>
      <c r="R664" s="40" t="str">
        <f aca="false">"الربع "&amp;ROUNDUP(MONTH(B664)/3,0)</f>
        <v>الربع 2</v>
      </c>
      <c r="S664" s="40" t="str">
        <f aca="false">IF(D664&lt;=12,"أطفال (0-12)",IF(D664&lt;=24,"شباب (13-24)",IF(D664&lt;=44,"بالغون (25-44)",IF(D664&lt;=64,"متوسطو العمر (45-64)","كبار السن (+65)"))))</f>
        <v>كبار السن (+65)</v>
      </c>
      <c r="T664" s="41" t="n">
        <f aca="false">IFERROR(L664/P664,0)</f>
        <v>1668.74</v>
      </c>
    </row>
    <row r="665" customFormat="false" ht="15" hidden="false" customHeight="false" outlineLevel="0" collapsed="false">
      <c r="A665" s="33" t="s">
        <v>2302</v>
      </c>
      <c r="B665" s="34" t="n">
        <v>45407</v>
      </c>
      <c r="C665" s="34" t="n">
        <v>45420</v>
      </c>
      <c r="D665" s="33" t="n">
        <v>69</v>
      </c>
      <c r="E665" s="33" t="s">
        <v>139</v>
      </c>
      <c r="F665" s="33" t="s">
        <v>140</v>
      </c>
      <c r="G665" s="33" t="s">
        <v>141</v>
      </c>
      <c r="H665" s="33" t="s">
        <v>142</v>
      </c>
      <c r="I665" s="33" t="s">
        <v>143</v>
      </c>
      <c r="J665" s="33" t="s">
        <v>159</v>
      </c>
      <c r="K665" s="33" t="s">
        <v>145</v>
      </c>
      <c r="L665" s="35" t="n">
        <v>26753.16</v>
      </c>
      <c r="M665" s="33" t="n">
        <v>4</v>
      </c>
      <c r="N665" s="33" t="s">
        <v>146</v>
      </c>
      <c r="O665" s="33" t="s">
        <v>147</v>
      </c>
      <c r="P665" s="39" t="n">
        <f aca="false">C665-B665</f>
        <v>13</v>
      </c>
      <c r="Q665" s="40" t="str">
        <f aca="false">CHOOSE(MONTH(B665),"يناير","فبراير","مارس","أبريل","مايو","يونيو","يوليو","أغسطس","سبتمبر","أكتوبر","نوفمبر","ديسمبر")</f>
        <v>أبريل</v>
      </c>
      <c r="R665" s="40" t="str">
        <f aca="false">"الربع "&amp;ROUNDUP(MONTH(B665)/3,0)</f>
        <v>الربع 2</v>
      </c>
      <c r="S665" s="40" t="str">
        <f aca="false">IF(D665&lt;=12,"أطفال (0-12)",IF(D665&lt;=24,"شباب (13-24)",IF(D665&lt;=44,"بالغون (25-44)",IF(D665&lt;=64,"متوسطو العمر (45-64)","كبار السن (+65)"))))</f>
        <v>كبار السن (+65)</v>
      </c>
      <c r="T665" s="41" t="n">
        <f aca="false">IFERROR(L665/P665,0)</f>
        <v>2057.93538461538</v>
      </c>
    </row>
    <row r="666" customFormat="false" ht="15" hidden="false" customHeight="false" outlineLevel="0" collapsed="false">
      <c r="A666" s="42" t="s">
        <v>929</v>
      </c>
      <c r="B666" s="43" t="n">
        <v>45408</v>
      </c>
      <c r="C666" s="43" t="n">
        <v>45421</v>
      </c>
      <c r="D666" s="42" t="n">
        <v>69</v>
      </c>
      <c r="E666" s="42" t="s">
        <v>139</v>
      </c>
      <c r="F666" s="42" t="s">
        <v>181</v>
      </c>
      <c r="G666" s="42" t="s">
        <v>182</v>
      </c>
      <c r="H666" s="42" t="s">
        <v>183</v>
      </c>
      <c r="I666" s="42" t="s">
        <v>143</v>
      </c>
      <c r="J666" s="42" t="s">
        <v>159</v>
      </c>
      <c r="K666" s="42" t="s">
        <v>209</v>
      </c>
      <c r="L666" s="44" t="n">
        <v>31938.8</v>
      </c>
      <c r="M666" s="42" t="n">
        <v>3</v>
      </c>
      <c r="N666" s="42" t="s">
        <v>146</v>
      </c>
      <c r="O666" s="42" t="s">
        <v>147</v>
      </c>
      <c r="P666" s="39" t="n">
        <f aca="false">C666-B666</f>
        <v>13</v>
      </c>
      <c r="Q666" s="40" t="str">
        <f aca="false">CHOOSE(MONTH(B666),"يناير","فبراير","مارس","أبريل","مايو","يونيو","يوليو","أغسطس","سبتمبر","أكتوبر","نوفمبر","ديسمبر")</f>
        <v>أبريل</v>
      </c>
      <c r="R666" s="40" t="str">
        <f aca="false">"الربع "&amp;ROUNDUP(MONTH(B666)/3,0)</f>
        <v>الربع 2</v>
      </c>
      <c r="S666" s="40" t="str">
        <f aca="false">IF(D666&lt;=12,"أطفال (0-12)",IF(D666&lt;=24,"شباب (13-24)",IF(D666&lt;=44,"بالغون (25-44)",IF(D666&lt;=64,"متوسطو العمر (45-64)","كبار السن (+65)"))))</f>
        <v>كبار السن (+65)</v>
      </c>
      <c r="T666" s="41" t="n">
        <f aca="false">IFERROR(L666/P666,0)</f>
        <v>2456.83076923077</v>
      </c>
    </row>
    <row r="667" customFormat="false" ht="15" hidden="false" customHeight="false" outlineLevel="0" collapsed="false">
      <c r="A667" s="33" t="s">
        <v>525</v>
      </c>
      <c r="B667" s="34" t="n">
        <v>45408</v>
      </c>
      <c r="C667" s="34" t="n">
        <v>45409</v>
      </c>
      <c r="D667" s="33" t="n">
        <v>28</v>
      </c>
      <c r="E667" s="33" t="s">
        <v>139</v>
      </c>
      <c r="F667" s="33" t="s">
        <v>203</v>
      </c>
      <c r="G667" s="33" t="s">
        <v>217</v>
      </c>
      <c r="H667" s="33" t="s">
        <v>193</v>
      </c>
      <c r="I667" s="33" t="s">
        <v>143</v>
      </c>
      <c r="J667" s="33" t="s">
        <v>159</v>
      </c>
      <c r="K667" s="33" t="s">
        <v>145</v>
      </c>
      <c r="L667" s="35" t="n">
        <v>769.46</v>
      </c>
      <c r="M667" s="33" t="n">
        <v>3</v>
      </c>
      <c r="N667" s="33" t="s">
        <v>146</v>
      </c>
      <c r="O667" s="33" t="s">
        <v>147</v>
      </c>
      <c r="P667" s="39" t="n">
        <f aca="false">C667-B667</f>
        <v>1</v>
      </c>
      <c r="Q667" s="40" t="str">
        <f aca="false">CHOOSE(MONTH(B667),"يناير","فبراير","مارس","أبريل","مايو","يونيو","يوليو","أغسطس","سبتمبر","أكتوبر","نوفمبر","ديسمبر")</f>
        <v>أبريل</v>
      </c>
      <c r="R667" s="40" t="str">
        <f aca="false">"الربع "&amp;ROUNDUP(MONTH(B667)/3,0)</f>
        <v>الربع 2</v>
      </c>
      <c r="S667" s="40" t="str">
        <f aca="false">IF(D667&lt;=12,"أطفال (0-12)",IF(D667&lt;=24,"شباب (13-24)",IF(D667&lt;=44,"بالغون (25-44)",IF(D667&lt;=64,"متوسطو العمر (45-64)","كبار السن (+65)"))))</f>
        <v>بالغون (25-44)</v>
      </c>
      <c r="T667" s="41" t="n">
        <f aca="false">IFERROR(L667/P667,0)</f>
        <v>769.46</v>
      </c>
    </row>
    <row r="668" customFormat="false" ht="15" hidden="false" customHeight="false" outlineLevel="0" collapsed="false">
      <c r="A668" s="42" t="s">
        <v>975</v>
      </c>
      <c r="B668" s="43" t="n">
        <v>45408</v>
      </c>
      <c r="C668" s="43" t="n">
        <v>45414</v>
      </c>
      <c r="D668" s="42" t="n">
        <v>60</v>
      </c>
      <c r="E668" s="42" t="s">
        <v>139</v>
      </c>
      <c r="F668" s="42" t="s">
        <v>226</v>
      </c>
      <c r="G668" s="42" t="s">
        <v>386</v>
      </c>
      <c r="H668" s="42" t="s">
        <v>263</v>
      </c>
      <c r="I668" s="42" t="s">
        <v>158</v>
      </c>
      <c r="J668" s="42" t="s">
        <v>176</v>
      </c>
      <c r="K668" s="42" t="s">
        <v>209</v>
      </c>
      <c r="L668" s="44" t="n">
        <v>64435.54</v>
      </c>
      <c r="M668" s="42" t="n">
        <v>5</v>
      </c>
      <c r="N668" s="42" t="s">
        <v>146</v>
      </c>
      <c r="O668" s="42" t="s">
        <v>147</v>
      </c>
      <c r="P668" s="39" t="n">
        <f aca="false">C668-B668</f>
        <v>6</v>
      </c>
      <c r="Q668" s="40" t="str">
        <f aca="false">CHOOSE(MONTH(B668),"يناير","فبراير","مارس","أبريل","مايو","يونيو","يوليو","أغسطس","سبتمبر","أكتوبر","نوفمبر","ديسمبر")</f>
        <v>أبريل</v>
      </c>
      <c r="R668" s="40" t="str">
        <f aca="false">"الربع "&amp;ROUNDUP(MONTH(B668)/3,0)</f>
        <v>الربع 2</v>
      </c>
      <c r="S668" s="40" t="str">
        <f aca="false">IF(D668&lt;=12,"أطفال (0-12)",IF(D668&lt;=24,"شباب (13-24)",IF(D668&lt;=44,"بالغون (25-44)",IF(D668&lt;=64,"متوسطو العمر (45-64)","كبار السن (+65)"))))</f>
        <v>متوسطو العمر (45-64)</v>
      </c>
      <c r="T668" s="41" t="n">
        <f aca="false">IFERROR(L668/P668,0)</f>
        <v>10739.2566666667</v>
      </c>
    </row>
    <row r="669" customFormat="false" ht="15" hidden="false" customHeight="false" outlineLevel="0" collapsed="false">
      <c r="A669" s="33" t="s">
        <v>1942</v>
      </c>
      <c r="B669" s="34" t="n">
        <v>45408</v>
      </c>
      <c r="C669" s="34" t="n">
        <v>45410</v>
      </c>
      <c r="D669" s="33" t="n">
        <v>60</v>
      </c>
      <c r="E669" s="33" t="s">
        <v>154</v>
      </c>
      <c r="F669" s="33" t="s">
        <v>169</v>
      </c>
      <c r="G669" s="33" t="s">
        <v>170</v>
      </c>
      <c r="H669" s="33" t="s">
        <v>195</v>
      </c>
      <c r="I669" s="33" t="s">
        <v>143</v>
      </c>
      <c r="J669" s="33" t="s">
        <v>159</v>
      </c>
      <c r="K669" s="33" t="s">
        <v>145</v>
      </c>
      <c r="L669" s="35" t="n">
        <v>2733.96</v>
      </c>
      <c r="M669" s="33" t="n">
        <v>5</v>
      </c>
      <c r="N669" s="33" t="s">
        <v>146</v>
      </c>
      <c r="O669" s="33" t="s">
        <v>147</v>
      </c>
      <c r="P669" s="39" t="n">
        <f aca="false">C669-B669</f>
        <v>2</v>
      </c>
      <c r="Q669" s="40" t="str">
        <f aca="false">CHOOSE(MONTH(B669),"يناير","فبراير","مارس","أبريل","مايو","يونيو","يوليو","أغسطس","سبتمبر","أكتوبر","نوفمبر","ديسمبر")</f>
        <v>أبريل</v>
      </c>
      <c r="R669" s="40" t="str">
        <f aca="false">"الربع "&amp;ROUNDUP(MONTH(B669)/3,0)</f>
        <v>الربع 2</v>
      </c>
      <c r="S669" s="40" t="str">
        <f aca="false">IF(D669&lt;=12,"أطفال (0-12)",IF(D669&lt;=24,"شباب (13-24)",IF(D669&lt;=44,"بالغون (25-44)",IF(D669&lt;=64,"متوسطو العمر (45-64)","كبار السن (+65)"))))</f>
        <v>متوسطو العمر (45-64)</v>
      </c>
      <c r="T669" s="41" t="n">
        <f aca="false">IFERROR(L669/P669,0)</f>
        <v>1366.98</v>
      </c>
    </row>
    <row r="670" customFormat="false" ht="15" hidden="false" customHeight="false" outlineLevel="0" collapsed="false">
      <c r="A670" s="42" t="s">
        <v>2067</v>
      </c>
      <c r="B670" s="43" t="n">
        <v>45408</v>
      </c>
      <c r="C670" s="43" t="n">
        <v>45415</v>
      </c>
      <c r="D670" s="42" t="n">
        <v>57</v>
      </c>
      <c r="E670" s="42" t="s">
        <v>139</v>
      </c>
      <c r="F670" s="42" t="s">
        <v>226</v>
      </c>
      <c r="G670" s="42" t="s">
        <v>386</v>
      </c>
      <c r="H670" s="42" t="s">
        <v>263</v>
      </c>
      <c r="I670" s="42" t="s">
        <v>143</v>
      </c>
      <c r="J670" s="42" t="s">
        <v>176</v>
      </c>
      <c r="K670" s="42" t="s">
        <v>160</v>
      </c>
      <c r="L670" s="44" t="n">
        <v>89976.99</v>
      </c>
      <c r="M670" s="42" t="n">
        <v>4</v>
      </c>
      <c r="N670" s="42" t="s">
        <v>146</v>
      </c>
      <c r="O670" s="42" t="s">
        <v>247</v>
      </c>
      <c r="P670" s="39" t="n">
        <f aca="false">C670-B670</f>
        <v>7</v>
      </c>
      <c r="Q670" s="40" t="str">
        <f aca="false">CHOOSE(MONTH(B670),"يناير","فبراير","مارس","أبريل","مايو","يونيو","يوليو","أغسطس","سبتمبر","أكتوبر","نوفمبر","ديسمبر")</f>
        <v>أبريل</v>
      </c>
      <c r="R670" s="40" t="str">
        <f aca="false">"الربع "&amp;ROUNDUP(MONTH(B670)/3,0)</f>
        <v>الربع 2</v>
      </c>
      <c r="S670" s="40" t="str">
        <f aca="false">IF(D670&lt;=12,"أطفال (0-12)",IF(D670&lt;=24,"شباب (13-24)",IF(D670&lt;=44,"بالغون (25-44)",IF(D670&lt;=64,"متوسطو العمر (45-64)","كبار السن (+65)"))))</f>
        <v>متوسطو العمر (45-64)</v>
      </c>
      <c r="T670" s="41" t="n">
        <f aca="false">IFERROR(L670/P670,0)</f>
        <v>12853.8557142857</v>
      </c>
    </row>
    <row r="671" customFormat="false" ht="15" hidden="false" customHeight="false" outlineLevel="0" collapsed="false">
      <c r="A671" s="33" t="s">
        <v>758</v>
      </c>
      <c r="B671" s="34" t="n">
        <v>45408</v>
      </c>
      <c r="C671" s="34" t="n">
        <v>45419</v>
      </c>
      <c r="D671" s="33" t="n">
        <v>75</v>
      </c>
      <c r="E671" s="33" t="s">
        <v>139</v>
      </c>
      <c r="F671" s="33" t="s">
        <v>173</v>
      </c>
      <c r="G671" s="33" t="s">
        <v>174</v>
      </c>
      <c r="H671" s="33" t="s">
        <v>199</v>
      </c>
      <c r="I671" s="33" t="s">
        <v>152</v>
      </c>
      <c r="J671" s="33" t="s">
        <v>176</v>
      </c>
      <c r="K671" s="33" t="s">
        <v>184</v>
      </c>
      <c r="L671" s="35" t="n">
        <v>112166.3</v>
      </c>
      <c r="M671" s="33" t="n">
        <v>4</v>
      </c>
      <c r="N671" s="33" t="s">
        <v>146</v>
      </c>
      <c r="O671" s="33" t="s">
        <v>147</v>
      </c>
      <c r="P671" s="39" t="n">
        <f aca="false">C671-B671</f>
        <v>11</v>
      </c>
      <c r="Q671" s="40" t="str">
        <f aca="false">CHOOSE(MONTH(B671),"يناير","فبراير","مارس","أبريل","مايو","يونيو","يوليو","أغسطس","سبتمبر","أكتوبر","نوفمبر","ديسمبر")</f>
        <v>أبريل</v>
      </c>
      <c r="R671" s="40" t="str">
        <f aca="false">"الربع "&amp;ROUNDUP(MONTH(B671)/3,0)</f>
        <v>الربع 2</v>
      </c>
      <c r="S671" s="40" t="str">
        <f aca="false">IF(D671&lt;=12,"أطفال (0-12)",IF(D671&lt;=24,"شباب (13-24)",IF(D671&lt;=44,"بالغون (25-44)",IF(D671&lt;=64,"متوسطو العمر (45-64)","كبار السن (+65)"))))</f>
        <v>كبار السن (+65)</v>
      </c>
      <c r="T671" s="41" t="n">
        <f aca="false">IFERROR(L671/P671,0)</f>
        <v>10196.9363636364</v>
      </c>
    </row>
    <row r="672" customFormat="false" ht="15" hidden="false" customHeight="false" outlineLevel="0" collapsed="false">
      <c r="A672" s="42" t="s">
        <v>991</v>
      </c>
      <c r="B672" s="43" t="n">
        <v>45408</v>
      </c>
      <c r="C672" s="43" t="n">
        <v>45411</v>
      </c>
      <c r="D672" s="42" t="n">
        <v>24</v>
      </c>
      <c r="E672" s="42" t="s">
        <v>154</v>
      </c>
      <c r="F672" s="42" t="s">
        <v>140</v>
      </c>
      <c r="G672" s="42" t="s">
        <v>316</v>
      </c>
      <c r="H672" s="42" t="s">
        <v>142</v>
      </c>
      <c r="I672" s="42" t="s">
        <v>152</v>
      </c>
      <c r="J672" s="42" t="s">
        <v>159</v>
      </c>
      <c r="K672" s="42" t="s">
        <v>145</v>
      </c>
      <c r="L672" s="44" t="n">
        <v>6312.62</v>
      </c>
      <c r="M672" s="42" t="n">
        <v>3</v>
      </c>
      <c r="N672" s="42" t="s">
        <v>146</v>
      </c>
      <c r="O672" s="42" t="s">
        <v>147</v>
      </c>
      <c r="P672" s="39" t="n">
        <f aca="false">C672-B672</f>
        <v>3</v>
      </c>
      <c r="Q672" s="40" t="str">
        <f aca="false">CHOOSE(MONTH(B672),"يناير","فبراير","مارس","أبريل","مايو","يونيو","يوليو","أغسطس","سبتمبر","أكتوبر","نوفمبر","ديسمبر")</f>
        <v>أبريل</v>
      </c>
      <c r="R672" s="40" t="str">
        <f aca="false">"الربع "&amp;ROUNDUP(MONTH(B672)/3,0)</f>
        <v>الربع 2</v>
      </c>
      <c r="S672" s="40" t="str">
        <f aca="false">IF(D672&lt;=12,"أطفال (0-12)",IF(D672&lt;=24,"شباب (13-24)",IF(D672&lt;=44,"بالغون (25-44)",IF(D672&lt;=64,"متوسطو العمر (45-64)","كبار السن (+65)"))))</f>
        <v>شباب (13-24)</v>
      </c>
      <c r="T672" s="41" t="n">
        <f aca="false">IFERROR(L672/P672,0)</f>
        <v>2104.20666666667</v>
      </c>
    </row>
    <row r="673" customFormat="false" ht="15" hidden="false" customHeight="false" outlineLevel="0" collapsed="false">
      <c r="A673" s="33" t="s">
        <v>2317</v>
      </c>
      <c r="B673" s="34" t="n">
        <v>45408</v>
      </c>
      <c r="C673" s="34" t="n">
        <v>45409</v>
      </c>
      <c r="D673" s="33" t="n">
        <v>36</v>
      </c>
      <c r="E673" s="33" t="s">
        <v>154</v>
      </c>
      <c r="F673" s="33" t="s">
        <v>203</v>
      </c>
      <c r="G673" s="33" t="s">
        <v>192</v>
      </c>
      <c r="H673" s="33" t="s">
        <v>193</v>
      </c>
      <c r="I673" s="33" t="s">
        <v>143</v>
      </c>
      <c r="J673" s="33" t="s">
        <v>159</v>
      </c>
      <c r="K673" s="33" t="s">
        <v>160</v>
      </c>
      <c r="L673" s="35" t="n">
        <v>971.53</v>
      </c>
      <c r="M673" s="33" t="n">
        <v>4</v>
      </c>
      <c r="N673" s="33" t="s">
        <v>146</v>
      </c>
      <c r="O673" s="33" t="s">
        <v>147</v>
      </c>
      <c r="P673" s="39" t="n">
        <f aca="false">C673-B673</f>
        <v>1</v>
      </c>
      <c r="Q673" s="40" t="str">
        <f aca="false">CHOOSE(MONTH(B673),"يناير","فبراير","مارس","أبريل","مايو","يونيو","يوليو","أغسطس","سبتمبر","أكتوبر","نوفمبر","ديسمبر")</f>
        <v>أبريل</v>
      </c>
      <c r="R673" s="40" t="str">
        <f aca="false">"الربع "&amp;ROUNDUP(MONTH(B673)/3,0)</f>
        <v>الربع 2</v>
      </c>
      <c r="S673" s="40" t="str">
        <f aca="false">IF(D673&lt;=12,"أطفال (0-12)",IF(D673&lt;=24,"شباب (13-24)",IF(D673&lt;=44,"بالغون (25-44)",IF(D673&lt;=64,"متوسطو العمر (45-64)","كبار السن (+65)"))))</f>
        <v>بالغون (25-44)</v>
      </c>
      <c r="T673" s="41" t="n">
        <f aca="false">IFERROR(L673/P673,0)</f>
        <v>971.53</v>
      </c>
    </row>
    <row r="674" customFormat="false" ht="15" hidden="false" customHeight="false" outlineLevel="0" collapsed="false">
      <c r="A674" s="42" t="s">
        <v>2051</v>
      </c>
      <c r="B674" s="43" t="n">
        <v>45408</v>
      </c>
      <c r="C674" s="43" t="n">
        <v>45411</v>
      </c>
      <c r="D674" s="42" t="n">
        <v>66</v>
      </c>
      <c r="E674" s="42" t="s">
        <v>139</v>
      </c>
      <c r="F674" s="42" t="s">
        <v>181</v>
      </c>
      <c r="G674" s="42" t="s">
        <v>188</v>
      </c>
      <c r="H674" s="42" t="s">
        <v>245</v>
      </c>
      <c r="I674" s="42" t="s">
        <v>143</v>
      </c>
      <c r="J674" s="42" t="s">
        <v>144</v>
      </c>
      <c r="K674" s="42" t="s">
        <v>145</v>
      </c>
      <c r="L674" s="44" t="n">
        <v>11412.53</v>
      </c>
      <c r="M674" s="42" t="n">
        <v>4</v>
      </c>
      <c r="N674" s="42" t="s">
        <v>210</v>
      </c>
      <c r="O674" s="42" t="s">
        <v>147</v>
      </c>
      <c r="P674" s="39" t="n">
        <f aca="false">C674-B674</f>
        <v>3</v>
      </c>
      <c r="Q674" s="40" t="str">
        <f aca="false">CHOOSE(MONTH(B674),"يناير","فبراير","مارس","أبريل","مايو","يونيو","يوليو","أغسطس","سبتمبر","أكتوبر","نوفمبر","ديسمبر")</f>
        <v>أبريل</v>
      </c>
      <c r="R674" s="40" t="str">
        <f aca="false">"الربع "&amp;ROUNDUP(MONTH(B674)/3,0)</f>
        <v>الربع 2</v>
      </c>
      <c r="S674" s="40" t="str">
        <f aca="false">IF(D674&lt;=12,"أطفال (0-12)",IF(D674&lt;=24,"شباب (13-24)",IF(D674&lt;=44,"بالغون (25-44)",IF(D674&lt;=64,"متوسطو العمر (45-64)","كبار السن (+65)"))))</f>
        <v>كبار السن (+65)</v>
      </c>
      <c r="T674" s="41" t="n">
        <f aca="false">IFERROR(L674/P674,0)</f>
        <v>3804.17666666667</v>
      </c>
    </row>
    <row r="675" customFormat="false" ht="15" hidden="false" customHeight="false" outlineLevel="0" collapsed="false">
      <c r="A675" s="33" t="s">
        <v>1097</v>
      </c>
      <c r="B675" s="34" t="n">
        <v>45408</v>
      </c>
      <c r="C675" s="34" t="n">
        <v>45413</v>
      </c>
      <c r="D675" s="33" t="n">
        <v>37</v>
      </c>
      <c r="E675" s="33" t="s">
        <v>139</v>
      </c>
      <c r="F675" s="33" t="s">
        <v>149</v>
      </c>
      <c r="G675" s="33" t="s">
        <v>150</v>
      </c>
      <c r="H675" s="33" t="s">
        <v>151</v>
      </c>
      <c r="I675" s="33" t="s">
        <v>152</v>
      </c>
      <c r="J675" s="33" t="s">
        <v>159</v>
      </c>
      <c r="K675" s="33" t="s">
        <v>145</v>
      </c>
      <c r="L675" s="35" t="n">
        <v>8565.38</v>
      </c>
      <c r="M675" s="33" t="n">
        <v>4</v>
      </c>
      <c r="N675" s="33" t="s">
        <v>146</v>
      </c>
      <c r="O675" s="33" t="s">
        <v>147</v>
      </c>
      <c r="P675" s="39" t="n">
        <f aca="false">C675-B675</f>
        <v>5</v>
      </c>
      <c r="Q675" s="40" t="str">
        <f aca="false">CHOOSE(MONTH(B675),"يناير","فبراير","مارس","أبريل","مايو","يونيو","يوليو","أغسطس","سبتمبر","أكتوبر","نوفمبر","ديسمبر")</f>
        <v>أبريل</v>
      </c>
      <c r="R675" s="40" t="str">
        <f aca="false">"الربع "&amp;ROUNDUP(MONTH(B675)/3,0)</f>
        <v>الربع 2</v>
      </c>
      <c r="S675" s="40" t="str">
        <f aca="false">IF(D675&lt;=12,"أطفال (0-12)",IF(D675&lt;=24,"شباب (13-24)",IF(D675&lt;=44,"بالغون (25-44)",IF(D675&lt;=64,"متوسطو العمر (45-64)","كبار السن (+65)"))))</f>
        <v>بالغون (25-44)</v>
      </c>
      <c r="T675" s="41" t="n">
        <f aca="false">IFERROR(L675/P675,0)</f>
        <v>1713.076</v>
      </c>
    </row>
    <row r="676" customFormat="false" ht="15" hidden="false" customHeight="false" outlineLevel="0" collapsed="false">
      <c r="A676" s="42" t="s">
        <v>996</v>
      </c>
      <c r="B676" s="43" t="n">
        <v>45408</v>
      </c>
      <c r="C676" s="43" t="n">
        <v>45409</v>
      </c>
      <c r="D676" s="42" t="n">
        <v>10</v>
      </c>
      <c r="E676" s="42" t="s">
        <v>154</v>
      </c>
      <c r="F676" s="42" t="s">
        <v>203</v>
      </c>
      <c r="G676" s="42" t="s">
        <v>232</v>
      </c>
      <c r="H676" s="42" t="s">
        <v>2322</v>
      </c>
      <c r="I676" s="42" t="s">
        <v>152</v>
      </c>
      <c r="J676" s="42" t="s">
        <v>144</v>
      </c>
      <c r="K676" s="42" t="s">
        <v>145</v>
      </c>
      <c r="L676" s="44" t="n">
        <v>1653.26</v>
      </c>
      <c r="M676" s="42" t="n">
        <v>3</v>
      </c>
      <c r="N676" s="42" t="s">
        <v>146</v>
      </c>
      <c r="O676" s="42" t="s">
        <v>147</v>
      </c>
      <c r="P676" s="39" t="n">
        <f aca="false">C676-B676</f>
        <v>1</v>
      </c>
      <c r="Q676" s="40" t="str">
        <f aca="false">CHOOSE(MONTH(B676),"يناير","فبراير","مارس","أبريل","مايو","يونيو","يوليو","أغسطس","سبتمبر","أكتوبر","نوفمبر","ديسمبر")</f>
        <v>أبريل</v>
      </c>
      <c r="R676" s="40" t="str">
        <f aca="false">"الربع "&amp;ROUNDUP(MONTH(B676)/3,0)</f>
        <v>الربع 2</v>
      </c>
      <c r="S676" s="40" t="str">
        <f aca="false">IF(D676&lt;=12,"أطفال (0-12)",IF(D676&lt;=24,"شباب (13-24)",IF(D676&lt;=44,"بالغون (25-44)",IF(D676&lt;=64,"متوسطو العمر (45-64)","كبار السن (+65)"))))</f>
        <v>أطفال (0-12)</v>
      </c>
      <c r="T676" s="41" t="n">
        <f aca="false">IFERROR(L676/P676,0)</f>
        <v>1653.26</v>
      </c>
    </row>
    <row r="677" customFormat="false" ht="15" hidden="false" customHeight="false" outlineLevel="0" collapsed="false">
      <c r="A677" s="33" t="s">
        <v>1230</v>
      </c>
      <c r="B677" s="34" t="n">
        <v>45408</v>
      </c>
      <c r="C677" s="34" t="n">
        <v>45410</v>
      </c>
      <c r="D677" s="33" t="n">
        <v>45</v>
      </c>
      <c r="E677" s="33" t="s">
        <v>154</v>
      </c>
      <c r="F677" s="33" t="s">
        <v>203</v>
      </c>
      <c r="G677" s="33" t="s">
        <v>204</v>
      </c>
      <c r="H677" s="33" t="s">
        <v>205</v>
      </c>
      <c r="I677" s="33" t="s">
        <v>143</v>
      </c>
      <c r="J677" s="33" t="s">
        <v>159</v>
      </c>
      <c r="K677" s="33" t="s">
        <v>184</v>
      </c>
      <c r="L677" s="35" t="n">
        <v>2054.74</v>
      </c>
      <c r="M677" s="33" t="n">
        <v>4</v>
      </c>
      <c r="N677" s="33" t="s">
        <v>146</v>
      </c>
      <c r="O677" s="33" t="s">
        <v>147</v>
      </c>
      <c r="P677" s="39" t="n">
        <f aca="false">C677-B677</f>
        <v>2</v>
      </c>
      <c r="Q677" s="40" t="str">
        <f aca="false">CHOOSE(MONTH(B677),"يناير","فبراير","مارس","أبريل","مايو","يونيو","يوليو","أغسطس","سبتمبر","أكتوبر","نوفمبر","ديسمبر")</f>
        <v>أبريل</v>
      </c>
      <c r="R677" s="40" t="str">
        <f aca="false">"الربع "&amp;ROUNDUP(MONTH(B677)/3,0)</f>
        <v>الربع 2</v>
      </c>
      <c r="S677" s="40" t="str">
        <f aca="false">IF(D677&lt;=12,"أطفال (0-12)",IF(D677&lt;=24,"شباب (13-24)",IF(D677&lt;=44,"بالغون (25-44)",IF(D677&lt;=64,"متوسطو العمر (45-64)","كبار السن (+65)"))))</f>
        <v>متوسطو العمر (45-64)</v>
      </c>
      <c r="T677" s="41" t="n">
        <f aca="false">IFERROR(L677/P677,0)</f>
        <v>1027.37</v>
      </c>
    </row>
    <row r="678" customFormat="false" ht="15" hidden="false" customHeight="false" outlineLevel="0" collapsed="false">
      <c r="A678" s="42" t="s">
        <v>736</v>
      </c>
      <c r="B678" s="43" t="n">
        <v>45409</v>
      </c>
      <c r="C678" s="43" t="n">
        <v>45412</v>
      </c>
      <c r="D678" s="42" t="n">
        <v>45</v>
      </c>
      <c r="E678" s="42" t="s">
        <v>139</v>
      </c>
      <c r="F678" s="42" t="s">
        <v>169</v>
      </c>
      <c r="G678" s="42" t="s">
        <v>170</v>
      </c>
      <c r="H678" s="42" t="s">
        <v>164</v>
      </c>
      <c r="I678" s="42" t="s">
        <v>152</v>
      </c>
      <c r="J678" s="42" t="s">
        <v>144</v>
      </c>
      <c r="K678" s="42" t="s">
        <v>184</v>
      </c>
      <c r="L678" s="44" t="n">
        <v>6467.63</v>
      </c>
      <c r="M678" s="42" t="n">
        <v>5</v>
      </c>
      <c r="N678" s="42" t="s">
        <v>146</v>
      </c>
      <c r="O678" s="42" t="s">
        <v>147</v>
      </c>
      <c r="P678" s="39" t="n">
        <f aca="false">C678-B678</f>
        <v>3</v>
      </c>
      <c r="Q678" s="40" t="str">
        <f aca="false">CHOOSE(MONTH(B678),"يناير","فبراير","مارس","أبريل","مايو","يونيو","يوليو","أغسطس","سبتمبر","أكتوبر","نوفمبر","ديسمبر")</f>
        <v>أبريل</v>
      </c>
      <c r="R678" s="40" t="str">
        <f aca="false">"الربع "&amp;ROUNDUP(MONTH(B678)/3,0)</f>
        <v>الربع 2</v>
      </c>
      <c r="S678" s="40" t="str">
        <f aca="false">IF(D678&lt;=12,"أطفال (0-12)",IF(D678&lt;=24,"شباب (13-24)",IF(D678&lt;=44,"بالغون (25-44)",IF(D678&lt;=64,"متوسطو العمر (45-64)","كبار السن (+65)"))))</f>
        <v>متوسطو العمر (45-64)</v>
      </c>
      <c r="T678" s="41" t="n">
        <f aca="false">IFERROR(L678/P678,0)</f>
        <v>2155.87666666667</v>
      </c>
    </row>
    <row r="679" customFormat="false" ht="15" hidden="false" customHeight="false" outlineLevel="0" collapsed="false">
      <c r="A679" s="33" t="s">
        <v>2265</v>
      </c>
      <c r="B679" s="34" t="n">
        <v>45409</v>
      </c>
      <c r="C679" s="34" t="n">
        <v>45414</v>
      </c>
      <c r="D679" s="33" t="n">
        <v>3</v>
      </c>
      <c r="E679" s="33" t="s">
        <v>139</v>
      </c>
      <c r="F679" s="33" t="s">
        <v>155</v>
      </c>
      <c r="G679" s="33" t="s">
        <v>220</v>
      </c>
      <c r="H679" s="33" t="s">
        <v>222</v>
      </c>
      <c r="I679" s="33" t="s">
        <v>158</v>
      </c>
      <c r="J679" s="33" t="s">
        <v>159</v>
      </c>
      <c r="K679" s="33" t="s">
        <v>184</v>
      </c>
      <c r="L679" s="35" t="n">
        <v>3922.77</v>
      </c>
      <c r="M679" s="33" t="n">
        <v>3</v>
      </c>
      <c r="N679" s="33" t="s">
        <v>146</v>
      </c>
      <c r="O679" s="33" t="s">
        <v>147</v>
      </c>
      <c r="P679" s="39" t="n">
        <f aca="false">C679-B679</f>
        <v>5</v>
      </c>
      <c r="Q679" s="40" t="str">
        <f aca="false">CHOOSE(MONTH(B679),"يناير","فبراير","مارس","أبريل","مايو","يونيو","يوليو","أغسطس","سبتمبر","أكتوبر","نوفمبر","ديسمبر")</f>
        <v>أبريل</v>
      </c>
      <c r="R679" s="40" t="str">
        <f aca="false">"الربع "&amp;ROUNDUP(MONTH(B679)/3,0)</f>
        <v>الربع 2</v>
      </c>
      <c r="S679" s="40" t="str">
        <f aca="false">IF(D679&lt;=12,"أطفال (0-12)",IF(D679&lt;=24,"شباب (13-24)",IF(D679&lt;=44,"بالغون (25-44)",IF(D679&lt;=64,"متوسطو العمر (45-64)","كبار السن (+65)"))))</f>
        <v>أطفال (0-12)</v>
      </c>
      <c r="T679" s="41" t="n">
        <f aca="false">IFERROR(L679/P679,0)</f>
        <v>784.554</v>
      </c>
    </row>
    <row r="680" customFormat="false" ht="15" hidden="false" customHeight="false" outlineLevel="0" collapsed="false">
      <c r="A680" s="42" t="s">
        <v>1000</v>
      </c>
      <c r="B680" s="43" t="n">
        <v>45409</v>
      </c>
      <c r="C680" s="43" t="n">
        <v>45410</v>
      </c>
      <c r="D680" s="42" t="n">
        <v>96</v>
      </c>
      <c r="E680" s="42" t="s">
        <v>139</v>
      </c>
      <c r="F680" s="42" t="s">
        <v>203</v>
      </c>
      <c r="G680" s="42" t="s">
        <v>232</v>
      </c>
      <c r="H680" s="42" t="s">
        <v>193</v>
      </c>
      <c r="I680" s="42" t="s">
        <v>143</v>
      </c>
      <c r="J680" s="42" t="s">
        <v>159</v>
      </c>
      <c r="K680" s="42" t="s">
        <v>184</v>
      </c>
      <c r="L680" s="44" t="n">
        <v>990.25</v>
      </c>
      <c r="M680" s="42" t="n">
        <v>5</v>
      </c>
      <c r="N680" s="42" t="s">
        <v>146</v>
      </c>
      <c r="O680" s="42" t="s">
        <v>147</v>
      </c>
      <c r="P680" s="39" t="n">
        <f aca="false">C680-B680</f>
        <v>1</v>
      </c>
      <c r="Q680" s="40" t="str">
        <f aca="false">CHOOSE(MONTH(B680),"يناير","فبراير","مارس","أبريل","مايو","يونيو","يوليو","أغسطس","سبتمبر","أكتوبر","نوفمبر","ديسمبر")</f>
        <v>أبريل</v>
      </c>
      <c r="R680" s="40" t="str">
        <f aca="false">"الربع "&amp;ROUNDUP(MONTH(B680)/3,0)</f>
        <v>الربع 2</v>
      </c>
      <c r="S680" s="40" t="str">
        <f aca="false">IF(D680&lt;=12,"أطفال (0-12)",IF(D680&lt;=24,"شباب (13-24)",IF(D680&lt;=44,"بالغون (25-44)",IF(D680&lt;=64,"متوسطو العمر (45-64)","كبار السن (+65)"))))</f>
        <v>كبار السن (+65)</v>
      </c>
      <c r="T680" s="41" t="n">
        <f aca="false">IFERROR(L680/P680,0)</f>
        <v>990.25</v>
      </c>
    </row>
    <row r="681" customFormat="false" ht="15" hidden="false" customHeight="false" outlineLevel="0" collapsed="false">
      <c r="A681" s="33" t="s">
        <v>1801</v>
      </c>
      <c r="B681" s="34" t="n">
        <v>45409</v>
      </c>
      <c r="C681" s="34" t="n">
        <v>45410</v>
      </c>
      <c r="D681" s="33" t="n">
        <v>80</v>
      </c>
      <c r="E681" s="33" t="s">
        <v>154</v>
      </c>
      <c r="F681" s="33" t="s">
        <v>203</v>
      </c>
      <c r="G681" s="33" t="s">
        <v>232</v>
      </c>
      <c r="H681" s="33" t="s">
        <v>193</v>
      </c>
      <c r="I681" s="33" t="s">
        <v>143</v>
      </c>
      <c r="J681" s="33" t="s">
        <v>159</v>
      </c>
      <c r="K681" s="33" t="s">
        <v>184</v>
      </c>
      <c r="L681" s="35" t="n">
        <v>996.12</v>
      </c>
      <c r="M681" s="33" t="n">
        <v>3</v>
      </c>
      <c r="N681" s="33" t="s">
        <v>146</v>
      </c>
      <c r="O681" s="33" t="s">
        <v>147</v>
      </c>
      <c r="P681" s="39" t="n">
        <f aca="false">C681-B681</f>
        <v>1</v>
      </c>
      <c r="Q681" s="40" t="str">
        <f aca="false">CHOOSE(MONTH(B681),"يناير","فبراير","مارس","أبريل","مايو","يونيو","يوليو","أغسطس","سبتمبر","أكتوبر","نوفمبر","ديسمبر")</f>
        <v>أبريل</v>
      </c>
      <c r="R681" s="40" t="str">
        <f aca="false">"الربع "&amp;ROUNDUP(MONTH(B681)/3,0)</f>
        <v>الربع 2</v>
      </c>
      <c r="S681" s="40" t="str">
        <f aca="false">IF(D681&lt;=12,"أطفال (0-12)",IF(D681&lt;=24,"شباب (13-24)",IF(D681&lt;=44,"بالغون (25-44)",IF(D681&lt;=64,"متوسطو العمر (45-64)","كبار السن (+65)"))))</f>
        <v>كبار السن (+65)</v>
      </c>
      <c r="T681" s="41" t="n">
        <f aca="false">IFERROR(L681/P681,0)</f>
        <v>996.12</v>
      </c>
    </row>
    <row r="682" customFormat="false" ht="15" hidden="false" customHeight="false" outlineLevel="0" collapsed="false">
      <c r="A682" s="42" t="s">
        <v>1350</v>
      </c>
      <c r="B682" s="43" t="n">
        <v>45409</v>
      </c>
      <c r="C682" s="43" t="n">
        <v>45413</v>
      </c>
      <c r="D682" s="42" t="n">
        <v>5</v>
      </c>
      <c r="E682" s="42" t="s">
        <v>139</v>
      </c>
      <c r="F682" s="42" t="s">
        <v>155</v>
      </c>
      <c r="G682" s="42" t="s">
        <v>220</v>
      </c>
      <c r="H682" s="42" t="s">
        <v>222</v>
      </c>
      <c r="I682" s="42" t="s">
        <v>152</v>
      </c>
      <c r="J682" s="42" t="s">
        <v>159</v>
      </c>
      <c r="K682" s="42" t="s">
        <v>184</v>
      </c>
      <c r="L682" s="44" t="n">
        <v>3172.6</v>
      </c>
      <c r="M682" s="42" t="n">
        <v>4</v>
      </c>
      <c r="N682" s="42" t="s">
        <v>146</v>
      </c>
      <c r="O682" s="42" t="s">
        <v>147</v>
      </c>
      <c r="P682" s="39" t="n">
        <f aca="false">C682-B682</f>
        <v>4</v>
      </c>
      <c r="Q682" s="40" t="str">
        <f aca="false">CHOOSE(MONTH(B682),"يناير","فبراير","مارس","أبريل","مايو","يونيو","يوليو","أغسطس","سبتمبر","أكتوبر","نوفمبر","ديسمبر")</f>
        <v>أبريل</v>
      </c>
      <c r="R682" s="40" t="str">
        <f aca="false">"الربع "&amp;ROUNDUP(MONTH(B682)/3,0)</f>
        <v>الربع 2</v>
      </c>
      <c r="S682" s="40" t="str">
        <f aca="false">IF(D682&lt;=12,"أطفال (0-12)",IF(D682&lt;=24,"شباب (13-24)",IF(D682&lt;=44,"بالغون (25-44)",IF(D682&lt;=64,"متوسطو العمر (45-64)","كبار السن (+65)"))))</f>
        <v>أطفال (0-12)</v>
      </c>
      <c r="T682" s="41" t="n">
        <f aca="false">IFERROR(L682/P682,0)</f>
        <v>793.15</v>
      </c>
    </row>
    <row r="683" customFormat="false" ht="15" hidden="false" customHeight="false" outlineLevel="0" collapsed="false">
      <c r="A683" s="33" t="s">
        <v>282</v>
      </c>
      <c r="B683" s="34" t="n">
        <v>45410</v>
      </c>
      <c r="C683" s="34" t="n">
        <v>45414</v>
      </c>
      <c r="D683" s="33" t="n">
        <v>46</v>
      </c>
      <c r="E683" s="33" t="s">
        <v>154</v>
      </c>
      <c r="F683" s="33" t="s">
        <v>226</v>
      </c>
      <c r="G683" s="33" t="s">
        <v>227</v>
      </c>
      <c r="H683" s="33" t="s">
        <v>263</v>
      </c>
      <c r="I683" s="33" t="s">
        <v>143</v>
      </c>
      <c r="J683" s="33" t="s">
        <v>144</v>
      </c>
      <c r="K683" s="33" t="s">
        <v>184</v>
      </c>
      <c r="L683" s="35" t="n">
        <v>28901.04</v>
      </c>
      <c r="M683" s="33" t="n">
        <v>3</v>
      </c>
      <c r="N683" s="33" t="s">
        <v>146</v>
      </c>
      <c r="O683" s="33" t="s">
        <v>147</v>
      </c>
      <c r="P683" s="39" t="n">
        <f aca="false">C683-B683</f>
        <v>4</v>
      </c>
      <c r="Q683" s="40" t="str">
        <f aca="false">CHOOSE(MONTH(B683),"يناير","فبراير","مارس","أبريل","مايو","يونيو","يوليو","أغسطس","سبتمبر","أكتوبر","نوفمبر","ديسمبر")</f>
        <v>أبريل</v>
      </c>
      <c r="R683" s="40" t="str">
        <f aca="false">"الربع "&amp;ROUNDUP(MONTH(B683)/3,0)</f>
        <v>الربع 2</v>
      </c>
      <c r="S683" s="40" t="str">
        <f aca="false">IF(D683&lt;=12,"أطفال (0-12)",IF(D683&lt;=24,"شباب (13-24)",IF(D683&lt;=44,"بالغون (25-44)",IF(D683&lt;=64,"متوسطو العمر (45-64)","كبار السن (+65)"))))</f>
        <v>متوسطو العمر (45-64)</v>
      </c>
      <c r="T683" s="41" t="n">
        <f aca="false">IFERROR(L683/P683,0)</f>
        <v>7225.26</v>
      </c>
    </row>
    <row r="684" customFormat="false" ht="15" hidden="false" customHeight="false" outlineLevel="0" collapsed="false">
      <c r="A684" s="42" t="s">
        <v>497</v>
      </c>
      <c r="B684" s="43" t="n">
        <v>45410</v>
      </c>
      <c r="C684" s="43" t="n">
        <v>45415</v>
      </c>
      <c r="D684" s="42" t="n">
        <v>32</v>
      </c>
      <c r="E684" s="42" t="s">
        <v>139</v>
      </c>
      <c r="F684" s="42" t="s">
        <v>181</v>
      </c>
      <c r="G684" s="42" t="s">
        <v>182</v>
      </c>
      <c r="H684" s="42" t="s">
        <v>183</v>
      </c>
      <c r="I684" s="42" t="s">
        <v>143</v>
      </c>
      <c r="J684" s="42" t="s">
        <v>159</v>
      </c>
      <c r="K684" s="42" t="s">
        <v>145</v>
      </c>
      <c r="L684" s="44" t="n">
        <v>13243.87</v>
      </c>
      <c r="M684" s="42" t="n">
        <v>4</v>
      </c>
      <c r="N684" s="42" t="s">
        <v>146</v>
      </c>
      <c r="O684" s="42" t="s">
        <v>206</v>
      </c>
      <c r="P684" s="39" t="n">
        <f aca="false">C684-B684</f>
        <v>5</v>
      </c>
      <c r="Q684" s="40" t="str">
        <f aca="false">CHOOSE(MONTH(B684),"يناير","فبراير","مارس","أبريل","مايو","يونيو","يوليو","أغسطس","سبتمبر","أكتوبر","نوفمبر","ديسمبر")</f>
        <v>أبريل</v>
      </c>
      <c r="R684" s="40" t="str">
        <f aca="false">"الربع "&amp;ROUNDUP(MONTH(B684)/3,0)</f>
        <v>الربع 2</v>
      </c>
      <c r="S684" s="40" t="str">
        <f aca="false">IF(D684&lt;=12,"أطفال (0-12)",IF(D684&lt;=24,"شباب (13-24)",IF(D684&lt;=44,"بالغون (25-44)",IF(D684&lt;=64,"متوسطو العمر (45-64)","كبار السن (+65)"))))</f>
        <v>بالغون (25-44)</v>
      </c>
      <c r="T684" s="41" t="n">
        <f aca="false">IFERROR(L684/P684,0)</f>
        <v>2648.774</v>
      </c>
    </row>
    <row r="685" customFormat="false" ht="15" hidden="false" customHeight="false" outlineLevel="0" collapsed="false">
      <c r="A685" s="33" t="s">
        <v>1382</v>
      </c>
      <c r="B685" s="34" t="n">
        <v>45410</v>
      </c>
      <c r="C685" s="34" t="n">
        <v>45412</v>
      </c>
      <c r="D685" s="33" t="n">
        <v>28</v>
      </c>
      <c r="E685" s="33" t="s">
        <v>139</v>
      </c>
      <c r="F685" s="33" t="s">
        <v>173</v>
      </c>
      <c r="G685" s="33" t="s">
        <v>174</v>
      </c>
      <c r="H685" s="33" t="s">
        <v>199</v>
      </c>
      <c r="I685" s="33" t="s">
        <v>152</v>
      </c>
      <c r="J685" s="33" t="s">
        <v>159</v>
      </c>
      <c r="K685" s="33" t="s">
        <v>209</v>
      </c>
      <c r="L685" s="35" t="n">
        <v>5042.97</v>
      </c>
      <c r="M685" s="33" t="n">
        <v>4</v>
      </c>
      <c r="N685" s="33" t="s">
        <v>146</v>
      </c>
      <c r="O685" s="33" t="s">
        <v>147</v>
      </c>
      <c r="P685" s="39" t="n">
        <f aca="false">C685-B685</f>
        <v>2</v>
      </c>
      <c r="Q685" s="40" t="str">
        <f aca="false">CHOOSE(MONTH(B685),"يناير","فبراير","مارس","أبريل","مايو","يونيو","يوليو","أغسطس","سبتمبر","أكتوبر","نوفمبر","ديسمبر")</f>
        <v>أبريل</v>
      </c>
      <c r="R685" s="40" t="str">
        <f aca="false">"الربع "&amp;ROUNDUP(MONTH(B685)/3,0)</f>
        <v>الربع 2</v>
      </c>
      <c r="S685" s="40" t="str">
        <f aca="false">IF(D685&lt;=12,"أطفال (0-12)",IF(D685&lt;=24,"شباب (13-24)",IF(D685&lt;=44,"بالغون (25-44)",IF(D685&lt;=64,"متوسطو العمر (45-64)","كبار السن (+65)"))))</f>
        <v>بالغون (25-44)</v>
      </c>
      <c r="T685" s="41" t="n">
        <f aca="false">IFERROR(L685/P685,0)</f>
        <v>2521.485</v>
      </c>
    </row>
    <row r="686" customFormat="false" ht="15" hidden="false" customHeight="false" outlineLevel="0" collapsed="false">
      <c r="A686" s="42" t="s">
        <v>2023</v>
      </c>
      <c r="B686" s="43" t="n">
        <v>45410</v>
      </c>
      <c r="C686" s="43" t="n">
        <v>45417</v>
      </c>
      <c r="D686" s="42" t="n">
        <v>36</v>
      </c>
      <c r="E686" s="42" t="s">
        <v>139</v>
      </c>
      <c r="F686" s="42" t="s">
        <v>173</v>
      </c>
      <c r="G686" s="42" t="s">
        <v>174</v>
      </c>
      <c r="H686" s="42" t="s">
        <v>199</v>
      </c>
      <c r="I686" s="42" t="s">
        <v>143</v>
      </c>
      <c r="J686" s="42" t="s">
        <v>159</v>
      </c>
      <c r="K686" s="42" t="s">
        <v>160</v>
      </c>
      <c r="L686" s="44" t="n">
        <v>15431.45</v>
      </c>
      <c r="M686" s="42" t="n">
        <v>3</v>
      </c>
      <c r="N686" s="42" t="s">
        <v>146</v>
      </c>
      <c r="O686" s="42" t="s">
        <v>147</v>
      </c>
      <c r="P686" s="39" t="n">
        <f aca="false">C686-B686</f>
        <v>7</v>
      </c>
      <c r="Q686" s="40" t="str">
        <f aca="false">CHOOSE(MONTH(B686),"يناير","فبراير","مارس","أبريل","مايو","يونيو","يوليو","أغسطس","سبتمبر","أكتوبر","نوفمبر","ديسمبر")</f>
        <v>أبريل</v>
      </c>
      <c r="R686" s="40" t="str">
        <f aca="false">"الربع "&amp;ROUNDUP(MONTH(B686)/3,0)</f>
        <v>الربع 2</v>
      </c>
      <c r="S686" s="40" t="str">
        <f aca="false">IF(D686&lt;=12,"أطفال (0-12)",IF(D686&lt;=24,"شباب (13-24)",IF(D686&lt;=44,"بالغون (25-44)",IF(D686&lt;=64,"متوسطو العمر (45-64)","كبار السن (+65)"))))</f>
        <v>بالغون (25-44)</v>
      </c>
      <c r="T686" s="41" t="n">
        <f aca="false">IFERROR(L686/P686,0)</f>
        <v>2204.49285714286</v>
      </c>
    </row>
    <row r="687" customFormat="false" ht="15" hidden="false" customHeight="false" outlineLevel="0" collapsed="false">
      <c r="A687" s="33" t="s">
        <v>1004</v>
      </c>
      <c r="B687" s="34" t="n">
        <v>45411</v>
      </c>
      <c r="C687" s="34" t="n">
        <v>45419</v>
      </c>
      <c r="D687" s="33" t="n">
        <v>45</v>
      </c>
      <c r="E687" s="33" t="s">
        <v>154</v>
      </c>
      <c r="F687" s="33" t="s">
        <v>226</v>
      </c>
      <c r="G687" s="33" t="s">
        <v>386</v>
      </c>
      <c r="H687" s="33" t="s">
        <v>263</v>
      </c>
      <c r="I687" s="33" t="s">
        <v>143</v>
      </c>
      <c r="J687" s="33" t="s">
        <v>144</v>
      </c>
      <c r="K687" s="33" t="s">
        <v>145</v>
      </c>
      <c r="L687" s="35" t="n">
        <v>43701.22</v>
      </c>
      <c r="M687" s="33" t="n">
        <v>4</v>
      </c>
      <c r="N687" s="33" t="s">
        <v>146</v>
      </c>
      <c r="O687" s="33" t="s">
        <v>147</v>
      </c>
      <c r="P687" s="39" t="n">
        <f aca="false">C687-B687</f>
        <v>8</v>
      </c>
      <c r="Q687" s="40" t="str">
        <f aca="false">CHOOSE(MONTH(B687),"يناير","فبراير","مارس","أبريل","مايو","يونيو","يوليو","أغسطس","سبتمبر","أكتوبر","نوفمبر","ديسمبر")</f>
        <v>أبريل</v>
      </c>
      <c r="R687" s="40" t="str">
        <f aca="false">"الربع "&amp;ROUNDUP(MONTH(B687)/3,0)</f>
        <v>الربع 2</v>
      </c>
      <c r="S687" s="40" t="str">
        <f aca="false">IF(D687&lt;=12,"أطفال (0-12)",IF(D687&lt;=24,"شباب (13-24)",IF(D687&lt;=44,"بالغون (25-44)",IF(D687&lt;=64,"متوسطو العمر (45-64)","كبار السن (+65)"))))</f>
        <v>متوسطو العمر (45-64)</v>
      </c>
      <c r="T687" s="41" t="n">
        <f aca="false">IFERROR(L687/P687,0)</f>
        <v>5462.6525</v>
      </c>
    </row>
    <row r="688" customFormat="false" ht="15" hidden="false" customHeight="false" outlineLevel="0" collapsed="false">
      <c r="A688" s="42" t="s">
        <v>1580</v>
      </c>
      <c r="B688" s="43" t="n">
        <v>45411</v>
      </c>
      <c r="C688" s="43" t="n">
        <v>45413</v>
      </c>
      <c r="D688" s="42" t="n">
        <v>36</v>
      </c>
      <c r="E688" s="42" t="s">
        <v>139</v>
      </c>
      <c r="F688" s="42" t="s">
        <v>173</v>
      </c>
      <c r="G688" s="42" t="s">
        <v>178</v>
      </c>
      <c r="H688" s="42" t="s">
        <v>175</v>
      </c>
      <c r="I688" s="42" t="s">
        <v>143</v>
      </c>
      <c r="J688" s="42" t="s">
        <v>159</v>
      </c>
      <c r="K688" s="42" t="s">
        <v>145</v>
      </c>
      <c r="L688" s="44" t="n">
        <v>5619.4</v>
      </c>
      <c r="M688" s="42" t="n">
        <v>4</v>
      </c>
      <c r="N688" s="42" t="s">
        <v>210</v>
      </c>
      <c r="O688" s="42" t="s">
        <v>147</v>
      </c>
      <c r="P688" s="39" t="n">
        <f aca="false">C688-B688</f>
        <v>2</v>
      </c>
      <c r="Q688" s="40" t="str">
        <f aca="false">CHOOSE(MONTH(B688),"يناير","فبراير","مارس","أبريل","مايو","يونيو","يوليو","أغسطس","سبتمبر","أكتوبر","نوفمبر","ديسمبر")</f>
        <v>أبريل</v>
      </c>
      <c r="R688" s="40" t="str">
        <f aca="false">"الربع "&amp;ROUNDUP(MONTH(B688)/3,0)</f>
        <v>الربع 2</v>
      </c>
      <c r="S688" s="40" t="str">
        <f aca="false">IF(D688&lt;=12,"أطفال (0-12)",IF(D688&lt;=24,"شباب (13-24)",IF(D688&lt;=44,"بالغون (25-44)",IF(D688&lt;=64,"متوسطو العمر (45-64)","كبار السن (+65)"))))</f>
        <v>بالغون (25-44)</v>
      </c>
      <c r="T688" s="41" t="n">
        <f aca="false">IFERROR(L688/P688,0)</f>
        <v>2809.7</v>
      </c>
    </row>
    <row r="689" customFormat="false" ht="15" hidden="false" customHeight="false" outlineLevel="0" collapsed="false">
      <c r="A689" s="33" t="s">
        <v>691</v>
      </c>
      <c r="B689" s="34" t="n">
        <v>45411</v>
      </c>
      <c r="C689" s="34" t="n">
        <v>45415</v>
      </c>
      <c r="D689" s="33" t="n">
        <v>74</v>
      </c>
      <c r="E689" s="33" t="s">
        <v>139</v>
      </c>
      <c r="F689" s="33" t="s">
        <v>226</v>
      </c>
      <c r="G689" s="33" t="s">
        <v>227</v>
      </c>
      <c r="H689" s="33" t="s">
        <v>228</v>
      </c>
      <c r="I689" s="33" t="s">
        <v>143</v>
      </c>
      <c r="J689" s="33" t="s">
        <v>144</v>
      </c>
      <c r="K689" s="33" t="s">
        <v>145</v>
      </c>
      <c r="L689" s="35" t="n">
        <v>22190.15</v>
      </c>
      <c r="M689" s="33" t="n">
        <v>5</v>
      </c>
      <c r="N689" s="33" t="s">
        <v>210</v>
      </c>
      <c r="O689" s="33" t="s">
        <v>147</v>
      </c>
      <c r="P689" s="39" t="n">
        <f aca="false">C689-B689</f>
        <v>4</v>
      </c>
      <c r="Q689" s="40" t="str">
        <f aca="false">CHOOSE(MONTH(B689),"يناير","فبراير","مارس","أبريل","مايو","يونيو","يوليو","أغسطس","سبتمبر","أكتوبر","نوفمبر","ديسمبر")</f>
        <v>أبريل</v>
      </c>
      <c r="R689" s="40" t="str">
        <f aca="false">"الربع "&amp;ROUNDUP(MONTH(B689)/3,0)</f>
        <v>الربع 2</v>
      </c>
      <c r="S689" s="40" t="str">
        <f aca="false">IF(D689&lt;=12,"أطفال (0-12)",IF(D689&lt;=24,"شباب (13-24)",IF(D689&lt;=44,"بالغون (25-44)",IF(D689&lt;=64,"متوسطو العمر (45-64)","كبار السن (+65)"))))</f>
        <v>كبار السن (+65)</v>
      </c>
      <c r="T689" s="41" t="n">
        <f aca="false">IFERROR(L689/P689,0)</f>
        <v>5547.5375</v>
      </c>
    </row>
    <row r="690" customFormat="false" ht="15" hidden="false" customHeight="false" outlineLevel="0" collapsed="false">
      <c r="A690" s="42" t="s">
        <v>2089</v>
      </c>
      <c r="B690" s="43" t="n">
        <v>45411</v>
      </c>
      <c r="C690" s="43" t="n">
        <v>45416</v>
      </c>
      <c r="D690" s="42" t="n">
        <v>66</v>
      </c>
      <c r="E690" s="42" t="s">
        <v>154</v>
      </c>
      <c r="F690" s="42" t="s">
        <v>181</v>
      </c>
      <c r="G690" s="42" t="s">
        <v>188</v>
      </c>
      <c r="H690" s="42" t="s">
        <v>245</v>
      </c>
      <c r="I690" s="42" t="s">
        <v>152</v>
      </c>
      <c r="J690" s="42" t="s">
        <v>144</v>
      </c>
      <c r="K690" s="42" t="s">
        <v>145</v>
      </c>
      <c r="L690" s="44" t="n">
        <v>21805.73</v>
      </c>
      <c r="M690" s="42" t="n">
        <v>4</v>
      </c>
      <c r="N690" s="42" t="s">
        <v>146</v>
      </c>
      <c r="O690" s="42" t="s">
        <v>147</v>
      </c>
      <c r="P690" s="39" t="n">
        <f aca="false">C690-B690</f>
        <v>5</v>
      </c>
      <c r="Q690" s="40" t="str">
        <f aca="false">CHOOSE(MONTH(B690),"يناير","فبراير","مارس","أبريل","مايو","يونيو","يوليو","أغسطس","سبتمبر","أكتوبر","نوفمبر","ديسمبر")</f>
        <v>أبريل</v>
      </c>
      <c r="R690" s="40" t="str">
        <f aca="false">"الربع "&amp;ROUNDUP(MONTH(B690)/3,0)</f>
        <v>الربع 2</v>
      </c>
      <c r="S690" s="40" t="str">
        <f aca="false">IF(D690&lt;=12,"أطفال (0-12)",IF(D690&lt;=24,"شباب (13-24)",IF(D690&lt;=44,"بالغون (25-44)",IF(D690&lt;=64,"متوسطو العمر (45-64)","كبار السن (+65)"))))</f>
        <v>كبار السن (+65)</v>
      </c>
      <c r="T690" s="41" t="n">
        <f aca="false">IFERROR(L690/P690,0)</f>
        <v>4361.146</v>
      </c>
    </row>
    <row r="691" customFormat="false" ht="15" hidden="false" customHeight="false" outlineLevel="0" collapsed="false">
      <c r="A691" s="33" t="s">
        <v>2280</v>
      </c>
      <c r="B691" s="34" t="n">
        <v>45411</v>
      </c>
      <c r="C691" s="34" t="n">
        <v>45412</v>
      </c>
      <c r="D691" s="33" t="n">
        <v>75</v>
      </c>
      <c r="E691" s="33" t="s">
        <v>139</v>
      </c>
      <c r="F691" s="33" t="s">
        <v>203</v>
      </c>
      <c r="G691" s="33" t="s">
        <v>217</v>
      </c>
      <c r="H691" s="33" t="s">
        <v>233</v>
      </c>
      <c r="I691" s="33" t="s">
        <v>143</v>
      </c>
      <c r="J691" s="33" t="s">
        <v>159</v>
      </c>
      <c r="K691" s="33" t="s">
        <v>145</v>
      </c>
      <c r="L691" s="35" t="n">
        <v>814.76</v>
      </c>
      <c r="M691" s="33" t="n">
        <v>3</v>
      </c>
      <c r="N691" s="33" t="s">
        <v>146</v>
      </c>
      <c r="O691" s="33" t="s">
        <v>147</v>
      </c>
      <c r="P691" s="39" t="n">
        <f aca="false">C691-B691</f>
        <v>1</v>
      </c>
      <c r="Q691" s="40" t="str">
        <f aca="false">CHOOSE(MONTH(B691),"يناير","فبراير","مارس","أبريل","مايو","يونيو","يوليو","أغسطس","سبتمبر","أكتوبر","نوفمبر","ديسمبر")</f>
        <v>أبريل</v>
      </c>
      <c r="R691" s="40" t="str">
        <f aca="false">"الربع "&amp;ROUNDUP(MONTH(B691)/3,0)</f>
        <v>الربع 2</v>
      </c>
      <c r="S691" s="40" t="str">
        <f aca="false">IF(D691&lt;=12,"أطفال (0-12)",IF(D691&lt;=24,"شباب (13-24)",IF(D691&lt;=44,"بالغون (25-44)",IF(D691&lt;=64,"متوسطو العمر (45-64)","كبار السن (+65)"))))</f>
        <v>كبار السن (+65)</v>
      </c>
      <c r="T691" s="41" t="n">
        <f aca="false">IFERROR(L691/P691,0)</f>
        <v>814.76</v>
      </c>
    </row>
    <row r="692" customFormat="false" ht="15" hidden="false" customHeight="false" outlineLevel="0" collapsed="false">
      <c r="A692" s="42" t="s">
        <v>1268</v>
      </c>
      <c r="B692" s="43" t="n">
        <v>45412</v>
      </c>
      <c r="C692" s="43" t="n">
        <v>45415</v>
      </c>
      <c r="D692" s="42" t="n">
        <v>79</v>
      </c>
      <c r="E692" s="42" t="s">
        <v>154</v>
      </c>
      <c r="F692" s="42" t="s">
        <v>169</v>
      </c>
      <c r="G692" s="42" t="s">
        <v>230</v>
      </c>
      <c r="H692" s="42" t="s">
        <v>164</v>
      </c>
      <c r="I692" s="42" t="s">
        <v>152</v>
      </c>
      <c r="J692" s="42" t="s">
        <v>159</v>
      </c>
      <c r="K692" s="42" t="s">
        <v>160</v>
      </c>
      <c r="L692" s="44" t="n">
        <v>3057.11</v>
      </c>
      <c r="M692" s="42" t="n">
        <v>4</v>
      </c>
      <c r="N692" s="42" t="s">
        <v>146</v>
      </c>
      <c r="O692" s="42" t="s">
        <v>147</v>
      </c>
      <c r="P692" s="39" t="n">
        <f aca="false">C692-B692</f>
        <v>3</v>
      </c>
      <c r="Q692" s="40" t="str">
        <f aca="false">CHOOSE(MONTH(B692),"يناير","فبراير","مارس","أبريل","مايو","يونيو","يوليو","أغسطس","سبتمبر","أكتوبر","نوفمبر","ديسمبر")</f>
        <v>أبريل</v>
      </c>
      <c r="R692" s="40" t="str">
        <f aca="false">"الربع "&amp;ROUNDUP(MONTH(B692)/3,0)</f>
        <v>الربع 2</v>
      </c>
      <c r="S692" s="40" t="str">
        <f aca="false">IF(D692&lt;=12,"أطفال (0-12)",IF(D692&lt;=24,"شباب (13-24)",IF(D692&lt;=44,"بالغون (25-44)",IF(D692&lt;=64,"متوسطو العمر (45-64)","كبار السن (+65)"))))</f>
        <v>كبار السن (+65)</v>
      </c>
      <c r="T692" s="41" t="n">
        <f aca="false">IFERROR(L692/P692,0)</f>
        <v>1019.03666666667</v>
      </c>
    </row>
    <row r="693" customFormat="false" ht="15" hidden="false" customHeight="false" outlineLevel="0" collapsed="false">
      <c r="A693" s="33" t="s">
        <v>2003</v>
      </c>
      <c r="B693" s="34" t="n">
        <v>45412</v>
      </c>
      <c r="C693" s="34" t="n">
        <v>45420</v>
      </c>
      <c r="D693" s="33" t="n">
        <v>75</v>
      </c>
      <c r="E693" s="33" t="s">
        <v>154</v>
      </c>
      <c r="F693" s="33" t="s">
        <v>226</v>
      </c>
      <c r="G693" s="33" t="s">
        <v>258</v>
      </c>
      <c r="H693" s="33" t="s">
        <v>228</v>
      </c>
      <c r="I693" s="33" t="s">
        <v>152</v>
      </c>
      <c r="J693" s="33" t="s">
        <v>144</v>
      </c>
      <c r="K693" s="33" t="s">
        <v>145</v>
      </c>
      <c r="L693" s="35" t="n">
        <v>39108.28</v>
      </c>
      <c r="M693" s="33" t="n">
        <v>5</v>
      </c>
      <c r="N693" s="33" t="s">
        <v>146</v>
      </c>
      <c r="O693" s="33" t="s">
        <v>295</v>
      </c>
      <c r="P693" s="39" t="n">
        <f aca="false">C693-B693</f>
        <v>8</v>
      </c>
      <c r="Q693" s="40" t="str">
        <f aca="false">CHOOSE(MONTH(B693),"يناير","فبراير","مارس","أبريل","مايو","يونيو","يوليو","أغسطس","سبتمبر","أكتوبر","نوفمبر","ديسمبر")</f>
        <v>أبريل</v>
      </c>
      <c r="R693" s="40" t="str">
        <f aca="false">"الربع "&amp;ROUNDUP(MONTH(B693)/3,0)</f>
        <v>الربع 2</v>
      </c>
      <c r="S693" s="40" t="str">
        <f aca="false">IF(D693&lt;=12,"أطفال (0-12)",IF(D693&lt;=24,"شباب (13-24)",IF(D693&lt;=44,"بالغون (25-44)",IF(D693&lt;=64,"متوسطو العمر (45-64)","كبار السن (+65)"))))</f>
        <v>كبار السن (+65)</v>
      </c>
      <c r="T693" s="41" t="n">
        <f aca="false">IFERROR(L693/P693,0)</f>
        <v>4888.535</v>
      </c>
    </row>
    <row r="694" customFormat="false" ht="15" hidden="false" customHeight="false" outlineLevel="0" collapsed="false">
      <c r="A694" s="42" t="s">
        <v>870</v>
      </c>
      <c r="B694" s="43" t="n">
        <v>45412</v>
      </c>
      <c r="C694" s="43" t="n">
        <v>45413</v>
      </c>
      <c r="D694" s="42" t="n">
        <v>53</v>
      </c>
      <c r="E694" s="42" t="s">
        <v>139</v>
      </c>
      <c r="F694" s="42" t="s">
        <v>203</v>
      </c>
      <c r="G694" s="42" t="s">
        <v>232</v>
      </c>
      <c r="H694" s="42" t="s">
        <v>2322</v>
      </c>
      <c r="I694" s="42" t="s">
        <v>143</v>
      </c>
      <c r="J694" s="42" t="s">
        <v>144</v>
      </c>
      <c r="K694" s="42" t="s">
        <v>160</v>
      </c>
      <c r="L694" s="44" t="n">
        <v>1977.84</v>
      </c>
      <c r="M694" s="42" t="n">
        <v>3</v>
      </c>
      <c r="N694" s="42" t="s">
        <v>146</v>
      </c>
      <c r="O694" s="42" t="s">
        <v>147</v>
      </c>
      <c r="P694" s="39" t="n">
        <f aca="false">C694-B694</f>
        <v>1</v>
      </c>
      <c r="Q694" s="40" t="str">
        <f aca="false">CHOOSE(MONTH(B694),"يناير","فبراير","مارس","أبريل","مايو","يونيو","يوليو","أغسطس","سبتمبر","أكتوبر","نوفمبر","ديسمبر")</f>
        <v>أبريل</v>
      </c>
      <c r="R694" s="40" t="str">
        <f aca="false">"الربع "&amp;ROUNDUP(MONTH(B694)/3,0)</f>
        <v>الربع 2</v>
      </c>
      <c r="S694" s="40" t="str">
        <f aca="false">IF(D694&lt;=12,"أطفال (0-12)",IF(D694&lt;=24,"شباب (13-24)",IF(D694&lt;=44,"بالغون (25-44)",IF(D694&lt;=64,"متوسطو العمر (45-64)","كبار السن (+65)"))))</f>
        <v>متوسطو العمر (45-64)</v>
      </c>
      <c r="T694" s="41" t="n">
        <f aca="false">IFERROR(L694/P694,0)</f>
        <v>1977.84</v>
      </c>
    </row>
    <row r="695" customFormat="false" ht="15" hidden="false" customHeight="false" outlineLevel="0" collapsed="false">
      <c r="A695" s="33" t="s">
        <v>1073</v>
      </c>
      <c r="B695" s="34" t="n">
        <v>45412</v>
      </c>
      <c r="C695" s="34" t="n">
        <v>45413</v>
      </c>
      <c r="D695" s="33" t="n">
        <v>24</v>
      </c>
      <c r="E695" s="33" t="s">
        <v>139</v>
      </c>
      <c r="F695" s="33" t="s">
        <v>149</v>
      </c>
      <c r="G695" s="33" t="s">
        <v>243</v>
      </c>
      <c r="H695" s="33" t="s">
        <v>186</v>
      </c>
      <c r="I695" s="33" t="s">
        <v>143</v>
      </c>
      <c r="J695" s="33" t="s">
        <v>159</v>
      </c>
      <c r="K695" s="33" t="s">
        <v>160</v>
      </c>
      <c r="L695" s="35" t="n">
        <v>1433.5</v>
      </c>
      <c r="M695" s="33" t="n">
        <v>5</v>
      </c>
      <c r="N695" s="33" t="s">
        <v>146</v>
      </c>
      <c r="O695" s="33" t="s">
        <v>147</v>
      </c>
      <c r="P695" s="39" t="n">
        <f aca="false">C695-B695</f>
        <v>1</v>
      </c>
      <c r="Q695" s="40" t="str">
        <f aca="false">CHOOSE(MONTH(B695),"يناير","فبراير","مارس","أبريل","مايو","يونيو","يوليو","أغسطس","سبتمبر","أكتوبر","نوفمبر","ديسمبر")</f>
        <v>أبريل</v>
      </c>
      <c r="R695" s="40" t="str">
        <f aca="false">"الربع "&amp;ROUNDUP(MONTH(B695)/3,0)</f>
        <v>الربع 2</v>
      </c>
      <c r="S695" s="40" t="str">
        <f aca="false">IF(D695&lt;=12,"أطفال (0-12)",IF(D695&lt;=24,"شباب (13-24)",IF(D695&lt;=44,"بالغون (25-44)",IF(D695&lt;=64,"متوسطو العمر (45-64)","كبار السن (+65)"))))</f>
        <v>شباب (13-24)</v>
      </c>
      <c r="T695" s="41" t="n">
        <f aca="false">IFERROR(L695/P695,0)</f>
        <v>1433.5</v>
      </c>
    </row>
    <row r="696" customFormat="false" ht="15" hidden="false" customHeight="false" outlineLevel="0" collapsed="false">
      <c r="A696" s="42" t="s">
        <v>1453</v>
      </c>
      <c r="B696" s="43" t="n">
        <v>45412</v>
      </c>
      <c r="C696" s="43" t="n">
        <v>45426</v>
      </c>
      <c r="D696" s="42" t="n">
        <v>65</v>
      </c>
      <c r="E696" s="42" t="s">
        <v>139</v>
      </c>
      <c r="F696" s="42" t="s">
        <v>140</v>
      </c>
      <c r="G696" s="42" t="s">
        <v>316</v>
      </c>
      <c r="H696" s="42" t="s">
        <v>290</v>
      </c>
      <c r="I696" s="42" t="s">
        <v>143</v>
      </c>
      <c r="J696" s="42" t="s">
        <v>159</v>
      </c>
      <c r="K696" s="42" t="s">
        <v>209</v>
      </c>
      <c r="L696" s="44" t="n">
        <v>25438.9</v>
      </c>
      <c r="M696" s="42" t="n">
        <v>5</v>
      </c>
      <c r="N696" s="42" t="s">
        <v>146</v>
      </c>
      <c r="O696" s="42" t="s">
        <v>147</v>
      </c>
      <c r="P696" s="39" t="n">
        <f aca="false">C696-B696</f>
        <v>14</v>
      </c>
      <c r="Q696" s="40" t="str">
        <f aca="false">CHOOSE(MONTH(B696),"يناير","فبراير","مارس","أبريل","مايو","يونيو","يوليو","أغسطس","سبتمبر","أكتوبر","نوفمبر","ديسمبر")</f>
        <v>أبريل</v>
      </c>
      <c r="R696" s="40" t="str">
        <f aca="false">"الربع "&amp;ROUNDUP(MONTH(B696)/3,0)</f>
        <v>الربع 2</v>
      </c>
      <c r="S696" s="40" t="str">
        <f aca="false">IF(D696&lt;=12,"أطفال (0-12)",IF(D696&lt;=24,"شباب (13-24)",IF(D696&lt;=44,"بالغون (25-44)",IF(D696&lt;=64,"متوسطو العمر (45-64)","كبار السن (+65)"))))</f>
        <v>كبار السن (+65)</v>
      </c>
      <c r="T696" s="41" t="n">
        <f aca="false">IFERROR(L696/P696,0)</f>
        <v>1817.06428571429</v>
      </c>
    </row>
    <row r="697" customFormat="false" ht="15" hidden="false" customHeight="false" outlineLevel="0" collapsed="false">
      <c r="A697" s="33" t="s">
        <v>1653</v>
      </c>
      <c r="B697" s="34" t="n">
        <v>45412</v>
      </c>
      <c r="C697" s="34" t="n">
        <v>45414</v>
      </c>
      <c r="D697" s="33" t="n">
        <v>6</v>
      </c>
      <c r="E697" s="33" t="s">
        <v>154</v>
      </c>
      <c r="F697" s="33" t="s">
        <v>155</v>
      </c>
      <c r="G697" s="33" t="s">
        <v>220</v>
      </c>
      <c r="H697" s="33" t="s">
        <v>157</v>
      </c>
      <c r="I697" s="33" t="s">
        <v>152</v>
      </c>
      <c r="J697" s="33" t="s">
        <v>144</v>
      </c>
      <c r="K697" s="33" t="s">
        <v>209</v>
      </c>
      <c r="L697" s="35" t="n">
        <v>3026.39</v>
      </c>
      <c r="M697" s="33" t="n">
        <v>5</v>
      </c>
      <c r="N697" s="33" t="s">
        <v>210</v>
      </c>
      <c r="O697" s="33" t="s">
        <v>147</v>
      </c>
      <c r="P697" s="39" t="n">
        <f aca="false">C697-B697</f>
        <v>2</v>
      </c>
      <c r="Q697" s="40" t="str">
        <f aca="false">CHOOSE(MONTH(B697),"يناير","فبراير","مارس","أبريل","مايو","يونيو","يوليو","أغسطس","سبتمبر","أكتوبر","نوفمبر","ديسمبر")</f>
        <v>أبريل</v>
      </c>
      <c r="R697" s="40" t="str">
        <f aca="false">"الربع "&amp;ROUNDUP(MONTH(B697)/3,0)</f>
        <v>الربع 2</v>
      </c>
      <c r="S697" s="40" t="str">
        <f aca="false">IF(D697&lt;=12,"أطفال (0-12)",IF(D697&lt;=24,"شباب (13-24)",IF(D697&lt;=44,"بالغون (25-44)",IF(D697&lt;=64,"متوسطو العمر (45-64)","كبار السن (+65)"))))</f>
        <v>أطفال (0-12)</v>
      </c>
      <c r="T697" s="41" t="n">
        <f aca="false">IFERROR(L697/P697,0)</f>
        <v>1513.195</v>
      </c>
    </row>
    <row r="698" customFormat="false" ht="15" hidden="false" customHeight="false" outlineLevel="0" collapsed="false">
      <c r="A698" s="42" t="s">
        <v>1890</v>
      </c>
      <c r="B698" s="43" t="n">
        <v>45413</v>
      </c>
      <c r="C698" s="43" t="n">
        <v>45415</v>
      </c>
      <c r="D698" s="42" t="n">
        <v>63</v>
      </c>
      <c r="E698" s="42" t="s">
        <v>139</v>
      </c>
      <c r="F698" s="42" t="s">
        <v>173</v>
      </c>
      <c r="G698" s="42" t="s">
        <v>174</v>
      </c>
      <c r="H698" s="42" t="s">
        <v>175</v>
      </c>
      <c r="I698" s="42" t="s">
        <v>143</v>
      </c>
      <c r="J698" s="42" t="s">
        <v>159</v>
      </c>
      <c r="K698" s="42" t="s">
        <v>145</v>
      </c>
      <c r="L698" s="44" t="n">
        <v>5387.9</v>
      </c>
      <c r="M698" s="42" t="n">
        <v>5</v>
      </c>
      <c r="N698" s="42" t="s">
        <v>146</v>
      </c>
      <c r="O698" s="42" t="s">
        <v>147</v>
      </c>
      <c r="P698" s="39" t="n">
        <f aca="false">C698-B698</f>
        <v>2</v>
      </c>
      <c r="Q698" s="40" t="str">
        <f aca="false">CHOOSE(MONTH(B698),"يناير","فبراير","مارس","أبريل","مايو","يونيو","يوليو","أغسطس","سبتمبر","أكتوبر","نوفمبر","ديسمبر")</f>
        <v>مايو</v>
      </c>
      <c r="R698" s="40" t="str">
        <f aca="false">"الربع "&amp;ROUNDUP(MONTH(B698)/3,0)</f>
        <v>الربع 2</v>
      </c>
      <c r="S698" s="40" t="str">
        <f aca="false">IF(D698&lt;=12,"أطفال (0-12)",IF(D698&lt;=24,"شباب (13-24)",IF(D698&lt;=44,"بالغون (25-44)",IF(D698&lt;=64,"متوسطو العمر (45-64)","كبار السن (+65)"))))</f>
        <v>متوسطو العمر (45-64)</v>
      </c>
      <c r="T698" s="41" t="n">
        <f aca="false">IFERROR(L698/P698,0)</f>
        <v>2693.95</v>
      </c>
    </row>
    <row r="699" customFormat="false" ht="15" hidden="false" customHeight="false" outlineLevel="0" collapsed="false">
      <c r="A699" s="33" t="s">
        <v>148</v>
      </c>
      <c r="B699" s="34" t="n">
        <v>45413</v>
      </c>
      <c r="C699" s="34" t="n">
        <v>45414</v>
      </c>
      <c r="D699" s="33" t="n">
        <v>26</v>
      </c>
      <c r="E699" s="33" t="s">
        <v>139</v>
      </c>
      <c r="F699" s="33" t="s">
        <v>149</v>
      </c>
      <c r="G699" s="33" t="s">
        <v>150</v>
      </c>
      <c r="H699" s="33" t="s">
        <v>151</v>
      </c>
      <c r="I699" s="33" t="s">
        <v>152</v>
      </c>
      <c r="J699" s="33" t="s">
        <v>144</v>
      </c>
      <c r="K699" s="33" t="s">
        <v>145</v>
      </c>
      <c r="L699" s="35" t="n">
        <v>2740.6</v>
      </c>
      <c r="M699" s="33" t="n">
        <v>5</v>
      </c>
      <c r="N699" s="33" t="s">
        <v>146</v>
      </c>
      <c r="O699" s="33" t="s">
        <v>147</v>
      </c>
      <c r="P699" s="39" t="n">
        <f aca="false">C699-B699</f>
        <v>1</v>
      </c>
      <c r="Q699" s="40" t="str">
        <f aca="false">CHOOSE(MONTH(B699),"يناير","فبراير","مارس","أبريل","مايو","يونيو","يوليو","أغسطس","سبتمبر","أكتوبر","نوفمبر","ديسمبر")</f>
        <v>مايو</v>
      </c>
      <c r="R699" s="40" t="str">
        <f aca="false">"الربع "&amp;ROUNDUP(MONTH(B699)/3,0)</f>
        <v>الربع 2</v>
      </c>
      <c r="S699" s="40" t="str">
        <f aca="false">IF(D699&lt;=12,"أطفال (0-12)",IF(D699&lt;=24,"شباب (13-24)",IF(D699&lt;=44,"بالغون (25-44)",IF(D699&lt;=64,"متوسطو العمر (45-64)","كبار السن (+65)"))))</f>
        <v>بالغون (25-44)</v>
      </c>
      <c r="T699" s="41" t="n">
        <f aca="false">IFERROR(L699/P699,0)</f>
        <v>2740.6</v>
      </c>
    </row>
    <row r="700" customFormat="false" ht="15" hidden="false" customHeight="false" outlineLevel="0" collapsed="false">
      <c r="A700" s="42" t="s">
        <v>686</v>
      </c>
      <c r="B700" s="43" t="n">
        <v>45413</v>
      </c>
      <c r="C700" s="43" t="n">
        <v>45417</v>
      </c>
      <c r="D700" s="42" t="n">
        <v>47</v>
      </c>
      <c r="E700" s="42" t="s">
        <v>154</v>
      </c>
      <c r="F700" s="42" t="s">
        <v>173</v>
      </c>
      <c r="G700" s="42" t="s">
        <v>178</v>
      </c>
      <c r="H700" s="42" t="s">
        <v>199</v>
      </c>
      <c r="I700" s="42" t="s">
        <v>143</v>
      </c>
      <c r="J700" s="42" t="s">
        <v>144</v>
      </c>
      <c r="K700" s="42" t="s">
        <v>145</v>
      </c>
      <c r="L700" s="44" t="n">
        <v>19685.42</v>
      </c>
      <c r="M700" s="42" t="n">
        <v>3</v>
      </c>
      <c r="N700" s="42" t="s">
        <v>146</v>
      </c>
      <c r="O700" s="42" t="s">
        <v>147</v>
      </c>
      <c r="P700" s="39" t="n">
        <f aca="false">C700-B700</f>
        <v>4</v>
      </c>
      <c r="Q700" s="40" t="str">
        <f aca="false">CHOOSE(MONTH(B700),"يناير","فبراير","مارس","أبريل","مايو","يونيو","يوليو","أغسطس","سبتمبر","أكتوبر","نوفمبر","ديسمبر")</f>
        <v>مايو</v>
      </c>
      <c r="R700" s="40" t="str">
        <f aca="false">"الربع "&amp;ROUNDUP(MONTH(B700)/3,0)</f>
        <v>الربع 2</v>
      </c>
      <c r="S700" s="40" t="str">
        <f aca="false">IF(D700&lt;=12,"أطفال (0-12)",IF(D700&lt;=24,"شباب (13-24)",IF(D700&lt;=44,"بالغون (25-44)",IF(D700&lt;=64,"متوسطو العمر (45-64)","كبار السن (+65)"))))</f>
        <v>متوسطو العمر (45-64)</v>
      </c>
      <c r="T700" s="41" t="n">
        <f aca="false">IFERROR(L700/P700,0)</f>
        <v>4921.355</v>
      </c>
    </row>
    <row r="701" customFormat="false" ht="15" hidden="false" customHeight="false" outlineLevel="0" collapsed="false">
      <c r="A701" s="33" t="s">
        <v>2147</v>
      </c>
      <c r="B701" s="34" t="n">
        <v>45413</v>
      </c>
      <c r="C701" s="34" t="n">
        <v>45414</v>
      </c>
      <c r="D701" s="33" t="n">
        <v>57</v>
      </c>
      <c r="E701" s="33" t="s">
        <v>139</v>
      </c>
      <c r="F701" s="33" t="s">
        <v>203</v>
      </c>
      <c r="G701" s="33" t="s">
        <v>241</v>
      </c>
      <c r="H701" s="33" t="s">
        <v>205</v>
      </c>
      <c r="I701" s="33" t="s">
        <v>152</v>
      </c>
      <c r="J701" s="33" t="s">
        <v>144</v>
      </c>
      <c r="K701" s="33" t="s">
        <v>145</v>
      </c>
      <c r="L701" s="35" t="n">
        <v>1226.74</v>
      </c>
      <c r="M701" s="33" t="n">
        <v>4</v>
      </c>
      <c r="N701" s="33" t="s">
        <v>146</v>
      </c>
      <c r="O701" s="33" t="s">
        <v>147</v>
      </c>
      <c r="P701" s="39" t="n">
        <f aca="false">C701-B701</f>
        <v>1</v>
      </c>
      <c r="Q701" s="40" t="str">
        <f aca="false">CHOOSE(MONTH(B701),"يناير","فبراير","مارس","أبريل","مايو","يونيو","يوليو","أغسطس","سبتمبر","أكتوبر","نوفمبر","ديسمبر")</f>
        <v>مايو</v>
      </c>
      <c r="R701" s="40" t="str">
        <f aca="false">"الربع "&amp;ROUNDUP(MONTH(B701)/3,0)</f>
        <v>الربع 2</v>
      </c>
      <c r="S701" s="40" t="str">
        <f aca="false">IF(D701&lt;=12,"أطفال (0-12)",IF(D701&lt;=24,"شباب (13-24)",IF(D701&lt;=44,"بالغون (25-44)",IF(D701&lt;=64,"متوسطو العمر (45-64)","كبار السن (+65)"))))</f>
        <v>متوسطو العمر (45-64)</v>
      </c>
      <c r="T701" s="41" t="n">
        <f aca="false">IFERROR(L701/P701,0)</f>
        <v>1226.74</v>
      </c>
    </row>
    <row r="702" customFormat="false" ht="15" hidden="false" customHeight="false" outlineLevel="0" collapsed="false">
      <c r="A702" s="42" t="s">
        <v>1548</v>
      </c>
      <c r="B702" s="43" t="n">
        <v>45413</v>
      </c>
      <c r="C702" s="43" t="n">
        <v>45415</v>
      </c>
      <c r="D702" s="42" t="n">
        <v>30</v>
      </c>
      <c r="E702" s="42" t="s">
        <v>139</v>
      </c>
      <c r="F702" s="42" t="s">
        <v>169</v>
      </c>
      <c r="G702" s="42" t="s">
        <v>213</v>
      </c>
      <c r="H702" s="42" t="s">
        <v>164</v>
      </c>
      <c r="I702" s="42" t="s">
        <v>143</v>
      </c>
      <c r="J702" s="42" t="s">
        <v>159</v>
      </c>
      <c r="K702" s="42" t="s">
        <v>145</v>
      </c>
      <c r="L702" s="44" t="n">
        <v>2471.61</v>
      </c>
      <c r="M702" s="42" t="n">
        <v>5</v>
      </c>
      <c r="N702" s="42" t="s">
        <v>146</v>
      </c>
      <c r="O702" s="42" t="s">
        <v>147</v>
      </c>
      <c r="P702" s="39" t="n">
        <f aca="false">C702-B702</f>
        <v>2</v>
      </c>
      <c r="Q702" s="40" t="str">
        <f aca="false">CHOOSE(MONTH(B702),"يناير","فبراير","مارس","أبريل","مايو","يونيو","يوليو","أغسطس","سبتمبر","أكتوبر","نوفمبر","ديسمبر")</f>
        <v>مايو</v>
      </c>
      <c r="R702" s="40" t="str">
        <f aca="false">"الربع "&amp;ROUNDUP(MONTH(B702)/3,0)</f>
        <v>الربع 2</v>
      </c>
      <c r="S702" s="40" t="str">
        <f aca="false">IF(D702&lt;=12,"أطفال (0-12)",IF(D702&lt;=24,"شباب (13-24)",IF(D702&lt;=44,"بالغون (25-44)",IF(D702&lt;=64,"متوسطو العمر (45-64)","كبار السن (+65)"))))</f>
        <v>بالغون (25-44)</v>
      </c>
      <c r="T702" s="41" t="n">
        <f aca="false">IFERROR(L702/P702,0)</f>
        <v>1235.805</v>
      </c>
    </row>
    <row r="703" customFormat="false" ht="15" hidden="false" customHeight="false" outlineLevel="0" collapsed="false">
      <c r="A703" s="33" t="s">
        <v>365</v>
      </c>
      <c r="B703" s="34" t="n">
        <v>45413</v>
      </c>
      <c r="C703" s="34" t="n">
        <v>45414</v>
      </c>
      <c r="D703" s="33" t="n">
        <v>60</v>
      </c>
      <c r="E703" s="33" t="s">
        <v>139</v>
      </c>
      <c r="F703" s="33" t="s">
        <v>203</v>
      </c>
      <c r="G703" s="33" t="s">
        <v>204</v>
      </c>
      <c r="H703" s="33" t="s">
        <v>205</v>
      </c>
      <c r="I703" s="33" t="s">
        <v>143</v>
      </c>
      <c r="J703" s="33" t="s">
        <v>159</v>
      </c>
      <c r="K703" s="33" t="s">
        <v>209</v>
      </c>
      <c r="L703" s="35" t="n">
        <v>733.03</v>
      </c>
      <c r="M703" s="33" t="n">
        <v>4</v>
      </c>
      <c r="N703" s="33" t="s">
        <v>146</v>
      </c>
      <c r="O703" s="33" t="s">
        <v>147</v>
      </c>
      <c r="P703" s="39" t="n">
        <f aca="false">C703-B703</f>
        <v>1</v>
      </c>
      <c r="Q703" s="40" t="str">
        <f aca="false">CHOOSE(MONTH(B703),"يناير","فبراير","مارس","أبريل","مايو","يونيو","يوليو","أغسطس","سبتمبر","أكتوبر","نوفمبر","ديسمبر")</f>
        <v>مايو</v>
      </c>
      <c r="R703" s="40" t="str">
        <f aca="false">"الربع "&amp;ROUNDUP(MONTH(B703)/3,0)</f>
        <v>الربع 2</v>
      </c>
      <c r="S703" s="40" t="str">
        <f aca="false">IF(D703&lt;=12,"أطفال (0-12)",IF(D703&lt;=24,"شباب (13-24)",IF(D703&lt;=44,"بالغون (25-44)",IF(D703&lt;=64,"متوسطو العمر (45-64)","كبار السن (+65)"))))</f>
        <v>متوسطو العمر (45-64)</v>
      </c>
      <c r="T703" s="41" t="n">
        <f aca="false">IFERROR(L703/P703,0)</f>
        <v>733.03</v>
      </c>
    </row>
    <row r="704" customFormat="false" ht="15" hidden="false" customHeight="false" outlineLevel="0" collapsed="false">
      <c r="A704" s="42" t="s">
        <v>2211</v>
      </c>
      <c r="B704" s="43" t="n">
        <v>45414</v>
      </c>
      <c r="C704" s="43" t="n">
        <v>45420</v>
      </c>
      <c r="D704" s="42" t="n">
        <v>25</v>
      </c>
      <c r="E704" s="42" t="s">
        <v>154</v>
      </c>
      <c r="F704" s="42" t="s">
        <v>181</v>
      </c>
      <c r="G704" s="42" t="s">
        <v>237</v>
      </c>
      <c r="H704" s="42" t="s">
        <v>245</v>
      </c>
      <c r="I704" s="42" t="s">
        <v>143</v>
      </c>
      <c r="J704" s="42" t="s">
        <v>176</v>
      </c>
      <c r="K704" s="42" t="s">
        <v>184</v>
      </c>
      <c r="L704" s="44" t="n">
        <v>37663.39</v>
      </c>
      <c r="M704" s="42" t="n">
        <v>4</v>
      </c>
      <c r="N704" s="42" t="s">
        <v>146</v>
      </c>
      <c r="O704" s="42" t="s">
        <v>147</v>
      </c>
      <c r="P704" s="39" t="n">
        <f aca="false">C704-B704</f>
        <v>6</v>
      </c>
      <c r="Q704" s="40" t="str">
        <f aca="false">CHOOSE(MONTH(B704),"يناير","فبراير","مارس","أبريل","مايو","يونيو","يوليو","أغسطس","سبتمبر","أكتوبر","نوفمبر","ديسمبر")</f>
        <v>مايو</v>
      </c>
      <c r="R704" s="40" t="str">
        <f aca="false">"الربع "&amp;ROUNDUP(MONTH(B704)/3,0)</f>
        <v>الربع 2</v>
      </c>
      <c r="S704" s="40" t="str">
        <f aca="false">IF(D704&lt;=12,"أطفال (0-12)",IF(D704&lt;=24,"شباب (13-24)",IF(D704&lt;=44,"بالغون (25-44)",IF(D704&lt;=64,"متوسطو العمر (45-64)","كبار السن (+65)"))))</f>
        <v>بالغون (25-44)</v>
      </c>
      <c r="T704" s="41" t="n">
        <f aca="false">IFERROR(L704/P704,0)</f>
        <v>6277.23166666667</v>
      </c>
    </row>
    <row r="705" customFormat="false" ht="15" hidden="false" customHeight="false" outlineLevel="0" collapsed="false">
      <c r="A705" s="33" t="s">
        <v>2106</v>
      </c>
      <c r="B705" s="34" t="n">
        <v>45414</v>
      </c>
      <c r="C705" s="34" t="n">
        <v>45424</v>
      </c>
      <c r="D705" s="33" t="n">
        <v>40</v>
      </c>
      <c r="E705" s="33" t="s">
        <v>139</v>
      </c>
      <c r="F705" s="33" t="s">
        <v>140</v>
      </c>
      <c r="G705" s="33" t="s">
        <v>167</v>
      </c>
      <c r="H705" s="33" t="s">
        <v>142</v>
      </c>
      <c r="I705" s="33" t="s">
        <v>143</v>
      </c>
      <c r="J705" s="33" t="s">
        <v>159</v>
      </c>
      <c r="K705" s="33" t="s">
        <v>145</v>
      </c>
      <c r="L705" s="35" t="n">
        <v>25683.04</v>
      </c>
      <c r="M705" s="33" t="n">
        <v>3</v>
      </c>
      <c r="N705" s="33" t="s">
        <v>146</v>
      </c>
      <c r="O705" s="33" t="s">
        <v>147</v>
      </c>
      <c r="P705" s="39" t="n">
        <f aca="false">C705-B705</f>
        <v>10</v>
      </c>
      <c r="Q705" s="40" t="str">
        <f aca="false">CHOOSE(MONTH(B705),"يناير","فبراير","مارس","أبريل","مايو","يونيو","يوليو","أغسطس","سبتمبر","أكتوبر","نوفمبر","ديسمبر")</f>
        <v>مايو</v>
      </c>
      <c r="R705" s="40" t="str">
        <f aca="false">"الربع "&amp;ROUNDUP(MONTH(B705)/3,0)</f>
        <v>الربع 2</v>
      </c>
      <c r="S705" s="40" t="str">
        <f aca="false">IF(D705&lt;=12,"أطفال (0-12)",IF(D705&lt;=24,"شباب (13-24)",IF(D705&lt;=44,"بالغون (25-44)",IF(D705&lt;=64,"متوسطو العمر (45-64)","كبار السن (+65)"))))</f>
        <v>بالغون (25-44)</v>
      </c>
      <c r="T705" s="41" t="n">
        <f aca="false">IFERROR(L705/P705,0)</f>
        <v>2568.304</v>
      </c>
    </row>
    <row r="706" customFormat="false" ht="15" hidden="false" customHeight="false" outlineLevel="0" collapsed="false">
      <c r="A706" s="42" t="s">
        <v>2214</v>
      </c>
      <c r="B706" s="43" t="n">
        <v>45414</v>
      </c>
      <c r="C706" s="43" t="n">
        <v>45418</v>
      </c>
      <c r="D706" s="42" t="n">
        <v>45</v>
      </c>
      <c r="E706" s="42" t="s">
        <v>154</v>
      </c>
      <c r="F706" s="42" t="s">
        <v>173</v>
      </c>
      <c r="G706" s="42" t="s">
        <v>198</v>
      </c>
      <c r="H706" s="42" t="s">
        <v>175</v>
      </c>
      <c r="I706" s="42" t="s">
        <v>143</v>
      </c>
      <c r="J706" s="42" t="s">
        <v>159</v>
      </c>
      <c r="K706" s="42" t="s">
        <v>184</v>
      </c>
      <c r="L706" s="44" t="n">
        <v>8554.04</v>
      </c>
      <c r="M706" s="42" t="n">
        <v>4</v>
      </c>
      <c r="N706" s="42" t="s">
        <v>146</v>
      </c>
      <c r="O706" s="42" t="s">
        <v>147</v>
      </c>
      <c r="P706" s="39" t="n">
        <f aca="false">C706-B706</f>
        <v>4</v>
      </c>
      <c r="Q706" s="40" t="str">
        <f aca="false">CHOOSE(MONTH(B706),"يناير","فبراير","مارس","أبريل","مايو","يونيو","يوليو","أغسطس","سبتمبر","أكتوبر","نوفمبر","ديسمبر")</f>
        <v>مايو</v>
      </c>
      <c r="R706" s="40" t="str">
        <f aca="false">"الربع "&amp;ROUNDUP(MONTH(B706)/3,0)</f>
        <v>الربع 2</v>
      </c>
      <c r="S706" s="40" t="str">
        <f aca="false">IF(D706&lt;=12,"أطفال (0-12)",IF(D706&lt;=24,"شباب (13-24)",IF(D706&lt;=44,"بالغون (25-44)",IF(D706&lt;=64,"متوسطو العمر (45-64)","كبار السن (+65)"))))</f>
        <v>متوسطو العمر (45-64)</v>
      </c>
      <c r="T706" s="41" t="n">
        <f aca="false">IFERROR(L706/P706,0)</f>
        <v>2138.51</v>
      </c>
    </row>
    <row r="707" customFormat="false" ht="15" hidden="false" customHeight="false" outlineLevel="0" collapsed="false">
      <c r="A707" s="33" t="s">
        <v>793</v>
      </c>
      <c r="B707" s="34" t="n">
        <v>45414</v>
      </c>
      <c r="C707" s="34" t="n">
        <v>45416</v>
      </c>
      <c r="D707" s="33" t="n">
        <v>69</v>
      </c>
      <c r="E707" s="33" t="s">
        <v>139</v>
      </c>
      <c r="F707" s="33" t="s">
        <v>203</v>
      </c>
      <c r="G707" s="33" t="s">
        <v>217</v>
      </c>
      <c r="H707" s="33" t="s">
        <v>193</v>
      </c>
      <c r="I707" s="33" t="s">
        <v>143</v>
      </c>
      <c r="J707" s="33" t="s">
        <v>144</v>
      </c>
      <c r="K707" s="33" t="s">
        <v>160</v>
      </c>
      <c r="L707" s="35" t="n">
        <v>2532.87</v>
      </c>
      <c r="M707" s="33" t="n">
        <v>3</v>
      </c>
      <c r="N707" s="33" t="s">
        <v>146</v>
      </c>
      <c r="O707" s="33" t="s">
        <v>147</v>
      </c>
      <c r="P707" s="39" t="n">
        <f aca="false">C707-B707</f>
        <v>2</v>
      </c>
      <c r="Q707" s="40" t="str">
        <f aca="false">CHOOSE(MONTH(B707),"يناير","فبراير","مارس","أبريل","مايو","يونيو","يوليو","أغسطس","سبتمبر","أكتوبر","نوفمبر","ديسمبر")</f>
        <v>مايو</v>
      </c>
      <c r="R707" s="40" t="str">
        <f aca="false">"الربع "&amp;ROUNDUP(MONTH(B707)/3,0)</f>
        <v>الربع 2</v>
      </c>
      <c r="S707" s="40" t="str">
        <f aca="false">IF(D707&lt;=12,"أطفال (0-12)",IF(D707&lt;=24,"شباب (13-24)",IF(D707&lt;=44,"بالغون (25-44)",IF(D707&lt;=64,"متوسطو العمر (45-64)","كبار السن (+65)"))))</f>
        <v>كبار السن (+65)</v>
      </c>
      <c r="T707" s="41" t="n">
        <f aca="false">IFERROR(L707/P707,0)</f>
        <v>1266.435</v>
      </c>
    </row>
    <row r="708" customFormat="false" ht="15" hidden="false" customHeight="false" outlineLevel="0" collapsed="false">
      <c r="A708" s="42" t="s">
        <v>911</v>
      </c>
      <c r="B708" s="43" t="n">
        <v>45414</v>
      </c>
      <c r="C708" s="43" t="n">
        <v>45422</v>
      </c>
      <c r="D708" s="42" t="n">
        <v>44</v>
      </c>
      <c r="E708" s="42" t="s">
        <v>154</v>
      </c>
      <c r="F708" s="42" t="s">
        <v>169</v>
      </c>
      <c r="G708" s="42" t="s">
        <v>163</v>
      </c>
      <c r="H708" s="42" t="s">
        <v>171</v>
      </c>
      <c r="I708" s="42" t="s">
        <v>152</v>
      </c>
      <c r="J708" s="42" t="s">
        <v>159</v>
      </c>
      <c r="K708" s="42" t="s">
        <v>160</v>
      </c>
      <c r="L708" s="44" t="n">
        <v>8091.42</v>
      </c>
      <c r="M708" s="42" t="n">
        <v>4</v>
      </c>
      <c r="N708" s="42" t="s">
        <v>146</v>
      </c>
      <c r="O708" s="42" t="s">
        <v>147</v>
      </c>
      <c r="P708" s="39" t="n">
        <f aca="false">C708-B708</f>
        <v>8</v>
      </c>
      <c r="Q708" s="40" t="str">
        <f aca="false">CHOOSE(MONTH(B708),"يناير","فبراير","مارس","أبريل","مايو","يونيو","يوليو","أغسطس","سبتمبر","أكتوبر","نوفمبر","ديسمبر")</f>
        <v>مايو</v>
      </c>
      <c r="R708" s="40" t="str">
        <f aca="false">"الربع "&amp;ROUNDUP(MONTH(B708)/3,0)</f>
        <v>الربع 2</v>
      </c>
      <c r="S708" s="40" t="str">
        <f aca="false">IF(D708&lt;=12,"أطفال (0-12)",IF(D708&lt;=24,"شباب (13-24)",IF(D708&lt;=44,"بالغون (25-44)",IF(D708&lt;=64,"متوسطو العمر (45-64)","كبار السن (+65)"))))</f>
        <v>بالغون (25-44)</v>
      </c>
      <c r="T708" s="41" t="n">
        <f aca="false">IFERROR(L708/P708,0)</f>
        <v>1011.4275</v>
      </c>
    </row>
    <row r="709" customFormat="false" ht="15" hidden="false" customHeight="false" outlineLevel="0" collapsed="false">
      <c r="A709" s="33" t="s">
        <v>1231</v>
      </c>
      <c r="B709" s="34" t="n">
        <v>45414</v>
      </c>
      <c r="C709" s="34" t="n">
        <v>45416</v>
      </c>
      <c r="D709" s="33" t="n">
        <v>6</v>
      </c>
      <c r="E709" s="33" t="s">
        <v>154</v>
      </c>
      <c r="F709" s="33" t="s">
        <v>155</v>
      </c>
      <c r="G709" s="33" t="s">
        <v>156</v>
      </c>
      <c r="H709" s="33" t="s">
        <v>157</v>
      </c>
      <c r="I709" s="33" t="s">
        <v>152</v>
      </c>
      <c r="J709" s="33" t="s">
        <v>144</v>
      </c>
      <c r="K709" s="33" t="s">
        <v>160</v>
      </c>
      <c r="L709" s="35" t="n">
        <v>2726.56</v>
      </c>
      <c r="M709" s="33" t="n">
        <v>3</v>
      </c>
      <c r="N709" s="33" t="s">
        <v>146</v>
      </c>
      <c r="O709" s="33" t="s">
        <v>147</v>
      </c>
      <c r="P709" s="39" t="n">
        <f aca="false">C709-B709</f>
        <v>2</v>
      </c>
      <c r="Q709" s="40" t="str">
        <f aca="false">CHOOSE(MONTH(B709),"يناير","فبراير","مارس","أبريل","مايو","يونيو","يوليو","أغسطس","سبتمبر","أكتوبر","نوفمبر","ديسمبر")</f>
        <v>مايو</v>
      </c>
      <c r="R709" s="40" t="str">
        <f aca="false">"الربع "&amp;ROUNDUP(MONTH(B709)/3,0)</f>
        <v>الربع 2</v>
      </c>
      <c r="S709" s="40" t="str">
        <f aca="false">IF(D709&lt;=12,"أطفال (0-12)",IF(D709&lt;=24,"شباب (13-24)",IF(D709&lt;=44,"بالغون (25-44)",IF(D709&lt;=64,"متوسطو العمر (45-64)","كبار السن (+65)"))))</f>
        <v>أطفال (0-12)</v>
      </c>
      <c r="T709" s="41" t="n">
        <f aca="false">IFERROR(L709/P709,0)</f>
        <v>1363.28</v>
      </c>
    </row>
    <row r="710" customFormat="false" ht="15" hidden="false" customHeight="false" outlineLevel="0" collapsed="false">
      <c r="A710" s="42" t="s">
        <v>1302</v>
      </c>
      <c r="B710" s="43" t="n">
        <v>45414</v>
      </c>
      <c r="C710" s="43" t="n">
        <v>45415</v>
      </c>
      <c r="D710" s="42" t="n">
        <v>25</v>
      </c>
      <c r="E710" s="42" t="s">
        <v>139</v>
      </c>
      <c r="F710" s="42" t="s">
        <v>149</v>
      </c>
      <c r="G710" s="42" t="s">
        <v>243</v>
      </c>
      <c r="H710" s="42" t="s">
        <v>186</v>
      </c>
      <c r="I710" s="42" t="s">
        <v>143</v>
      </c>
      <c r="J710" s="42" t="s">
        <v>159</v>
      </c>
      <c r="K710" s="42" t="s">
        <v>184</v>
      </c>
      <c r="L710" s="44" t="n">
        <v>1675.8</v>
      </c>
      <c r="M710" s="42" t="n">
        <v>5</v>
      </c>
      <c r="N710" s="42" t="s">
        <v>146</v>
      </c>
      <c r="O710" s="42" t="s">
        <v>147</v>
      </c>
      <c r="P710" s="39" t="n">
        <f aca="false">C710-B710</f>
        <v>1</v>
      </c>
      <c r="Q710" s="40" t="str">
        <f aca="false">CHOOSE(MONTH(B710),"يناير","فبراير","مارس","أبريل","مايو","يونيو","يوليو","أغسطس","سبتمبر","أكتوبر","نوفمبر","ديسمبر")</f>
        <v>مايو</v>
      </c>
      <c r="R710" s="40" t="str">
        <f aca="false">"الربع "&amp;ROUNDUP(MONTH(B710)/3,0)</f>
        <v>الربع 2</v>
      </c>
      <c r="S710" s="40" t="str">
        <f aca="false">IF(D710&lt;=12,"أطفال (0-12)",IF(D710&lt;=24,"شباب (13-24)",IF(D710&lt;=44,"بالغون (25-44)",IF(D710&lt;=64,"متوسطو العمر (45-64)","كبار السن (+65)"))))</f>
        <v>بالغون (25-44)</v>
      </c>
      <c r="T710" s="41" t="n">
        <f aca="false">IFERROR(L710/P710,0)</f>
        <v>1675.8</v>
      </c>
    </row>
    <row r="711" customFormat="false" ht="15" hidden="false" customHeight="false" outlineLevel="0" collapsed="false">
      <c r="A711" s="33" t="s">
        <v>1590</v>
      </c>
      <c r="B711" s="34" t="n">
        <v>45415</v>
      </c>
      <c r="C711" s="34" t="n">
        <v>45416</v>
      </c>
      <c r="D711" s="33" t="n">
        <v>14</v>
      </c>
      <c r="E711" s="33" t="s">
        <v>154</v>
      </c>
      <c r="F711" s="33" t="s">
        <v>155</v>
      </c>
      <c r="G711" s="33" t="s">
        <v>302</v>
      </c>
      <c r="H711" s="33" t="s">
        <v>157</v>
      </c>
      <c r="I711" s="33" t="s">
        <v>143</v>
      </c>
      <c r="J711" s="33" t="s">
        <v>159</v>
      </c>
      <c r="K711" s="33" t="s">
        <v>145</v>
      </c>
      <c r="L711" s="35" t="n">
        <v>745.02</v>
      </c>
      <c r="M711" s="33" t="n">
        <v>5</v>
      </c>
      <c r="N711" s="33" t="s">
        <v>146</v>
      </c>
      <c r="O711" s="33" t="s">
        <v>147</v>
      </c>
      <c r="P711" s="39" t="n">
        <f aca="false">C711-B711</f>
        <v>1</v>
      </c>
      <c r="Q711" s="40" t="str">
        <f aca="false">CHOOSE(MONTH(B711),"يناير","فبراير","مارس","أبريل","مايو","يونيو","يوليو","أغسطس","سبتمبر","أكتوبر","نوفمبر","ديسمبر")</f>
        <v>مايو</v>
      </c>
      <c r="R711" s="40" t="str">
        <f aca="false">"الربع "&amp;ROUNDUP(MONTH(B711)/3,0)</f>
        <v>الربع 2</v>
      </c>
      <c r="S711" s="40" t="str">
        <f aca="false">IF(D711&lt;=12,"أطفال (0-12)",IF(D711&lt;=24,"شباب (13-24)",IF(D711&lt;=44,"بالغون (25-44)",IF(D711&lt;=64,"متوسطو العمر (45-64)","كبار السن (+65)"))))</f>
        <v>شباب (13-24)</v>
      </c>
      <c r="T711" s="41" t="n">
        <f aca="false">IFERROR(L711/P711,0)</f>
        <v>745.02</v>
      </c>
    </row>
    <row r="712" customFormat="false" ht="15" hidden="false" customHeight="false" outlineLevel="0" collapsed="false">
      <c r="A712" s="42" t="s">
        <v>836</v>
      </c>
      <c r="B712" s="43" t="n">
        <v>45415</v>
      </c>
      <c r="C712" s="43" t="n">
        <v>45416</v>
      </c>
      <c r="D712" s="42" t="n">
        <v>45</v>
      </c>
      <c r="E712" s="42" t="s">
        <v>154</v>
      </c>
      <c r="F712" s="42" t="s">
        <v>226</v>
      </c>
      <c r="G712" s="42" t="s">
        <v>258</v>
      </c>
      <c r="H712" s="42" t="s">
        <v>263</v>
      </c>
      <c r="I712" s="42" t="s">
        <v>143</v>
      </c>
      <c r="J712" s="42" t="s">
        <v>144</v>
      </c>
      <c r="K712" s="42" t="s">
        <v>145</v>
      </c>
      <c r="L712" s="44" t="n">
        <v>5671.7</v>
      </c>
      <c r="M712" s="42" t="n">
        <v>5</v>
      </c>
      <c r="N712" s="42" t="s">
        <v>210</v>
      </c>
      <c r="O712" s="42" t="s">
        <v>147</v>
      </c>
      <c r="P712" s="39" t="n">
        <f aca="false">C712-B712</f>
        <v>1</v>
      </c>
      <c r="Q712" s="40" t="str">
        <f aca="false">CHOOSE(MONTH(B712),"يناير","فبراير","مارس","أبريل","مايو","يونيو","يوليو","أغسطس","سبتمبر","أكتوبر","نوفمبر","ديسمبر")</f>
        <v>مايو</v>
      </c>
      <c r="R712" s="40" t="str">
        <f aca="false">"الربع "&amp;ROUNDUP(MONTH(B712)/3,0)</f>
        <v>الربع 2</v>
      </c>
      <c r="S712" s="40" t="str">
        <f aca="false">IF(D712&lt;=12,"أطفال (0-12)",IF(D712&lt;=24,"شباب (13-24)",IF(D712&lt;=44,"بالغون (25-44)",IF(D712&lt;=64,"متوسطو العمر (45-64)","كبار السن (+65)"))))</f>
        <v>متوسطو العمر (45-64)</v>
      </c>
      <c r="T712" s="41" t="n">
        <f aca="false">IFERROR(L712/P712,0)</f>
        <v>5671.7</v>
      </c>
    </row>
    <row r="713" customFormat="false" ht="15" hidden="false" customHeight="false" outlineLevel="0" collapsed="false">
      <c r="A713" s="33" t="s">
        <v>1737</v>
      </c>
      <c r="B713" s="34" t="n">
        <v>45415</v>
      </c>
      <c r="C713" s="34" t="n">
        <v>45426</v>
      </c>
      <c r="D713" s="33" t="n">
        <v>82</v>
      </c>
      <c r="E713" s="33" t="s">
        <v>154</v>
      </c>
      <c r="F713" s="33" t="s">
        <v>181</v>
      </c>
      <c r="G713" s="33" t="s">
        <v>237</v>
      </c>
      <c r="H713" s="33" t="s">
        <v>183</v>
      </c>
      <c r="I713" s="33" t="s">
        <v>152</v>
      </c>
      <c r="J713" s="33" t="s">
        <v>159</v>
      </c>
      <c r="K713" s="33" t="s">
        <v>160</v>
      </c>
      <c r="L713" s="35" t="n">
        <v>25169.97</v>
      </c>
      <c r="M713" s="33" t="n">
        <v>3</v>
      </c>
      <c r="N713" s="33" t="s">
        <v>146</v>
      </c>
      <c r="O713" s="33" t="s">
        <v>147</v>
      </c>
      <c r="P713" s="39" t="n">
        <f aca="false">C713-B713</f>
        <v>11</v>
      </c>
      <c r="Q713" s="40" t="str">
        <f aca="false">CHOOSE(MONTH(B713),"يناير","فبراير","مارس","أبريل","مايو","يونيو","يوليو","أغسطس","سبتمبر","أكتوبر","نوفمبر","ديسمبر")</f>
        <v>مايو</v>
      </c>
      <c r="R713" s="40" t="str">
        <f aca="false">"الربع "&amp;ROUNDUP(MONTH(B713)/3,0)</f>
        <v>الربع 2</v>
      </c>
      <c r="S713" s="40" t="str">
        <f aca="false">IF(D713&lt;=12,"أطفال (0-12)",IF(D713&lt;=24,"شباب (13-24)",IF(D713&lt;=44,"بالغون (25-44)",IF(D713&lt;=64,"متوسطو العمر (45-64)","كبار السن (+65)"))))</f>
        <v>كبار السن (+65)</v>
      </c>
      <c r="T713" s="41" t="n">
        <f aca="false">IFERROR(L713/P713,0)</f>
        <v>2288.17909090909</v>
      </c>
    </row>
    <row r="714" customFormat="false" ht="15" hidden="false" customHeight="false" outlineLevel="0" collapsed="false">
      <c r="A714" s="42" t="s">
        <v>1257</v>
      </c>
      <c r="B714" s="43" t="n">
        <v>45416</v>
      </c>
      <c r="C714" s="43" t="n">
        <v>45417</v>
      </c>
      <c r="D714" s="42" t="n">
        <v>25</v>
      </c>
      <c r="E714" s="42" t="s">
        <v>154</v>
      </c>
      <c r="F714" s="42" t="s">
        <v>203</v>
      </c>
      <c r="G714" s="42" t="s">
        <v>204</v>
      </c>
      <c r="H714" s="42" t="s">
        <v>205</v>
      </c>
      <c r="I714" s="42" t="s">
        <v>143</v>
      </c>
      <c r="J714" s="42" t="s">
        <v>144</v>
      </c>
      <c r="K714" s="42" t="s">
        <v>160</v>
      </c>
      <c r="L714" s="44" t="n">
        <v>1341.79</v>
      </c>
      <c r="M714" s="42" t="n">
        <v>3</v>
      </c>
      <c r="N714" s="42" t="s">
        <v>146</v>
      </c>
      <c r="O714" s="42" t="s">
        <v>147</v>
      </c>
      <c r="P714" s="39" t="n">
        <f aca="false">C714-B714</f>
        <v>1</v>
      </c>
      <c r="Q714" s="40" t="str">
        <f aca="false">CHOOSE(MONTH(B714),"يناير","فبراير","مارس","أبريل","مايو","يونيو","يوليو","أغسطس","سبتمبر","أكتوبر","نوفمبر","ديسمبر")</f>
        <v>مايو</v>
      </c>
      <c r="R714" s="40" t="str">
        <f aca="false">"الربع "&amp;ROUNDUP(MONTH(B714)/3,0)</f>
        <v>الربع 2</v>
      </c>
      <c r="S714" s="40" t="str">
        <f aca="false">IF(D714&lt;=12,"أطفال (0-12)",IF(D714&lt;=24,"شباب (13-24)",IF(D714&lt;=44,"بالغون (25-44)",IF(D714&lt;=64,"متوسطو العمر (45-64)","كبار السن (+65)"))))</f>
        <v>بالغون (25-44)</v>
      </c>
      <c r="T714" s="41" t="n">
        <f aca="false">IFERROR(L714/P714,0)</f>
        <v>1341.79</v>
      </c>
    </row>
    <row r="715" customFormat="false" ht="15" hidden="false" customHeight="false" outlineLevel="0" collapsed="false">
      <c r="A715" s="33" t="s">
        <v>2188</v>
      </c>
      <c r="B715" s="34" t="n">
        <v>45416</v>
      </c>
      <c r="C715" s="34" t="n">
        <v>45417</v>
      </c>
      <c r="D715" s="33" t="n">
        <v>29</v>
      </c>
      <c r="E715" s="33" t="s">
        <v>139</v>
      </c>
      <c r="F715" s="33" t="s">
        <v>149</v>
      </c>
      <c r="G715" s="33" t="s">
        <v>150</v>
      </c>
      <c r="H715" s="33" t="s">
        <v>151</v>
      </c>
      <c r="I715" s="33" t="s">
        <v>143</v>
      </c>
      <c r="J715" s="33" t="s">
        <v>144</v>
      </c>
      <c r="K715" s="33" t="s">
        <v>184</v>
      </c>
      <c r="L715" s="35" t="n">
        <v>2798.64</v>
      </c>
      <c r="M715" s="33" t="n">
        <v>4</v>
      </c>
      <c r="N715" s="33" t="s">
        <v>146</v>
      </c>
      <c r="O715" s="33" t="s">
        <v>147</v>
      </c>
      <c r="P715" s="39" t="n">
        <f aca="false">C715-B715</f>
        <v>1</v>
      </c>
      <c r="Q715" s="40" t="str">
        <f aca="false">CHOOSE(MONTH(B715),"يناير","فبراير","مارس","أبريل","مايو","يونيو","يوليو","أغسطس","سبتمبر","أكتوبر","نوفمبر","ديسمبر")</f>
        <v>مايو</v>
      </c>
      <c r="R715" s="40" t="str">
        <f aca="false">"الربع "&amp;ROUNDUP(MONTH(B715)/3,0)</f>
        <v>الربع 2</v>
      </c>
      <c r="S715" s="40" t="str">
        <f aca="false">IF(D715&lt;=12,"أطفال (0-12)",IF(D715&lt;=24,"شباب (13-24)",IF(D715&lt;=44,"بالغون (25-44)",IF(D715&lt;=64,"متوسطو العمر (45-64)","كبار السن (+65)"))))</f>
        <v>بالغون (25-44)</v>
      </c>
      <c r="T715" s="41" t="n">
        <f aca="false">IFERROR(L715/P715,0)</f>
        <v>2798.64</v>
      </c>
    </row>
    <row r="716" customFormat="false" ht="15" hidden="false" customHeight="false" outlineLevel="0" collapsed="false">
      <c r="A716" s="42" t="s">
        <v>1445</v>
      </c>
      <c r="B716" s="43" t="n">
        <v>45416</v>
      </c>
      <c r="C716" s="43" t="n">
        <v>45420</v>
      </c>
      <c r="D716" s="42" t="n">
        <v>57</v>
      </c>
      <c r="E716" s="42" t="s">
        <v>154</v>
      </c>
      <c r="F716" s="42" t="s">
        <v>173</v>
      </c>
      <c r="G716" s="42" t="s">
        <v>198</v>
      </c>
      <c r="H716" s="42" t="s">
        <v>199</v>
      </c>
      <c r="I716" s="42" t="s">
        <v>152</v>
      </c>
      <c r="J716" s="42" t="s">
        <v>159</v>
      </c>
      <c r="K716" s="42" t="s">
        <v>145</v>
      </c>
      <c r="L716" s="44" t="n">
        <v>9720.21</v>
      </c>
      <c r="M716" s="42" t="n">
        <v>4</v>
      </c>
      <c r="N716" s="42" t="s">
        <v>146</v>
      </c>
      <c r="O716" s="42" t="s">
        <v>147</v>
      </c>
      <c r="P716" s="39" t="n">
        <f aca="false">C716-B716</f>
        <v>4</v>
      </c>
      <c r="Q716" s="40" t="str">
        <f aca="false">CHOOSE(MONTH(B716),"يناير","فبراير","مارس","أبريل","مايو","يونيو","يوليو","أغسطس","سبتمبر","أكتوبر","نوفمبر","ديسمبر")</f>
        <v>مايو</v>
      </c>
      <c r="R716" s="40" t="str">
        <f aca="false">"الربع "&amp;ROUNDUP(MONTH(B716)/3,0)</f>
        <v>الربع 2</v>
      </c>
      <c r="S716" s="40" t="str">
        <f aca="false">IF(D716&lt;=12,"أطفال (0-12)",IF(D716&lt;=24,"شباب (13-24)",IF(D716&lt;=44,"بالغون (25-44)",IF(D716&lt;=64,"متوسطو العمر (45-64)","كبار السن (+65)"))))</f>
        <v>متوسطو العمر (45-64)</v>
      </c>
      <c r="T716" s="41" t="n">
        <f aca="false">IFERROR(L716/P716,0)</f>
        <v>2430.0525</v>
      </c>
    </row>
    <row r="717" customFormat="false" ht="15" hidden="false" customHeight="false" outlineLevel="0" collapsed="false">
      <c r="A717" s="33" t="s">
        <v>1452</v>
      </c>
      <c r="B717" s="34" t="n">
        <v>45416</v>
      </c>
      <c r="C717" s="34" t="n">
        <v>45422</v>
      </c>
      <c r="D717" s="33" t="n">
        <v>28</v>
      </c>
      <c r="E717" s="33" t="s">
        <v>139</v>
      </c>
      <c r="F717" s="33" t="s">
        <v>140</v>
      </c>
      <c r="G717" s="33" t="s">
        <v>141</v>
      </c>
      <c r="H717" s="33" t="s">
        <v>142</v>
      </c>
      <c r="I717" s="33" t="s">
        <v>143</v>
      </c>
      <c r="J717" s="33" t="s">
        <v>144</v>
      </c>
      <c r="K717" s="33" t="s">
        <v>145</v>
      </c>
      <c r="L717" s="35" t="n">
        <v>23039.44</v>
      </c>
      <c r="M717" s="33" t="n">
        <v>4</v>
      </c>
      <c r="N717" s="33" t="s">
        <v>146</v>
      </c>
      <c r="O717" s="33" t="s">
        <v>147</v>
      </c>
      <c r="P717" s="39" t="n">
        <f aca="false">C717-B717</f>
        <v>6</v>
      </c>
      <c r="Q717" s="40" t="str">
        <f aca="false">CHOOSE(MONTH(B717),"يناير","فبراير","مارس","أبريل","مايو","يونيو","يوليو","أغسطس","سبتمبر","أكتوبر","نوفمبر","ديسمبر")</f>
        <v>مايو</v>
      </c>
      <c r="R717" s="40" t="str">
        <f aca="false">"الربع "&amp;ROUNDUP(MONTH(B717)/3,0)</f>
        <v>الربع 2</v>
      </c>
      <c r="S717" s="40" t="str">
        <f aca="false">IF(D717&lt;=12,"أطفال (0-12)",IF(D717&lt;=24,"شباب (13-24)",IF(D717&lt;=44,"بالغون (25-44)",IF(D717&lt;=64,"متوسطو العمر (45-64)","كبار السن (+65)"))))</f>
        <v>بالغون (25-44)</v>
      </c>
      <c r="T717" s="41" t="n">
        <f aca="false">IFERROR(L717/P717,0)</f>
        <v>3839.90666666667</v>
      </c>
    </row>
    <row r="718" customFormat="false" ht="15" hidden="false" customHeight="false" outlineLevel="0" collapsed="false">
      <c r="A718" s="42" t="s">
        <v>2283</v>
      </c>
      <c r="B718" s="43" t="n">
        <v>45416</v>
      </c>
      <c r="C718" s="43" t="n">
        <v>45420</v>
      </c>
      <c r="D718" s="42" t="n">
        <v>35</v>
      </c>
      <c r="E718" s="42" t="s">
        <v>139</v>
      </c>
      <c r="F718" s="42" t="s">
        <v>140</v>
      </c>
      <c r="G718" s="42" t="s">
        <v>316</v>
      </c>
      <c r="H718" s="42" t="s">
        <v>290</v>
      </c>
      <c r="I718" s="42" t="s">
        <v>143</v>
      </c>
      <c r="J718" s="42" t="s">
        <v>159</v>
      </c>
      <c r="K718" s="42" t="s">
        <v>184</v>
      </c>
      <c r="L718" s="44" t="n">
        <v>8585</v>
      </c>
      <c r="M718" s="42" t="n">
        <v>4</v>
      </c>
      <c r="N718" s="42" t="s">
        <v>146</v>
      </c>
      <c r="O718" s="42" t="s">
        <v>147</v>
      </c>
      <c r="P718" s="39" t="n">
        <f aca="false">C718-B718</f>
        <v>4</v>
      </c>
      <c r="Q718" s="40" t="str">
        <f aca="false">CHOOSE(MONTH(B718),"يناير","فبراير","مارس","أبريل","مايو","يونيو","يوليو","أغسطس","سبتمبر","أكتوبر","نوفمبر","ديسمبر")</f>
        <v>مايو</v>
      </c>
      <c r="R718" s="40" t="str">
        <f aca="false">"الربع "&amp;ROUNDUP(MONTH(B718)/3,0)</f>
        <v>الربع 2</v>
      </c>
      <c r="S718" s="40" t="str">
        <f aca="false">IF(D718&lt;=12,"أطفال (0-12)",IF(D718&lt;=24,"شباب (13-24)",IF(D718&lt;=44,"بالغون (25-44)",IF(D718&lt;=64,"متوسطو العمر (45-64)","كبار السن (+65)"))))</f>
        <v>بالغون (25-44)</v>
      </c>
      <c r="T718" s="41" t="n">
        <f aca="false">IFERROR(L718/P718,0)</f>
        <v>2146.25</v>
      </c>
    </row>
    <row r="719" customFormat="false" ht="15" hidden="false" customHeight="false" outlineLevel="0" collapsed="false">
      <c r="A719" s="33" t="s">
        <v>988</v>
      </c>
      <c r="B719" s="34" t="n">
        <v>45416</v>
      </c>
      <c r="C719" s="34" t="n">
        <v>45418</v>
      </c>
      <c r="D719" s="33" t="n">
        <v>18</v>
      </c>
      <c r="E719" s="33" t="s">
        <v>139</v>
      </c>
      <c r="F719" s="33" t="s">
        <v>203</v>
      </c>
      <c r="G719" s="33" t="s">
        <v>204</v>
      </c>
      <c r="H719" s="33" t="s">
        <v>233</v>
      </c>
      <c r="I719" s="33" t="s">
        <v>143</v>
      </c>
      <c r="J719" s="33" t="s">
        <v>159</v>
      </c>
      <c r="K719" s="33" t="s">
        <v>145</v>
      </c>
      <c r="L719" s="35" t="n">
        <v>1449.66</v>
      </c>
      <c r="M719" s="33" t="n">
        <v>4</v>
      </c>
      <c r="N719" s="33" t="s">
        <v>146</v>
      </c>
      <c r="O719" s="33" t="s">
        <v>295</v>
      </c>
      <c r="P719" s="39" t="n">
        <f aca="false">C719-B719</f>
        <v>2</v>
      </c>
      <c r="Q719" s="40" t="str">
        <f aca="false">CHOOSE(MONTH(B719),"يناير","فبراير","مارس","أبريل","مايو","يونيو","يوليو","أغسطس","سبتمبر","أكتوبر","نوفمبر","ديسمبر")</f>
        <v>مايو</v>
      </c>
      <c r="R719" s="40" t="str">
        <f aca="false">"الربع "&amp;ROUNDUP(MONTH(B719)/3,0)</f>
        <v>الربع 2</v>
      </c>
      <c r="S719" s="40" t="str">
        <f aca="false">IF(D719&lt;=12,"أطفال (0-12)",IF(D719&lt;=24,"شباب (13-24)",IF(D719&lt;=44,"بالغون (25-44)",IF(D719&lt;=64,"متوسطو العمر (45-64)","كبار السن (+65)"))))</f>
        <v>شباب (13-24)</v>
      </c>
      <c r="T719" s="41" t="n">
        <f aca="false">IFERROR(L719/P719,0)</f>
        <v>724.83</v>
      </c>
    </row>
    <row r="720" customFormat="false" ht="15" hidden="false" customHeight="false" outlineLevel="0" collapsed="false">
      <c r="A720" s="42" t="s">
        <v>1721</v>
      </c>
      <c r="B720" s="43" t="n">
        <v>45417</v>
      </c>
      <c r="C720" s="43" t="n">
        <v>45419</v>
      </c>
      <c r="D720" s="42" t="n">
        <v>28</v>
      </c>
      <c r="E720" s="42" t="s">
        <v>139</v>
      </c>
      <c r="F720" s="42" t="s">
        <v>149</v>
      </c>
      <c r="G720" s="42" t="s">
        <v>150</v>
      </c>
      <c r="H720" s="42" t="s">
        <v>151</v>
      </c>
      <c r="I720" s="42" t="s">
        <v>143</v>
      </c>
      <c r="J720" s="42" t="s">
        <v>176</v>
      </c>
      <c r="K720" s="42" t="s">
        <v>160</v>
      </c>
      <c r="L720" s="44" t="n">
        <v>12956.99</v>
      </c>
      <c r="M720" s="42" t="n">
        <v>5</v>
      </c>
      <c r="N720" s="42" t="s">
        <v>210</v>
      </c>
      <c r="O720" s="42" t="s">
        <v>247</v>
      </c>
      <c r="P720" s="39" t="n">
        <f aca="false">C720-B720</f>
        <v>2</v>
      </c>
      <c r="Q720" s="40" t="str">
        <f aca="false">CHOOSE(MONTH(B720),"يناير","فبراير","مارس","أبريل","مايو","يونيو","يوليو","أغسطس","سبتمبر","أكتوبر","نوفمبر","ديسمبر")</f>
        <v>مايو</v>
      </c>
      <c r="R720" s="40" t="str">
        <f aca="false">"الربع "&amp;ROUNDUP(MONTH(B720)/3,0)</f>
        <v>الربع 2</v>
      </c>
      <c r="S720" s="40" t="str">
        <f aca="false">IF(D720&lt;=12,"أطفال (0-12)",IF(D720&lt;=24,"شباب (13-24)",IF(D720&lt;=44,"بالغون (25-44)",IF(D720&lt;=64,"متوسطو العمر (45-64)","كبار السن (+65)"))))</f>
        <v>بالغون (25-44)</v>
      </c>
      <c r="T720" s="41" t="n">
        <f aca="false">IFERROR(L720/P720,0)</f>
        <v>6478.495</v>
      </c>
    </row>
    <row r="721" customFormat="false" ht="15" hidden="false" customHeight="false" outlineLevel="0" collapsed="false">
      <c r="A721" s="33" t="s">
        <v>827</v>
      </c>
      <c r="B721" s="34" t="n">
        <v>45417</v>
      </c>
      <c r="C721" s="34" t="n">
        <v>45420</v>
      </c>
      <c r="D721" s="33" t="n">
        <v>54</v>
      </c>
      <c r="E721" s="33" t="s">
        <v>139</v>
      </c>
      <c r="F721" s="33" t="s">
        <v>169</v>
      </c>
      <c r="G721" s="33" t="s">
        <v>230</v>
      </c>
      <c r="H721" s="33" t="s">
        <v>195</v>
      </c>
      <c r="I721" s="33" t="s">
        <v>143</v>
      </c>
      <c r="J721" s="33" t="s">
        <v>159</v>
      </c>
      <c r="K721" s="33" t="s">
        <v>145</v>
      </c>
      <c r="L721" s="35" t="n">
        <v>3219.01</v>
      </c>
      <c r="M721" s="33" t="n">
        <v>5</v>
      </c>
      <c r="N721" s="33" t="s">
        <v>146</v>
      </c>
      <c r="O721" s="33" t="s">
        <v>147</v>
      </c>
      <c r="P721" s="39" t="n">
        <f aca="false">C721-B721</f>
        <v>3</v>
      </c>
      <c r="Q721" s="40" t="str">
        <f aca="false">CHOOSE(MONTH(B721),"يناير","فبراير","مارس","أبريل","مايو","يونيو","يوليو","أغسطس","سبتمبر","أكتوبر","نوفمبر","ديسمبر")</f>
        <v>مايو</v>
      </c>
      <c r="R721" s="40" t="str">
        <f aca="false">"الربع "&amp;ROUNDUP(MONTH(B721)/3,0)</f>
        <v>الربع 2</v>
      </c>
      <c r="S721" s="40" t="str">
        <f aca="false">IF(D721&lt;=12,"أطفال (0-12)",IF(D721&lt;=24,"شباب (13-24)",IF(D721&lt;=44,"بالغون (25-44)",IF(D721&lt;=64,"متوسطو العمر (45-64)","كبار السن (+65)"))))</f>
        <v>متوسطو العمر (45-64)</v>
      </c>
      <c r="T721" s="41" t="n">
        <f aca="false">IFERROR(L721/P721,0)</f>
        <v>1073.00333333333</v>
      </c>
    </row>
    <row r="722" customFormat="false" ht="15" hidden="false" customHeight="false" outlineLevel="0" collapsed="false">
      <c r="A722" s="42" t="s">
        <v>2207</v>
      </c>
      <c r="B722" s="43" t="n">
        <v>45417</v>
      </c>
      <c r="C722" s="43" t="n">
        <v>45420</v>
      </c>
      <c r="D722" s="42" t="n">
        <v>42</v>
      </c>
      <c r="E722" s="42" t="s">
        <v>139</v>
      </c>
      <c r="F722" s="42" t="s">
        <v>203</v>
      </c>
      <c r="G722" s="42" t="s">
        <v>192</v>
      </c>
      <c r="H722" s="42" t="s">
        <v>193</v>
      </c>
      <c r="I722" s="42" t="s">
        <v>143</v>
      </c>
      <c r="J722" s="42" t="s">
        <v>159</v>
      </c>
      <c r="K722" s="42" t="s">
        <v>160</v>
      </c>
      <c r="L722" s="44" t="n">
        <v>3122.81</v>
      </c>
      <c r="M722" s="42" t="n">
        <v>3</v>
      </c>
      <c r="N722" s="42" t="s">
        <v>146</v>
      </c>
      <c r="O722" s="42" t="s">
        <v>147</v>
      </c>
      <c r="P722" s="39" t="n">
        <f aca="false">C722-B722</f>
        <v>3</v>
      </c>
      <c r="Q722" s="40" t="str">
        <f aca="false">CHOOSE(MONTH(B722),"يناير","فبراير","مارس","أبريل","مايو","يونيو","يوليو","أغسطس","سبتمبر","أكتوبر","نوفمبر","ديسمبر")</f>
        <v>مايو</v>
      </c>
      <c r="R722" s="40" t="str">
        <f aca="false">"الربع "&amp;ROUNDUP(MONTH(B722)/3,0)</f>
        <v>الربع 2</v>
      </c>
      <c r="S722" s="40" t="str">
        <f aca="false">IF(D722&lt;=12,"أطفال (0-12)",IF(D722&lt;=24,"شباب (13-24)",IF(D722&lt;=44,"بالغون (25-44)",IF(D722&lt;=64,"متوسطو العمر (45-64)","كبار السن (+65)"))))</f>
        <v>بالغون (25-44)</v>
      </c>
      <c r="T722" s="41" t="n">
        <f aca="false">IFERROR(L722/P722,0)</f>
        <v>1040.93666666667</v>
      </c>
    </row>
    <row r="723" customFormat="false" ht="15" hidden="false" customHeight="false" outlineLevel="0" collapsed="false">
      <c r="A723" s="33" t="s">
        <v>377</v>
      </c>
      <c r="B723" s="34" t="n">
        <v>45417</v>
      </c>
      <c r="C723" s="34" t="n">
        <v>45422</v>
      </c>
      <c r="D723" s="33" t="n">
        <v>24</v>
      </c>
      <c r="E723" s="33" t="s">
        <v>154</v>
      </c>
      <c r="F723" s="33" t="s">
        <v>169</v>
      </c>
      <c r="G723" s="33" t="s">
        <v>230</v>
      </c>
      <c r="H723" s="33" t="s">
        <v>171</v>
      </c>
      <c r="I723" s="33" t="s">
        <v>143</v>
      </c>
      <c r="J723" s="33" t="s">
        <v>159</v>
      </c>
      <c r="K723" s="33" t="s">
        <v>160</v>
      </c>
      <c r="L723" s="35" t="n">
        <v>5425.97</v>
      </c>
      <c r="M723" s="33" t="n">
        <v>4</v>
      </c>
      <c r="N723" s="33" t="s">
        <v>146</v>
      </c>
      <c r="O723" s="33" t="s">
        <v>147</v>
      </c>
      <c r="P723" s="39" t="n">
        <f aca="false">C723-B723</f>
        <v>5</v>
      </c>
      <c r="Q723" s="40" t="str">
        <f aca="false">CHOOSE(MONTH(B723),"يناير","فبراير","مارس","أبريل","مايو","يونيو","يوليو","أغسطس","سبتمبر","أكتوبر","نوفمبر","ديسمبر")</f>
        <v>مايو</v>
      </c>
      <c r="R723" s="40" t="str">
        <f aca="false">"الربع "&amp;ROUNDUP(MONTH(B723)/3,0)</f>
        <v>الربع 2</v>
      </c>
      <c r="S723" s="40" t="str">
        <f aca="false">IF(D723&lt;=12,"أطفال (0-12)",IF(D723&lt;=24,"شباب (13-24)",IF(D723&lt;=44,"بالغون (25-44)",IF(D723&lt;=64,"متوسطو العمر (45-64)","كبار السن (+65)"))))</f>
        <v>شباب (13-24)</v>
      </c>
      <c r="T723" s="41" t="n">
        <f aca="false">IFERROR(L723/P723,0)</f>
        <v>1085.194</v>
      </c>
    </row>
    <row r="724" customFormat="false" ht="15" hidden="false" customHeight="false" outlineLevel="0" collapsed="false">
      <c r="A724" s="42" t="s">
        <v>1809</v>
      </c>
      <c r="B724" s="43" t="n">
        <v>45417</v>
      </c>
      <c r="C724" s="43" t="n">
        <v>45418</v>
      </c>
      <c r="D724" s="42" t="n">
        <v>50</v>
      </c>
      <c r="E724" s="42" t="s">
        <v>154</v>
      </c>
      <c r="F724" s="42" t="s">
        <v>140</v>
      </c>
      <c r="G724" s="42" t="s">
        <v>167</v>
      </c>
      <c r="H724" s="42" t="s">
        <v>142</v>
      </c>
      <c r="I724" s="42" t="s">
        <v>143</v>
      </c>
      <c r="J724" s="42" t="s">
        <v>159</v>
      </c>
      <c r="K724" s="42" t="s">
        <v>160</v>
      </c>
      <c r="L724" s="44" t="n">
        <v>1813.35</v>
      </c>
      <c r="M724" s="42" t="n">
        <v>5</v>
      </c>
      <c r="N724" s="42" t="s">
        <v>146</v>
      </c>
      <c r="O724" s="42" t="s">
        <v>147</v>
      </c>
      <c r="P724" s="39" t="n">
        <f aca="false">C724-B724</f>
        <v>1</v>
      </c>
      <c r="Q724" s="40" t="str">
        <f aca="false">CHOOSE(MONTH(B724),"يناير","فبراير","مارس","أبريل","مايو","يونيو","يوليو","أغسطس","سبتمبر","أكتوبر","نوفمبر","ديسمبر")</f>
        <v>مايو</v>
      </c>
      <c r="R724" s="40" t="str">
        <f aca="false">"الربع "&amp;ROUNDUP(MONTH(B724)/3,0)</f>
        <v>الربع 2</v>
      </c>
      <c r="S724" s="40" t="str">
        <f aca="false">IF(D724&lt;=12,"أطفال (0-12)",IF(D724&lt;=24,"شباب (13-24)",IF(D724&lt;=44,"بالغون (25-44)",IF(D724&lt;=64,"متوسطو العمر (45-64)","كبار السن (+65)"))))</f>
        <v>متوسطو العمر (45-64)</v>
      </c>
      <c r="T724" s="41" t="n">
        <f aca="false">IFERROR(L724/P724,0)</f>
        <v>1813.35</v>
      </c>
    </row>
    <row r="725" customFormat="false" ht="15" hidden="false" customHeight="false" outlineLevel="0" collapsed="false">
      <c r="A725" s="33" t="s">
        <v>1089</v>
      </c>
      <c r="B725" s="34" t="n">
        <v>45417</v>
      </c>
      <c r="C725" s="34" t="n">
        <v>45419</v>
      </c>
      <c r="D725" s="33" t="n">
        <v>25</v>
      </c>
      <c r="E725" s="33" t="s">
        <v>154</v>
      </c>
      <c r="F725" s="33" t="s">
        <v>203</v>
      </c>
      <c r="G725" s="33" t="s">
        <v>241</v>
      </c>
      <c r="H725" s="33" t="s">
        <v>193</v>
      </c>
      <c r="I725" s="33" t="s">
        <v>143</v>
      </c>
      <c r="J725" s="33" t="s">
        <v>144</v>
      </c>
      <c r="K725" s="33" t="s">
        <v>160</v>
      </c>
      <c r="L725" s="35" t="n">
        <v>2940.74</v>
      </c>
      <c r="M725" s="33" t="n">
        <v>3</v>
      </c>
      <c r="N725" s="33" t="s">
        <v>146</v>
      </c>
      <c r="O725" s="33" t="s">
        <v>147</v>
      </c>
      <c r="P725" s="39" t="n">
        <f aca="false">C725-B725</f>
        <v>2</v>
      </c>
      <c r="Q725" s="40" t="str">
        <f aca="false">CHOOSE(MONTH(B725),"يناير","فبراير","مارس","أبريل","مايو","يونيو","يوليو","أغسطس","سبتمبر","أكتوبر","نوفمبر","ديسمبر")</f>
        <v>مايو</v>
      </c>
      <c r="R725" s="40" t="str">
        <f aca="false">"الربع "&amp;ROUNDUP(MONTH(B725)/3,0)</f>
        <v>الربع 2</v>
      </c>
      <c r="S725" s="40" t="str">
        <f aca="false">IF(D725&lt;=12,"أطفال (0-12)",IF(D725&lt;=24,"شباب (13-24)",IF(D725&lt;=44,"بالغون (25-44)",IF(D725&lt;=64,"متوسطو العمر (45-64)","كبار السن (+65)"))))</f>
        <v>بالغون (25-44)</v>
      </c>
      <c r="T725" s="41" t="n">
        <f aca="false">IFERROR(L725/P725,0)</f>
        <v>1470.37</v>
      </c>
    </row>
    <row r="726" customFormat="false" ht="15" hidden="false" customHeight="false" outlineLevel="0" collapsed="false">
      <c r="A726" s="42" t="s">
        <v>819</v>
      </c>
      <c r="B726" s="43" t="n">
        <v>45417</v>
      </c>
      <c r="C726" s="43" t="n">
        <v>45420</v>
      </c>
      <c r="D726" s="42" t="n">
        <v>36</v>
      </c>
      <c r="E726" s="42" t="s">
        <v>154</v>
      </c>
      <c r="F726" s="42" t="s">
        <v>169</v>
      </c>
      <c r="G726" s="42" t="s">
        <v>213</v>
      </c>
      <c r="H726" s="42" t="s">
        <v>171</v>
      </c>
      <c r="I726" s="42" t="s">
        <v>152</v>
      </c>
      <c r="J726" s="42" t="s">
        <v>159</v>
      </c>
      <c r="K726" s="42" t="s">
        <v>145</v>
      </c>
      <c r="L726" s="44" t="n">
        <v>3842.64</v>
      </c>
      <c r="M726" s="42" t="n">
        <v>4</v>
      </c>
      <c r="N726" s="42" t="s">
        <v>146</v>
      </c>
      <c r="O726" s="42" t="s">
        <v>147</v>
      </c>
      <c r="P726" s="39" t="n">
        <f aca="false">C726-B726</f>
        <v>3</v>
      </c>
      <c r="Q726" s="40" t="str">
        <f aca="false">CHOOSE(MONTH(B726),"يناير","فبراير","مارس","أبريل","مايو","يونيو","يوليو","أغسطس","سبتمبر","أكتوبر","نوفمبر","ديسمبر")</f>
        <v>مايو</v>
      </c>
      <c r="R726" s="40" t="str">
        <f aca="false">"الربع "&amp;ROUNDUP(MONTH(B726)/3,0)</f>
        <v>الربع 2</v>
      </c>
      <c r="S726" s="40" t="str">
        <f aca="false">IF(D726&lt;=12,"أطفال (0-12)",IF(D726&lt;=24,"شباب (13-24)",IF(D726&lt;=44,"بالغون (25-44)",IF(D726&lt;=64,"متوسطو العمر (45-64)","كبار السن (+65)"))))</f>
        <v>بالغون (25-44)</v>
      </c>
      <c r="T726" s="41" t="n">
        <f aca="false">IFERROR(L726/P726,0)</f>
        <v>1280.88</v>
      </c>
    </row>
    <row r="727" customFormat="false" ht="15" hidden="false" customHeight="false" outlineLevel="0" collapsed="false">
      <c r="A727" s="33" t="s">
        <v>1689</v>
      </c>
      <c r="B727" s="34" t="n">
        <v>45417</v>
      </c>
      <c r="C727" s="34" t="n">
        <v>45427</v>
      </c>
      <c r="D727" s="33" t="n">
        <v>77</v>
      </c>
      <c r="E727" s="33" t="s">
        <v>154</v>
      </c>
      <c r="F727" s="33" t="s">
        <v>226</v>
      </c>
      <c r="G727" s="33" t="s">
        <v>386</v>
      </c>
      <c r="H727" s="33" t="s">
        <v>263</v>
      </c>
      <c r="I727" s="33" t="s">
        <v>152</v>
      </c>
      <c r="J727" s="33" t="s">
        <v>159</v>
      </c>
      <c r="K727" s="33" t="s">
        <v>209</v>
      </c>
      <c r="L727" s="35" t="n">
        <v>28007</v>
      </c>
      <c r="M727" s="33" t="n">
        <v>3</v>
      </c>
      <c r="N727" s="33" t="s">
        <v>146</v>
      </c>
      <c r="O727" s="33" t="s">
        <v>147</v>
      </c>
      <c r="P727" s="39" t="n">
        <f aca="false">C727-B727</f>
        <v>10</v>
      </c>
      <c r="Q727" s="40" t="str">
        <f aca="false">CHOOSE(MONTH(B727),"يناير","فبراير","مارس","أبريل","مايو","يونيو","يوليو","أغسطس","سبتمبر","أكتوبر","نوفمبر","ديسمبر")</f>
        <v>مايو</v>
      </c>
      <c r="R727" s="40" t="str">
        <f aca="false">"الربع "&amp;ROUNDUP(MONTH(B727)/3,0)</f>
        <v>الربع 2</v>
      </c>
      <c r="S727" s="40" t="str">
        <f aca="false">IF(D727&lt;=12,"أطفال (0-12)",IF(D727&lt;=24,"شباب (13-24)",IF(D727&lt;=44,"بالغون (25-44)",IF(D727&lt;=64,"متوسطو العمر (45-64)","كبار السن (+65)"))))</f>
        <v>كبار السن (+65)</v>
      </c>
      <c r="T727" s="41" t="n">
        <f aca="false">IFERROR(L727/P727,0)</f>
        <v>2800.7</v>
      </c>
    </row>
    <row r="728" customFormat="false" ht="15" hidden="false" customHeight="false" outlineLevel="0" collapsed="false">
      <c r="A728" s="42" t="s">
        <v>2217</v>
      </c>
      <c r="B728" s="43" t="n">
        <v>45417</v>
      </c>
      <c r="C728" s="43" t="n">
        <v>45425</v>
      </c>
      <c r="D728" s="42" t="n">
        <v>37</v>
      </c>
      <c r="E728" s="42" t="s">
        <v>139</v>
      </c>
      <c r="F728" s="42" t="s">
        <v>173</v>
      </c>
      <c r="G728" s="42" t="s">
        <v>174</v>
      </c>
      <c r="H728" s="42" t="s">
        <v>2322</v>
      </c>
      <c r="I728" s="42" t="s">
        <v>143</v>
      </c>
      <c r="J728" s="42" t="s">
        <v>159</v>
      </c>
      <c r="K728" s="42" t="s">
        <v>160</v>
      </c>
      <c r="L728" s="44" t="n">
        <v>24251.5</v>
      </c>
      <c r="M728" s="42" t="n">
        <v>4</v>
      </c>
      <c r="N728" s="42" t="s">
        <v>146</v>
      </c>
      <c r="O728" s="42" t="s">
        <v>147</v>
      </c>
      <c r="P728" s="39" t="n">
        <f aca="false">C728-B728</f>
        <v>8</v>
      </c>
      <c r="Q728" s="40" t="str">
        <f aca="false">CHOOSE(MONTH(B728),"يناير","فبراير","مارس","أبريل","مايو","يونيو","يوليو","أغسطس","سبتمبر","أكتوبر","نوفمبر","ديسمبر")</f>
        <v>مايو</v>
      </c>
      <c r="R728" s="40" t="str">
        <f aca="false">"الربع "&amp;ROUNDUP(MONTH(B728)/3,0)</f>
        <v>الربع 2</v>
      </c>
      <c r="S728" s="40" t="str">
        <f aca="false">IF(D728&lt;=12,"أطفال (0-12)",IF(D728&lt;=24,"شباب (13-24)",IF(D728&lt;=44,"بالغون (25-44)",IF(D728&lt;=64,"متوسطو العمر (45-64)","كبار السن (+65)"))))</f>
        <v>بالغون (25-44)</v>
      </c>
      <c r="T728" s="41" t="n">
        <f aca="false">IFERROR(L728/P728,0)</f>
        <v>3031.4375</v>
      </c>
    </row>
    <row r="729" customFormat="false" ht="15" hidden="false" customHeight="false" outlineLevel="0" collapsed="false">
      <c r="A729" s="33" t="s">
        <v>1775</v>
      </c>
      <c r="B729" s="34" t="n">
        <v>45417</v>
      </c>
      <c r="C729" s="34" t="n">
        <v>45421</v>
      </c>
      <c r="D729" s="33" t="n">
        <v>24</v>
      </c>
      <c r="E729" s="33" t="s">
        <v>154</v>
      </c>
      <c r="F729" s="33" t="s">
        <v>140</v>
      </c>
      <c r="G729" s="33" t="s">
        <v>167</v>
      </c>
      <c r="H729" s="33" t="s">
        <v>290</v>
      </c>
      <c r="I729" s="33" t="s">
        <v>143</v>
      </c>
      <c r="J729" s="33" t="s">
        <v>159</v>
      </c>
      <c r="K729" s="33" t="s">
        <v>184</v>
      </c>
      <c r="L729" s="35" t="n">
        <v>7999.93</v>
      </c>
      <c r="M729" s="33" t="n">
        <v>5</v>
      </c>
      <c r="N729" s="33" t="s">
        <v>146</v>
      </c>
      <c r="O729" s="33" t="s">
        <v>147</v>
      </c>
      <c r="P729" s="39" t="n">
        <f aca="false">C729-B729</f>
        <v>4</v>
      </c>
      <c r="Q729" s="40" t="str">
        <f aca="false">CHOOSE(MONTH(B729),"يناير","فبراير","مارس","أبريل","مايو","يونيو","يوليو","أغسطس","سبتمبر","أكتوبر","نوفمبر","ديسمبر")</f>
        <v>مايو</v>
      </c>
      <c r="R729" s="40" t="str">
        <f aca="false">"الربع "&amp;ROUNDUP(MONTH(B729)/3,0)</f>
        <v>الربع 2</v>
      </c>
      <c r="S729" s="40" t="str">
        <f aca="false">IF(D729&lt;=12,"أطفال (0-12)",IF(D729&lt;=24,"شباب (13-24)",IF(D729&lt;=44,"بالغون (25-44)",IF(D729&lt;=64,"متوسطو العمر (45-64)","كبار السن (+65)"))))</f>
        <v>شباب (13-24)</v>
      </c>
      <c r="T729" s="41" t="n">
        <f aca="false">IFERROR(L729/P729,0)</f>
        <v>1999.9825</v>
      </c>
    </row>
    <row r="730" customFormat="false" ht="15" hidden="false" customHeight="false" outlineLevel="0" collapsed="false">
      <c r="A730" s="42" t="s">
        <v>1447</v>
      </c>
      <c r="B730" s="43" t="n">
        <v>45417</v>
      </c>
      <c r="C730" s="43" t="n">
        <v>45418</v>
      </c>
      <c r="D730" s="42" t="n">
        <v>52</v>
      </c>
      <c r="E730" s="42" t="s">
        <v>154</v>
      </c>
      <c r="F730" s="42" t="s">
        <v>203</v>
      </c>
      <c r="G730" s="42" t="s">
        <v>204</v>
      </c>
      <c r="H730" s="42" t="s">
        <v>233</v>
      </c>
      <c r="I730" s="42" t="s">
        <v>143</v>
      </c>
      <c r="J730" s="42" t="s">
        <v>159</v>
      </c>
      <c r="K730" s="42" t="s">
        <v>209</v>
      </c>
      <c r="L730" s="44" t="n">
        <v>881.99</v>
      </c>
      <c r="M730" s="42" t="n">
        <v>3</v>
      </c>
      <c r="N730" s="42" t="s">
        <v>146</v>
      </c>
      <c r="O730" s="42" t="s">
        <v>147</v>
      </c>
      <c r="P730" s="39" t="n">
        <f aca="false">C730-B730</f>
        <v>1</v>
      </c>
      <c r="Q730" s="40" t="str">
        <f aca="false">CHOOSE(MONTH(B730),"يناير","فبراير","مارس","أبريل","مايو","يونيو","يوليو","أغسطس","سبتمبر","أكتوبر","نوفمبر","ديسمبر")</f>
        <v>مايو</v>
      </c>
      <c r="R730" s="40" t="str">
        <f aca="false">"الربع "&amp;ROUNDUP(MONTH(B730)/3,0)</f>
        <v>الربع 2</v>
      </c>
      <c r="S730" s="40" t="str">
        <f aca="false">IF(D730&lt;=12,"أطفال (0-12)",IF(D730&lt;=24,"شباب (13-24)",IF(D730&lt;=44,"بالغون (25-44)",IF(D730&lt;=64,"متوسطو العمر (45-64)","كبار السن (+65)"))))</f>
        <v>متوسطو العمر (45-64)</v>
      </c>
      <c r="T730" s="41" t="n">
        <f aca="false">IFERROR(L730/P730,0)</f>
        <v>881.99</v>
      </c>
    </row>
    <row r="731" customFormat="false" ht="15" hidden="false" customHeight="false" outlineLevel="0" collapsed="false">
      <c r="A731" s="33" t="s">
        <v>1977</v>
      </c>
      <c r="B731" s="34" t="n">
        <v>45418</v>
      </c>
      <c r="C731" s="34" t="n">
        <v>45421</v>
      </c>
      <c r="D731" s="33" t="n">
        <v>56</v>
      </c>
      <c r="E731" s="33" t="s">
        <v>154</v>
      </c>
      <c r="F731" s="33" t="s">
        <v>203</v>
      </c>
      <c r="G731" s="33" t="s">
        <v>192</v>
      </c>
      <c r="H731" s="33" t="s">
        <v>193</v>
      </c>
      <c r="I731" s="33" t="s">
        <v>143</v>
      </c>
      <c r="J731" s="33" t="s">
        <v>159</v>
      </c>
      <c r="K731" s="33" t="s">
        <v>160</v>
      </c>
      <c r="L731" s="35" t="n">
        <v>2965.05</v>
      </c>
      <c r="M731" s="33" t="n">
        <v>3</v>
      </c>
      <c r="N731" s="33" t="s">
        <v>146</v>
      </c>
      <c r="O731" s="33" t="s">
        <v>247</v>
      </c>
      <c r="P731" s="39" t="n">
        <f aca="false">C731-B731</f>
        <v>3</v>
      </c>
      <c r="Q731" s="40" t="str">
        <f aca="false">CHOOSE(MONTH(B731),"يناير","فبراير","مارس","أبريل","مايو","يونيو","يوليو","أغسطس","سبتمبر","أكتوبر","نوفمبر","ديسمبر")</f>
        <v>مايو</v>
      </c>
      <c r="R731" s="40" t="str">
        <f aca="false">"الربع "&amp;ROUNDUP(MONTH(B731)/3,0)</f>
        <v>الربع 2</v>
      </c>
      <c r="S731" s="40" t="str">
        <f aca="false">IF(D731&lt;=12,"أطفال (0-12)",IF(D731&lt;=24,"شباب (13-24)",IF(D731&lt;=44,"بالغون (25-44)",IF(D731&lt;=64,"متوسطو العمر (45-64)","كبار السن (+65)"))))</f>
        <v>متوسطو العمر (45-64)</v>
      </c>
      <c r="T731" s="41" t="n">
        <f aca="false">IFERROR(L731/P731,0)</f>
        <v>988.35</v>
      </c>
    </row>
    <row r="732" customFormat="false" ht="15" hidden="false" customHeight="false" outlineLevel="0" collapsed="false">
      <c r="A732" s="42" t="s">
        <v>439</v>
      </c>
      <c r="B732" s="43" t="n">
        <v>45418</v>
      </c>
      <c r="C732" s="43" t="n">
        <v>45423</v>
      </c>
      <c r="D732" s="42" t="n">
        <v>46</v>
      </c>
      <c r="E732" s="42" t="s">
        <v>139</v>
      </c>
      <c r="F732" s="42" t="s">
        <v>140</v>
      </c>
      <c r="G732" s="42" t="s">
        <v>167</v>
      </c>
      <c r="H732" s="42" t="s">
        <v>290</v>
      </c>
      <c r="I732" s="42" t="s">
        <v>158</v>
      </c>
      <c r="J732" s="42" t="s">
        <v>159</v>
      </c>
      <c r="K732" s="42" t="s">
        <v>160</v>
      </c>
      <c r="L732" s="44" t="n">
        <v>12181.02</v>
      </c>
      <c r="M732" s="42" t="n">
        <v>5</v>
      </c>
      <c r="N732" s="42" t="s">
        <v>146</v>
      </c>
      <c r="O732" s="42" t="s">
        <v>247</v>
      </c>
      <c r="P732" s="39" t="n">
        <f aca="false">C732-B732</f>
        <v>5</v>
      </c>
      <c r="Q732" s="40" t="str">
        <f aca="false">CHOOSE(MONTH(B732),"يناير","فبراير","مارس","أبريل","مايو","يونيو","يوليو","أغسطس","سبتمبر","أكتوبر","نوفمبر","ديسمبر")</f>
        <v>مايو</v>
      </c>
      <c r="R732" s="40" t="str">
        <f aca="false">"الربع "&amp;ROUNDUP(MONTH(B732)/3,0)</f>
        <v>الربع 2</v>
      </c>
      <c r="S732" s="40" t="str">
        <f aca="false">IF(D732&lt;=12,"أطفال (0-12)",IF(D732&lt;=24,"شباب (13-24)",IF(D732&lt;=44,"بالغون (25-44)",IF(D732&lt;=64,"متوسطو العمر (45-64)","كبار السن (+65)"))))</f>
        <v>متوسطو العمر (45-64)</v>
      </c>
      <c r="T732" s="41" t="n">
        <f aca="false">IFERROR(L732/P732,0)</f>
        <v>2436.204</v>
      </c>
    </row>
    <row r="733" customFormat="false" ht="15" hidden="false" customHeight="false" outlineLevel="0" collapsed="false">
      <c r="A733" s="33" t="s">
        <v>1189</v>
      </c>
      <c r="B733" s="34" t="n">
        <v>45418</v>
      </c>
      <c r="C733" s="34" t="n">
        <v>45419</v>
      </c>
      <c r="D733" s="33" t="n">
        <v>24</v>
      </c>
      <c r="E733" s="33" t="s">
        <v>154</v>
      </c>
      <c r="F733" s="33" t="s">
        <v>203</v>
      </c>
      <c r="G733" s="33" t="s">
        <v>192</v>
      </c>
      <c r="H733" s="33" t="s">
        <v>233</v>
      </c>
      <c r="I733" s="33" t="s">
        <v>143</v>
      </c>
      <c r="J733" s="33" t="s">
        <v>159</v>
      </c>
      <c r="K733" s="33" t="s">
        <v>160</v>
      </c>
      <c r="L733" s="35" t="n">
        <v>815.45</v>
      </c>
      <c r="M733" s="33" t="n">
        <v>2</v>
      </c>
      <c r="N733" s="33" t="s">
        <v>146</v>
      </c>
      <c r="O733" s="33" t="s">
        <v>147</v>
      </c>
      <c r="P733" s="39" t="n">
        <f aca="false">C733-B733</f>
        <v>1</v>
      </c>
      <c r="Q733" s="40" t="str">
        <f aca="false">CHOOSE(MONTH(B733),"يناير","فبراير","مارس","أبريل","مايو","يونيو","يوليو","أغسطس","سبتمبر","أكتوبر","نوفمبر","ديسمبر")</f>
        <v>مايو</v>
      </c>
      <c r="R733" s="40" t="str">
        <f aca="false">"الربع "&amp;ROUNDUP(MONTH(B733)/3,0)</f>
        <v>الربع 2</v>
      </c>
      <c r="S733" s="40" t="str">
        <f aca="false">IF(D733&lt;=12,"أطفال (0-12)",IF(D733&lt;=24,"شباب (13-24)",IF(D733&lt;=44,"بالغون (25-44)",IF(D733&lt;=64,"متوسطو العمر (45-64)","كبار السن (+65)"))))</f>
        <v>شباب (13-24)</v>
      </c>
      <c r="T733" s="41" t="n">
        <f aca="false">IFERROR(L733/P733,0)</f>
        <v>815.45</v>
      </c>
    </row>
    <row r="734" customFormat="false" ht="15" hidden="false" customHeight="false" outlineLevel="0" collapsed="false">
      <c r="A734" s="42" t="s">
        <v>2072</v>
      </c>
      <c r="B734" s="43" t="n">
        <v>45418</v>
      </c>
      <c r="C734" s="43" t="n">
        <v>45424</v>
      </c>
      <c r="D734" s="42" t="n">
        <v>50</v>
      </c>
      <c r="E734" s="42" t="s">
        <v>139</v>
      </c>
      <c r="F734" s="42" t="s">
        <v>173</v>
      </c>
      <c r="G734" s="42" t="s">
        <v>198</v>
      </c>
      <c r="H734" s="42" t="s">
        <v>175</v>
      </c>
      <c r="I734" s="42" t="s">
        <v>143</v>
      </c>
      <c r="J734" s="42" t="s">
        <v>159</v>
      </c>
      <c r="K734" s="42" t="s">
        <v>209</v>
      </c>
      <c r="L734" s="44" t="n">
        <v>15988.36</v>
      </c>
      <c r="M734" s="42" t="n">
        <v>4</v>
      </c>
      <c r="N734" s="42" t="s">
        <v>210</v>
      </c>
      <c r="O734" s="42" t="s">
        <v>147</v>
      </c>
      <c r="P734" s="39" t="n">
        <f aca="false">C734-B734</f>
        <v>6</v>
      </c>
      <c r="Q734" s="40" t="str">
        <f aca="false">CHOOSE(MONTH(B734),"يناير","فبراير","مارس","أبريل","مايو","يونيو","يوليو","أغسطس","سبتمبر","أكتوبر","نوفمبر","ديسمبر")</f>
        <v>مايو</v>
      </c>
      <c r="R734" s="40" t="str">
        <f aca="false">"الربع "&amp;ROUNDUP(MONTH(B734)/3,0)</f>
        <v>الربع 2</v>
      </c>
      <c r="S734" s="40" t="str">
        <f aca="false">IF(D734&lt;=12,"أطفال (0-12)",IF(D734&lt;=24,"شباب (13-24)",IF(D734&lt;=44,"بالغون (25-44)",IF(D734&lt;=64,"متوسطو العمر (45-64)","كبار السن (+65)"))))</f>
        <v>متوسطو العمر (45-64)</v>
      </c>
      <c r="T734" s="41" t="n">
        <f aca="false">IFERROR(L734/P734,0)</f>
        <v>2664.72666666667</v>
      </c>
    </row>
    <row r="735" customFormat="false" ht="15" hidden="false" customHeight="false" outlineLevel="0" collapsed="false">
      <c r="A735" s="33" t="s">
        <v>1784</v>
      </c>
      <c r="B735" s="34" t="n">
        <v>45419</v>
      </c>
      <c r="C735" s="34" t="n">
        <v>45424</v>
      </c>
      <c r="D735" s="33" t="n">
        <v>50</v>
      </c>
      <c r="E735" s="33" t="s">
        <v>154</v>
      </c>
      <c r="F735" s="33" t="s">
        <v>181</v>
      </c>
      <c r="G735" s="33" t="s">
        <v>182</v>
      </c>
      <c r="H735" s="33" t="s">
        <v>245</v>
      </c>
      <c r="I735" s="33" t="s">
        <v>143</v>
      </c>
      <c r="J735" s="33" t="s">
        <v>159</v>
      </c>
      <c r="K735" s="33" t="s">
        <v>145</v>
      </c>
      <c r="L735" s="35" t="n">
        <v>10491.51</v>
      </c>
      <c r="M735" s="33" t="n">
        <v>3</v>
      </c>
      <c r="N735" s="33" t="s">
        <v>146</v>
      </c>
      <c r="O735" s="33" t="s">
        <v>147</v>
      </c>
      <c r="P735" s="39" t="n">
        <f aca="false">C735-B735</f>
        <v>5</v>
      </c>
      <c r="Q735" s="40" t="str">
        <f aca="false">CHOOSE(MONTH(B735),"يناير","فبراير","مارس","أبريل","مايو","يونيو","يوليو","أغسطس","سبتمبر","أكتوبر","نوفمبر","ديسمبر")</f>
        <v>مايو</v>
      </c>
      <c r="R735" s="40" t="str">
        <f aca="false">"الربع "&amp;ROUNDUP(MONTH(B735)/3,0)</f>
        <v>الربع 2</v>
      </c>
      <c r="S735" s="40" t="str">
        <f aca="false">IF(D735&lt;=12,"أطفال (0-12)",IF(D735&lt;=24,"شباب (13-24)",IF(D735&lt;=44,"بالغون (25-44)",IF(D735&lt;=64,"متوسطو العمر (45-64)","كبار السن (+65)"))))</f>
        <v>متوسطو العمر (45-64)</v>
      </c>
      <c r="T735" s="41" t="n">
        <f aca="false">IFERROR(L735/P735,0)</f>
        <v>2098.302</v>
      </c>
    </row>
    <row r="736" customFormat="false" ht="15" hidden="false" customHeight="false" outlineLevel="0" collapsed="false">
      <c r="A736" s="42" t="s">
        <v>2141</v>
      </c>
      <c r="B736" s="43" t="n">
        <v>45419</v>
      </c>
      <c r="C736" s="43" t="n">
        <v>45423</v>
      </c>
      <c r="D736" s="42" t="n">
        <v>4</v>
      </c>
      <c r="E736" s="42" t="s">
        <v>139</v>
      </c>
      <c r="F736" s="42" t="s">
        <v>155</v>
      </c>
      <c r="G736" s="42" t="s">
        <v>220</v>
      </c>
      <c r="H736" s="42" t="s">
        <v>222</v>
      </c>
      <c r="I736" s="42" t="s">
        <v>143</v>
      </c>
      <c r="J736" s="42" t="s">
        <v>144</v>
      </c>
      <c r="K736" s="42" t="s">
        <v>145</v>
      </c>
      <c r="L736" s="44" t="n">
        <v>5602.01</v>
      </c>
      <c r="M736" s="42" t="n">
        <v>3</v>
      </c>
      <c r="N736" s="42" t="s">
        <v>146</v>
      </c>
      <c r="O736" s="42" t="s">
        <v>147</v>
      </c>
      <c r="P736" s="39" t="n">
        <f aca="false">C736-B736</f>
        <v>4</v>
      </c>
      <c r="Q736" s="40" t="str">
        <f aca="false">CHOOSE(MONTH(B736),"يناير","فبراير","مارس","أبريل","مايو","يونيو","يوليو","أغسطس","سبتمبر","أكتوبر","نوفمبر","ديسمبر")</f>
        <v>مايو</v>
      </c>
      <c r="R736" s="40" t="str">
        <f aca="false">"الربع "&amp;ROUNDUP(MONTH(B736)/3,0)</f>
        <v>الربع 2</v>
      </c>
      <c r="S736" s="40" t="str">
        <f aca="false">IF(D736&lt;=12,"أطفال (0-12)",IF(D736&lt;=24,"شباب (13-24)",IF(D736&lt;=44,"بالغون (25-44)",IF(D736&lt;=64,"متوسطو العمر (45-64)","كبار السن (+65)"))))</f>
        <v>أطفال (0-12)</v>
      </c>
      <c r="T736" s="41" t="n">
        <f aca="false">IFERROR(L736/P736,0)</f>
        <v>1400.5025</v>
      </c>
    </row>
    <row r="737" customFormat="false" ht="15" hidden="false" customHeight="false" outlineLevel="0" collapsed="false">
      <c r="A737" s="33" t="s">
        <v>425</v>
      </c>
      <c r="B737" s="34" t="n">
        <v>45419</v>
      </c>
      <c r="C737" s="34" t="n">
        <v>45428</v>
      </c>
      <c r="D737" s="33" t="n">
        <v>52</v>
      </c>
      <c r="E737" s="33" t="s">
        <v>139</v>
      </c>
      <c r="F737" s="33" t="s">
        <v>181</v>
      </c>
      <c r="G737" s="33" t="s">
        <v>237</v>
      </c>
      <c r="H737" s="33" t="s">
        <v>245</v>
      </c>
      <c r="I737" s="33" t="s">
        <v>152</v>
      </c>
      <c r="J737" s="33" t="s">
        <v>159</v>
      </c>
      <c r="K737" s="33" t="s">
        <v>145</v>
      </c>
      <c r="L737" s="35" t="n">
        <v>21780.9</v>
      </c>
      <c r="M737" s="33" t="n">
        <v>4</v>
      </c>
      <c r="N737" s="33" t="s">
        <v>146</v>
      </c>
      <c r="O737" s="33" t="s">
        <v>147</v>
      </c>
      <c r="P737" s="39" t="n">
        <f aca="false">C737-B737</f>
        <v>9</v>
      </c>
      <c r="Q737" s="40" t="str">
        <f aca="false">CHOOSE(MONTH(B737),"يناير","فبراير","مارس","أبريل","مايو","يونيو","يوليو","أغسطس","سبتمبر","أكتوبر","نوفمبر","ديسمبر")</f>
        <v>مايو</v>
      </c>
      <c r="R737" s="40" t="str">
        <f aca="false">"الربع "&amp;ROUNDUP(MONTH(B737)/3,0)</f>
        <v>الربع 2</v>
      </c>
      <c r="S737" s="40" t="str">
        <f aca="false">IF(D737&lt;=12,"أطفال (0-12)",IF(D737&lt;=24,"شباب (13-24)",IF(D737&lt;=44,"بالغون (25-44)",IF(D737&lt;=64,"متوسطو العمر (45-64)","كبار السن (+65)"))))</f>
        <v>متوسطو العمر (45-64)</v>
      </c>
      <c r="T737" s="41" t="n">
        <f aca="false">IFERROR(L737/P737,0)</f>
        <v>2420.1</v>
      </c>
    </row>
    <row r="738" customFormat="false" ht="15" hidden="false" customHeight="false" outlineLevel="0" collapsed="false">
      <c r="A738" s="42" t="s">
        <v>1413</v>
      </c>
      <c r="B738" s="43" t="n">
        <v>45419</v>
      </c>
      <c r="C738" s="43" t="n">
        <v>45421</v>
      </c>
      <c r="D738" s="42" t="n">
        <v>35</v>
      </c>
      <c r="E738" s="42" t="s">
        <v>154</v>
      </c>
      <c r="F738" s="42" t="s">
        <v>140</v>
      </c>
      <c r="G738" s="42" t="s">
        <v>316</v>
      </c>
      <c r="H738" s="42" t="s">
        <v>142</v>
      </c>
      <c r="I738" s="42" t="s">
        <v>152</v>
      </c>
      <c r="J738" s="42" t="s">
        <v>159</v>
      </c>
      <c r="K738" s="42" t="s">
        <v>145</v>
      </c>
      <c r="L738" s="44" t="n">
        <v>4756.72</v>
      </c>
      <c r="M738" s="42" t="n">
        <v>4</v>
      </c>
      <c r="N738" s="42" t="s">
        <v>146</v>
      </c>
      <c r="O738" s="42" t="s">
        <v>147</v>
      </c>
      <c r="P738" s="39" t="n">
        <f aca="false">C738-B738</f>
        <v>2</v>
      </c>
      <c r="Q738" s="40" t="str">
        <f aca="false">CHOOSE(MONTH(B738),"يناير","فبراير","مارس","أبريل","مايو","يونيو","يوليو","أغسطس","سبتمبر","أكتوبر","نوفمبر","ديسمبر")</f>
        <v>مايو</v>
      </c>
      <c r="R738" s="40" t="str">
        <f aca="false">"الربع "&amp;ROUNDUP(MONTH(B738)/3,0)</f>
        <v>الربع 2</v>
      </c>
      <c r="S738" s="40" t="str">
        <f aca="false">IF(D738&lt;=12,"أطفال (0-12)",IF(D738&lt;=24,"شباب (13-24)",IF(D738&lt;=44,"بالغون (25-44)",IF(D738&lt;=64,"متوسطو العمر (45-64)","كبار السن (+65)"))))</f>
        <v>بالغون (25-44)</v>
      </c>
      <c r="T738" s="41" t="n">
        <f aca="false">IFERROR(L738/P738,0)</f>
        <v>2378.36</v>
      </c>
    </row>
    <row r="739" customFormat="false" ht="15" hidden="false" customHeight="false" outlineLevel="0" collapsed="false">
      <c r="A739" s="33" t="s">
        <v>2131</v>
      </c>
      <c r="B739" s="34" t="n">
        <v>45420</v>
      </c>
      <c r="C739" s="34" t="n">
        <v>45422</v>
      </c>
      <c r="D739" s="33" t="n">
        <v>32</v>
      </c>
      <c r="E739" s="33" t="s">
        <v>154</v>
      </c>
      <c r="F739" s="33" t="s">
        <v>203</v>
      </c>
      <c r="G739" s="33" t="s">
        <v>232</v>
      </c>
      <c r="H739" s="33" t="s">
        <v>193</v>
      </c>
      <c r="I739" s="33" t="s">
        <v>143</v>
      </c>
      <c r="J739" s="33" t="s">
        <v>176</v>
      </c>
      <c r="K739" s="33" t="s">
        <v>145</v>
      </c>
      <c r="L739" s="35" t="n">
        <v>7389.93</v>
      </c>
      <c r="M739" s="33" t="n">
        <v>5</v>
      </c>
      <c r="N739" s="33" t="s">
        <v>146</v>
      </c>
      <c r="O739" s="33" t="s">
        <v>147</v>
      </c>
      <c r="P739" s="39" t="n">
        <f aca="false">C739-B739</f>
        <v>2</v>
      </c>
      <c r="Q739" s="40" t="str">
        <f aca="false">CHOOSE(MONTH(B739),"يناير","فبراير","مارس","أبريل","مايو","يونيو","يوليو","أغسطس","سبتمبر","أكتوبر","نوفمبر","ديسمبر")</f>
        <v>مايو</v>
      </c>
      <c r="R739" s="40" t="str">
        <f aca="false">"الربع "&amp;ROUNDUP(MONTH(B739)/3,0)</f>
        <v>الربع 2</v>
      </c>
      <c r="S739" s="40" t="str">
        <f aca="false">IF(D739&lt;=12,"أطفال (0-12)",IF(D739&lt;=24,"شباب (13-24)",IF(D739&lt;=44,"بالغون (25-44)",IF(D739&lt;=64,"متوسطو العمر (45-64)","كبار السن (+65)"))))</f>
        <v>بالغون (25-44)</v>
      </c>
      <c r="T739" s="41" t="n">
        <f aca="false">IFERROR(L739/P739,0)</f>
        <v>3694.965</v>
      </c>
    </row>
    <row r="740" customFormat="false" ht="15" hidden="false" customHeight="false" outlineLevel="0" collapsed="false">
      <c r="A740" s="42" t="s">
        <v>440</v>
      </c>
      <c r="B740" s="43" t="n">
        <v>45420</v>
      </c>
      <c r="C740" s="43" t="n">
        <v>45423</v>
      </c>
      <c r="D740" s="42" t="n">
        <v>4</v>
      </c>
      <c r="E740" s="42" t="s">
        <v>139</v>
      </c>
      <c r="F740" s="42" t="s">
        <v>155</v>
      </c>
      <c r="G740" s="42" t="s">
        <v>156</v>
      </c>
      <c r="H740" s="42" t="s">
        <v>222</v>
      </c>
      <c r="I740" s="42" t="s">
        <v>158</v>
      </c>
      <c r="J740" s="42" t="s">
        <v>144</v>
      </c>
      <c r="K740" s="42" t="s">
        <v>160</v>
      </c>
      <c r="L740" s="44" t="n">
        <v>4855.31</v>
      </c>
      <c r="M740" s="42" t="n">
        <v>5</v>
      </c>
      <c r="N740" s="42" t="s">
        <v>146</v>
      </c>
      <c r="O740" s="42" t="s">
        <v>147</v>
      </c>
      <c r="P740" s="39" t="n">
        <f aca="false">C740-B740</f>
        <v>3</v>
      </c>
      <c r="Q740" s="40" t="str">
        <f aca="false">CHOOSE(MONTH(B740),"يناير","فبراير","مارس","أبريل","مايو","يونيو","يوليو","أغسطس","سبتمبر","أكتوبر","نوفمبر","ديسمبر")</f>
        <v>مايو</v>
      </c>
      <c r="R740" s="40" t="str">
        <f aca="false">"الربع "&amp;ROUNDUP(MONTH(B740)/3,0)</f>
        <v>الربع 2</v>
      </c>
      <c r="S740" s="40" t="str">
        <f aca="false">IF(D740&lt;=12,"أطفال (0-12)",IF(D740&lt;=24,"شباب (13-24)",IF(D740&lt;=44,"بالغون (25-44)",IF(D740&lt;=64,"متوسطو العمر (45-64)","كبار السن (+65)"))))</f>
        <v>أطفال (0-12)</v>
      </c>
      <c r="T740" s="41" t="n">
        <f aca="false">IFERROR(L740/P740,0)</f>
        <v>1618.43666666667</v>
      </c>
    </row>
    <row r="741" customFormat="false" ht="15" hidden="false" customHeight="false" outlineLevel="0" collapsed="false">
      <c r="A741" s="33" t="s">
        <v>1606</v>
      </c>
      <c r="B741" s="34" t="n">
        <v>45421</v>
      </c>
      <c r="C741" s="34" t="n">
        <v>45423</v>
      </c>
      <c r="D741" s="33" t="n">
        <v>68</v>
      </c>
      <c r="E741" s="33" t="s">
        <v>154</v>
      </c>
      <c r="F741" s="33" t="s">
        <v>203</v>
      </c>
      <c r="G741" s="33" t="s">
        <v>204</v>
      </c>
      <c r="H741" s="33" t="s">
        <v>233</v>
      </c>
      <c r="I741" s="33" t="s">
        <v>143</v>
      </c>
      <c r="J741" s="33" t="s">
        <v>144</v>
      </c>
      <c r="K741" s="33" t="s">
        <v>160</v>
      </c>
      <c r="L741" s="35" t="n">
        <v>2406.73</v>
      </c>
      <c r="M741" s="33" t="n">
        <v>3</v>
      </c>
      <c r="N741" s="33" t="s">
        <v>146</v>
      </c>
      <c r="O741" s="33" t="s">
        <v>147</v>
      </c>
      <c r="P741" s="39" t="n">
        <f aca="false">C741-B741</f>
        <v>2</v>
      </c>
      <c r="Q741" s="40" t="str">
        <f aca="false">CHOOSE(MONTH(B741),"يناير","فبراير","مارس","أبريل","مايو","يونيو","يوليو","أغسطس","سبتمبر","أكتوبر","نوفمبر","ديسمبر")</f>
        <v>مايو</v>
      </c>
      <c r="R741" s="40" t="str">
        <f aca="false">"الربع "&amp;ROUNDUP(MONTH(B741)/3,0)</f>
        <v>الربع 2</v>
      </c>
      <c r="S741" s="40" t="str">
        <f aca="false">IF(D741&lt;=12,"أطفال (0-12)",IF(D741&lt;=24,"شباب (13-24)",IF(D741&lt;=44,"بالغون (25-44)",IF(D741&lt;=64,"متوسطو العمر (45-64)","كبار السن (+65)"))))</f>
        <v>كبار السن (+65)</v>
      </c>
      <c r="T741" s="41" t="n">
        <f aca="false">IFERROR(L741/P741,0)</f>
        <v>1203.365</v>
      </c>
    </row>
    <row r="742" customFormat="false" ht="15" hidden="false" customHeight="false" outlineLevel="0" collapsed="false">
      <c r="A742" s="42" t="s">
        <v>640</v>
      </c>
      <c r="B742" s="43" t="n">
        <v>45421</v>
      </c>
      <c r="C742" s="43" t="n">
        <v>45422</v>
      </c>
      <c r="D742" s="42" t="n">
        <v>44</v>
      </c>
      <c r="E742" s="42" t="s">
        <v>139</v>
      </c>
      <c r="F742" s="42" t="s">
        <v>169</v>
      </c>
      <c r="G742" s="42" t="s">
        <v>213</v>
      </c>
      <c r="H742" s="42" t="s">
        <v>164</v>
      </c>
      <c r="I742" s="42" t="s">
        <v>143</v>
      </c>
      <c r="J742" s="42" t="s">
        <v>144</v>
      </c>
      <c r="K742" s="42" t="s">
        <v>145</v>
      </c>
      <c r="L742" s="44" t="n">
        <v>2061.14</v>
      </c>
      <c r="M742" s="42" t="n">
        <v>3</v>
      </c>
      <c r="N742" s="42" t="s">
        <v>146</v>
      </c>
      <c r="O742" s="42" t="s">
        <v>147</v>
      </c>
      <c r="P742" s="39" t="n">
        <f aca="false">C742-B742</f>
        <v>1</v>
      </c>
      <c r="Q742" s="40" t="str">
        <f aca="false">CHOOSE(MONTH(B742),"يناير","فبراير","مارس","أبريل","مايو","يونيو","يوليو","أغسطس","سبتمبر","أكتوبر","نوفمبر","ديسمبر")</f>
        <v>مايو</v>
      </c>
      <c r="R742" s="40" t="str">
        <f aca="false">"الربع "&amp;ROUNDUP(MONTH(B742)/3,0)</f>
        <v>الربع 2</v>
      </c>
      <c r="S742" s="40" t="str">
        <f aca="false">IF(D742&lt;=12,"أطفال (0-12)",IF(D742&lt;=24,"شباب (13-24)",IF(D742&lt;=44,"بالغون (25-44)",IF(D742&lt;=64,"متوسطو العمر (45-64)","كبار السن (+65)"))))</f>
        <v>بالغون (25-44)</v>
      </c>
      <c r="T742" s="41" t="n">
        <f aca="false">IFERROR(L742/P742,0)</f>
        <v>2061.14</v>
      </c>
    </row>
    <row r="743" customFormat="false" ht="15" hidden="false" customHeight="false" outlineLevel="0" collapsed="false">
      <c r="A743" s="33" t="s">
        <v>2048</v>
      </c>
      <c r="B743" s="34" t="n">
        <v>45422</v>
      </c>
      <c r="C743" s="34" t="n">
        <v>45423</v>
      </c>
      <c r="D743" s="33" t="n">
        <v>15</v>
      </c>
      <c r="E743" s="33" t="s">
        <v>139</v>
      </c>
      <c r="F743" s="33" t="s">
        <v>203</v>
      </c>
      <c r="G743" s="33" t="s">
        <v>217</v>
      </c>
      <c r="H743" s="33" t="s">
        <v>193</v>
      </c>
      <c r="I743" s="33" t="s">
        <v>143</v>
      </c>
      <c r="J743" s="33" t="s">
        <v>159</v>
      </c>
      <c r="K743" s="33" t="s">
        <v>145</v>
      </c>
      <c r="L743" s="35" t="n">
        <v>1048.44</v>
      </c>
      <c r="M743" s="33" t="n">
        <v>2</v>
      </c>
      <c r="N743" s="33" t="s">
        <v>146</v>
      </c>
      <c r="O743" s="33" t="s">
        <v>147</v>
      </c>
      <c r="P743" s="39" t="n">
        <f aca="false">C743-B743</f>
        <v>1</v>
      </c>
      <c r="Q743" s="40" t="str">
        <f aca="false">CHOOSE(MONTH(B743),"يناير","فبراير","مارس","أبريل","مايو","يونيو","يوليو","أغسطس","سبتمبر","أكتوبر","نوفمبر","ديسمبر")</f>
        <v>مايو</v>
      </c>
      <c r="R743" s="40" t="str">
        <f aca="false">"الربع "&amp;ROUNDUP(MONTH(B743)/3,0)</f>
        <v>الربع 2</v>
      </c>
      <c r="S743" s="40" t="str">
        <f aca="false">IF(D743&lt;=12,"أطفال (0-12)",IF(D743&lt;=24,"شباب (13-24)",IF(D743&lt;=44,"بالغون (25-44)",IF(D743&lt;=64,"متوسطو العمر (45-64)","كبار السن (+65)"))))</f>
        <v>شباب (13-24)</v>
      </c>
      <c r="T743" s="41" t="n">
        <f aca="false">IFERROR(L743/P743,0)</f>
        <v>1048.44</v>
      </c>
    </row>
    <row r="744" customFormat="false" ht="15" hidden="false" customHeight="false" outlineLevel="0" collapsed="false">
      <c r="A744" s="42" t="s">
        <v>1031</v>
      </c>
      <c r="B744" s="43" t="n">
        <v>45423</v>
      </c>
      <c r="C744" s="43" t="n">
        <v>45424</v>
      </c>
      <c r="D744" s="42" t="n">
        <v>52</v>
      </c>
      <c r="E744" s="42" t="s">
        <v>139</v>
      </c>
      <c r="F744" s="42" t="s">
        <v>203</v>
      </c>
      <c r="G744" s="42" t="s">
        <v>217</v>
      </c>
      <c r="H744" s="42" t="s">
        <v>193</v>
      </c>
      <c r="I744" s="42" t="s">
        <v>143</v>
      </c>
      <c r="J744" s="42" t="s">
        <v>159</v>
      </c>
      <c r="K744" s="42" t="s">
        <v>160</v>
      </c>
      <c r="L744" s="44" t="n">
        <v>1063.36</v>
      </c>
      <c r="M744" s="42" t="n">
        <v>5</v>
      </c>
      <c r="N744" s="42" t="s">
        <v>146</v>
      </c>
      <c r="O744" s="42" t="s">
        <v>147</v>
      </c>
      <c r="P744" s="39" t="n">
        <f aca="false">C744-B744</f>
        <v>1</v>
      </c>
      <c r="Q744" s="40" t="str">
        <f aca="false">CHOOSE(MONTH(B744),"يناير","فبراير","مارس","أبريل","مايو","يونيو","يوليو","أغسطس","سبتمبر","أكتوبر","نوفمبر","ديسمبر")</f>
        <v>مايو</v>
      </c>
      <c r="R744" s="40" t="str">
        <f aca="false">"الربع "&amp;ROUNDUP(MONTH(B744)/3,0)</f>
        <v>الربع 2</v>
      </c>
      <c r="S744" s="40" t="str">
        <f aca="false">IF(D744&lt;=12,"أطفال (0-12)",IF(D744&lt;=24,"شباب (13-24)",IF(D744&lt;=44,"بالغون (25-44)",IF(D744&lt;=64,"متوسطو العمر (45-64)","كبار السن (+65)"))))</f>
        <v>متوسطو العمر (45-64)</v>
      </c>
      <c r="T744" s="41" t="n">
        <f aca="false">IFERROR(L744/P744,0)</f>
        <v>1063.36</v>
      </c>
    </row>
    <row r="745" customFormat="false" ht="15" hidden="false" customHeight="false" outlineLevel="0" collapsed="false">
      <c r="A745" s="33" t="s">
        <v>1756</v>
      </c>
      <c r="B745" s="34" t="n">
        <v>45423</v>
      </c>
      <c r="C745" s="34" t="n">
        <v>45425</v>
      </c>
      <c r="D745" s="33" t="n">
        <v>70</v>
      </c>
      <c r="E745" s="33" t="s">
        <v>139</v>
      </c>
      <c r="F745" s="33" t="s">
        <v>226</v>
      </c>
      <c r="G745" s="33" t="s">
        <v>386</v>
      </c>
      <c r="H745" s="33" t="s">
        <v>228</v>
      </c>
      <c r="I745" s="33" t="s">
        <v>143</v>
      </c>
      <c r="J745" s="33" t="s">
        <v>144</v>
      </c>
      <c r="K745" s="33" t="s">
        <v>160</v>
      </c>
      <c r="L745" s="35" t="n">
        <v>9808.91</v>
      </c>
      <c r="M745" s="33" t="n">
        <v>4</v>
      </c>
      <c r="N745" s="33" t="s">
        <v>146</v>
      </c>
      <c r="O745" s="33" t="s">
        <v>147</v>
      </c>
      <c r="P745" s="39" t="n">
        <f aca="false">C745-B745</f>
        <v>2</v>
      </c>
      <c r="Q745" s="40" t="str">
        <f aca="false">CHOOSE(MONTH(B745),"يناير","فبراير","مارس","أبريل","مايو","يونيو","يوليو","أغسطس","سبتمبر","أكتوبر","نوفمبر","ديسمبر")</f>
        <v>مايو</v>
      </c>
      <c r="R745" s="40" t="str">
        <f aca="false">"الربع "&amp;ROUNDUP(MONTH(B745)/3,0)</f>
        <v>الربع 2</v>
      </c>
      <c r="S745" s="40" t="str">
        <f aca="false">IF(D745&lt;=12,"أطفال (0-12)",IF(D745&lt;=24,"شباب (13-24)",IF(D745&lt;=44,"بالغون (25-44)",IF(D745&lt;=64,"متوسطو العمر (45-64)","كبار السن (+65)"))))</f>
        <v>كبار السن (+65)</v>
      </c>
      <c r="T745" s="41" t="n">
        <f aca="false">IFERROR(L745/P745,0)</f>
        <v>4904.455</v>
      </c>
    </row>
    <row r="746" customFormat="false" ht="15" hidden="false" customHeight="false" outlineLevel="0" collapsed="false">
      <c r="A746" s="42" t="s">
        <v>1766</v>
      </c>
      <c r="B746" s="43" t="n">
        <v>45423</v>
      </c>
      <c r="C746" s="43" t="n">
        <v>45427</v>
      </c>
      <c r="D746" s="42" t="n">
        <v>18</v>
      </c>
      <c r="E746" s="42" t="s">
        <v>139</v>
      </c>
      <c r="F746" s="42" t="s">
        <v>226</v>
      </c>
      <c r="G746" s="42" t="s">
        <v>258</v>
      </c>
      <c r="H746" s="42" t="s">
        <v>228</v>
      </c>
      <c r="I746" s="42" t="s">
        <v>143</v>
      </c>
      <c r="J746" s="42" t="s">
        <v>159</v>
      </c>
      <c r="K746" s="42" t="s">
        <v>145</v>
      </c>
      <c r="L746" s="44" t="n">
        <v>12914.67</v>
      </c>
      <c r="M746" s="42" t="n">
        <v>4</v>
      </c>
      <c r="N746" s="42" t="s">
        <v>210</v>
      </c>
      <c r="O746" s="42" t="s">
        <v>147</v>
      </c>
      <c r="P746" s="39" t="n">
        <f aca="false">C746-B746</f>
        <v>4</v>
      </c>
      <c r="Q746" s="40" t="str">
        <f aca="false">CHOOSE(MONTH(B746),"يناير","فبراير","مارس","أبريل","مايو","يونيو","يوليو","أغسطس","سبتمبر","أكتوبر","نوفمبر","ديسمبر")</f>
        <v>مايو</v>
      </c>
      <c r="R746" s="40" t="str">
        <f aca="false">"الربع "&amp;ROUNDUP(MONTH(B746)/3,0)</f>
        <v>الربع 2</v>
      </c>
      <c r="S746" s="40" t="str">
        <f aca="false">IF(D746&lt;=12,"أطفال (0-12)",IF(D746&lt;=24,"شباب (13-24)",IF(D746&lt;=44,"بالغون (25-44)",IF(D746&lt;=64,"متوسطو العمر (45-64)","كبار السن (+65)"))))</f>
        <v>شباب (13-24)</v>
      </c>
      <c r="T746" s="41" t="n">
        <f aca="false">IFERROR(L746/P746,0)</f>
        <v>3228.6675</v>
      </c>
    </row>
    <row r="747" customFormat="false" ht="15" hidden="false" customHeight="false" outlineLevel="0" collapsed="false">
      <c r="A747" s="33" t="s">
        <v>2288</v>
      </c>
      <c r="B747" s="34" t="n">
        <v>45424</v>
      </c>
      <c r="C747" s="34" t="n">
        <v>45428</v>
      </c>
      <c r="D747" s="33" t="n">
        <v>77</v>
      </c>
      <c r="E747" s="33" t="s">
        <v>139</v>
      </c>
      <c r="F747" s="33" t="s">
        <v>140</v>
      </c>
      <c r="G747" s="33" t="s">
        <v>167</v>
      </c>
      <c r="H747" s="33" t="s">
        <v>142</v>
      </c>
      <c r="I747" s="33" t="s">
        <v>143</v>
      </c>
      <c r="J747" s="33" t="s">
        <v>159</v>
      </c>
      <c r="K747" s="33" t="s">
        <v>209</v>
      </c>
      <c r="L747" s="35" t="n">
        <v>7389.96</v>
      </c>
      <c r="M747" s="33" t="n">
        <v>3</v>
      </c>
      <c r="N747" s="33" t="s">
        <v>146</v>
      </c>
      <c r="O747" s="33" t="s">
        <v>147</v>
      </c>
      <c r="P747" s="39" t="n">
        <f aca="false">C747-B747</f>
        <v>4</v>
      </c>
      <c r="Q747" s="40" t="str">
        <f aca="false">CHOOSE(MONTH(B747),"يناير","فبراير","مارس","أبريل","مايو","يونيو","يوليو","أغسطس","سبتمبر","أكتوبر","نوفمبر","ديسمبر")</f>
        <v>مايو</v>
      </c>
      <c r="R747" s="40" t="str">
        <f aca="false">"الربع "&amp;ROUNDUP(MONTH(B747)/3,0)</f>
        <v>الربع 2</v>
      </c>
      <c r="S747" s="40" t="str">
        <f aca="false">IF(D747&lt;=12,"أطفال (0-12)",IF(D747&lt;=24,"شباب (13-24)",IF(D747&lt;=44,"بالغون (25-44)",IF(D747&lt;=64,"متوسطو العمر (45-64)","كبار السن (+65)"))))</f>
        <v>كبار السن (+65)</v>
      </c>
      <c r="T747" s="41" t="n">
        <f aca="false">IFERROR(L747/P747,0)</f>
        <v>1847.49</v>
      </c>
    </row>
    <row r="748" customFormat="false" ht="15" hidden="false" customHeight="false" outlineLevel="0" collapsed="false">
      <c r="A748" s="42" t="s">
        <v>741</v>
      </c>
      <c r="B748" s="43" t="n">
        <v>45424</v>
      </c>
      <c r="C748" s="43" t="n">
        <v>45427</v>
      </c>
      <c r="D748" s="42" t="n">
        <v>31</v>
      </c>
      <c r="E748" s="42" t="s">
        <v>139</v>
      </c>
      <c r="F748" s="42" t="s">
        <v>140</v>
      </c>
      <c r="G748" s="42" t="s">
        <v>167</v>
      </c>
      <c r="H748" s="42" t="s">
        <v>142</v>
      </c>
      <c r="I748" s="42" t="s">
        <v>143</v>
      </c>
      <c r="J748" s="42" t="s">
        <v>159</v>
      </c>
      <c r="K748" s="42" t="s">
        <v>160</v>
      </c>
      <c r="L748" s="44" t="n">
        <v>7582.64</v>
      </c>
      <c r="M748" s="42" t="n">
        <v>3</v>
      </c>
      <c r="N748" s="42" t="s">
        <v>146</v>
      </c>
      <c r="O748" s="42" t="s">
        <v>147</v>
      </c>
      <c r="P748" s="39" t="n">
        <f aca="false">C748-B748</f>
        <v>3</v>
      </c>
      <c r="Q748" s="40" t="str">
        <f aca="false">CHOOSE(MONTH(B748),"يناير","فبراير","مارس","أبريل","مايو","يونيو","يوليو","أغسطس","سبتمبر","أكتوبر","نوفمبر","ديسمبر")</f>
        <v>مايو</v>
      </c>
      <c r="R748" s="40" t="str">
        <f aca="false">"الربع "&amp;ROUNDUP(MONTH(B748)/3,0)</f>
        <v>الربع 2</v>
      </c>
      <c r="S748" s="40" t="str">
        <f aca="false">IF(D748&lt;=12,"أطفال (0-12)",IF(D748&lt;=24,"شباب (13-24)",IF(D748&lt;=44,"بالغون (25-44)",IF(D748&lt;=64,"متوسطو العمر (45-64)","كبار السن (+65)"))))</f>
        <v>بالغون (25-44)</v>
      </c>
      <c r="T748" s="41" t="n">
        <f aca="false">IFERROR(L748/P748,0)</f>
        <v>2527.54666666667</v>
      </c>
    </row>
    <row r="749" customFormat="false" ht="15" hidden="false" customHeight="false" outlineLevel="0" collapsed="false">
      <c r="A749" s="33" t="s">
        <v>1435</v>
      </c>
      <c r="B749" s="34" t="n">
        <v>45424</v>
      </c>
      <c r="C749" s="34" t="n">
        <v>45430</v>
      </c>
      <c r="D749" s="33" t="n">
        <v>70</v>
      </c>
      <c r="E749" s="33" t="s">
        <v>139</v>
      </c>
      <c r="F749" s="33" t="s">
        <v>226</v>
      </c>
      <c r="G749" s="33" t="s">
        <v>227</v>
      </c>
      <c r="H749" s="33" t="s">
        <v>263</v>
      </c>
      <c r="I749" s="33" t="s">
        <v>152</v>
      </c>
      <c r="J749" s="33" t="s">
        <v>159</v>
      </c>
      <c r="K749" s="33" t="s">
        <v>209</v>
      </c>
      <c r="L749" s="35" t="n">
        <v>14040.82</v>
      </c>
      <c r="M749" s="33" t="n">
        <v>3</v>
      </c>
      <c r="N749" s="33" t="s">
        <v>146</v>
      </c>
      <c r="O749" s="33" t="s">
        <v>147</v>
      </c>
      <c r="P749" s="39" t="n">
        <f aca="false">C749-B749</f>
        <v>6</v>
      </c>
      <c r="Q749" s="40" t="str">
        <f aca="false">CHOOSE(MONTH(B749),"يناير","فبراير","مارس","أبريل","مايو","يونيو","يوليو","أغسطس","سبتمبر","أكتوبر","نوفمبر","ديسمبر")</f>
        <v>مايو</v>
      </c>
      <c r="R749" s="40" t="str">
        <f aca="false">"الربع "&amp;ROUNDUP(MONTH(B749)/3,0)</f>
        <v>الربع 2</v>
      </c>
      <c r="S749" s="40" t="str">
        <f aca="false">IF(D749&lt;=12,"أطفال (0-12)",IF(D749&lt;=24,"شباب (13-24)",IF(D749&lt;=44,"بالغون (25-44)",IF(D749&lt;=64,"متوسطو العمر (45-64)","كبار السن (+65)"))))</f>
        <v>كبار السن (+65)</v>
      </c>
      <c r="T749" s="41" t="n">
        <f aca="false">IFERROR(L749/P749,0)</f>
        <v>2340.13666666667</v>
      </c>
    </row>
    <row r="750" customFormat="false" ht="15" hidden="false" customHeight="false" outlineLevel="0" collapsed="false">
      <c r="A750" s="42" t="s">
        <v>489</v>
      </c>
      <c r="B750" s="43" t="n">
        <v>45424</v>
      </c>
      <c r="C750" s="43" t="n">
        <v>45426</v>
      </c>
      <c r="D750" s="42" t="n">
        <v>44</v>
      </c>
      <c r="E750" s="42" t="s">
        <v>154</v>
      </c>
      <c r="F750" s="42" t="s">
        <v>203</v>
      </c>
      <c r="G750" s="42" t="s">
        <v>204</v>
      </c>
      <c r="H750" s="42" t="s">
        <v>205</v>
      </c>
      <c r="I750" s="42" t="s">
        <v>143</v>
      </c>
      <c r="J750" s="42" t="s">
        <v>176</v>
      </c>
      <c r="K750" s="42" t="s">
        <v>145</v>
      </c>
      <c r="L750" s="44" t="n">
        <v>6777.92</v>
      </c>
      <c r="M750" s="42" t="n">
        <v>3</v>
      </c>
      <c r="N750" s="42" t="s">
        <v>146</v>
      </c>
      <c r="O750" s="42" t="s">
        <v>147</v>
      </c>
      <c r="P750" s="39" t="n">
        <f aca="false">C750-B750</f>
        <v>2</v>
      </c>
      <c r="Q750" s="40" t="str">
        <f aca="false">CHOOSE(MONTH(B750),"يناير","فبراير","مارس","أبريل","مايو","يونيو","يوليو","أغسطس","سبتمبر","أكتوبر","نوفمبر","ديسمبر")</f>
        <v>مايو</v>
      </c>
      <c r="R750" s="40" t="str">
        <f aca="false">"الربع "&amp;ROUNDUP(MONTH(B750)/3,0)</f>
        <v>الربع 2</v>
      </c>
      <c r="S750" s="40" t="str">
        <f aca="false">IF(D750&lt;=12,"أطفال (0-12)",IF(D750&lt;=24,"شباب (13-24)",IF(D750&lt;=44,"بالغون (25-44)",IF(D750&lt;=64,"متوسطو العمر (45-64)","كبار السن (+65)"))))</f>
        <v>بالغون (25-44)</v>
      </c>
      <c r="T750" s="41" t="n">
        <f aca="false">IFERROR(L750/P750,0)</f>
        <v>3388.96</v>
      </c>
    </row>
    <row r="751" customFormat="false" ht="15" hidden="false" customHeight="false" outlineLevel="0" collapsed="false">
      <c r="A751" s="33" t="s">
        <v>848</v>
      </c>
      <c r="B751" s="34" t="n">
        <v>45424</v>
      </c>
      <c r="C751" s="34" t="n">
        <v>45426</v>
      </c>
      <c r="D751" s="33" t="n">
        <v>28</v>
      </c>
      <c r="E751" s="33" t="s">
        <v>139</v>
      </c>
      <c r="F751" s="33" t="s">
        <v>149</v>
      </c>
      <c r="G751" s="33" t="s">
        <v>150</v>
      </c>
      <c r="H751" s="33" t="s">
        <v>186</v>
      </c>
      <c r="I751" s="33" t="s">
        <v>152</v>
      </c>
      <c r="J751" s="33" t="s">
        <v>159</v>
      </c>
      <c r="K751" s="33" t="s">
        <v>184</v>
      </c>
      <c r="L751" s="35" t="n">
        <v>3388.48</v>
      </c>
      <c r="M751" s="33" t="n">
        <v>4</v>
      </c>
      <c r="N751" s="33" t="s">
        <v>146</v>
      </c>
      <c r="O751" s="33" t="s">
        <v>147</v>
      </c>
      <c r="P751" s="39" t="n">
        <f aca="false">C751-B751</f>
        <v>2</v>
      </c>
      <c r="Q751" s="40" t="str">
        <f aca="false">CHOOSE(MONTH(B751),"يناير","فبراير","مارس","أبريل","مايو","يونيو","يوليو","أغسطس","سبتمبر","أكتوبر","نوفمبر","ديسمبر")</f>
        <v>مايو</v>
      </c>
      <c r="R751" s="40" t="str">
        <f aca="false">"الربع "&amp;ROUNDUP(MONTH(B751)/3,0)</f>
        <v>الربع 2</v>
      </c>
      <c r="S751" s="40" t="str">
        <f aca="false">IF(D751&lt;=12,"أطفال (0-12)",IF(D751&lt;=24,"شباب (13-24)",IF(D751&lt;=44,"بالغون (25-44)",IF(D751&lt;=64,"متوسطو العمر (45-64)","كبار السن (+65)"))))</f>
        <v>بالغون (25-44)</v>
      </c>
      <c r="T751" s="41" t="n">
        <f aca="false">IFERROR(L751/P751,0)</f>
        <v>1694.24</v>
      </c>
    </row>
    <row r="752" customFormat="false" ht="15" hidden="false" customHeight="false" outlineLevel="0" collapsed="false">
      <c r="A752" s="42" t="s">
        <v>931</v>
      </c>
      <c r="B752" s="43" t="n">
        <v>45424</v>
      </c>
      <c r="C752" s="43" t="n">
        <v>45426</v>
      </c>
      <c r="D752" s="42" t="n">
        <v>45</v>
      </c>
      <c r="E752" s="42" t="s">
        <v>154</v>
      </c>
      <c r="F752" s="42" t="s">
        <v>203</v>
      </c>
      <c r="G752" s="42" t="s">
        <v>241</v>
      </c>
      <c r="H752" s="42" t="s">
        <v>193</v>
      </c>
      <c r="I752" s="42" t="s">
        <v>143</v>
      </c>
      <c r="J752" s="42" t="s">
        <v>159</v>
      </c>
      <c r="K752" s="42" t="s">
        <v>145</v>
      </c>
      <c r="L752" s="44" t="n">
        <v>1819.33</v>
      </c>
      <c r="M752" s="42" t="n">
        <v>2</v>
      </c>
      <c r="N752" s="42" t="s">
        <v>146</v>
      </c>
      <c r="O752" s="42" t="s">
        <v>147</v>
      </c>
      <c r="P752" s="39" t="n">
        <f aca="false">C752-B752</f>
        <v>2</v>
      </c>
      <c r="Q752" s="40" t="str">
        <f aca="false">CHOOSE(MONTH(B752),"يناير","فبراير","مارس","أبريل","مايو","يونيو","يوليو","أغسطس","سبتمبر","أكتوبر","نوفمبر","ديسمبر")</f>
        <v>مايو</v>
      </c>
      <c r="R752" s="40" t="str">
        <f aca="false">"الربع "&amp;ROUNDUP(MONTH(B752)/3,0)</f>
        <v>الربع 2</v>
      </c>
      <c r="S752" s="40" t="str">
        <f aca="false">IF(D752&lt;=12,"أطفال (0-12)",IF(D752&lt;=24,"شباب (13-24)",IF(D752&lt;=44,"بالغون (25-44)",IF(D752&lt;=64,"متوسطو العمر (45-64)","كبار السن (+65)"))))</f>
        <v>متوسطو العمر (45-64)</v>
      </c>
      <c r="T752" s="41" t="n">
        <f aca="false">IFERROR(L752/P752,0)</f>
        <v>909.665</v>
      </c>
    </row>
    <row r="753" customFormat="false" ht="15" hidden="false" customHeight="false" outlineLevel="0" collapsed="false">
      <c r="A753" s="33" t="s">
        <v>1512</v>
      </c>
      <c r="B753" s="34" t="n">
        <v>45424</v>
      </c>
      <c r="C753" s="34" t="n">
        <v>45425</v>
      </c>
      <c r="D753" s="33" t="n">
        <v>25</v>
      </c>
      <c r="E753" s="33" t="s">
        <v>154</v>
      </c>
      <c r="F753" s="33" t="s">
        <v>203</v>
      </c>
      <c r="G753" s="33" t="s">
        <v>204</v>
      </c>
      <c r="H753" s="33" t="s">
        <v>233</v>
      </c>
      <c r="I753" s="33" t="s">
        <v>158</v>
      </c>
      <c r="J753" s="33" t="s">
        <v>159</v>
      </c>
      <c r="K753" s="33" t="s">
        <v>160</v>
      </c>
      <c r="L753" s="35" t="n">
        <v>865.41</v>
      </c>
      <c r="M753" s="33" t="n">
        <v>4</v>
      </c>
      <c r="N753" s="33" t="s">
        <v>146</v>
      </c>
      <c r="O753" s="33" t="s">
        <v>206</v>
      </c>
      <c r="P753" s="39" t="n">
        <f aca="false">C753-B753</f>
        <v>1</v>
      </c>
      <c r="Q753" s="40" t="str">
        <f aca="false">CHOOSE(MONTH(B753),"يناير","فبراير","مارس","أبريل","مايو","يونيو","يوليو","أغسطس","سبتمبر","أكتوبر","نوفمبر","ديسمبر")</f>
        <v>مايو</v>
      </c>
      <c r="R753" s="40" t="str">
        <f aca="false">"الربع "&amp;ROUNDUP(MONTH(B753)/3,0)</f>
        <v>الربع 2</v>
      </c>
      <c r="S753" s="40" t="str">
        <f aca="false">IF(D753&lt;=12,"أطفال (0-12)",IF(D753&lt;=24,"شباب (13-24)",IF(D753&lt;=44,"بالغون (25-44)",IF(D753&lt;=64,"متوسطو العمر (45-64)","كبار السن (+65)"))))</f>
        <v>بالغون (25-44)</v>
      </c>
      <c r="T753" s="41" t="n">
        <f aca="false">IFERROR(L753/P753,0)</f>
        <v>865.41</v>
      </c>
    </row>
    <row r="754" customFormat="false" ht="15" hidden="false" customHeight="false" outlineLevel="0" collapsed="false">
      <c r="A754" s="42" t="s">
        <v>1720</v>
      </c>
      <c r="B754" s="43" t="n">
        <v>45425</v>
      </c>
      <c r="C754" s="43" t="n">
        <v>45427</v>
      </c>
      <c r="D754" s="42" t="n">
        <v>22</v>
      </c>
      <c r="E754" s="42" t="s">
        <v>154</v>
      </c>
      <c r="F754" s="42" t="s">
        <v>169</v>
      </c>
      <c r="G754" s="42" t="s">
        <v>213</v>
      </c>
      <c r="H754" s="42" t="s">
        <v>195</v>
      </c>
      <c r="I754" s="42" t="s">
        <v>143</v>
      </c>
      <c r="J754" s="42" t="s">
        <v>144</v>
      </c>
      <c r="K754" s="42" t="s">
        <v>145</v>
      </c>
      <c r="L754" s="44" t="n">
        <v>4077.82</v>
      </c>
      <c r="M754" s="42" t="n">
        <v>4</v>
      </c>
      <c r="N754" s="42" t="s">
        <v>210</v>
      </c>
      <c r="O754" s="42" t="s">
        <v>147</v>
      </c>
      <c r="P754" s="39" t="n">
        <f aca="false">C754-B754</f>
        <v>2</v>
      </c>
      <c r="Q754" s="40" t="str">
        <f aca="false">CHOOSE(MONTH(B754),"يناير","فبراير","مارس","أبريل","مايو","يونيو","يوليو","أغسطس","سبتمبر","أكتوبر","نوفمبر","ديسمبر")</f>
        <v>مايو</v>
      </c>
      <c r="R754" s="40" t="str">
        <f aca="false">"الربع "&amp;ROUNDUP(MONTH(B754)/3,0)</f>
        <v>الربع 2</v>
      </c>
      <c r="S754" s="40" t="str">
        <f aca="false">IF(D754&lt;=12,"أطفال (0-12)",IF(D754&lt;=24,"شباب (13-24)",IF(D754&lt;=44,"بالغون (25-44)",IF(D754&lt;=64,"متوسطو العمر (45-64)","كبار السن (+65)"))))</f>
        <v>شباب (13-24)</v>
      </c>
      <c r="T754" s="41" t="n">
        <f aca="false">IFERROR(L754/P754,0)</f>
        <v>2038.91</v>
      </c>
    </row>
    <row r="755" customFormat="false" ht="15" hidden="false" customHeight="false" outlineLevel="0" collapsed="false">
      <c r="A755" s="33" t="s">
        <v>333</v>
      </c>
      <c r="B755" s="34" t="n">
        <v>45425</v>
      </c>
      <c r="C755" s="34" t="n">
        <v>45426</v>
      </c>
      <c r="D755" s="33" t="n">
        <v>64</v>
      </c>
      <c r="E755" s="33" t="s">
        <v>154</v>
      </c>
      <c r="F755" s="33" t="s">
        <v>203</v>
      </c>
      <c r="G755" s="33" t="s">
        <v>241</v>
      </c>
      <c r="H755" s="33" t="s">
        <v>233</v>
      </c>
      <c r="I755" s="33" t="s">
        <v>143</v>
      </c>
      <c r="J755" s="33" t="s">
        <v>159</v>
      </c>
      <c r="K755" s="33" t="s">
        <v>184</v>
      </c>
      <c r="L755" s="35" t="n">
        <v>878.27</v>
      </c>
      <c r="M755" s="33" t="n">
        <v>2</v>
      </c>
      <c r="N755" s="33" t="s">
        <v>146</v>
      </c>
      <c r="O755" s="33" t="s">
        <v>147</v>
      </c>
      <c r="P755" s="39" t="n">
        <f aca="false">C755-B755</f>
        <v>1</v>
      </c>
      <c r="Q755" s="40" t="str">
        <f aca="false">CHOOSE(MONTH(B755),"يناير","فبراير","مارس","أبريل","مايو","يونيو","يوليو","أغسطس","سبتمبر","أكتوبر","نوفمبر","ديسمبر")</f>
        <v>مايو</v>
      </c>
      <c r="R755" s="40" t="str">
        <f aca="false">"الربع "&amp;ROUNDUP(MONTH(B755)/3,0)</f>
        <v>الربع 2</v>
      </c>
      <c r="S755" s="40" t="str">
        <f aca="false">IF(D755&lt;=12,"أطفال (0-12)",IF(D755&lt;=24,"شباب (13-24)",IF(D755&lt;=44,"بالغون (25-44)",IF(D755&lt;=64,"متوسطو العمر (45-64)","كبار السن (+65)"))))</f>
        <v>متوسطو العمر (45-64)</v>
      </c>
      <c r="T755" s="41" t="n">
        <f aca="false">IFERROR(L755/P755,0)</f>
        <v>878.27</v>
      </c>
    </row>
    <row r="756" customFormat="false" ht="15" hidden="false" customHeight="false" outlineLevel="0" collapsed="false">
      <c r="A756" s="42" t="s">
        <v>1593</v>
      </c>
      <c r="B756" s="43" t="n">
        <v>45425</v>
      </c>
      <c r="C756" s="43" t="n">
        <v>45430</v>
      </c>
      <c r="D756" s="42" t="n">
        <v>12</v>
      </c>
      <c r="E756" s="42" t="s">
        <v>139</v>
      </c>
      <c r="F756" s="42" t="s">
        <v>155</v>
      </c>
      <c r="G756" s="42" t="s">
        <v>302</v>
      </c>
      <c r="H756" s="42" t="s">
        <v>157</v>
      </c>
      <c r="I756" s="42" t="s">
        <v>143</v>
      </c>
      <c r="J756" s="42" t="s">
        <v>159</v>
      </c>
      <c r="K756" s="42" t="s">
        <v>145</v>
      </c>
      <c r="L756" s="44" t="n">
        <v>4044.45</v>
      </c>
      <c r="M756" s="42" t="n">
        <v>4</v>
      </c>
      <c r="N756" s="42" t="s">
        <v>146</v>
      </c>
      <c r="O756" s="42" t="s">
        <v>147</v>
      </c>
      <c r="P756" s="39" t="n">
        <f aca="false">C756-B756</f>
        <v>5</v>
      </c>
      <c r="Q756" s="40" t="str">
        <f aca="false">CHOOSE(MONTH(B756),"يناير","فبراير","مارس","أبريل","مايو","يونيو","يوليو","أغسطس","سبتمبر","أكتوبر","نوفمبر","ديسمبر")</f>
        <v>مايو</v>
      </c>
      <c r="R756" s="40" t="str">
        <f aca="false">"الربع "&amp;ROUNDUP(MONTH(B756)/3,0)</f>
        <v>الربع 2</v>
      </c>
      <c r="S756" s="40" t="str">
        <f aca="false">IF(D756&lt;=12,"أطفال (0-12)",IF(D756&lt;=24,"شباب (13-24)",IF(D756&lt;=44,"بالغون (25-44)",IF(D756&lt;=64,"متوسطو العمر (45-64)","كبار السن (+65)"))))</f>
        <v>أطفال (0-12)</v>
      </c>
      <c r="T756" s="41" t="n">
        <f aca="false">IFERROR(L756/P756,0)</f>
        <v>808.89</v>
      </c>
    </row>
    <row r="757" customFormat="false" ht="15" hidden="false" customHeight="false" outlineLevel="0" collapsed="false">
      <c r="A757" s="33" t="s">
        <v>1900</v>
      </c>
      <c r="B757" s="34" t="n">
        <v>45425</v>
      </c>
      <c r="C757" s="34" t="n">
        <v>45429</v>
      </c>
      <c r="D757" s="33" t="n">
        <v>51</v>
      </c>
      <c r="E757" s="33" t="s">
        <v>154</v>
      </c>
      <c r="F757" s="33" t="s">
        <v>140</v>
      </c>
      <c r="G757" s="33" t="s">
        <v>167</v>
      </c>
      <c r="H757" s="33" t="s">
        <v>290</v>
      </c>
      <c r="I757" s="33" t="s">
        <v>152</v>
      </c>
      <c r="J757" s="33" t="s">
        <v>159</v>
      </c>
      <c r="K757" s="33" t="s">
        <v>184</v>
      </c>
      <c r="L757" s="35" t="n">
        <v>8689.14</v>
      </c>
      <c r="M757" s="33" t="n">
        <v>4</v>
      </c>
      <c r="N757" s="33" t="s">
        <v>146</v>
      </c>
      <c r="O757" s="33" t="s">
        <v>147</v>
      </c>
      <c r="P757" s="39" t="n">
        <f aca="false">C757-B757</f>
        <v>4</v>
      </c>
      <c r="Q757" s="40" t="str">
        <f aca="false">CHOOSE(MONTH(B757),"يناير","فبراير","مارس","أبريل","مايو","يونيو","يوليو","أغسطس","سبتمبر","أكتوبر","نوفمبر","ديسمبر")</f>
        <v>مايو</v>
      </c>
      <c r="R757" s="40" t="str">
        <f aca="false">"الربع "&amp;ROUNDUP(MONTH(B757)/3,0)</f>
        <v>الربع 2</v>
      </c>
      <c r="S757" s="40" t="str">
        <f aca="false">IF(D757&lt;=12,"أطفال (0-12)",IF(D757&lt;=24,"شباب (13-24)",IF(D757&lt;=44,"بالغون (25-44)",IF(D757&lt;=64,"متوسطو العمر (45-64)","كبار السن (+65)"))))</f>
        <v>متوسطو العمر (45-64)</v>
      </c>
      <c r="T757" s="41" t="n">
        <f aca="false">IFERROR(L757/P757,0)</f>
        <v>2172.285</v>
      </c>
    </row>
    <row r="758" customFormat="false" ht="15" hidden="false" customHeight="false" outlineLevel="0" collapsed="false">
      <c r="A758" s="42" t="s">
        <v>298</v>
      </c>
      <c r="B758" s="43" t="n">
        <v>45425</v>
      </c>
      <c r="C758" s="43" t="n">
        <v>45427</v>
      </c>
      <c r="D758" s="42" t="n">
        <v>51</v>
      </c>
      <c r="E758" s="42" t="s">
        <v>154</v>
      </c>
      <c r="F758" s="42" t="s">
        <v>203</v>
      </c>
      <c r="G758" s="42" t="s">
        <v>241</v>
      </c>
      <c r="H758" s="42" t="s">
        <v>193</v>
      </c>
      <c r="I758" s="42" t="s">
        <v>143</v>
      </c>
      <c r="J758" s="42" t="s">
        <v>144</v>
      </c>
      <c r="K758" s="42" t="s">
        <v>184</v>
      </c>
      <c r="L758" s="44" t="n">
        <v>3220.18</v>
      </c>
      <c r="M758" s="42" t="n">
        <v>3</v>
      </c>
      <c r="N758" s="42" t="s">
        <v>146</v>
      </c>
      <c r="O758" s="42" t="s">
        <v>147</v>
      </c>
      <c r="P758" s="39" t="n">
        <f aca="false">C758-B758</f>
        <v>2</v>
      </c>
      <c r="Q758" s="40" t="str">
        <f aca="false">CHOOSE(MONTH(B758),"يناير","فبراير","مارس","أبريل","مايو","يونيو","يوليو","أغسطس","سبتمبر","أكتوبر","نوفمبر","ديسمبر")</f>
        <v>مايو</v>
      </c>
      <c r="R758" s="40" t="str">
        <f aca="false">"الربع "&amp;ROUNDUP(MONTH(B758)/3,0)</f>
        <v>الربع 2</v>
      </c>
      <c r="S758" s="40" t="str">
        <f aca="false">IF(D758&lt;=12,"أطفال (0-12)",IF(D758&lt;=24,"شباب (13-24)",IF(D758&lt;=44,"بالغون (25-44)",IF(D758&lt;=64,"متوسطو العمر (45-64)","كبار السن (+65)"))))</f>
        <v>متوسطو العمر (45-64)</v>
      </c>
      <c r="T758" s="41" t="n">
        <f aca="false">IFERROR(L758/P758,0)</f>
        <v>1610.09</v>
      </c>
    </row>
    <row r="759" customFormat="false" ht="15" hidden="false" customHeight="false" outlineLevel="0" collapsed="false">
      <c r="A759" s="33" t="s">
        <v>1273</v>
      </c>
      <c r="B759" s="34" t="n">
        <v>45426</v>
      </c>
      <c r="C759" s="34" t="n">
        <v>45428</v>
      </c>
      <c r="D759" s="33" t="n">
        <v>0</v>
      </c>
      <c r="E759" s="33" t="s">
        <v>139</v>
      </c>
      <c r="F759" s="33" t="s">
        <v>155</v>
      </c>
      <c r="G759" s="33" t="s">
        <v>220</v>
      </c>
      <c r="H759" s="33" t="s">
        <v>222</v>
      </c>
      <c r="I759" s="33" t="s">
        <v>143</v>
      </c>
      <c r="J759" s="33" t="s">
        <v>159</v>
      </c>
      <c r="K759" s="33" t="s">
        <v>209</v>
      </c>
      <c r="L759" s="35" t="n">
        <v>1835.53</v>
      </c>
      <c r="M759" s="33" t="n">
        <v>4</v>
      </c>
      <c r="N759" s="33" t="s">
        <v>146</v>
      </c>
      <c r="O759" s="33" t="s">
        <v>147</v>
      </c>
      <c r="P759" s="39" t="n">
        <f aca="false">C759-B759</f>
        <v>2</v>
      </c>
      <c r="Q759" s="40" t="str">
        <f aca="false">CHOOSE(MONTH(B759),"يناير","فبراير","مارس","أبريل","مايو","يونيو","يوليو","أغسطس","سبتمبر","أكتوبر","نوفمبر","ديسمبر")</f>
        <v>مايو</v>
      </c>
      <c r="R759" s="40" t="str">
        <f aca="false">"الربع "&amp;ROUNDUP(MONTH(B759)/3,0)</f>
        <v>الربع 2</v>
      </c>
      <c r="S759" s="40" t="str">
        <f aca="false">IF(D759&lt;=12,"أطفال (0-12)",IF(D759&lt;=24,"شباب (13-24)",IF(D759&lt;=44,"بالغون (25-44)",IF(D759&lt;=64,"متوسطو العمر (45-64)","كبار السن (+65)"))))</f>
        <v>أطفال (0-12)</v>
      </c>
      <c r="T759" s="41" t="n">
        <f aca="false">IFERROR(L759/P759,0)</f>
        <v>917.765</v>
      </c>
    </row>
    <row r="760" customFormat="false" ht="15" hidden="false" customHeight="false" outlineLevel="0" collapsed="false">
      <c r="A760" s="42" t="s">
        <v>2038</v>
      </c>
      <c r="B760" s="43" t="n">
        <v>45426</v>
      </c>
      <c r="C760" s="43" t="n">
        <v>45427</v>
      </c>
      <c r="D760" s="42" t="n">
        <v>56</v>
      </c>
      <c r="E760" s="42" t="s">
        <v>154</v>
      </c>
      <c r="F760" s="42" t="s">
        <v>203</v>
      </c>
      <c r="G760" s="42" t="s">
        <v>204</v>
      </c>
      <c r="H760" s="42" t="s">
        <v>193</v>
      </c>
      <c r="I760" s="42" t="s">
        <v>143</v>
      </c>
      <c r="J760" s="42" t="s">
        <v>159</v>
      </c>
      <c r="K760" s="42" t="s">
        <v>145</v>
      </c>
      <c r="L760" s="44" t="n">
        <v>996.52</v>
      </c>
      <c r="M760" s="42" t="n">
        <v>3</v>
      </c>
      <c r="N760" s="42" t="s">
        <v>146</v>
      </c>
      <c r="O760" s="42" t="s">
        <v>147</v>
      </c>
      <c r="P760" s="39" t="n">
        <f aca="false">C760-B760</f>
        <v>1</v>
      </c>
      <c r="Q760" s="40" t="str">
        <f aca="false">CHOOSE(MONTH(B760),"يناير","فبراير","مارس","أبريل","مايو","يونيو","يوليو","أغسطس","سبتمبر","أكتوبر","نوفمبر","ديسمبر")</f>
        <v>مايو</v>
      </c>
      <c r="R760" s="40" t="str">
        <f aca="false">"الربع "&amp;ROUNDUP(MONTH(B760)/3,0)</f>
        <v>الربع 2</v>
      </c>
      <c r="S760" s="40" t="str">
        <f aca="false">IF(D760&lt;=12,"أطفال (0-12)",IF(D760&lt;=24,"شباب (13-24)",IF(D760&lt;=44,"بالغون (25-44)",IF(D760&lt;=64,"متوسطو العمر (45-64)","كبار السن (+65)"))))</f>
        <v>متوسطو العمر (45-64)</v>
      </c>
      <c r="T760" s="41" t="n">
        <f aca="false">IFERROR(L760/P760,0)</f>
        <v>996.52</v>
      </c>
    </row>
    <row r="761" customFormat="false" ht="15" hidden="false" customHeight="false" outlineLevel="0" collapsed="false">
      <c r="A761" s="33" t="s">
        <v>420</v>
      </c>
      <c r="B761" s="34" t="n">
        <v>45426</v>
      </c>
      <c r="C761" s="34" t="n">
        <v>45427</v>
      </c>
      <c r="D761" s="33" t="n">
        <v>52</v>
      </c>
      <c r="E761" s="33" t="s">
        <v>154</v>
      </c>
      <c r="F761" s="33" t="s">
        <v>203</v>
      </c>
      <c r="G761" s="33" t="s">
        <v>232</v>
      </c>
      <c r="H761" s="33" t="s">
        <v>193</v>
      </c>
      <c r="I761" s="33" t="s">
        <v>143</v>
      </c>
      <c r="J761" s="33" t="s">
        <v>159</v>
      </c>
      <c r="K761" s="33" t="s">
        <v>145</v>
      </c>
      <c r="L761" s="35" t="n">
        <v>1121.89</v>
      </c>
      <c r="M761" s="33" t="n">
        <v>3</v>
      </c>
      <c r="N761" s="33" t="s">
        <v>146</v>
      </c>
      <c r="O761" s="33" t="s">
        <v>147</v>
      </c>
      <c r="P761" s="39" t="n">
        <f aca="false">C761-B761</f>
        <v>1</v>
      </c>
      <c r="Q761" s="40" t="str">
        <f aca="false">CHOOSE(MONTH(B761),"يناير","فبراير","مارس","أبريل","مايو","يونيو","يوليو","أغسطس","سبتمبر","أكتوبر","نوفمبر","ديسمبر")</f>
        <v>مايو</v>
      </c>
      <c r="R761" s="40" t="str">
        <f aca="false">"الربع "&amp;ROUNDUP(MONTH(B761)/3,0)</f>
        <v>الربع 2</v>
      </c>
      <c r="S761" s="40" t="str">
        <f aca="false">IF(D761&lt;=12,"أطفال (0-12)",IF(D761&lt;=24,"شباب (13-24)",IF(D761&lt;=44,"بالغون (25-44)",IF(D761&lt;=64,"متوسطو العمر (45-64)","كبار السن (+65)"))))</f>
        <v>متوسطو العمر (45-64)</v>
      </c>
      <c r="T761" s="41" t="n">
        <f aca="false">IFERROR(L761/P761,0)</f>
        <v>1121.89</v>
      </c>
    </row>
    <row r="762" customFormat="false" ht="15" hidden="false" customHeight="false" outlineLevel="0" collapsed="false">
      <c r="A762" s="42" t="s">
        <v>1638</v>
      </c>
      <c r="B762" s="43" t="n">
        <v>45426</v>
      </c>
      <c r="C762" s="43" t="n">
        <v>45430</v>
      </c>
      <c r="D762" s="42" t="n">
        <v>31</v>
      </c>
      <c r="E762" s="42" t="s">
        <v>139</v>
      </c>
      <c r="F762" s="42" t="s">
        <v>140</v>
      </c>
      <c r="G762" s="42" t="s">
        <v>141</v>
      </c>
      <c r="H762" s="42" t="s">
        <v>142</v>
      </c>
      <c r="I762" s="42" t="s">
        <v>152</v>
      </c>
      <c r="J762" s="42" t="s">
        <v>159</v>
      </c>
      <c r="K762" s="42" t="s">
        <v>145</v>
      </c>
      <c r="L762" s="44" t="n">
        <v>9263.42</v>
      </c>
      <c r="M762" s="42" t="n">
        <v>3</v>
      </c>
      <c r="N762" s="42" t="s">
        <v>146</v>
      </c>
      <c r="O762" s="42" t="s">
        <v>247</v>
      </c>
      <c r="P762" s="39" t="n">
        <f aca="false">C762-B762</f>
        <v>4</v>
      </c>
      <c r="Q762" s="40" t="str">
        <f aca="false">CHOOSE(MONTH(B762),"يناير","فبراير","مارس","أبريل","مايو","يونيو","يوليو","أغسطس","سبتمبر","أكتوبر","نوفمبر","ديسمبر")</f>
        <v>مايو</v>
      </c>
      <c r="R762" s="40" t="str">
        <f aca="false">"الربع "&amp;ROUNDUP(MONTH(B762)/3,0)</f>
        <v>الربع 2</v>
      </c>
      <c r="S762" s="40" t="str">
        <f aca="false">IF(D762&lt;=12,"أطفال (0-12)",IF(D762&lt;=24,"شباب (13-24)",IF(D762&lt;=44,"بالغون (25-44)",IF(D762&lt;=64,"متوسطو العمر (45-64)","كبار السن (+65)"))))</f>
        <v>بالغون (25-44)</v>
      </c>
      <c r="T762" s="41" t="n">
        <f aca="false">IFERROR(L762/P762,0)</f>
        <v>2315.855</v>
      </c>
    </row>
    <row r="763" customFormat="false" ht="15" hidden="false" customHeight="false" outlineLevel="0" collapsed="false">
      <c r="A763" s="33" t="s">
        <v>639</v>
      </c>
      <c r="B763" s="34" t="n">
        <v>45426</v>
      </c>
      <c r="C763" s="34" t="n">
        <v>45434</v>
      </c>
      <c r="D763" s="33" t="n">
        <v>61</v>
      </c>
      <c r="E763" s="33" t="s">
        <v>154</v>
      </c>
      <c r="F763" s="33" t="s">
        <v>226</v>
      </c>
      <c r="G763" s="33" t="s">
        <v>386</v>
      </c>
      <c r="H763" s="33" t="s">
        <v>228</v>
      </c>
      <c r="I763" s="33" t="s">
        <v>152</v>
      </c>
      <c r="J763" s="33" t="s">
        <v>176</v>
      </c>
      <c r="K763" s="33" t="s">
        <v>145</v>
      </c>
      <c r="L763" s="35" t="n">
        <v>67312.86</v>
      </c>
      <c r="M763" s="33" t="n">
        <v>4</v>
      </c>
      <c r="N763" s="33" t="s">
        <v>210</v>
      </c>
      <c r="O763" s="33" t="s">
        <v>147</v>
      </c>
      <c r="P763" s="39" t="n">
        <f aca="false">C763-B763</f>
        <v>8</v>
      </c>
      <c r="Q763" s="40" t="str">
        <f aca="false">CHOOSE(MONTH(B763),"يناير","فبراير","مارس","أبريل","مايو","يونيو","يوليو","أغسطس","سبتمبر","أكتوبر","نوفمبر","ديسمبر")</f>
        <v>مايو</v>
      </c>
      <c r="R763" s="40" t="str">
        <f aca="false">"الربع "&amp;ROUNDUP(MONTH(B763)/3,0)</f>
        <v>الربع 2</v>
      </c>
      <c r="S763" s="40" t="str">
        <f aca="false">IF(D763&lt;=12,"أطفال (0-12)",IF(D763&lt;=24,"شباب (13-24)",IF(D763&lt;=44,"بالغون (25-44)",IF(D763&lt;=64,"متوسطو العمر (45-64)","كبار السن (+65)"))))</f>
        <v>متوسطو العمر (45-64)</v>
      </c>
      <c r="T763" s="41" t="n">
        <f aca="false">IFERROR(L763/P763,0)</f>
        <v>8414.1075</v>
      </c>
    </row>
    <row r="764" customFormat="false" ht="15" hidden="false" customHeight="false" outlineLevel="0" collapsed="false">
      <c r="A764" s="42" t="s">
        <v>651</v>
      </c>
      <c r="B764" s="43" t="n">
        <v>45426</v>
      </c>
      <c r="C764" s="43" t="n">
        <v>45427</v>
      </c>
      <c r="D764" s="42" t="n">
        <v>59</v>
      </c>
      <c r="E764" s="42" t="s">
        <v>139</v>
      </c>
      <c r="F764" s="42" t="s">
        <v>181</v>
      </c>
      <c r="G764" s="42" t="s">
        <v>182</v>
      </c>
      <c r="H764" s="42" t="s">
        <v>183</v>
      </c>
      <c r="I764" s="42" t="s">
        <v>152</v>
      </c>
      <c r="J764" s="42" t="s">
        <v>159</v>
      </c>
      <c r="K764" s="42" t="s">
        <v>160</v>
      </c>
      <c r="L764" s="44" t="n">
        <v>2214.6</v>
      </c>
      <c r="M764" s="42" t="n">
        <v>2</v>
      </c>
      <c r="N764" s="42" t="s">
        <v>146</v>
      </c>
      <c r="O764" s="42" t="s">
        <v>147</v>
      </c>
      <c r="P764" s="39" t="n">
        <f aca="false">C764-B764</f>
        <v>1</v>
      </c>
      <c r="Q764" s="40" t="str">
        <f aca="false">CHOOSE(MONTH(B764),"يناير","فبراير","مارس","أبريل","مايو","يونيو","يوليو","أغسطس","سبتمبر","أكتوبر","نوفمبر","ديسمبر")</f>
        <v>مايو</v>
      </c>
      <c r="R764" s="40" t="str">
        <f aca="false">"الربع "&amp;ROUNDUP(MONTH(B764)/3,0)</f>
        <v>الربع 2</v>
      </c>
      <c r="S764" s="40" t="str">
        <f aca="false">IF(D764&lt;=12,"أطفال (0-12)",IF(D764&lt;=24,"شباب (13-24)",IF(D764&lt;=44,"بالغون (25-44)",IF(D764&lt;=64,"متوسطو العمر (45-64)","كبار السن (+65)"))))</f>
        <v>متوسطو العمر (45-64)</v>
      </c>
      <c r="T764" s="41" t="n">
        <f aca="false">IFERROR(L764/P764,0)</f>
        <v>2214.6</v>
      </c>
    </row>
    <row r="765" customFormat="false" ht="15" hidden="false" customHeight="false" outlineLevel="0" collapsed="false">
      <c r="A765" s="33" t="s">
        <v>2161</v>
      </c>
      <c r="B765" s="34" t="n">
        <v>45426</v>
      </c>
      <c r="C765" s="34" t="n">
        <v>45427</v>
      </c>
      <c r="D765" s="33" t="n">
        <v>33</v>
      </c>
      <c r="E765" s="33" t="s">
        <v>139</v>
      </c>
      <c r="F765" s="33" t="s">
        <v>203</v>
      </c>
      <c r="G765" s="33" t="s">
        <v>241</v>
      </c>
      <c r="H765" s="33" t="s">
        <v>233</v>
      </c>
      <c r="I765" s="33" t="s">
        <v>143</v>
      </c>
      <c r="J765" s="33" t="s">
        <v>176</v>
      </c>
      <c r="K765" s="33" t="s">
        <v>184</v>
      </c>
      <c r="L765" s="35" t="n">
        <v>3213.97</v>
      </c>
      <c r="M765" s="33" t="n">
        <v>2</v>
      </c>
      <c r="N765" s="33" t="s">
        <v>146</v>
      </c>
      <c r="O765" s="33" t="s">
        <v>147</v>
      </c>
      <c r="P765" s="39" t="n">
        <f aca="false">C765-B765</f>
        <v>1</v>
      </c>
      <c r="Q765" s="40" t="str">
        <f aca="false">CHOOSE(MONTH(B765),"يناير","فبراير","مارس","أبريل","مايو","يونيو","يوليو","أغسطس","سبتمبر","أكتوبر","نوفمبر","ديسمبر")</f>
        <v>مايو</v>
      </c>
      <c r="R765" s="40" t="str">
        <f aca="false">"الربع "&amp;ROUNDUP(MONTH(B765)/3,0)</f>
        <v>الربع 2</v>
      </c>
      <c r="S765" s="40" t="str">
        <f aca="false">IF(D765&lt;=12,"أطفال (0-12)",IF(D765&lt;=24,"شباب (13-24)",IF(D765&lt;=44,"بالغون (25-44)",IF(D765&lt;=64,"متوسطو العمر (45-64)","كبار السن (+65)"))))</f>
        <v>بالغون (25-44)</v>
      </c>
      <c r="T765" s="41" t="n">
        <f aca="false">IFERROR(L765/P765,0)</f>
        <v>3213.97</v>
      </c>
    </row>
    <row r="766" customFormat="false" ht="15" hidden="false" customHeight="false" outlineLevel="0" collapsed="false">
      <c r="A766" s="42" t="s">
        <v>987</v>
      </c>
      <c r="B766" s="43" t="n">
        <v>45427</v>
      </c>
      <c r="C766" s="43" t="n">
        <v>45430</v>
      </c>
      <c r="D766" s="42" t="n">
        <v>86</v>
      </c>
      <c r="E766" s="42" t="s">
        <v>154</v>
      </c>
      <c r="F766" s="42" t="s">
        <v>181</v>
      </c>
      <c r="G766" s="42" t="s">
        <v>237</v>
      </c>
      <c r="H766" s="42" t="s">
        <v>183</v>
      </c>
      <c r="I766" s="42" t="s">
        <v>152</v>
      </c>
      <c r="J766" s="42" t="s">
        <v>159</v>
      </c>
      <c r="K766" s="42" t="s">
        <v>145</v>
      </c>
      <c r="L766" s="44" t="n">
        <v>7353.51</v>
      </c>
      <c r="M766" s="42" t="n">
        <v>4</v>
      </c>
      <c r="N766" s="42" t="s">
        <v>146</v>
      </c>
      <c r="O766" s="42" t="s">
        <v>147</v>
      </c>
      <c r="P766" s="39" t="n">
        <f aca="false">C766-B766</f>
        <v>3</v>
      </c>
      <c r="Q766" s="40" t="str">
        <f aca="false">CHOOSE(MONTH(B766),"يناير","فبراير","مارس","أبريل","مايو","يونيو","يوليو","أغسطس","سبتمبر","أكتوبر","نوفمبر","ديسمبر")</f>
        <v>مايو</v>
      </c>
      <c r="R766" s="40" t="str">
        <f aca="false">"الربع "&amp;ROUNDUP(MONTH(B766)/3,0)</f>
        <v>الربع 2</v>
      </c>
      <c r="S766" s="40" t="str">
        <f aca="false">IF(D766&lt;=12,"أطفال (0-12)",IF(D766&lt;=24,"شباب (13-24)",IF(D766&lt;=44,"بالغون (25-44)",IF(D766&lt;=64,"متوسطو العمر (45-64)","كبار السن (+65)"))))</f>
        <v>كبار السن (+65)</v>
      </c>
      <c r="T766" s="41" t="n">
        <f aca="false">IFERROR(L766/P766,0)</f>
        <v>2451.17</v>
      </c>
    </row>
    <row r="767" customFormat="false" ht="15" hidden="false" customHeight="false" outlineLevel="0" collapsed="false">
      <c r="A767" s="33" t="s">
        <v>740</v>
      </c>
      <c r="B767" s="34" t="n">
        <v>45427</v>
      </c>
      <c r="C767" s="34" t="n">
        <v>45432</v>
      </c>
      <c r="D767" s="33" t="n">
        <v>62</v>
      </c>
      <c r="E767" s="33" t="s">
        <v>139</v>
      </c>
      <c r="F767" s="33" t="s">
        <v>140</v>
      </c>
      <c r="G767" s="33" t="s">
        <v>141</v>
      </c>
      <c r="H767" s="33" t="s">
        <v>290</v>
      </c>
      <c r="I767" s="33" t="s">
        <v>143</v>
      </c>
      <c r="J767" s="33" t="s">
        <v>176</v>
      </c>
      <c r="K767" s="33" t="s">
        <v>145</v>
      </c>
      <c r="L767" s="35" t="n">
        <v>38204.94</v>
      </c>
      <c r="M767" s="33" t="n">
        <v>4</v>
      </c>
      <c r="N767" s="33" t="s">
        <v>146</v>
      </c>
      <c r="O767" s="33" t="s">
        <v>147</v>
      </c>
      <c r="P767" s="39" t="n">
        <f aca="false">C767-B767</f>
        <v>5</v>
      </c>
      <c r="Q767" s="40" t="str">
        <f aca="false">CHOOSE(MONTH(B767),"يناير","فبراير","مارس","أبريل","مايو","يونيو","يوليو","أغسطس","سبتمبر","أكتوبر","نوفمبر","ديسمبر")</f>
        <v>مايو</v>
      </c>
      <c r="R767" s="40" t="str">
        <f aca="false">"الربع "&amp;ROUNDUP(MONTH(B767)/3,0)</f>
        <v>الربع 2</v>
      </c>
      <c r="S767" s="40" t="str">
        <f aca="false">IF(D767&lt;=12,"أطفال (0-12)",IF(D767&lt;=24,"شباب (13-24)",IF(D767&lt;=44,"بالغون (25-44)",IF(D767&lt;=64,"متوسطو العمر (45-64)","كبار السن (+65)"))))</f>
        <v>متوسطو العمر (45-64)</v>
      </c>
      <c r="T767" s="41" t="n">
        <f aca="false">IFERROR(L767/P767,0)</f>
        <v>7640.988</v>
      </c>
    </row>
    <row r="768" customFormat="false" ht="15" hidden="false" customHeight="false" outlineLevel="0" collapsed="false">
      <c r="A768" s="42" t="s">
        <v>810</v>
      </c>
      <c r="B768" s="43" t="n">
        <v>45427</v>
      </c>
      <c r="C768" s="43" t="n">
        <v>45428</v>
      </c>
      <c r="D768" s="42" t="n">
        <v>46</v>
      </c>
      <c r="E768" s="42" t="s">
        <v>154</v>
      </c>
      <c r="F768" s="42" t="s">
        <v>140</v>
      </c>
      <c r="G768" s="42" t="s">
        <v>316</v>
      </c>
      <c r="H768" s="42" t="s">
        <v>142</v>
      </c>
      <c r="I768" s="42" t="s">
        <v>152</v>
      </c>
      <c r="J768" s="42" t="s">
        <v>159</v>
      </c>
      <c r="K768" s="42" t="s">
        <v>145</v>
      </c>
      <c r="L768" s="44" t="n">
        <v>2417.59</v>
      </c>
      <c r="M768" s="42" t="n">
        <v>4</v>
      </c>
      <c r="N768" s="42" t="s">
        <v>146</v>
      </c>
      <c r="O768" s="42" t="s">
        <v>147</v>
      </c>
      <c r="P768" s="39" t="n">
        <f aca="false">C768-B768</f>
        <v>1</v>
      </c>
      <c r="Q768" s="40" t="str">
        <f aca="false">CHOOSE(MONTH(B768),"يناير","فبراير","مارس","أبريل","مايو","يونيو","يوليو","أغسطس","سبتمبر","أكتوبر","نوفمبر","ديسمبر")</f>
        <v>مايو</v>
      </c>
      <c r="R768" s="40" t="str">
        <f aca="false">"الربع "&amp;ROUNDUP(MONTH(B768)/3,0)</f>
        <v>الربع 2</v>
      </c>
      <c r="S768" s="40" t="str">
        <f aca="false">IF(D768&lt;=12,"أطفال (0-12)",IF(D768&lt;=24,"شباب (13-24)",IF(D768&lt;=44,"بالغون (25-44)",IF(D768&lt;=64,"متوسطو العمر (45-64)","كبار السن (+65)"))))</f>
        <v>متوسطو العمر (45-64)</v>
      </c>
      <c r="T768" s="41" t="n">
        <f aca="false">IFERROR(L768/P768,0)</f>
        <v>2417.59</v>
      </c>
    </row>
    <row r="769" customFormat="false" ht="15" hidden="false" customHeight="false" outlineLevel="0" collapsed="false">
      <c r="A769" s="33" t="s">
        <v>1909</v>
      </c>
      <c r="B769" s="34" t="n">
        <v>45427</v>
      </c>
      <c r="C769" s="34" t="n">
        <v>45429</v>
      </c>
      <c r="D769" s="33" t="n">
        <v>33</v>
      </c>
      <c r="E769" s="33" t="s">
        <v>139</v>
      </c>
      <c r="F769" s="33" t="s">
        <v>173</v>
      </c>
      <c r="G769" s="33" t="s">
        <v>198</v>
      </c>
      <c r="H769" s="33" t="s">
        <v>199</v>
      </c>
      <c r="I769" s="33" t="s">
        <v>143</v>
      </c>
      <c r="J769" s="33" t="s">
        <v>159</v>
      </c>
      <c r="K769" s="33" t="s">
        <v>209</v>
      </c>
      <c r="L769" s="35" t="n">
        <v>5644.99</v>
      </c>
      <c r="M769" s="33" t="n">
        <v>4</v>
      </c>
      <c r="N769" s="33" t="s">
        <v>146</v>
      </c>
      <c r="O769" s="33" t="s">
        <v>247</v>
      </c>
      <c r="P769" s="39" t="n">
        <f aca="false">C769-B769</f>
        <v>2</v>
      </c>
      <c r="Q769" s="40" t="str">
        <f aca="false">CHOOSE(MONTH(B769),"يناير","فبراير","مارس","أبريل","مايو","يونيو","يوليو","أغسطس","سبتمبر","أكتوبر","نوفمبر","ديسمبر")</f>
        <v>مايو</v>
      </c>
      <c r="R769" s="40" t="str">
        <f aca="false">"الربع "&amp;ROUNDUP(MONTH(B769)/3,0)</f>
        <v>الربع 2</v>
      </c>
      <c r="S769" s="40" t="str">
        <f aca="false">IF(D769&lt;=12,"أطفال (0-12)",IF(D769&lt;=24,"شباب (13-24)",IF(D769&lt;=44,"بالغون (25-44)",IF(D769&lt;=64,"متوسطو العمر (45-64)","كبار السن (+65)"))))</f>
        <v>بالغون (25-44)</v>
      </c>
      <c r="T769" s="41" t="n">
        <f aca="false">IFERROR(L769/P769,0)</f>
        <v>2822.495</v>
      </c>
    </row>
    <row r="770" customFormat="false" ht="15" hidden="false" customHeight="false" outlineLevel="0" collapsed="false">
      <c r="A770" s="42" t="s">
        <v>2195</v>
      </c>
      <c r="B770" s="43" t="n">
        <v>45427</v>
      </c>
      <c r="C770" s="43" t="n">
        <v>45431</v>
      </c>
      <c r="D770" s="42" t="n">
        <v>6</v>
      </c>
      <c r="E770" s="42" t="s">
        <v>154</v>
      </c>
      <c r="F770" s="42" t="s">
        <v>155</v>
      </c>
      <c r="G770" s="42" t="s">
        <v>302</v>
      </c>
      <c r="H770" s="42" t="s">
        <v>157</v>
      </c>
      <c r="I770" s="42" t="s">
        <v>143</v>
      </c>
      <c r="J770" s="42" t="s">
        <v>144</v>
      </c>
      <c r="K770" s="42" t="s">
        <v>184</v>
      </c>
      <c r="L770" s="44" t="n">
        <v>6048.72</v>
      </c>
      <c r="M770" s="42" t="n">
        <v>5</v>
      </c>
      <c r="N770" s="42" t="s">
        <v>146</v>
      </c>
      <c r="O770" s="42" t="s">
        <v>147</v>
      </c>
      <c r="P770" s="39" t="n">
        <f aca="false">C770-B770</f>
        <v>4</v>
      </c>
      <c r="Q770" s="40" t="str">
        <f aca="false">CHOOSE(MONTH(B770),"يناير","فبراير","مارس","أبريل","مايو","يونيو","يوليو","أغسطس","سبتمبر","أكتوبر","نوفمبر","ديسمبر")</f>
        <v>مايو</v>
      </c>
      <c r="R770" s="40" t="str">
        <f aca="false">"الربع "&amp;ROUNDUP(MONTH(B770)/3,0)</f>
        <v>الربع 2</v>
      </c>
      <c r="S770" s="40" t="str">
        <f aca="false">IF(D770&lt;=12,"أطفال (0-12)",IF(D770&lt;=24,"شباب (13-24)",IF(D770&lt;=44,"بالغون (25-44)",IF(D770&lt;=64,"متوسطو العمر (45-64)","كبار السن (+65)"))))</f>
        <v>أطفال (0-12)</v>
      </c>
      <c r="T770" s="41" t="n">
        <f aca="false">IFERROR(L770/P770,0)</f>
        <v>1512.18</v>
      </c>
    </row>
    <row r="771" customFormat="false" ht="15" hidden="false" customHeight="false" outlineLevel="0" collapsed="false">
      <c r="A771" s="33" t="s">
        <v>2012</v>
      </c>
      <c r="B771" s="34" t="n">
        <v>45427</v>
      </c>
      <c r="C771" s="34" t="n">
        <v>45428</v>
      </c>
      <c r="D771" s="33" t="n">
        <v>40</v>
      </c>
      <c r="E771" s="33" t="s">
        <v>154</v>
      </c>
      <c r="F771" s="33" t="s">
        <v>173</v>
      </c>
      <c r="G771" s="33" t="s">
        <v>198</v>
      </c>
      <c r="H771" s="33" t="s">
        <v>175</v>
      </c>
      <c r="I771" s="33" t="s">
        <v>143</v>
      </c>
      <c r="J771" s="33" t="s">
        <v>176</v>
      </c>
      <c r="K771" s="33" t="s">
        <v>184</v>
      </c>
      <c r="L771" s="35" t="n">
        <v>8481.56</v>
      </c>
      <c r="M771" s="33" t="n">
        <v>4</v>
      </c>
      <c r="N771" s="33" t="s">
        <v>146</v>
      </c>
      <c r="O771" s="33" t="s">
        <v>147</v>
      </c>
      <c r="P771" s="39" t="n">
        <f aca="false">C771-B771</f>
        <v>1</v>
      </c>
      <c r="Q771" s="40" t="str">
        <f aca="false">CHOOSE(MONTH(B771),"يناير","فبراير","مارس","أبريل","مايو","يونيو","يوليو","أغسطس","سبتمبر","أكتوبر","نوفمبر","ديسمبر")</f>
        <v>مايو</v>
      </c>
      <c r="R771" s="40" t="str">
        <f aca="false">"الربع "&amp;ROUNDUP(MONTH(B771)/3,0)</f>
        <v>الربع 2</v>
      </c>
      <c r="S771" s="40" t="str">
        <f aca="false">IF(D771&lt;=12,"أطفال (0-12)",IF(D771&lt;=24,"شباب (13-24)",IF(D771&lt;=44,"بالغون (25-44)",IF(D771&lt;=64,"متوسطو العمر (45-64)","كبار السن (+65)"))))</f>
        <v>بالغون (25-44)</v>
      </c>
      <c r="T771" s="41" t="n">
        <f aca="false">IFERROR(L771/P771,0)</f>
        <v>8481.56</v>
      </c>
    </row>
    <row r="772" customFormat="false" ht="15" hidden="false" customHeight="false" outlineLevel="0" collapsed="false">
      <c r="A772" s="42" t="s">
        <v>2019</v>
      </c>
      <c r="B772" s="43" t="n">
        <v>45427</v>
      </c>
      <c r="C772" s="43" t="n">
        <v>45432</v>
      </c>
      <c r="D772" s="42" t="n">
        <v>28</v>
      </c>
      <c r="E772" s="42" t="s">
        <v>154</v>
      </c>
      <c r="F772" s="42" t="s">
        <v>173</v>
      </c>
      <c r="G772" s="42" t="s">
        <v>178</v>
      </c>
      <c r="H772" s="42" t="s">
        <v>175</v>
      </c>
      <c r="I772" s="42" t="s">
        <v>152</v>
      </c>
      <c r="J772" s="42" t="s">
        <v>159</v>
      </c>
      <c r="K772" s="42" t="s">
        <v>145</v>
      </c>
      <c r="L772" s="44" t="n">
        <v>14951.51</v>
      </c>
      <c r="M772" s="42" t="n">
        <v>3</v>
      </c>
      <c r="N772" s="42" t="s">
        <v>146</v>
      </c>
      <c r="O772" s="42" t="s">
        <v>147</v>
      </c>
      <c r="P772" s="39" t="n">
        <f aca="false">C772-B772</f>
        <v>5</v>
      </c>
      <c r="Q772" s="40" t="str">
        <f aca="false">CHOOSE(MONTH(B772),"يناير","فبراير","مارس","أبريل","مايو","يونيو","يوليو","أغسطس","سبتمبر","أكتوبر","نوفمبر","ديسمبر")</f>
        <v>مايو</v>
      </c>
      <c r="R772" s="40" t="str">
        <f aca="false">"الربع "&amp;ROUNDUP(MONTH(B772)/3,0)</f>
        <v>الربع 2</v>
      </c>
      <c r="S772" s="40" t="str">
        <f aca="false">IF(D772&lt;=12,"أطفال (0-12)",IF(D772&lt;=24,"شباب (13-24)",IF(D772&lt;=44,"بالغون (25-44)",IF(D772&lt;=64,"متوسطو العمر (45-64)","كبار السن (+65)"))))</f>
        <v>بالغون (25-44)</v>
      </c>
      <c r="T772" s="41" t="n">
        <f aca="false">IFERROR(L772/P772,0)</f>
        <v>2990.302</v>
      </c>
    </row>
    <row r="773" customFormat="false" ht="15" hidden="false" customHeight="false" outlineLevel="0" collapsed="false">
      <c r="A773" s="33" t="s">
        <v>1131</v>
      </c>
      <c r="B773" s="34" t="n">
        <v>45427</v>
      </c>
      <c r="C773" s="34" t="n">
        <v>45431</v>
      </c>
      <c r="D773" s="33" t="n">
        <v>1</v>
      </c>
      <c r="E773" s="33" t="s">
        <v>139</v>
      </c>
      <c r="F773" s="33" t="s">
        <v>155</v>
      </c>
      <c r="G773" s="33" t="s">
        <v>220</v>
      </c>
      <c r="H773" s="33" t="s">
        <v>222</v>
      </c>
      <c r="I773" s="33" t="s">
        <v>143</v>
      </c>
      <c r="J773" s="33" t="s">
        <v>159</v>
      </c>
      <c r="K773" s="33" t="s">
        <v>145</v>
      </c>
      <c r="L773" s="35" t="n">
        <v>2736.56</v>
      </c>
      <c r="M773" s="33" t="n">
        <v>5</v>
      </c>
      <c r="N773" s="33" t="s">
        <v>146</v>
      </c>
      <c r="O773" s="33" t="s">
        <v>147</v>
      </c>
      <c r="P773" s="39" t="n">
        <f aca="false">C773-B773</f>
        <v>4</v>
      </c>
      <c r="Q773" s="40" t="str">
        <f aca="false">CHOOSE(MONTH(B773),"يناير","فبراير","مارس","أبريل","مايو","يونيو","يوليو","أغسطس","سبتمبر","أكتوبر","نوفمبر","ديسمبر")</f>
        <v>مايو</v>
      </c>
      <c r="R773" s="40" t="str">
        <f aca="false">"الربع "&amp;ROUNDUP(MONTH(B773)/3,0)</f>
        <v>الربع 2</v>
      </c>
      <c r="S773" s="40" t="str">
        <f aca="false">IF(D773&lt;=12,"أطفال (0-12)",IF(D773&lt;=24,"شباب (13-24)",IF(D773&lt;=44,"بالغون (25-44)",IF(D773&lt;=64,"متوسطو العمر (45-64)","كبار السن (+65)"))))</f>
        <v>أطفال (0-12)</v>
      </c>
      <c r="T773" s="41" t="n">
        <f aca="false">IFERROR(L773/P773,0)</f>
        <v>684.14</v>
      </c>
    </row>
    <row r="774" customFormat="false" ht="15" hidden="false" customHeight="false" outlineLevel="0" collapsed="false">
      <c r="A774" s="42" t="s">
        <v>389</v>
      </c>
      <c r="B774" s="43" t="n">
        <v>45428</v>
      </c>
      <c r="C774" s="43" t="n">
        <v>45429</v>
      </c>
      <c r="D774" s="42" t="n">
        <v>46</v>
      </c>
      <c r="E774" s="42" t="s">
        <v>154</v>
      </c>
      <c r="F774" s="42" t="s">
        <v>203</v>
      </c>
      <c r="G774" s="42" t="s">
        <v>192</v>
      </c>
      <c r="H774" s="42" t="s">
        <v>205</v>
      </c>
      <c r="I774" s="42" t="s">
        <v>143</v>
      </c>
      <c r="J774" s="42" t="s">
        <v>159</v>
      </c>
      <c r="K774" s="42" t="s">
        <v>145</v>
      </c>
      <c r="L774" s="44" t="n">
        <v>1016.79</v>
      </c>
      <c r="M774" s="42" t="n">
        <v>3</v>
      </c>
      <c r="N774" s="42" t="s">
        <v>146</v>
      </c>
      <c r="O774" s="42" t="s">
        <v>147</v>
      </c>
      <c r="P774" s="39" t="n">
        <f aca="false">C774-B774</f>
        <v>1</v>
      </c>
      <c r="Q774" s="40" t="str">
        <f aca="false">CHOOSE(MONTH(B774),"يناير","فبراير","مارس","أبريل","مايو","يونيو","يوليو","أغسطس","سبتمبر","أكتوبر","نوفمبر","ديسمبر")</f>
        <v>مايو</v>
      </c>
      <c r="R774" s="40" t="str">
        <f aca="false">"الربع "&amp;ROUNDUP(MONTH(B774)/3,0)</f>
        <v>الربع 2</v>
      </c>
      <c r="S774" s="40" t="str">
        <f aca="false">IF(D774&lt;=12,"أطفال (0-12)",IF(D774&lt;=24,"شباب (13-24)",IF(D774&lt;=44,"بالغون (25-44)",IF(D774&lt;=64,"متوسطو العمر (45-64)","كبار السن (+65)"))))</f>
        <v>متوسطو العمر (45-64)</v>
      </c>
      <c r="T774" s="41" t="n">
        <f aca="false">IFERROR(L774/P774,0)</f>
        <v>1016.79</v>
      </c>
    </row>
    <row r="775" customFormat="false" ht="15" hidden="false" customHeight="false" outlineLevel="0" collapsed="false">
      <c r="A775" s="33" t="s">
        <v>2168</v>
      </c>
      <c r="B775" s="34" t="n">
        <v>45428</v>
      </c>
      <c r="C775" s="34" t="n">
        <v>45432</v>
      </c>
      <c r="D775" s="33" t="n">
        <v>51</v>
      </c>
      <c r="E775" s="33" t="s">
        <v>154</v>
      </c>
      <c r="F775" s="33" t="s">
        <v>173</v>
      </c>
      <c r="G775" s="33" t="s">
        <v>178</v>
      </c>
      <c r="H775" s="33" t="s">
        <v>199</v>
      </c>
      <c r="I775" s="33" t="s">
        <v>152</v>
      </c>
      <c r="J775" s="33" t="s">
        <v>159</v>
      </c>
      <c r="K775" s="33" t="s">
        <v>145</v>
      </c>
      <c r="L775" s="35" t="n">
        <v>8818.03</v>
      </c>
      <c r="M775" s="33" t="n">
        <v>2</v>
      </c>
      <c r="N775" s="33" t="s">
        <v>146</v>
      </c>
      <c r="O775" s="33" t="s">
        <v>147</v>
      </c>
      <c r="P775" s="39" t="n">
        <f aca="false">C775-B775</f>
        <v>4</v>
      </c>
      <c r="Q775" s="40" t="str">
        <f aca="false">CHOOSE(MONTH(B775),"يناير","فبراير","مارس","أبريل","مايو","يونيو","يوليو","أغسطس","سبتمبر","أكتوبر","نوفمبر","ديسمبر")</f>
        <v>مايو</v>
      </c>
      <c r="R775" s="40" t="str">
        <f aca="false">"الربع "&amp;ROUNDUP(MONTH(B775)/3,0)</f>
        <v>الربع 2</v>
      </c>
      <c r="S775" s="40" t="str">
        <f aca="false">IF(D775&lt;=12,"أطفال (0-12)",IF(D775&lt;=24,"شباب (13-24)",IF(D775&lt;=44,"بالغون (25-44)",IF(D775&lt;=64,"متوسطو العمر (45-64)","كبار السن (+65)"))))</f>
        <v>متوسطو العمر (45-64)</v>
      </c>
      <c r="T775" s="41" t="n">
        <f aca="false">IFERROR(L775/P775,0)</f>
        <v>2204.5075</v>
      </c>
    </row>
    <row r="776" customFormat="false" ht="15" hidden="false" customHeight="false" outlineLevel="0" collapsed="false">
      <c r="A776" s="42" t="s">
        <v>2275</v>
      </c>
      <c r="B776" s="43" t="n">
        <v>45428</v>
      </c>
      <c r="C776" s="43" t="n">
        <v>45430</v>
      </c>
      <c r="D776" s="42" t="n">
        <v>42</v>
      </c>
      <c r="E776" s="42" t="s">
        <v>139</v>
      </c>
      <c r="F776" s="42" t="s">
        <v>203</v>
      </c>
      <c r="G776" s="42" t="s">
        <v>241</v>
      </c>
      <c r="H776" s="42" t="s">
        <v>193</v>
      </c>
      <c r="I776" s="42" t="s">
        <v>143</v>
      </c>
      <c r="J776" s="42" t="s">
        <v>159</v>
      </c>
      <c r="K776" s="42" t="s">
        <v>145</v>
      </c>
      <c r="L776" s="44" t="n">
        <v>1930.91</v>
      </c>
      <c r="M776" s="42" t="n">
        <v>3</v>
      </c>
      <c r="N776" s="42" t="s">
        <v>146</v>
      </c>
      <c r="O776" s="42" t="s">
        <v>147</v>
      </c>
      <c r="P776" s="39" t="n">
        <f aca="false">C776-B776</f>
        <v>2</v>
      </c>
      <c r="Q776" s="40" t="str">
        <f aca="false">CHOOSE(MONTH(B776),"يناير","فبراير","مارس","أبريل","مايو","يونيو","يوليو","أغسطس","سبتمبر","أكتوبر","نوفمبر","ديسمبر")</f>
        <v>مايو</v>
      </c>
      <c r="R776" s="40" t="str">
        <f aca="false">"الربع "&amp;ROUNDUP(MONTH(B776)/3,0)</f>
        <v>الربع 2</v>
      </c>
      <c r="S776" s="40" t="str">
        <f aca="false">IF(D776&lt;=12,"أطفال (0-12)",IF(D776&lt;=24,"شباب (13-24)",IF(D776&lt;=44,"بالغون (25-44)",IF(D776&lt;=64,"متوسطو العمر (45-64)","كبار السن (+65)"))))</f>
        <v>بالغون (25-44)</v>
      </c>
      <c r="T776" s="41" t="n">
        <f aca="false">IFERROR(L776/P776,0)</f>
        <v>965.455</v>
      </c>
    </row>
    <row r="777" customFormat="false" ht="15" hidden="false" customHeight="false" outlineLevel="0" collapsed="false">
      <c r="A777" s="33" t="s">
        <v>2215</v>
      </c>
      <c r="B777" s="34" t="n">
        <v>45428</v>
      </c>
      <c r="C777" s="34" t="n">
        <v>45436</v>
      </c>
      <c r="D777" s="33" t="n">
        <v>56</v>
      </c>
      <c r="E777" s="33" t="s">
        <v>154</v>
      </c>
      <c r="F777" s="33" t="s">
        <v>140</v>
      </c>
      <c r="G777" s="33" t="s">
        <v>167</v>
      </c>
      <c r="H777" s="33" t="s">
        <v>142</v>
      </c>
      <c r="I777" s="33" t="s">
        <v>143</v>
      </c>
      <c r="J777" s="33" t="s">
        <v>144</v>
      </c>
      <c r="K777" s="33" t="s">
        <v>145</v>
      </c>
      <c r="L777" s="35" t="n">
        <v>31897.18</v>
      </c>
      <c r="M777" s="33" t="n">
        <v>3</v>
      </c>
      <c r="N777" s="33" t="s">
        <v>146</v>
      </c>
      <c r="O777" s="33" t="s">
        <v>147</v>
      </c>
      <c r="P777" s="39" t="n">
        <f aca="false">C777-B777</f>
        <v>8</v>
      </c>
      <c r="Q777" s="40" t="str">
        <f aca="false">CHOOSE(MONTH(B777),"يناير","فبراير","مارس","أبريل","مايو","يونيو","يوليو","أغسطس","سبتمبر","أكتوبر","نوفمبر","ديسمبر")</f>
        <v>مايو</v>
      </c>
      <c r="R777" s="40" t="str">
        <f aca="false">"الربع "&amp;ROUNDUP(MONTH(B777)/3,0)</f>
        <v>الربع 2</v>
      </c>
      <c r="S777" s="40" t="str">
        <f aca="false">IF(D777&lt;=12,"أطفال (0-12)",IF(D777&lt;=24,"شباب (13-24)",IF(D777&lt;=44,"بالغون (25-44)",IF(D777&lt;=64,"متوسطو العمر (45-64)","كبار السن (+65)"))))</f>
        <v>متوسطو العمر (45-64)</v>
      </c>
      <c r="T777" s="41" t="n">
        <f aca="false">IFERROR(L777/P777,0)</f>
        <v>3987.1475</v>
      </c>
    </row>
    <row r="778" customFormat="false" ht="15" hidden="false" customHeight="false" outlineLevel="0" collapsed="false">
      <c r="A778" s="42" t="s">
        <v>2237</v>
      </c>
      <c r="B778" s="43" t="n">
        <v>45428</v>
      </c>
      <c r="C778" s="43" t="n">
        <v>45429</v>
      </c>
      <c r="D778" s="42" t="n">
        <v>73</v>
      </c>
      <c r="E778" s="42" t="s">
        <v>139</v>
      </c>
      <c r="F778" s="42" t="s">
        <v>169</v>
      </c>
      <c r="G778" s="42" t="s">
        <v>213</v>
      </c>
      <c r="H778" s="42" t="s">
        <v>171</v>
      </c>
      <c r="I778" s="42" t="s">
        <v>152</v>
      </c>
      <c r="J778" s="42" t="s">
        <v>159</v>
      </c>
      <c r="K778" s="42" t="s">
        <v>184</v>
      </c>
      <c r="L778" s="44" t="n">
        <v>1092.62</v>
      </c>
      <c r="M778" s="42" t="n">
        <v>5</v>
      </c>
      <c r="N778" s="42" t="s">
        <v>146</v>
      </c>
      <c r="O778" s="42" t="s">
        <v>147</v>
      </c>
      <c r="P778" s="39" t="n">
        <f aca="false">C778-B778</f>
        <v>1</v>
      </c>
      <c r="Q778" s="40" t="str">
        <f aca="false">CHOOSE(MONTH(B778),"يناير","فبراير","مارس","أبريل","مايو","يونيو","يوليو","أغسطس","سبتمبر","أكتوبر","نوفمبر","ديسمبر")</f>
        <v>مايو</v>
      </c>
      <c r="R778" s="40" t="str">
        <f aca="false">"الربع "&amp;ROUNDUP(MONTH(B778)/3,0)</f>
        <v>الربع 2</v>
      </c>
      <c r="S778" s="40" t="str">
        <f aca="false">IF(D778&lt;=12,"أطفال (0-12)",IF(D778&lt;=24,"شباب (13-24)",IF(D778&lt;=44,"بالغون (25-44)",IF(D778&lt;=64,"متوسطو العمر (45-64)","كبار السن (+65)"))))</f>
        <v>كبار السن (+65)</v>
      </c>
      <c r="T778" s="41" t="n">
        <f aca="false">IFERROR(L778/P778,0)</f>
        <v>1092.62</v>
      </c>
    </row>
    <row r="779" customFormat="false" ht="15" hidden="false" customHeight="false" outlineLevel="0" collapsed="false">
      <c r="A779" s="33" t="s">
        <v>965</v>
      </c>
      <c r="B779" s="34" t="n">
        <v>45428</v>
      </c>
      <c r="C779" s="34" t="n">
        <v>45430</v>
      </c>
      <c r="D779" s="33" t="n">
        <v>56</v>
      </c>
      <c r="E779" s="33" t="s">
        <v>154</v>
      </c>
      <c r="F779" s="33" t="s">
        <v>140</v>
      </c>
      <c r="G779" s="33" t="s">
        <v>167</v>
      </c>
      <c r="H779" s="33" t="s">
        <v>142</v>
      </c>
      <c r="I779" s="33" t="s">
        <v>143</v>
      </c>
      <c r="J779" s="33" t="s">
        <v>159</v>
      </c>
      <c r="K779" s="33" t="s">
        <v>145</v>
      </c>
      <c r="L779" s="35" t="n">
        <v>3965.87</v>
      </c>
      <c r="M779" s="33" t="n">
        <v>3</v>
      </c>
      <c r="N779" s="33" t="s">
        <v>146</v>
      </c>
      <c r="O779" s="33" t="s">
        <v>147</v>
      </c>
      <c r="P779" s="39" t="n">
        <f aca="false">C779-B779</f>
        <v>2</v>
      </c>
      <c r="Q779" s="40" t="str">
        <f aca="false">CHOOSE(MONTH(B779),"يناير","فبراير","مارس","أبريل","مايو","يونيو","يوليو","أغسطس","سبتمبر","أكتوبر","نوفمبر","ديسمبر")</f>
        <v>مايو</v>
      </c>
      <c r="R779" s="40" t="str">
        <f aca="false">"الربع "&amp;ROUNDUP(MONTH(B779)/3,0)</f>
        <v>الربع 2</v>
      </c>
      <c r="S779" s="40" t="str">
        <f aca="false">IF(D779&lt;=12,"أطفال (0-12)",IF(D779&lt;=24,"شباب (13-24)",IF(D779&lt;=44,"بالغون (25-44)",IF(D779&lt;=64,"متوسطو العمر (45-64)","كبار السن (+65)"))))</f>
        <v>متوسطو العمر (45-64)</v>
      </c>
      <c r="T779" s="41" t="n">
        <f aca="false">IFERROR(L779/P779,0)</f>
        <v>1982.935</v>
      </c>
    </row>
    <row r="780" customFormat="false" ht="15" hidden="false" customHeight="false" outlineLevel="0" collapsed="false">
      <c r="A780" s="42" t="s">
        <v>2228</v>
      </c>
      <c r="B780" s="43" t="n">
        <v>45429</v>
      </c>
      <c r="C780" s="43" t="n">
        <v>45444</v>
      </c>
      <c r="D780" s="42" t="n">
        <v>51</v>
      </c>
      <c r="E780" s="42" t="s">
        <v>154</v>
      </c>
      <c r="F780" s="42" t="s">
        <v>169</v>
      </c>
      <c r="G780" s="42" t="s">
        <v>213</v>
      </c>
      <c r="H780" s="42" t="s">
        <v>195</v>
      </c>
      <c r="I780" s="42" t="s">
        <v>143</v>
      </c>
      <c r="J780" s="42" t="s">
        <v>144</v>
      </c>
      <c r="K780" s="42" t="s">
        <v>184</v>
      </c>
      <c r="L780" s="44" t="n">
        <v>28532.79</v>
      </c>
      <c r="M780" s="42" t="n">
        <v>3</v>
      </c>
      <c r="N780" s="42" t="s">
        <v>146</v>
      </c>
      <c r="O780" s="42" t="s">
        <v>147</v>
      </c>
      <c r="P780" s="39" t="n">
        <f aca="false">C780-B780</f>
        <v>15</v>
      </c>
      <c r="Q780" s="40" t="str">
        <f aca="false">CHOOSE(MONTH(B780),"يناير","فبراير","مارس","أبريل","مايو","يونيو","يوليو","أغسطس","سبتمبر","أكتوبر","نوفمبر","ديسمبر")</f>
        <v>مايو</v>
      </c>
      <c r="R780" s="40" t="str">
        <f aca="false">"الربع "&amp;ROUNDUP(MONTH(B780)/3,0)</f>
        <v>الربع 2</v>
      </c>
      <c r="S780" s="40" t="str">
        <f aca="false">IF(D780&lt;=12,"أطفال (0-12)",IF(D780&lt;=24,"شباب (13-24)",IF(D780&lt;=44,"بالغون (25-44)",IF(D780&lt;=64,"متوسطو العمر (45-64)","كبار السن (+65)"))))</f>
        <v>متوسطو العمر (45-64)</v>
      </c>
      <c r="T780" s="41" t="n">
        <f aca="false">IFERROR(L780/P780,0)</f>
        <v>1902.186</v>
      </c>
    </row>
    <row r="781" customFormat="false" ht="15" hidden="false" customHeight="false" outlineLevel="0" collapsed="false">
      <c r="A781" s="33" t="s">
        <v>824</v>
      </c>
      <c r="B781" s="34" t="n">
        <v>45429</v>
      </c>
      <c r="C781" s="34" t="n">
        <v>45430</v>
      </c>
      <c r="D781" s="33" t="n">
        <v>62</v>
      </c>
      <c r="E781" s="33" t="s">
        <v>154</v>
      </c>
      <c r="F781" s="33" t="s">
        <v>203</v>
      </c>
      <c r="G781" s="33" t="s">
        <v>204</v>
      </c>
      <c r="H781" s="33" t="s">
        <v>233</v>
      </c>
      <c r="I781" s="33" t="s">
        <v>143</v>
      </c>
      <c r="J781" s="33" t="s">
        <v>159</v>
      </c>
      <c r="K781" s="33" t="s">
        <v>145</v>
      </c>
      <c r="L781" s="35" t="n">
        <v>1060.48</v>
      </c>
      <c r="M781" s="33" t="n">
        <v>3</v>
      </c>
      <c r="N781" s="33" t="s">
        <v>146</v>
      </c>
      <c r="O781" s="33" t="s">
        <v>147</v>
      </c>
      <c r="P781" s="39" t="n">
        <f aca="false">C781-B781</f>
        <v>1</v>
      </c>
      <c r="Q781" s="40" t="str">
        <f aca="false">CHOOSE(MONTH(B781),"يناير","فبراير","مارس","أبريل","مايو","يونيو","يوليو","أغسطس","سبتمبر","أكتوبر","نوفمبر","ديسمبر")</f>
        <v>مايو</v>
      </c>
      <c r="R781" s="40" t="str">
        <f aca="false">"الربع "&amp;ROUNDUP(MONTH(B781)/3,0)</f>
        <v>الربع 2</v>
      </c>
      <c r="S781" s="40" t="str">
        <f aca="false">IF(D781&lt;=12,"أطفال (0-12)",IF(D781&lt;=24,"شباب (13-24)",IF(D781&lt;=44,"بالغون (25-44)",IF(D781&lt;=64,"متوسطو العمر (45-64)","كبار السن (+65)"))))</f>
        <v>متوسطو العمر (45-64)</v>
      </c>
      <c r="T781" s="41" t="n">
        <f aca="false">IFERROR(L781/P781,0)</f>
        <v>1060.48</v>
      </c>
    </row>
    <row r="782" customFormat="false" ht="15" hidden="false" customHeight="false" outlineLevel="0" collapsed="false">
      <c r="A782" s="42" t="s">
        <v>1135</v>
      </c>
      <c r="B782" s="43" t="n">
        <v>45429</v>
      </c>
      <c r="C782" s="43" t="n">
        <v>45430</v>
      </c>
      <c r="D782" s="42" t="n">
        <v>29</v>
      </c>
      <c r="E782" s="42" t="s">
        <v>139</v>
      </c>
      <c r="F782" s="42" t="s">
        <v>169</v>
      </c>
      <c r="G782" s="42" t="s">
        <v>170</v>
      </c>
      <c r="H782" s="42" t="s">
        <v>195</v>
      </c>
      <c r="I782" s="42" t="s">
        <v>143</v>
      </c>
      <c r="J782" s="42" t="s">
        <v>176</v>
      </c>
      <c r="K782" s="42" t="s">
        <v>145</v>
      </c>
      <c r="L782" s="44" t="n">
        <v>3996.78</v>
      </c>
      <c r="M782" s="42" t="n">
        <v>4</v>
      </c>
      <c r="N782" s="42" t="s">
        <v>146</v>
      </c>
      <c r="O782" s="42" t="s">
        <v>147</v>
      </c>
      <c r="P782" s="39" t="n">
        <f aca="false">C782-B782</f>
        <v>1</v>
      </c>
      <c r="Q782" s="40" t="str">
        <f aca="false">CHOOSE(MONTH(B782),"يناير","فبراير","مارس","أبريل","مايو","يونيو","يوليو","أغسطس","سبتمبر","أكتوبر","نوفمبر","ديسمبر")</f>
        <v>مايو</v>
      </c>
      <c r="R782" s="40" t="str">
        <f aca="false">"الربع "&amp;ROUNDUP(MONTH(B782)/3,0)</f>
        <v>الربع 2</v>
      </c>
      <c r="S782" s="40" t="str">
        <f aca="false">IF(D782&lt;=12,"أطفال (0-12)",IF(D782&lt;=24,"شباب (13-24)",IF(D782&lt;=44,"بالغون (25-44)",IF(D782&lt;=64,"متوسطو العمر (45-64)","كبار السن (+65)"))))</f>
        <v>بالغون (25-44)</v>
      </c>
      <c r="T782" s="41" t="n">
        <f aca="false">IFERROR(L782/P782,0)</f>
        <v>3996.78</v>
      </c>
    </row>
    <row r="783" customFormat="false" ht="15" hidden="false" customHeight="false" outlineLevel="0" collapsed="false">
      <c r="A783" s="33" t="s">
        <v>1424</v>
      </c>
      <c r="B783" s="34" t="n">
        <v>45430</v>
      </c>
      <c r="C783" s="34" t="n">
        <v>45434</v>
      </c>
      <c r="D783" s="33" t="n">
        <v>20</v>
      </c>
      <c r="E783" s="33" t="s">
        <v>139</v>
      </c>
      <c r="F783" s="33" t="s">
        <v>149</v>
      </c>
      <c r="G783" s="33" t="s">
        <v>150</v>
      </c>
      <c r="H783" s="33" t="s">
        <v>151</v>
      </c>
      <c r="I783" s="33" t="s">
        <v>152</v>
      </c>
      <c r="J783" s="33" t="s">
        <v>159</v>
      </c>
      <c r="K783" s="33" t="s">
        <v>145</v>
      </c>
      <c r="L783" s="35" t="n">
        <v>7047.76</v>
      </c>
      <c r="M783" s="33" t="n">
        <v>3</v>
      </c>
      <c r="N783" s="33" t="s">
        <v>146</v>
      </c>
      <c r="O783" s="33" t="s">
        <v>147</v>
      </c>
      <c r="P783" s="39" t="n">
        <f aca="false">C783-B783</f>
        <v>4</v>
      </c>
      <c r="Q783" s="40" t="str">
        <f aca="false">CHOOSE(MONTH(B783),"يناير","فبراير","مارس","أبريل","مايو","يونيو","يوليو","أغسطس","سبتمبر","أكتوبر","نوفمبر","ديسمبر")</f>
        <v>مايو</v>
      </c>
      <c r="R783" s="40" t="str">
        <f aca="false">"الربع "&amp;ROUNDUP(MONTH(B783)/3,0)</f>
        <v>الربع 2</v>
      </c>
      <c r="S783" s="40" t="str">
        <f aca="false">IF(D783&lt;=12,"أطفال (0-12)",IF(D783&lt;=24,"شباب (13-24)",IF(D783&lt;=44,"بالغون (25-44)",IF(D783&lt;=64,"متوسطو العمر (45-64)","كبار السن (+65)"))))</f>
        <v>شباب (13-24)</v>
      </c>
      <c r="T783" s="41" t="n">
        <f aca="false">IFERROR(L783/P783,0)</f>
        <v>1761.94</v>
      </c>
    </row>
    <row r="784" customFormat="false" ht="15" hidden="false" customHeight="false" outlineLevel="0" collapsed="false">
      <c r="A784" s="42" t="s">
        <v>1915</v>
      </c>
      <c r="B784" s="43" t="n">
        <v>45430</v>
      </c>
      <c r="C784" s="43" t="n">
        <v>45431</v>
      </c>
      <c r="D784" s="42" t="n">
        <v>13</v>
      </c>
      <c r="E784" s="42" t="s">
        <v>139</v>
      </c>
      <c r="F784" s="42" t="s">
        <v>169</v>
      </c>
      <c r="G784" s="42" t="s">
        <v>170</v>
      </c>
      <c r="H784" s="42" t="s">
        <v>171</v>
      </c>
      <c r="I784" s="42" t="s">
        <v>143</v>
      </c>
      <c r="J784" s="42" t="s">
        <v>144</v>
      </c>
      <c r="K784" s="42" t="s">
        <v>160</v>
      </c>
      <c r="L784" s="44" t="n">
        <v>1966.76</v>
      </c>
      <c r="M784" s="42" t="n">
        <v>4</v>
      </c>
      <c r="N784" s="42" t="s">
        <v>146</v>
      </c>
      <c r="O784" s="42" t="s">
        <v>147</v>
      </c>
      <c r="P784" s="39" t="n">
        <f aca="false">C784-B784</f>
        <v>1</v>
      </c>
      <c r="Q784" s="40" t="str">
        <f aca="false">CHOOSE(MONTH(B784),"يناير","فبراير","مارس","أبريل","مايو","يونيو","يوليو","أغسطس","سبتمبر","أكتوبر","نوفمبر","ديسمبر")</f>
        <v>مايو</v>
      </c>
      <c r="R784" s="40" t="str">
        <f aca="false">"الربع "&amp;ROUNDUP(MONTH(B784)/3,0)</f>
        <v>الربع 2</v>
      </c>
      <c r="S784" s="40" t="str">
        <f aca="false">IF(D784&lt;=12,"أطفال (0-12)",IF(D784&lt;=24,"شباب (13-24)",IF(D784&lt;=44,"بالغون (25-44)",IF(D784&lt;=64,"متوسطو العمر (45-64)","كبار السن (+65)"))))</f>
        <v>شباب (13-24)</v>
      </c>
      <c r="T784" s="41" t="n">
        <f aca="false">IFERROR(L784/P784,0)</f>
        <v>1966.76</v>
      </c>
    </row>
    <row r="785" customFormat="false" ht="15" hidden="false" customHeight="false" outlineLevel="0" collapsed="false">
      <c r="A785" s="33" t="s">
        <v>341</v>
      </c>
      <c r="B785" s="34" t="n">
        <v>45430</v>
      </c>
      <c r="C785" s="34" t="n">
        <v>45435</v>
      </c>
      <c r="D785" s="33" t="n">
        <v>24</v>
      </c>
      <c r="E785" s="33" t="s">
        <v>154</v>
      </c>
      <c r="F785" s="33" t="s">
        <v>169</v>
      </c>
      <c r="G785" s="33" t="s">
        <v>213</v>
      </c>
      <c r="H785" s="33" t="s">
        <v>195</v>
      </c>
      <c r="I785" s="33" t="s">
        <v>143</v>
      </c>
      <c r="J785" s="33" t="s">
        <v>159</v>
      </c>
      <c r="K785" s="33" t="s">
        <v>209</v>
      </c>
      <c r="L785" s="35" t="n">
        <v>4892</v>
      </c>
      <c r="M785" s="33" t="n">
        <v>4</v>
      </c>
      <c r="N785" s="33" t="s">
        <v>146</v>
      </c>
      <c r="O785" s="33" t="s">
        <v>147</v>
      </c>
      <c r="P785" s="39" t="n">
        <f aca="false">C785-B785</f>
        <v>5</v>
      </c>
      <c r="Q785" s="40" t="str">
        <f aca="false">CHOOSE(MONTH(B785),"يناير","فبراير","مارس","أبريل","مايو","يونيو","يوليو","أغسطس","سبتمبر","أكتوبر","نوفمبر","ديسمبر")</f>
        <v>مايو</v>
      </c>
      <c r="R785" s="40" t="str">
        <f aca="false">"الربع "&amp;ROUNDUP(MONTH(B785)/3,0)</f>
        <v>الربع 2</v>
      </c>
      <c r="S785" s="40" t="str">
        <f aca="false">IF(D785&lt;=12,"أطفال (0-12)",IF(D785&lt;=24,"شباب (13-24)",IF(D785&lt;=44,"بالغون (25-44)",IF(D785&lt;=64,"متوسطو العمر (45-64)","كبار السن (+65)"))))</f>
        <v>شباب (13-24)</v>
      </c>
      <c r="T785" s="41" t="n">
        <f aca="false">IFERROR(L785/P785,0)</f>
        <v>978.4</v>
      </c>
    </row>
    <row r="786" customFormat="false" ht="15" hidden="false" customHeight="false" outlineLevel="0" collapsed="false">
      <c r="A786" s="42" t="s">
        <v>1083</v>
      </c>
      <c r="B786" s="43" t="n">
        <v>45430</v>
      </c>
      <c r="C786" s="43" t="n">
        <v>45431</v>
      </c>
      <c r="D786" s="42" t="n">
        <v>54</v>
      </c>
      <c r="E786" s="42" t="s">
        <v>139</v>
      </c>
      <c r="F786" s="42" t="s">
        <v>203</v>
      </c>
      <c r="G786" s="42" t="s">
        <v>204</v>
      </c>
      <c r="H786" s="42" t="s">
        <v>193</v>
      </c>
      <c r="I786" s="42" t="s">
        <v>143</v>
      </c>
      <c r="J786" s="42" t="s">
        <v>159</v>
      </c>
      <c r="K786" s="42" t="s">
        <v>145</v>
      </c>
      <c r="L786" s="44" t="n">
        <v>944.27</v>
      </c>
      <c r="M786" s="42" t="n">
        <v>3</v>
      </c>
      <c r="N786" s="42" t="s">
        <v>146</v>
      </c>
      <c r="O786" s="42" t="s">
        <v>147</v>
      </c>
      <c r="P786" s="39" t="n">
        <f aca="false">C786-B786</f>
        <v>1</v>
      </c>
      <c r="Q786" s="40" t="str">
        <f aca="false">CHOOSE(MONTH(B786),"يناير","فبراير","مارس","أبريل","مايو","يونيو","يوليو","أغسطس","سبتمبر","أكتوبر","نوفمبر","ديسمبر")</f>
        <v>مايو</v>
      </c>
      <c r="R786" s="40" t="str">
        <f aca="false">"الربع "&amp;ROUNDUP(MONTH(B786)/3,0)</f>
        <v>الربع 2</v>
      </c>
      <c r="S786" s="40" t="str">
        <f aca="false">IF(D786&lt;=12,"أطفال (0-12)",IF(D786&lt;=24,"شباب (13-24)",IF(D786&lt;=44,"بالغون (25-44)",IF(D786&lt;=64,"متوسطو العمر (45-64)","كبار السن (+65)"))))</f>
        <v>متوسطو العمر (45-64)</v>
      </c>
      <c r="T786" s="41" t="n">
        <f aca="false">IFERROR(L786/P786,0)</f>
        <v>944.27</v>
      </c>
    </row>
    <row r="787" customFormat="false" ht="15" hidden="false" customHeight="false" outlineLevel="0" collapsed="false">
      <c r="A787" s="33" t="s">
        <v>1094</v>
      </c>
      <c r="B787" s="34" t="n">
        <v>45431</v>
      </c>
      <c r="C787" s="34" t="n">
        <v>45432</v>
      </c>
      <c r="D787" s="33" t="n">
        <v>12</v>
      </c>
      <c r="E787" s="33" t="s">
        <v>139</v>
      </c>
      <c r="F787" s="33" t="s">
        <v>155</v>
      </c>
      <c r="G787" s="33" t="s">
        <v>220</v>
      </c>
      <c r="H787" s="33" t="s">
        <v>222</v>
      </c>
      <c r="I787" s="33" t="s">
        <v>143</v>
      </c>
      <c r="J787" s="33" t="s">
        <v>144</v>
      </c>
      <c r="K787" s="33" t="s">
        <v>145</v>
      </c>
      <c r="L787" s="35" t="n">
        <v>1158.68</v>
      </c>
      <c r="M787" s="33" t="n">
        <v>4</v>
      </c>
      <c r="N787" s="33" t="s">
        <v>146</v>
      </c>
      <c r="O787" s="33" t="s">
        <v>147</v>
      </c>
      <c r="P787" s="39" t="n">
        <f aca="false">C787-B787</f>
        <v>1</v>
      </c>
      <c r="Q787" s="40" t="str">
        <f aca="false">CHOOSE(MONTH(B787),"يناير","فبراير","مارس","أبريل","مايو","يونيو","يوليو","أغسطس","سبتمبر","أكتوبر","نوفمبر","ديسمبر")</f>
        <v>مايو</v>
      </c>
      <c r="R787" s="40" t="str">
        <f aca="false">"الربع "&amp;ROUNDUP(MONTH(B787)/3,0)</f>
        <v>الربع 2</v>
      </c>
      <c r="S787" s="40" t="str">
        <f aca="false">IF(D787&lt;=12,"أطفال (0-12)",IF(D787&lt;=24,"شباب (13-24)",IF(D787&lt;=44,"بالغون (25-44)",IF(D787&lt;=64,"متوسطو العمر (45-64)","كبار السن (+65)"))))</f>
        <v>أطفال (0-12)</v>
      </c>
      <c r="T787" s="41" t="n">
        <f aca="false">IFERROR(L787/P787,0)</f>
        <v>1158.68</v>
      </c>
    </row>
    <row r="788" customFormat="false" ht="15" hidden="false" customHeight="false" outlineLevel="0" collapsed="false">
      <c r="A788" s="42" t="s">
        <v>1802</v>
      </c>
      <c r="B788" s="43" t="n">
        <v>45431</v>
      </c>
      <c r="C788" s="43" t="n">
        <v>45432</v>
      </c>
      <c r="D788" s="42" t="n">
        <v>24</v>
      </c>
      <c r="E788" s="42" t="s">
        <v>139</v>
      </c>
      <c r="F788" s="42" t="s">
        <v>149</v>
      </c>
      <c r="G788" s="42" t="s">
        <v>243</v>
      </c>
      <c r="H788" s="42" t="s">
        <v>151</v>
      </c>
      <c r="I788" s="42" t="s">
        <v>152</v>
      </c>
      <c r="J788" s="42" t="s">
        <v>159</v>
      </c>
      <c r="K788" s="42" t="s">
        <v>160</v>
      </c>
      <c r="L788" s="44" t="n">
        <v>1347.67</v>
      </c>
      <c r="M788" s="42" t="n">
        <v>4</v>
      </c>
      <c r="N788" s="42" t="s">
        <v>146</v>
      </c>
      <c r="O788" s="42" t="s">
        <v>147</v>
      </c>
      <c r="P788" s="39" t="n">
        <f aca="false">C788-B788</f>
        <v>1</v>
      </c>
      <c r="Q788" s="40" t="str">
        <f aca="false">CHOOSE(MONTH(B788),"يناير","فبراير","مارس","أبريل","مايو","يونيو","يوليو","أغسطس","سبتمبر","أكتوبر","نوفمبر","ديسمبر")</f>
        <v>مايو</v>
      </c>
      <c r="R788" s="40" t="str">
        <f aca="false">"الربع "&amp;ROUNDUP(MONTH(B788)/3,0)</f>
        <v>الربع 2</v>
      </c>
      <c r="S788" s="40" t="str">
        <f aca="false">IF(D788&lt;=12,"أطفال (0-12)",IF(D788&lt;=24,"شباب (13-24)",IF(D788&lt;=44,"بالغون (25-44)",IF(D788&lt;=64,"متوسطو العمر (45-64)","كبار السن (+65)"))))</f>
        <v>شباب (13-24)</v>
      </c>
      <c r="T788" s="41" t="n">
        <f aca="false">IFERROR(L788/P788,0)</f>
        <v>1347.67</v>
      </c>
    </row>
    <row r="789" customFormat="false" ht="15" hidden="false" customHeight="false" outlineLevel="0" collapsed="false">
      <c r="A789" s="33" t="s">
        <v>822</v>
      </c>
      <c r="B789" s="34" t="n">
        <v>45431</v>
      </c>
      <c r="C789" s="34" t="n">
        <v>45436</v>
      </c>
      <c r="D789" s="33" t="n">
        <v>55</v>
      </c>
      <c r="E789" s="33" t="s">
        <v>139</v>
      </c>
      <c r="F789" s="33" t="s">
        <v>140</v>
      </c>
      <c r="G789" s="33" t="s">
        <v>167</v>
      </c>
      <c r="H789" s="33" t="s">
        <v>142</v>
      </c>
      <c r="I789" s="33" t="s">
        <v>152</v>
      </c>
      <c r="J789" s="33" t="s">
        <v>159</v>
      </c>
      <c r="K789" s="33" t="s">
        <v>145</v>
      </c>
      <c r="L789" s="35" t="n">
        <v>11752.01</v>
      </c>
      <c r="M789" s="33" t="n">
        <v>5</v>
      </c>
      <c r="N789" s="33" t="s">
        <v>146</v>
      </c>
      <c r="O789" s="33" t="s">
        <v>147</v>
      </c>
      <c r="P789" s="39" t="n">
        <f aca="false">C789-B789</f>
        <v>5</v>
      </c>
      <c r="Q789" s="40" t="str">
        <f aca="false">CHOOSE(MONTH(B789),"يناير","فبراير","مارس","أبريل","مايو","يونيو","يوليو","أغسطس","سبتمبر","أكتوبر","نوفمبر","ديسمبر")</f>
        <v>مايو</v>
      </c>
      <c r="R789" s="40" t="str">
        <f aca="false">"الربع "&amp;ROUNDUP(MONTH(B789)/3,0)</f>
        <v>الربع 2</v>
      </c>
      <c r="S789" s="40" t="str">
        <f aca="false">IF(D789&lt;=12,"أطفال (0-12)",IF(D789&lt;=24,"شباب (13-24)",IF(D789&lt;=44,"بالغون (25-44)",IF(D789&lt;=64,"متوسطو العمر (45-64)","كبار السن (+65)"))))</f>
        <v>متوسطو العمر (45-64)</v>
      </c>
      <c r="T789" s="41" t="n">
        <f aca="false">IFERROR(L789/P789,0)</f>
        <v>2350.402</v>
      </c>
    </row>
    <row r="790" customFormat="false" ht="15" hidden="false" customHeight="false" outlineLevel="0" collapsed="false">
      <c r="A790" s="42" t="s">
        <v>2199</v>
      </c>
      <c r="B790" s="43" t="n">
        <v>45431</v>
      </c>
      <c r="C790" s="43" t="n">
        <v>45433</v>
      </c>
      <c r="D790" s="42" t="n">
        <v>52</v>
      </c>
      <c r="E790" s="42" t="s">
        <v>139</v>
      </c>
      <c r="F790" s="42" t="s">
        <v>203</v>
      </c>
      <c r="G790" s="42" t="s">
        <v>241</v>
      </c>
      <c r="H790" s="42" t="s">
        <v>233</v>
      </c>
      <c r="I790" s="42" t="s">
        <v>143</v>
      </c>
      <c r="J790" s="42" t="s">
        <v>159</v>
      </c>
      <c r="K790" s="42" t="s">
        <v>184</v>
      </c>
      <c r="L790" s="44" t="n">
        <v>1586.32</v>
      </c>
      <c r="M790" s="42" t="n">
        <v>4</v>
      </c>
      <c r="N790" s="42" t="s">
        <v>146</v>
      </c>
      <c r="O790" s="42" t="s">
        <v>147</v>
      </c>
      <c r="P790" s="39" t="n">
        <f aca="false">C790-B790</f>
        <v>2</v>
      </c>
      <c r="Q790" s="40" t="str">
        <f aca="false">CHOOSE(MONTH(B790),"يناير","فبراير","مارس","أبريل","مايو","يونيو","يوليو","أغسطس","سبتمبر","أكتوبر","نوفمبر","ديسمبر")</f>
        <v>مايو</v>
      </c>
      <c r="R790" s="40" t="str">
        <f aca="false">"الربع "&amp;ROUNDUP(MONTH(B790)/3,0)</f>
        <v>الربع 2</v>
      </c>
      <c r="S790" s="40" t="str">
        <f aca="false">IF(D790&lt;=12,"أطفال (0-12)",IF(D790&lt;=24,"شباب (13-24)",IF(D790&lt;=44,"بالغون (25-44)",IF(D790&lt;=64,"متوسطو العمر (45-64)","كبار السن (+65)"))))</f>
        <v>متوسطو العمر (45-64)</v>
      </c>
      <c r="T790" s="41" t="n">
        <f aca="false">IFERROR(L790/P790,0)</f>
        <v>793.16</v>
      </c>
    </row>
    <row r="791" customFormat="false" ht="15" hidden="false" customHeight="false" outlineLevel="0" collapsed="false">
      <c r="A791" s="33" t="s">
        <v>1155</v>
      </c>
      <c r="B791" s="34" t="n">
        <v>45432</v>
      </c>
      <c r="C791" s="34" t="n">
        <v>45440</v>
      </c>
      <c r="D791" s="33" t="n">
        <v>55</v>
      </c>
      <c r="E791" s="33" t="s">
        <v>139</v>
      </c>
      <c r="F791" s="33" t="s">
        <v>226</v>
      </c>
      <c r="G791" s="33" t="s">
        <v>386</v>
      </c>
      <c r="H791" s="33" t="s">
        <v>228</v>
      </c>
      <c r="I791" s="33" t="s">
        <v>152</v>
      </c>
      <c r="J791" s="33" t="s">
        <v>159</v>
      </c>
      <c r="K791" s="33" t="s">
        <v>209</v>
      </c>
      <c r="L791" s="35" t="n">
        <v>24719.5</v>
      </c>
      <c r="M791" s="33" t="n">
        <v>3</v>
      </c>
      <c r="N791" s="33" t="s">
        <v>210</v>
      </c>
      <c r="O791" s="33" t="s">
        <v>147</v>
      </c>
      <c r="P791" s="39" t="n">
        <f aca="false">C791-B791</f>
        <v>8</v>
      </c>
      <c r="Q791" s="40" t="str">
        <f aca="false">CHOOSE(MONTH(B791),"يناير","فبراير","مارس","أبريل","مايو","يونيو","يوليو","أغسطس","سبتمبر","أكتوبر","نوفمبر","ديسمبر")</f>
        <v>مايو</v>
      </c>
      <c r="R791" s="40" t="str">
        <f aca="false">"الربع "&amp;ROUNDUP(MONTH(B791)/3,0)</f>
        <v>الربع 2</v>
      </c>
      <c r="S791" s="40" t="str">
        <f aca="false">IF(D791&lt;=12,"أطفال (0-12)",IF(D791&lt;=24,"شباب (13-24)",IF(D791&lt;=44,"بالغون (25-44)",IF(D791&lt;=64,"متوسطو العمر (45-64)","كبار السن (+65)"))))</f>
        <v>متوسطو العمر (45-64)</v>
      </c>
      <c r="T791" s="41" t="n">
        <f aca="false">IFERROR(L791/P791,0)</f>
        <v>3089.9375</v>
      </c>
    </row>
    <row r="792" customFormat="false" ht="15" hidden="false" customHeight="false" outlineLevel="0" collapsed="false">
      <c r="A792" s="42" t="s">
        <v>581</v>
      </c>
      <c r="B792" s="43" t="n">
        <v>45432</v>
      </c>
      <c r="C792" s="43" t="n">
        <v>45433</v>
      </c>
      <c r="D792" s="42" t="n">
        <v>67</v>
      </c>
      <c r="E792" s="42" t="s">
        <v>139</v>
      </c>
      <c r="F792" s="42" t="s">
        <v>203</v>
      </c>
      <c r="G792" s="42" t="s">
        <v>204</v>
      </c>
      <c r="H792" s="42" t="s">
        <v>193</v>
      </c>
      <c r="I792" s="42" t="s">
        <v>152</v>
      </c>
      <c r="J792" s="42" t="s">
        <v>159</v>
      </c>
      <c r="K792" s="42" t="s">
        <v>184</v>
      </c>
      <c r="L792" s="44" t="n">
        <v>699.47</v>
      </c>
      <c r="M792" s="42" t="n">
        <v>5</v>
      </c>
      <c r="N792" s="42" t="s">
        <v>146</v>
      </c>
      <c r="O792" s="42" t="s">
        <v>147</v>
      </c>
      <c r="P792" s="39" t="n">
        <f aca="false">C792-B792</f>
        <v>1</v>
      </c>
      <c r="Q792" s="40" t="str">
        <f aca="false">CHOOSE(MONTH(B792),"يناير","فبراير","مارس","أبريل","مايو","يونيو","يوليو","أغسطس","سبتمبر","أكتوبر","نوفمبر","ديسمبر")</f>
        <v>مايو</v>
      </c>
      <c r="R792" s="40" t="str">
        <f aca="false">"الربع "&amp;ROUNDUP(MONTH(B792)/3,0)</f>
        <v>الربع 2</v>
      </c>
      <c r="S792" s="40" t="str">
        <f aca="false">IF(D792&lt;=12,"أطفال (0-12)",IF(D792&lt;=24,"شباب (13-24)",IF(D792&lt;=44,"بالغون (25-44)",IF(D792&lt;=64,"متوسطو العمر (45-64)","كبار السن (+65)"))))</f>
        <v>كبار السن (+65)</v>
      </c>
      <c r="T792" s="41" t="n">
        <f aca="false">IFERROR(L792/P792,0)</f>
        <v>699.47</v>
      </c>
    </row>
    <row r="793" customFormat="false" ht="15" hidden="false" customHeight="false" outlineLevel="0" collapsed="false">
      <c r="A793" s="33" t="s">
        <v>1371</v>
      </c>
      <c r="B793" s="34" t="n">
        <v>45432</v>
      </c>
      <c r="C793" s="34" t="n">
        <v>45435</v>
      </c>
      <c r="D793" s="33" t="n">
        <v>40</v>
      </c>
      <c r="E793" s="33" t="s">
        <v>139</v>
      </c>
      <c r="F793" s="33" t="s">
        <v>169</v>
      </c>
      <c r="G793" s="33" t="s">
        <v>213</v>
      </c>
      <c r="H793" s="33" t="s">
        <v>171</v>
      </c>
      <c r="I793" s="33" t="s">
        <v>152</v>
      </c>
      <c r="J793" s="33" t="s">
        <v>144</v>
      </c>
      <c r="K793" s="33" t="s">
        <v>209</v>
      </c>
      <c r="L793" s="35" t="n">
        <v>6448</v>
      </c>
      <c r="M793" s="33" t="n">
        <v>3</v>
      </c>
      <c r="N793" s="33" t="s">
        <v>146</v>
      </c>
      <c r="O793" s="33" t="s">
        <v>247</v>
      </c>
      <c r="P793" s="39" t="n">
        <f aca="false">C793-B793</f>
        <v>3</v>
      </c>
      <c r="Q793" s="40" t="str">
        <f aca="false">CHOOSE(MONTH(B793),"يناير","فبراير","مارس","أبريل","مايو","يونيو","يوليو","أغسطس","سبتمبر","أكتوبر","نوفمبر","ديسمبر")</f>
        <v>مايو</v>
      </c>
      <c r="R793" s="40" t="str">
        <f aca="false">"الربع "&amp;ROUNDUP(MONTH(B793)/3,0)</f>
        <v>الربع 2</v>
      </c>
      <c r="S793" s="40" t="str">
        <f aca="false">IF(D793&lt;=12,"أطفال (0-12)",IF(D793&lt;=24,"شباب (13-24)",IF(D793&lt;=44,"بالغون (25-44)",IF(D793&lt;=64,"متوسطو العمر (45-64)","كبار السن (+65)"))))</f>
        <v>بالغون (25-44)</v>
      </c>
      <c r="T793" s="41" t="n">
        <f aca="false">IFERROR(L793/P793,0)</f>
        <v>2149.33333333333</v>
      </c>
    </row>
    <row r="794" customFormat="false" ht="15" hidden="false" customHeight="false" outlineLevel="0" collapsed="false">
      <c r="A794" s="42" t="s">
        <v>1716</v>
      </c>
      <c r="B794" s="43" t="n">
        <v>45432</v>
      </c>
      <c r="C794" s="43" t="n">
        <v>45434</v>
      </c>
      <c r="D794" s="42" t="n">
        <v>22</v>
      </c>
      <c r="E794" s="42" t="s">
        <v>154</v>
      </c>
      <c r="F794" s="42" t="s">
        <v>203</v>
      </c>
      <c r="G794" s="42" t="s">
        <v>217</v>
      </c>
      <c r="H794" s="42" t="s">
        <v>205</v>
      </c>
      <c r="I794" s="42" t="s">
        <v>143</v>
      </c>
      <c r="J794" s="42" t="s">
        <v>176</v>
      </c>
      <c r="K794" s="42" t="s">
        <v>209</v>
      </c>
      <c r="L794" s="44" t="n">
        <v>6007.44</v>
      </c>
      <c r="M794" s="42" t="n">
        <v>3</v>
      </c>
      <c r="N794" s="42" t="s">
        <v>146</v>
      </c>
      <c r="O794" s="42" t="s">
        <v>147</v>
      </c>
      <c r="P794" s="39" t="n">
        <f aca="false">C794-B794</f>
        <v>2</v>
      </c>
      <c r="Q794" s="40" t="str">
        <f aca="false">CHOOSE(MONTH(B794),"يناير","فبراير","مارس","أبريل","مايو","يونيو","يوليو","أغسطس","سبتمبر","أكتوبر","نوفمبر","ديسمبر")</f>
        <v>مايو</v>
      </c>
      <c r="R794" s="40" t="str">
        <f aca="false">"الربع "&amp;ROUNDUP(MONTH(B794)/3,0)</f>
        <v>الربع 2</v>
      </c>
      <c r="S794" s="40" t="str">
        <f aca="false">IF(D794&lt;=12,"أطفال (0-12)",IF(D794&lt;=24,"شباب (13-24)",IF(D794&lt;=44,"بالغون (25-44)",IF(D794&lt;=64,"متوسطو العمر (45-64)","كبار السن (+65)"))))</f>
        <v>شباب (13-24)</v>
      </c>
      <c r="T794" s="41" t="n">
        <f aca="false">IFERROR(L794/P794,0)</f>
        <v>3003.72</v>
      </c>
    </row>
    <row r="795" customFormat="false" ht="15" hidden="false" customHeight="false" outlineLevel="0" collapsed="false">
      <c r="A795" s="33" t="s">
        <v>1239</v>
      </c>
      <c r="B795" s="34" t="n">
        <v>45432</v>
      </c>
      <c r="C795" s="34" t="n">
        <v>45434</v>
      </c>
      <c r="D795" s="33" t="n">
        <v>42</v>
      </c>
      <c r="E795" s="33" t="s">
        <v>154</v>
      </c>
      <c r="F795" s="33" t="s">
        <v>140</v>
      </c>
      <c r="G795" s="33" t="s">
        <v>141</v>
      </c>
      <c r="H795" s="33" t="s">
        <v>142</v>
      </c>
      <c r="I795" s="33" t="s">
        <v>143</v>
      </c>
      <c r="J795" s="33" t="s">
        <v>159</v>
      </c>
      <c r="K795" s="33" t="s">
        <v>160</v>
      </c>
      <c r="L795" s="35" t="n">
        <v>3651.13</v>
      </c>
      <c r="M795" s="33" t="n">
        <v>3</v>
      </c>
      <c r="N795" s="33" t="s">
        <v>210</v>
      </c>
      <c r="O795" s="33" t="s">
        <v>147</v>
      </c>
      <c r="P795" s="39" t="n">
        <f aca="false">C795-B795</f>
        <v>2</v>
      </c>
      <c r="Q795" s="40" t="str">
        <f aca="false">CHOOSE(MONTH(B795),"يناير","فبراير","مارس","أبريل","مايو","يونيو","يوليو","أغسطس","سبتمبر","أكتوبر","نوفمبر","ديسمبر")</f>
        <v>مايو</v>
      </c>
      <c r="R795" s="40" t="str">
        <f aca="false">"الربع "&amp;ROUNDUP(MONTH(B795)/3,0)</f>
        <v>الربع 2</v>
      </c>
      <c r="S795" s="40" t="str">
        <f aca="false">IF(D795&lt;=12,"أطفال (0-12)",IF(D795&lt;=24,"شباب (13-24)",IF(D795&lt;=44,"بالغون (25-44)",IF(D795&lt;=64,"متوسطو العمر (45-64)","كبار السن (+65)"))))</f>
        <v>بالغون (25-44)</v>
      </c>
      <c r="T795" s="41" t="n">
        <f aca="false">IFERROR(L795/P795,0)</f>
        <v>1825.565</v>
      </c>
    </row>
    <row r="796" customFormat="false" ht="15" hidden="false" customHeight="false" outlineLevel="0" collapsed="false">
      <c r="A796" s="42" t="s">
        <v>619</v>
      </c>
      <c r="B796" s="43" t="n">
        <v>45432</v>
      </c>
      <c r="C796" s="43" t="n">
        <v>45436</v>
      </c>
      <c r="D796" s="42" t="n">
        <v>6</v>
      </c>
      <c r="E796" s="42" t="s">
        <v>154</v>
      </c>
      <c r="F796" s="42" t="s">
        <v>155</v>
      </c>
      <c r="G796" s="42" t="s">
        <v>156</v>
      </c>
      <c r="H796" s="42" t="s">
        <v>157</v>
      </c>
      <c r="I796" s="42" t="s">
        <v>152</v>
      </c>
      <c r="J796" s="42" t="s">
        <v>159</v>
      </c>
      <c r="K796" s="42" t="s">
        <v>209</v>
      </c>
      <c r="L796" s="44" t="n">
        <v>2907.02</v>
      </c>
      <c r="M796" s="42" t="n">
        <v>5</v>
      </c>
      <c r="N796" s="42" t="s">
        <v>146</v>
      </c>
      <c r="O796" s="42" t="s">
        <v>147</v>
      </c>
      <c r="P796" s="39" t="n">
        <f aca="false">C796-B796</f>
        <v>4</v>
      </c>
      <c r="Q796" s="40" t="str">
        <f aca="false">CHOOSE(MONTH(B796),"يناير","فبراير","مارس","أبريل","مايو","يونيو","يوليو","أغسطس","سبتمبر","أكتوبر","نوفمبر","ديسمبر")</f>
        <v>مايو</v>
      </c>
      <c r="R796" s="40" t="str">
        <f aca="false">"الربع "&amp;ROUNDUP(MONTH(B796)/3,0)</f>
        <v>الربع 2</v>
      </c>
      <c r="S796" s="40" t="str">
        <f aca="false">IF(D796&lt;=12,"أطفال (0-12)",IF(D796&lt;=24,"شباب (13-24)",IF(D796&lt;=44,"بالغون (25-44)",IF(D796&lt;=64,"متوسطو العمر (45-64)","كبار السن (+65)"))))</f>
        <v>أطفال (0-12)</v>
      </c>
      <c r="T796" s="41" t="n">
        <f aca="false">IFERROR(L796/P796,0)</f>
        <v>726.755</v>
      </c>
    </row>
    <row r="797" customFormat="false" ht="15" hidden="false" customHeight="false" outlineLevel="0" collapsed="false">
      <c r="A797" s="33" t="s">
        <v>534</v>
      </c>
      <c r="B797" s="34" t="n">
        <v>45432</v>
      </c>
      <c r="C797" s="34" t="n">
        <v>45446</v>
      </c>
      <c r="D797" s="33" t="n">
        <v>60</v>
      </c>
      <c r="E797" s="33" t="s">
        <v>139</v>
      </c>
      <c r="F797" s="33" t="s">
        <v>181</v>
      </c>
      <c r="G797" s="33" t="s">
        <v>237</v>
      </c>
      <c r="H797" s="33" t="s">
        <v>183</v>
      </c>
      <c r="I797" s="33" t="s">
        <v>143</v>
      </c>
      <c r="J797" s="33" t="s">
        <v>159</v>
      </c>
      <c r="K797" s="33" t="s">
        <v>145</v>
      </c>
      <c r="L797" s="35" t="n">
        <v>32516.49</v>
      </c>
      <c r="M797" s="33" t="n">
        <v>4</v>
      </c>
      <c r="N797" s="33" t="s">
        <v>146</v>
      </c>
      <c r="O797" s="33" t="s">
        <v>147</v>
      </c>
      <c r="P797" s="39" t="n">
        <f aca="false">C797-B797</f>
        <v>14</v>
      </c>
      <c r="Q797" s="40" t="str">
        <f aca="false">CHOOSE(MONTH(B797),"يناير","فبراير","مارس","أبريل","مايو","يونيو","يوليو","أغسطس","سبتمبر","أكتوبر","نوفمبر","ديسمبر")</f>
        <v>مايو</v>
      </c>
      <c r="R797" s="40" t="str">
        <f aca="false">"الربع "&amp;ROUNDUP(MONTH(B797)/3,0)</f>
        <v>الربع 2</v>
      </c>
      <c r="S797" s="40" t="str">
        <f aca="false">IF(D797&lt;=12,"أطفال (0-12)",IF(D797&lt;=24,"شباب (13-24)",IF(D797&lt;=44,"بالغون (25-44)",IF(D797&lt;=64,"متوسطو العمر (45-64)","كبار السن (+65)"))))</f>
        <v>متوسطو العمر (45-64)</v>
      </c>
      <c r="T797" s="41" t="n">
        <f aca="false">IFERROR(L797/P797,0)</f>
        <v>2322.60642857143</v>
      </c>
    </row>
    <row r="798" customFormat="false" ht="15" hidden="false" customHeight="false" outlineLevel="0" collapsed="false">
      <c r="A798" s="42" t="s">
        <v>1114</v>
      </c>
      <c r="B798" s="43" t="n">
        <v>45432</v>
      </c>
      <c r="C798" s="43" t="n">
        <v>45448</v>
      </c>
      <c r="D798" s="42" t="n">
        <v>41</v>
      </c>
      <c r="E798" s="42" t="s">
        <v>139</v>
      </c>
      <c r="F798" s="42" t="s">
        <v>169</v>
      </c>
      <c r="G798" s="42" t="s">
        <v>163</v>
      </c>
      <c r="H798" s="42" t="s">
        <v>195</v>
      </c>
      <c r="I798" s="42" t="s">
        <v>143</v>
      </c>
      <c r="J798" s="42" t="s">
        <v>159</v>
      </c>
      <c r="K798" s="42" t="s">
        <v>160</v>
      </c>
      <c r="L798" s="44" t="n">
        <v>21151.46</v>
      </c>
      <c r="M798" s="42" t="n">
        <v>4</v>
      </c>
      <c r="N798" s="42" t="s">
        <v>146</v>
      </c>
      <c r="O798" s="42" t="s">
        <v>147</v>
      </c>
      <c r="P798" s="39" t="n">
        <f aca="false">C798-B798</f>
        <v>16</v>
      </c>
      <c r="Q798" s="40" t="str">
        <f aca="false">CHOOSE(MONTH(B798),"يناير","فبراير","مارس","أبريل","مايو","يونيو","يوليو","أغسطس","سبتمبر","أكتوبر","نوفمبر","ديسمبر")</f>
        <v>مايو</v>
      </c>
      <c r="R798" s="40" t="str">
        <f aca="false">"الربع "&amp;ROUNDUP(MONTH(B798)/3,0)</f>
        <v>الربع 2</v>
      </c>
      <c r="S798" s="40" t="str">
        <f aca="false">IF(D798&lt;=12,"أطفال (0-12)",IF(D798&lt;=24,"شباب (13-24)",IF(D798&lt;=44,"بالغون (25-44)",IF(D798&lt;=64,"متوسطو العمر (45-64)","كبار السن (+65)"))))</f>
        <v>بالغون (25-44)</v>
      </c>
      <c r="T798" s="41" t="n">
        <f aca="false">IFERROR(L798/P798,0)</f>
        <v>1321.96625</v>
      </c>
    </row>
    <row r="799" customFormat="false" ht="15" hidden="false" customHeight="false" outlineLevel="0" collapsed="false">
      <c r="A799" s="33" t="s">
        <v>1826</v>
      </c>
      <c r="B799" s="34" t="n">
        <v>45433</v>
      </c>
      <c r="C799" s="34" t="n">
        <v>45439</v>
      </c>
      <c r="D799" s="33" t="n">
        <v>82</v>
      </c>
      <c r="E799" s="33" t="s">
        <v>139</v>
      </c>
      <c r="F799" s="33" t="s">
        <v>226</v>
      </c>
      <c r="G799" s="33" t="s">
        <v>227</v>
      </c>
      <c r="H799" s="33" t="s">
        <v>228</v>
      </c>
      <c r="I799" s="33" t="s">
        <v>152</v>
      </c>
      <c r="J799" s="33" t="s">
        <v>144</v>
      </c>
      <c r="K799" s="33" t="s">
        <v>184</v>
      </c>
      <c r="L799" s="35" t="n">
        <v>31867.38</v>
      </c>
      <c r="M799" s="33" t="n">
        <v>4</v>
      </c>
      <c r="N799" s="33" t="s">
        <v>146</v>
      </c>
      <c r="O799" s="33" t="s">
        <v>147</v>
      </c>
      <c r="P799" s="39" t="n">
        <f aca="false">C799-B799</f>
        <v>6</v>
      </c>
      <c r="Q799" s="40" t="str">
        <f aca="false">CHOOSE(MONTH(B799),"يناير","فبراير","مارس","أبريل","مايو","يونيو","يوليو","أغسطس","سبتمبر","أكتوبر","نوفمبر","ديسمبر")</f>
        <v>مايو</v>
      </c>
      <c r="R799" s="40" t="str">
        <f aca="false">"الربع "&amp;ROUNDUP(MONTH(B799)/3,0)</f>
        <v>الربع 2</v>
      </c>
      <c r="S799" s="40" t="str">
        <f aca="false">IF(D799&lt;=12,"أطفال (0-12)",IF(D799&lt;=24,"شباب (13-24)",IF(D799&lt;=44,"بالغون (25-44)",IF(D799&lt;=64,"متوسطو العمر (45-64)","كبار السن (+65)"))))</f>
        <v>كبار السن (+65)</v>
      </c>
      <c r="T799" s="41" t="n">
        <f aca="false">IFERROR(L799/P799,0)</f>
        <v>5311.23</v>
      </c>
    </row>
    <row r="800" customFormat="false" ht="15" hidden="false" customHeight="false" outlineLevel="0" collapsed="false">
      <c r="A800" s="42" t="s">
        <v>817</v>
      </c>
      <c r="B800" s="43" t="n">
        <v>45433</v>
      </c>
      <c r="C800" s="43" t="n">
        <v>45434</v>
      </c>
      <c r="D800" s="42" t="n">
        <v>50</v>
      </c>
      <c r="E800" s="42" t="s">
        <v>139</v>
      </c>
      <c r="F800" s="42" t="s">
        <v>203</v>
      </c>
      <c r="G800" s="42" t="s">
        <v>217</v>
      </c>
      <c r="H800" s="42" t="s">
        <v>205</v>
      </c>
      <c r="I800" s="42" t="s">
        <v>143</v>
      </c>
      <c r="J800" s="42" t="s">
        <v>144</v>
      </c>
      <c r="K800" s="42" t="s">
        <v>160</v>
      </c>
      <c r="L800" s="44" t="n">
        <v>1851.93</v>
      </c>
      <c r="M800" s="42" t="n">
        <v>5</v>
      </c>
      <c r="N800" s="42" t="s">
        <v>146</v>
      </c>
      <c r="O800" s="42" t="s">
        <v>147</v>
      </c>
      <c r="P800" s="39" t="n">
        <f aca="false">C800-B800</f>
        <v>1</v>
      </c>
      <c r="Q800" s="40" t="str">
        <f aca="false">CHOOSE(MONTH(B800),"يناير","فبراير","مارس","أبريل","مايو","يونيو","يوليو","أغسطس","سبتمبر","أكتوبر","نوفمبر","ديسمبر")</f>
        <v>مايو</v>
      </c>
      <c r="R800" s="40" t="str">
        <f aca="false">"الربع "&amp;ROUNDUP(MONTH(B800)/3,0)</f>
        <v>الربع 2</v>
      </c>
      <c r="S800" s="40" t="str">
        <f aca="false">IF(D800&lt;=12,"أطفال (0-12)",IF(D800&lt;=24,"شباب (13-24)",IF(D800&lt;=44,"بالغون (25-44)",IF(D800&lt;=64,"متوسطو العمر (45-64)","كبار السن (+65)"))))</f>
        <v>متوسطو العمر (45-64)</v>
      </c>
      <c r="T800" s="41" t="n">
        <f aca="false">IFERROR(L800/P800,0)</f>
        <v>1851.93</v>
      </c>
    </row>
    <row r="801" customFormat="false" ht="15" hidden="false" customHeight="false" outlineLevel="0" collapsed="false">
      <c r="A801" s="33" t="s">
        <v>1908</v>
      </c>
      <c r="B801" s="34" t="n">
        <v>45433</v>
      </c>
      <c r="C801" s="34" t="n">
        <v>45435</v>
      </c>
      <c r="D801" s="33" t="n">
        <v>55</v>
      </c>
      <c r="E801" s="33" t="s">
        <v>139</v>
      </c>
      <c r="F801" s="33" t="s">
        <v>181</v>
      </c>
      <c r="G801" s="33" t="s">
        <v>188</v>
      </c>
      <c r="H801" s="33" t="s">
        <v>245</v>
      </c>
      <c r="I801" s="33" t="s">
        <v>152</v>
      </c>
      <c r="J801" s="33" t="s">
        <v>176</v>
      </c>
      <c r="K801" s="33" t="s">
        <v>145</v>
      </c>
      <c r="L801" s="35" t="n">
        <v>15106.73</v>
      </c>
      <c r="M801" s="33" t="n">
        <v>3</v>
      </c>
      <c r="N801" s="33" t="s">
        <v>146</v>
      </c>
      <c r="O801" s="33" t="s">
        <v>147</v>
      </c>
      <c r="P801" s="39" t="n">
        <f aca="false">C801-B801</f>
        <v>2</v>
      </c>
      <c r="Q801" s="40" t="str">
        <f aca="false">CHOOSE(MONTH(B801),"يناير","فبراير","مارس","أبريل","مايو","يونيو","يوليو","أغسطس","سبتمبر","أكتوبر","نوفمبر","ديسمبر")</f>
        <v>مايو</v>
      </c>
      <c r="R801" s="40" t="str">
        <f aca="false">"الربع "&amp;ROUNDUP(MONTH(B801)/3,0)</f>
        <v>الربع 2</v>
      </c>
      <c r="S801" s="40" t="str">
        <f aca="false">IF(D801&lt;=12,"أطفال (0-12)",IF(D801&lt;=24,"شباب (13-24)",IF(D801&lt;=44,"بالغون (25-44)",IF(D801&lt;=64,"متوسطو العمر (45-64)","كبار السن (+65)"))))</f>
        <v>متوسطو العمر (45-64)</v>
      </c>
      <c r="T801" s="41" t="n">
        <f aca="false">IFERROR(L801/P801,0)</f>
        <v>7553.365</v>
      </c>
    </row>
    <row r="802" customFormat="false" ht="15" hidden="false" customHeight="false" outlineLevel="0" collapsed="false">
      <c r="A802" s="42" t="s">
        <v>1026</v>
      </c>
      <c r="B802" s="43" t="n">
        <v>45434</v>
      </c>
      <c r="C802" s="43" t="n">
        <v>45435</v>
      </c>
      <c r="D802" s="42" t="n">
        <v>50</v>
      </c>
      <c r="E802" s="42" t="s">
        <v>154</v>
      </c>
      <c r="F802" s="42" t="s">
        <v>203</v>
      </c>
      <c r="G802" s="42" t="s">
        <v>204</v>
      </c>
      <c r="H802" s="42" t="s">
        <v>193</v>
      </c>
      <c r="I802" s="42" t="s">
        <v>152</v>
      </c>
      <c r="J802" s="42" t="s">
        <v>159</v>
      </c>
      <c r="K802" s="42" t="s">
        <v>184</v>
      </c>
      <c r="L802" s="44" t="n">
        <v>1000.17</v>
      </c>
      <c r="M802" s="42" t="n">
        <v>4</v>
      </c>
      <c r="N802" s="42" t="s">
        <v>146</v>
      </c>
      <c r="O802" s="42" t="s">
        <v>147</v>
      </c>
      <c r="P802" s="39" t="n">
        <f aca="false">C802-B802</f>
        <v>1</v>
      </c>
      <c r="Q802" s="40" t="str">
        <f aca="false">CHOOSE(MONTH(B802),"يناير","فبراير","مارس","أبريل","مايو","يونيو","يوليو","أغسطس","سبتمبر","أكتوبر","نوفمبر","ديسمبر")</f>
        <v>مايو</v>
      </c>
      <c r="R802" s="40" t="str">
        <f aca="false">"الربع "&amp;ROUNDUP(MONTH(B802)/3,0)</f>
        <v>الربع 2</v>
      </c>
      <c r="S802" s="40" t="str">
        <f aca="false">IF(D802&lt;=12,"أطفال (0-12)",IF(D802&lt;=24,"شباب (13-24)",IF(D802&lt;=44,"بالغون (25-44)",IF(D802&lt;=64,"متوسطو العمر (45-64)","كبار السن (+65)"))))</f>
        <v>متوسطو العمر (45-64)</v>
      </c>
      <c r="T802" s="41" t="n">
        <f aca="false">IFERROR(L802/P802,0)</f>
        <v>1000.17</v>
      </c>
    </row>
    <row r="803" customFormat="false" ht="15" hidden="false" customHeight="false" outlineLevel="0" collapsed="false">
      <c r="A803" s="33" t="s">
        <v>1496</v>
      </c>
      <c r="B803" s="34" t="n">
        <v>45435</v>
      </c>
      <c r="C803" s="34" t="n">
        <v>45436</v>
      </c>
      <c r="D803" s="33" t="n">
        <v>36</v>
      </c>
      <c r="E803" s="33" t="s">
        <v>139</v>
      </c>
      <c r="F803" s="33" t="s">
        <v>173</v>
      </c>
      <c r="G803" s="33" t="s">
        <v>174</v>
      </c>
      <c r="H803" s="33" t="s">
        <v>175</v>
      </c>
      <c r="I803" s="33" t="s">
        <v>143</v>
      </c>
      <c r="J803" s="33" t="s">
        <v>159</v>
      </c>
      <c r="K803" s="33" t="s">
        <v>145</v>
      </c>
      <c r="L803" s="35" t="n">
        <v>2176.23</v>
      </c>
      <c r="M803" s="33" t="n">
        <v>4</v>
      </c>
      <c r="N803" s="33" t="s">
        <v>146</v>
      </c>
      <c r="O803" s="33" t="s">
        <v>147</v>
      </c>
      <c r="P803" s="39" t="n">
        <f aca="false">C803-B803</f>
        <v>1</v>
      </c>
      <c r="Q803" s="40" t="str">
        <f aca="false">CHOOSE(MONTH(B803),"يناير","فبراير","مارس","أبريل","مايو","يونيو","يوليو","أغسطس","سبتمبر","أكتوبر","نوفمبر","ديسمبر")</f>
        <v>مايو</v>
      </c>
      <c r="R803" s="40" t="str">
        <f aca="false">"الربع "&amp;ROUNDUP(MONTH(B803)/3,0)</f>
        <v>الربع 2</v>
      </c>
      <c r="S803" s="40" t="str">
        <f aca="false">IF(D803&lt;=12,"أطفال (0-12)",IF(D803&lt;=24,"شباب (13-24)",IF(D803&lt;=44,"بالغون (25-44)",IF(D803&lt;=64,"متوسطو العمر (45-64)","كبار السن (+65)"))))</f>
        <v>بالغون (25-44)</v>
      </c>
      <c r="T803" s="41" t="n">
        <f aca="false">IFERROR(L803/P803,0)</f>
        <v>2176.23</v>
      </c>
    </row>
    <row r="804" customFormat="false" ht="15" hidden="false" customHeight="false" outlineLevel="0" collapsed="false">
      <c r="A804" s="42" t="s">
        <v>2092</v>
      </c>
      <c r="B804" s="43" t="n">
        <v>45435</v>
      </c>
      <c r="C804" s="43" t="n">
        <v>45436</v>
      </c>
      <c r="D804" s="42" t="n">
        <v>40</v>
      </c>
      <c r="E804" s="42" t="s">
        <v>154</v>
      </c>
      <c r="F804" s="42" t="s">
        <v>203</v>
      </c>
      <c r="G804" s="42" t="s">
        <v>192</v>
      </c>
      <c r="H804" s="42" t="s">
        <v>193</v>
      </c>
      <c r="I804" s="42" t="s">
        <v>143</v>
      </c>
      <c r="J804" s="42" t="s">
        <v>159</v>
      </c>
      <c r="K804" s="42" t="s">
        <v>145</v>
      </c>
      <c r="L804" s="44" t="n">
        <v>910.79</v>
      </c>
      <c r="M804" s="42" t="n">
        <v>4</v>
      </c>
      <c r="N804" s="42" t="s">
        <v>146</v>
      </c>
      <c r="O804" s="42" t="s">
        <v>147</v>
      </c>
      <c r="P804" s="39" t="n">
        <f aca="false">C804-B804</f>
        <v>1</v>
      </c>
      <c r="Q804" s="40" t="str">
        <f aca="false">CHOOSE(MONTH(B804),"يناير","فبراير","مارس","أبريل","مايو","يونيو","يوليو","أغسطس","سبتمبر","أكتوبر","نوفمبر","ديسمبر")</f>
        <v>مايو</v>
      </c>
      <c r="R804" s="40" t="str">
        <f aca="false">"الربع "&amp;ROUNDUP(MONTH(B804)/3,0)</f>
        <v>الربع 2</v>
      </c>
      <c r="S804" s="40" t="str">
        <f aca="false">IF(D804&lt;=12,"أطفال (0-12)",IF(D804&lt;=24,"شباب (13-24)",IF(D804&lt;=44,"بالغون (25-44)",IF(D804&lt;=64,"متوسطو العمر (45-64)","كبار السن (+65)"))))</f>
        <v>بالغون (25-44)</v>
      </c>
      <c r="T804" s="41" t="n">
        <f aca="false">IFERROR(L804/P804,0)</f>
        <v>910.79</v>
      </c>
    </row>
    <row r="805" customFormat="false" ht="15" hidden="false" customHeight="false" outlineLevel="0" collapsed="false">
      <c r="A805" s="33" t="s">
        <v>838</v>
      </c>
      <c r="B805" s="34" t="n">
        <v>45435</v>
      </c>
      <c r="C805" s="34" t="n">
        <v>45443</v>
      </c>
      <c r="D805" s="33" t="n">
        <v>72</v>
      </c>
      <c r="E805" s="33" t="s">
        <v>139</v>
      </c>
      <c r="F805" s="33" t="s">
        <v>169</v>
      </c>
      <c r="G805" s="33" t="s">
        <v>230</v>
      </c>
      <c r="H805" s="33" t="s">
        <v>195</v>
      </c>
      <c r="I805" s="33" t="s">
        <v>143</v>
      </c>
      <c r="J805" s="33" t="s">
        <v>144</v>
      </c>
      <c r="K805" s="33" t="s">
        <v>160</v>
      </c>
      <c r="L805" s="35" t="n">
        <v>19349.87</v>
      </c>
      <c r="M805" s="33" t="n">
        <v>4</v>
      </c>
      <c r="N805" s="33" t="s">
        <v>146</v>
      </c>
      <c r="O805" s="33" t="s">
        <v>147</v>
      </c>
      <c r="P805" s="39" t="n">
        <f aca="false">C805-B805</f>
        <v>8</v>
      </c>
      <c r="Q805" s="40" t="str">
        <f aca="false">CHOOSE(MONTH(B805),"يناير","فبراير","مارس","أبريل","مايو","يونيو","يوليو","أغسطس","سبتمبر","أكتوبر","نوفمبر","ديسمبر")</f>
        <v>مايو</v>
      </c>
      <c r="R805" s="40" t="str">
        <f aca="false">"الربع "&amp;ROUNDUP(MONTH(B805)/3,0)</f>
        <v>الربع 2</v>
      </c>
      <c r="S805" s="40" t="str">
        <f aca="false">IF(D805&lt;=12,"أطفال (0-12)",IF(D805&lt;=24,"شباب (13-24)",IF(D805&lt;=44,"بالغون (25-44)",IF(D805&lt;=64,"متوسطو العمر (45-64)","كبار السن (+65)"))))</f>
        <v>كبار السن (+65)</v>
      </c>
      <c r="T805" s="41" t="n">
        <f aca="false">IFERROR(L805/P805,0)</f>
        <v>2418.73375</v>
      </c>
    </row>
    <row r="806" customFormat="false" ht="15" hidden="false" customHeight="false" outlineLevel="0" collapsed="false">
      <c r="A806" s="42" t="s">
        <v>252</v>
      </c>
      <c r="B806" s="43" t="n">
        <v>45435</v>
      </c>
      <c r="C806" s="43" t="n">
        <v>45440</v>
      </c>
      <c r="D806" s="42" t="n">
        <v>24</v>
      </c>
      <c r="E806" s="42" t="s">
        <v>139</v>
      </c>
      <c r="F806" s="42" t="s">
        <v>173</v>
      </c>
      <c r="G806" s="42" t="s">
        <v>198</v>
      </c>
      <c r="H806" s="42" t="s">
        <v>175</v>
      </c>
      <c r="I806" s="42" t="s">
        <v>143</v>
      </c>
      <c r="J806" s="42" t="s">
        <v>159</v>
      </c>
      <c r="K806" s="42" t="s">
        <v>160</v>
      </c>
      <c r="L806" s="44" t="n">
        <v>12358.31</v>
      </c>
      <c r="M806" s="42" t="n">
        <v>4</v>
      </c>
      <c r="N806" s="42" t="s">
        <v>210</v>
      </c>
      <c r="O806" s="42" t="s">
        <v>147</v>
      </c>
      <c r="P806" s="39" t="n">
        <f aca="false">C806-B806</f>
        <v>5</v>
      </c>
      <c r="Q806" s="40" t="str">
        <f aca="false">CHOOSE(MONTH(B806),"يناير","فبراير","مارس","أبريل","مايو","يونيو","يوليو","أغسطس","سبتمبر","أكتوبر","نوفمبر","ديسمبر")</f>
        <v>مايو</v>
      </c>
      <c r="R806" s="40" t="str">
        <f aca="false">"الربع "&amp;ROUNDUP(MONTH(B806)/3,0)</f>
        <v>الربع 2</v>
      </c>
      <c r="S806" s="40" t="str">
        <f aca="false">IF(D806&lt;=12,"أطفال (0-12)",IF(D806&lt;=24,"شباب (13-24)",IF(D806&lt;=44,"بالغون (25-44)",IF(D806&lt;=64,"متوسطو العمر (45-64)","كبار السن (+65)"))))</f>
        <v>شباب (13-24)</v>
      </c>
      <c r="T806" s="41" t="n">
        <f aca="false">IFERROR(L806/P806,0)</f>
        <v>2471.662</v>
      </c>
    </row>
    <row r="807" customFormat="false" ht="15" hidden="false" customHeight="false" outlineLevel="0" collapsed="false">
      <c r="A807" s="33" t="s">
        <v>1767</v>
      </c>
      <c r="B807" s="34" t="n">
        <v>45435</v>
      </c>
      <c r="C807" s="34" t="n">
        <v>45436</v>
      </c>
      <c r="D807" s="33" t="n">
        <v>57</v>
      </c>
      <c r="E807" s="33" t="s">
        <v>154</v>
      </c>
      <c r="F807" s="33" t="s">
        <v>203</v>
      </c>
      <c r="G807" s="33" t="s">
        <v>217</v>
      </c>
      <c r="H807" s="33" t="s">
        <v>233</v>
      </c>
      <c r="I807" s="33" t="s">
        <v>143</v>
      </c>
      <c r="J807" s="33" t="s">
        <v>159</v>
      </c>
      <c r="K807" s="33" t="s">
        <v>145</v>
      </c>
      <c r="L807" s="35" t="n">
        <v>983.66</v>
      </c>
      <c r="M807" s="33" t="n">
        <v>4</v>
      </c>
      <c r="N807" s="33" t="s">
        <v>146</v>
      </c>
      <c r="O807" s="33" t="s">
        <v>147</v>
      </c>
      <c r="P807" s="39" t="n">
        <f aca="false">C807-B807</f>
        <v>1</v>
      </c>
      <c r="Q807" s="40" t="str">
        <f aca="false">CHOOSE(MONTH(B807),"يناير","فبراير","مارس","أبريل","مايو","يونيو","يوليو","أغسطس","سبتمبر","أكتوبر","نوفمبر","ديسمبر")</f>
        <v>مايو</v>
      </c>
      <c r="R807" s="40" t="str">
        <f aca="false">"الربع "&amp;ROUNDUP(MONTH(B807)/3,0)</f>
        <v>الربع 2</v>
      </c>
      <c r="S807" s="40" t="str">
        <f aca="false">IF(D807&lt;=12,"أطفال (0-12)",IF(D807&lt;=24,"شباب (13-24)",IF(D807&lt;=44,"بالغون (25-44)",IF(D807&lt;=64,"متوسطو العمر (45-64)","كبار السن (+65)"))))</f>
        <v>متوسطو العمر (45-64)</v>
      </c>
      <c r="T807" s="41" t="n">
        <f aca="false">IFERROR(L807/P807,0)</f>
        <v>983.66</v>
      </c>
    </row>
    <row r="808" customFormat="false" ht="15" hidden="false" customHeight="false" outlineLevel="0" collapsed="false">
      <c r="A808" s="42" t="s">
        <v>1200</v>
      </c>
      <c r="B808" s="43" t="n">
        <v>45435</v>
      </c>
      <c r="C808" s="43" t="n">
        <v>45437</v>
      </c>
      <c r="D808" s="42" t="n">
        <v>44</v>
      </c>
      <c r="E808" s="42" t="s">
        <v>154</v>
      </c>
      <c r="F808" s="42" t="s">
        <v>140</v>
      </c>
      <c r="G808" s="42" t="s">
        <v>141</v>
      </c>
      <c r="H808" s="42" t="s">
        <v>142</v>
      </c>
      <c r="I808" s="42" t="s">
        <v>143</v>
      </c>
      <c r="J808" s="42" t="s">
        <v>159</v>
      </c>
      <c r="K808" s="42" t="s">
        <v>160</v>
      </c>
      <c r="L808" s="44" t="n">
        <v>4348.49</v>
      </c>
      <c r="M808" s="42" t="n">
        <v>4</v>
      </c>
      <c r="N808" s="42" t="s">
        <v>146</v>
      </c>
      <c r="O808" s="42" t="s">
        <v>147</v>
      </c>
      <c r="P808" s="39" t="n">
        <f aca="false">C808-B808</f>
        <v>2</v>
      </c>
      <c r="Q808" s="40" t="str">
        <f aca="false">CHOOSE(MONTH(B808),"يناير","فبراير","مارس","أبريل","مايو","يونيو","يوليو","أغسطس","سبتمبر","أكتوبر","نوفمبر","ديسمبر")</f>
        <v>مايو</v>
      </c>
      <c r="R808" s="40" t="str">
        <f aca="false">"الربع "&amp;ROUNDUP(MONTH(B808)/3,0)</f>
        <v>الربع 2</v>
      </c>
      <c r="S808" s="40" t="str">
        <f aca="false">IF(D808&lt;=12,"أطفال (0-12)",IF(D808&lt;=24,"شباب (13-24)",IF(D808&lt;=44,"بالغون (25-44)",IF(D808&lt;=64,"متوسطو العمر (45-64)","كبار السن (+65)"))))</f>
        <v>بالغون (25-44)</v>
      </c>
      <c r="T808" s="41" t="n">
        <f aca="false">IFERROR(L808/P808,0)</f>
        <v>2174.245</v>
      </c>
    </row>
    <row r="809" customFormat="false" ht="15" hidden="false" customHeight="false" outlineLevel="0" collapsed="false">
      <c r="A809" s="33" t="s">
        <v>891</v>
      </c>
      <c r="B809" s="34" t="n">
        <v>45435</v>
      </c>
      <c r="C809" s="34" t="n">
        <v>45437</v>
      </c>
      <c r="D809" s="33" t="n">
        <v>78</v>
      </c>
      <c r="E809" s="33" t="s">
        <v>154</v>
      </c>
      <c r="F809" s="33" t="s">
        <v>173</v>
      </c>
      <c r="G809" s="33" t="s">
        <v>178</v>
      </c>
      <c r="H809" s="33" t="s">
        <v>175</v>
      </c>
      <c r="I809" s="33" t="s">
        <v>152</v>
      </c>
      <c r="J809" s="33" t="s">
        <v>144</v>
      </c>
      <c r="K809" s="33" t="s">
        <v>160</v>
      </c>
      <c r="L809" s="35" t="n">
        <v>9896.72</v>
      </c>
      <c r="M809" s="33" t="n">
        <v>3</v>
      </c>
      <c r="N809" s="33" t="s">
        <v>146</v>
      </c>
      <c r="O809" s="33" t="s">
        <v>147</v>
      </c>
      <c r="P809" s="39" t="n">
        <f aca="false">C809-B809</f>
        <v>2</v>
      </c>
      <c r="Q809" s="40" t="str">
        <f aca="false">CHOOSE(MONTH(B809),"يناير","فبراير","مارس","أبريل","مايو","يونيو","يوليو","أغسطس","سبتمبر","أكتوبر","نوفمبر","ديسمبر")</f>
        <v>مايو</v>
      </c>
      <c r="R809" s="40" t="str">
        <f aca="false">"الربع "&amp;ROUNDUP(MONTH(B809)/3,0)</f>
        <v>الربع 2</v>
      </c>
      <c r="S809" s="40" t="str">
        <f aca="false">IF(D809&lt;=12,"أطفال (0-12)",IF(D809&lt;=24,"شباب (13-24)",IF(D809&lt;=44,"بالغون (25-44)",IF(D809&lt;=64,"متوسطو العمر (45-64)","كبار السن (+65)"))))</f>
        <v>كبار السن (+65)</v>
      </c>
      <c r="T809" s="41" t="n">
        <f aca="false">IFERROR(L809/P809,0)</f>
        <v>4948.36</v>
      </c>
    </row>
    <row r="810" customFormat="false" ht="15" hidden="false" customHeight="false" outlineLevel="0" collapsed="false">
      <c r="A810" s="42" t="s">
        <v>1516</v>
      </c>
      <c r="B810" s="43" t="n">
        <v>45436</v>
      </c>
      <c r="C810" s="43" t="n">
        <v>45437</v>
      </c>
      <c r="D810" s="42" t="n">
        <v>54</v>
      </c>
      <c r="E810" s="42" t="s">
        <v>139</v>
      </c>
      <c r="F810" s="42" t="s">
        <v>181</v>
      </c>
      <c r="G810" s="42" t="s">
        <v>182</v>
      </c>
      <c r="H810" s="42" t="s">
        <v>183</v>
      </c>
      <c r="I810" s="42" t="s">
        <v>158</v>
      </c>
      <c r="J810" s="42" t="s">
        <v>176</v>
      </c>
      <c r="K810" s="42" t="s">
        <v>145</v>
      </c>
      <c r="L810" s="44" t="n">
        <v>9142.13</v>
      </c>
      <c r="M810" s="42" t="n">
        <v>5</v>
      </c>
      <c r="N810" s="42" t="s">
        <v>146</v>
      </c>
      <c r="O810" s="42" t="s">
        <v>147</v>
      </c>
      <c r="P810" s="39" t="n">
        <f aca="false">C810-B810</f>
        <v>1</v>
      </c>
      <c r="Q810" s="40" t="str">
        <f aca="false">CHOOSE(MONTH(B810),"يناير","فبراير","مارس","أبريل","مايو","يونيو","يوليو","أغسطس","سبتمبر","أكتوبر","نوفمبر","ديسمبر")</f>
        <v>مايو</v>
      </c>
      <c r="R810" s="40" t="str">
        <f aca="false">"الربع "&amp;ROUNDUP(MONTH(B810)/3,0)</f>
        <v>الربع 2</v>
      </c>
      <c r="S810" s="40" t="str">
        <f aca="false">IF(D810&lt;=12,"أطفال (0-12)",IF(D810&lt;=24,"شباب (13-24)",IF(D810&lt;=44,"بالغون (25-44)",IF(D810&lt;=64,"متوسطو العمر (45-64)","كبار السن (+65)"))))</f>
        <v>متوسطو العمر (45-64)</v>
      </c>
      <c r="T810" s="41" t="n">
        <f aca="false">IFERROR(L810/P810,0)</f>
        <v>9142.13</v>
      </c>
    </row>
    <row r="811" customFormat="false" ht="15" hidden="false" customHeight="false" outlineLevel="0" collapsed="false">
      <c r="A811" s="33" t="s">
        <v>1289</v>
      </c>
      <c r="B811" s="34" t="n">
        <v>45436</v>
      </c>
      <c r="C811" s="34" t="n">
        <v>45441</v>
      </c>
      <c r="D811" s="33" t="n">
        <v>46</v>
      </c>
      <c r="E811" s="33" t="s">
        <v>154</v>
      </c>
      <c r="F811" s="33" t="s">
        <v>169</v>
      </c>
      <c r="G811" s="33" t="s">
        <v>170</v>
      </c>
      <c r="H811" s="33" t="s">
        <v>171</v>
      </c>
      <c r="I811" s="33" t="s">
        <v>152</v>
      </c>
      <c r="J811" s="33" t="s">
        <v>159</v>
      </c>
      <c r="K811" s="33" t="s">
        <v>145</v>
      </c>
      <c r="L811" s="35" t="n">
        <v>6133.65</v>
      </c>
      <c r="M811" s="33" t="n">
        <v>4</v>
      </c>
      <c r="N811" s="33" t="s">
        <v>146</v>
      </c>
      <c r="O811" s="33" t="s">
        <v>147</v>
      </c>
      <c r="P811" s="39" t="n">
        <f aca="false">C811-B811</f>
        <v>5</v>
      </c>
      <c r="Q811" s="40" t="str">
        <f aca="false">CHOOSE(MONTH(B811),"يناير","فبراير","مارس","أبريل","مايو","يونيو","يوليو","أغسطس","سبتمبر","أكتوبر","نوفمبر","ديسمبر")</f>
        <v>مايو</v>
      </c>
      <c r="R811" s="40" t="str">
        <f aca="false">"الربع "&amp;ROUNDUP(MONTH(B811)/3,0)</f>
        <v>الربع 2</v>
      </c>
      <c r="S811" s="40" t="str">
        <f aca="false">IF(D811&lt;=12,"أطفال (0-12)",IF(D811&lt;=24,"شباب (13-24)",IF(D811&lt;=44,"بالغون (25-44)",IF(D811&lt;=64,"متوسطو العمر (45-64)","كبار السن (+65)"))))</f>
        <v>متوسطو العمر (45-64)</v>
      </c>
      <c r="T811" s="41" t="n">
        <f aca="false">IFERROR(L811/P811,0)</f>
        <v>1226.73</v>
      </c>
    </row>
    <row r="812" customFormat="false" ht="15" hidden="false" customHeight="false" outlineLevel="0" collapsed="false">
      <c r="A812" s="42" t="s">
        <v>1375</v>
      </c>
      <c r="B812" s="43" t="n">
        <v>45436</v>
      </c>
      <c r="C812" s="43" t="n">
        <v>45439</v>
      </c>
      <c r="D812" s="42" t="n">
        <v>6</v>
      </c>
      <c r="E812" s="42" t="s">
        <v>154</v>
      </c>
      <c r="F812" s="42" t="s">
        <v>155</v>
      </c>
      <c r="G812" s="42" t="s">
        <v>156</v>
      </c>
      <c r="H812" s="42" t="s">
        <v>157</v>
      </c>
      <c r="I812" s="42" t="s">
        <v>152</v>
      </c>
      <c r="J812" s="42" t="s">
        <v>144</v>
      </c>
      <c r="K812" s="42" t="s">
        <v>184</v>
      </c>
      <c r="L812" s="44" t="n">
        <v>4371.96</v>
      </c>
      <c r="M812" s="42" t="n">
        <v>5</v>
      </c>
      <c r="N812" s="42" t="s">
        <v>146</v>
      </c>
      <c r="O812" s="42" t="s">
        <v>147</v>
      </c>
      <c r="P812" s="39" t="n">
        <f aca="false">C812-B812</f>
        <v>3</v>
      </c>
      <c r="Q812" s="40" t="str">
        <f aca="false">CHOOSE(MONTH(B812),"يناير","فبراير","مارس","أبريل","مايو","يونيو","يوليو","أغسطس","سبتمبر","أكتوبر","نوفمبر","ديسمبر")</f>
        <v>مايو</v>
      </c>
      <c r="R812" s="40" t="str">
        <f aca="false">"الربع "&amp;ROUNDUP(MONTH(B812)/3,0)</f>
        <v>الربع 2</v>
      </c>
      <c r="S812" s="40" t="str">
        <f aca="false">IF(D812&lt;=12,"أطفال (0-12)",IF(D812&lt;=24,"شباب (13-24)",IF(D812&lt;=44,"بالغون (25-44)",IF(D812&lt;=64,"متوسطو العمر (45-64)","كبار السن (+65)"))))</f>
        <v>أطفال (0-12)</v>
      </c>
      <c r="T812" s="41" t="n">
        <f aca="false">IFERROR(L812/P812,0)</f>
        <v>1457.32</v>
      </c>
    </row>
    <row r="813" customFormat="false" ht="15" hidden="false" customHeight="false" outlineLevel="0" collapsed="false">
      <c r="A813" s="33" t="s">
        <v>1711</v>
      </c>
      <c r="B813" s="34" t="n">
        <v>45436</v>
      </c>
      <c r="C813" s="34" t="n">
        <v>45448</v>
      </c>
      <c r="D813" s="33" t="n">
        <v>24</v>
      </c>
      <c r="E813" s="33" t="s">
        <v>154</v>
      </c>
      <c r="F813" s="33" t="s">
        <v>169</v>
      </c>
      <c r="G813" s="33" t="s">
        <v>230</v>
      </c>
      <c r="H813" s="33" t="s">
        <v>171</v>
      </c>
      <c r="I813" s="33" t="s">
        <v>152</v>
      </c>
      <c r="J813" s="33" t="s">
        <v>176</v>
      </c>
      <c r="K813" s="33" t="s">
        <v>209</v>
      </c>
      <c r="L813" s="35" t="n">
        <v>53236.71</v>
      </c>
      <c r="M813" s="33" t="n">
        <v>5</v>
      </c>
      <c r="N813" s="33" t="s">
        <v>210</v>
      </c>
      <c r="O813" s="33" t="s">
        <v>147</v>
      </c>
      <c r="P813" s="39" t="n">
        <f aca="false">C813-B813</f>
        <v>12</v>
      </c>
      <c r="Q813" s="40" t="str">
        <f aca="false">CHOOSE(MONTH(B813),"يناير","فبراير","مارس","أبريل","مايو","يونيو","يوليو","أغسطس","سبتمبر","أكتوبر","نوفمبر","ديسمبر")</f>
        <v>مايو</v>
      </c>
      <c r="R813" s="40" t="str">
        <f aca="false">"الربع "&amp;ROUNDUP(MONTH(B813)/3,0)</f>
        <v>الربع 2</v>
      </c>
      <c r="S813" s="40" t="str">
        <f aca="false">IF(D813&lt;=12,"أطفال (0-12)",IF(D813&lt;=24,"شباب (13-24)",IF(D813&lt;=44,"بالغون (25-44)",IF(D813&lt;=64,"متوسطو العمر (45-64)","كبار السن (+65)"))))</f>
        <v>شباب (13-24)</v>
      </c>
      <c r="T813" s="41" t="n">
        <f aca="false">IFERROR(L813/P813,0)</f>
        <v>4436.3925</v>
      </c>
    </row>
    <row r="814" customFormat="false" ht="15" hidden="false" customHeight="false" outlineLevel="0" collapsed="false">
      <c r="A814" s="42" t="s">
        <v>1211</v>
      </c>
      <c r="B814" s="43" t="n">
        <v>45436</v>
      </c>
      <c r="C814" s="43" t="n">
        <v>45441</v>
      </c>
      <c r="D814" s="42" t="n">
        <v>23</v>
      </c>
      <c r="E814" s="42" t="s">
        <v>139</v>
      </c>
      <c r="F814" s="42" t="s">
        <v>173</v>
      </c>
      <c r="G814" s="42" t="s">
        <v>198</v>
      </c>
      <c r="H814" s="42" t="s">
        <v>199</v>
      </c>
      <c r="I814" s="42" t="s">
        <v>152</v>
      </c>
      <c r="J814" s="42" t="s">
        <v>159</v>
      </c>
      <c r="K814" s="42" t="s">
        <v>184</v>
      </c>
      <c r="L814" s="44" t="n">
        <v>14397.2</v>
      </c>
      <c r="M814" s="42" t="n">
        <v>3</v>
      </c>
      <c r="N814" s="42" t="s">
        <v>146</v>
      </c>
      <c r="O814" s="42" t="s">
        <v>147</v>
      </c>
      <c r="P814" s="39" t="n">
        <f aca="false">C814-B814</f>
        <v>5</v>
      </c>
      <c r="Q814" s="40" t="str">
        <f aca="false">CHOOSE(MONTH(B814),"يناير","فبراير","مارس","أبريل","مايو","يونيو","يوليو","أغسطس","سبتمبر","أكتوبر","نوفمبر","ديسمبر")</f>
        <v>مايو</v>
      </c>
      <c r="R814" s="40" t="str">
        <f aca="false">"الربع "&amp;ROUNDUP(MONTH(B814)/3,0)</f>
        <v>الربع 2</v>
      </c>
      <c r="S814" s="40" t="str">
        <f aca="false">IF(D814&lt;=12,"أطفال (0-12)",IF(D814&lt;=24,"شباب (13-24)",IF(D814&lt;=44,"بالغون (25-44)",IF(D814&lt;=64,"متوسطو العمر (45-64)","كبار السن (+65)"))))</f>
        <v>شباب (13-24)</v>
      </c>
      <c r="T814" s="41" t="n">
        <f aca="false">IFERROR(L814/P814,0)</f>
        <v>2879.44</v>
      </c>
    </row>
    <row r="815" customFormat="false" ht="15" hidden="false" customHeight="false" outlineLevel="0" collapsed="false">
      <c r="A815" s="33" t="s">
        <v>1058</v>
      </c>
      <c r="B815" s="34" t="n">
        <v>45436</v>
      </c>
      <c r="C815" s="34" t="n">
        <v>45438</v>
      </c>
      <c r="D815" s="33" t="n">
        <v>6</v>
      </c>
      <c r="E815" s="33" t="s">
        <v>139</v>
      </c>
      <c r="F815" s="33" t="s">
        <v>155</v>
      </c>
      <c r="G815" s="33" t="s">
        <v>220</v>
      </c>
      <c r="H815" s="33" t="s">
        <v>222</v>
      </c>
      <c r="I815" s="33" t="s">
        <v>143</v>
      </c>
      <c r="J815" s="33" t="s">
        <v>159</v>
      </c>
      <c r="K815" s="33" t="s">
        <v>145</v>
      </c>
      <c r="L815" s="35" t="n">
        <v>1642.16</v>
      </c>
      <c r="M815" s="33" t="n">
        <v>4</v>
      </c>
      <c r="N815" s="33" t="s">
        <v>146</v>
      </c>
      <c r="O815" s="33" t="s">
        <v>147</v>
      </c>
      <c r="P815" s="39" t="n">
        <f aca="false">C815-B815</f>
        <v>2</v>
      </c>
      <c r="Q815" s="40" t="str">
        <f aca="false">CHOOSE(MONTH(B815),"يناير","فبراير","مارس","أبريل","مايو","يونيو","يوليو","أغسطس","سبتمبر","أكتوبر","نوفمبر","ديسمبر")</f>
        <v>مايو</v>
      </c>
      <c r="R815" s="40" t="str">
        <f aca="false">"الربع "&amp;ROUNDUP(MONTH(B815)/3,0)</f>
        <v>الربع 2</v>
      </c>
      <c r="S815" s="40" t="str">
        <f aca="false">IF(D815&lt;=12,"أطفال (0-12)",IF(D815&lt;=24,"شباب (13-24)",IF(D815&lt;=44,"بالغون (25-44)",IF(D815&lt;=64,"متوسطو العمر (45-64)","كبار السن (+65)"))))</f>
        <v>أطفال (0-12)</v>
      </c>
      <c r="T815" s="41" t="n">
        <f aca="false">IFERROR(L815/P815,0)</f>
        <v>821.08</v>
      </c>
    </row>
    <row r="816" customFormat="false" ht="15" hidden="false" customHeight="false" outlineLevel="0" collapsed="false">
      <c r="A816" s="42" t="s">
        <v>1972</v>
      </c>
      <c r="B816" s="43" t="n">
        <v>45436</v>
      </c>
      <c r="C816" s="43" t="n">
        <v>45441</v>
      </c>
      <c r="D816" s="42" t="n">
        <v>20</v>
      </c>
      <c r="E816" s="42" t="s">
        <v>154</v>
      </c>
      <c r="F816" s="42" t="s">
        <v>169</v>
      </c>
      <c r="G816" s="42" t="s">
        <v>170</v>
      </c>
      <c r="H816" s="42" t="s">
        <v>171</v>
      </c>
      <c r="I816" s="42" t="s">
        <v>143</v>
      </c>
      <c r="J816" s="42" t="s">
        <v>144</v>
      </c>
      <c r="K816" s="42" t="s">
        <v>145</v>
      </c>
      <c r="L816" s="44" t="n">
        <v>9998.95</v>
      </c>
      <c r="M816" s="42" t="n">
        <v>5</v>
      </c>
      <c r="N816" s="42" t="s">
        <v>146</v>
      </c>
      <c r="O816" s="42" t="s">
        <v>147</v>
      </c>
      <c r="P816" s="39" t="n">
        <f aca="false">C816-B816</f>
        <v>5</v>
      </c>
      <c r="Q816" s="40" t="str">
        <f aca="false">CHOOSE(MONTH(B816),"يناير","فبراير","مارس","أبريل","مايو","يونيو","يوليو","أغسطس","سبتمبر","أكتوبر","نوفمبر","ديسمبر")</f>
        <v>مايو</v>
      </c>
      <c r="R816" s="40" t="str">
        <f aca="false">"الربع "&amp;ROUNDUP(MONTH(B816)/3,0)</f>
        <v>الربع 2</v>
      </c>
      <c r="S816" s="40" t="str">
        <f aca="false">IF(D816&lt;=12,"أطفال (0-12)",IF(D816&lt;=24,"شباب (13-24)",IF(D816&lt;=44,"بالغون (25-44)",IF(D816&lt;=64,"متوسطو العمر (45-64)","كبار السن (+65)"))))</f>
        <v>شباب (13-24)</v>
      </c>
      <c r="T816" s="41" t="n">
        <f aca="false">IFERROR(L816/P816,0)</f>
        <v>1999.79</v>
      </c>
    </row>
    <row r="817" customFormat="false" ht="15" hidden="false" customHeight="false" outlineLevel="0" collapsed="false">
      <c r="A817" s="33" t="s">
        <v>1092</v>
      </c>
      <c r="B817" s="34" t="n">
        <v>45437</v>
      </c>
      <c r="C817" s="34" t="n">
        <v>45441</v>
      </c>
      <c r="D817" s="33" t="n">
        <v>69</v>
      </c>
      <c r="E817" s="33" t="s">
        <v>154</v>
      </c>
      <c r="F817" s="33" t="s">
        <v>181</v>
      </c>
      <c r="G817" s="33" t="s">
        <v>188</v>
      </c>
      <c r="H817" s="33" t="s">
        <v>183</v>
      </c>
      <c r="I817" s="33" t="s">
        <v>152</v>
      </c>
      <c r="J817" s="33" t="s">
        <v>159</v>
      </c>
      <c r="K817" s="33" t="s">
        <v>145</v>
      </c>
      <c r="L817" s="35" t="n">
        <v>10428.07</v>
      </c>
      <c r="M817" s="33" t="n">
        <v>4</v>
      </c>
      <c r="N817" s="33" t="s">
        <v>146</v>
      </c>
      <c r="O817" s="33" t="s">
        <v>147</v>
      </c>
      <c r="P817" s="39" t="n">
        <f aca="false">C817-B817</f>
        <v>4</v>
      </c>
      <c r="Q817" s="40" t="str">
        <f aca="false">CHOOSE(MONTH(B817),"يناير","فبراير","مارس","أبريل","مايو","يونيو","يوليو","أغسطس","سبتمبر","أكتوبر","نوفمبر","ديسمبر")</f>
        <v>مايو</v>
      </c>
      <c r="R817" s="40" t="str">
        <f aca="false">"الربع "&amp;ROUNDUP(MONTH(B817)/3,0)</f>
        <v>الربع 2</v>
      </c>
      <c r="S817" s="40" t="str">
        <f aca="false">IF(D817&lt;=12,"أطفال (0-12)",IF(D817&lt;=24,"شباب (13-24)",IF(D817&lt;=44,"بالغون (25-44)",IF(D817&lt;=64,"متوسطو العمر (45-64)","كبار السن (+65)"))))</f>
        <v>كبار السن (+65)</v>
      </c>
      <c r="T817" s="41" t="n">
        <f aca="false">IFERROR(L817/P817,0)</f>
        <v>2607.0175</v>
      </c>
    </row>
    <row r="818" customFormat="false" ht="15" hidden="false" customHeight="false" outlineLevel="0" collapsed="false">
      <c r="A818" s="42" t="s">
        <v>2007</v>
      </c>
      <c r="B818" s="43" t="n">
        <v>45437</v>
      </c>
      <c r="C818" s="43" t="n">
        <v>45441</v>
      </c>
      <c r="D818" s="42" t="n">
        <v>46</v>
      </c>
      <c r="E818" s="42" t="s">
        <v>139</v>
      </c>
      <c r="F818" s="42" t="s">
        <v>169</v>
      </c>
      <c r="G818" s="42" t="s">
        <v>170</v>
      </c>
      <c r="H818" s="42" t="s">
        <v>195</v>
      </c>
      <c r="I818" s="42" t="s">
        <v>143</v>
      </c>
      <c r="J818" s="42" t="s">
        <v>159</v>
      </c>
      <c r="K818" s="42" t="s">
        <v>184</v>
      </c>
      <c r="L818" s="44" t="n">
        <v>4088.42</v>
      </c>
      <c r="M818" s="42" t="n">
        <v>3</v>
      </c>
      <c r="N818" s="42" t="s">
        <v>146</v>
      </c>
      <c r="O818" s="42" t="s">
        <v>147</v>
      </c>
      <c r="P818" s="39" t="n">
        <f aca="false">C818-B818</f>
        <v>4</v>
      </c>
      <c r="Q818" s="40" t="str">
        <f aca="false">CHOOSE(MONTH(B818),"يناير","فبراير","مارس","أبريل","مايو","يونيو","يوليو","أغسطس","سبتمبر","أكتوبر","نوفمبر","ديسمبر")</f>
        <v>مايو</v>
      </c>
      <c r="R818" s="40" t="str">
        <f aca="false">"الربع "&amp;ROUNDUP(MONTH(B818)/3,0)</f>
        <v>الربع 2</v>
      </c>
      <c r="S818" s="40" t="str">
        <f aca="false">IF(D818&lt;=12,"أطفال (0-12)",IF(D818&lt;=24,"شباب (13-24)",IF(D818&lt;=44,"بالغون (25-44)",IF(D818&lt;=64,"متوسطو العمر (45-64)","كبار السن (+65)"))))</f>
        <v>متوسطو العمر (45-64)</v>
      </c>
      <c r="T818" s="41" t="n">
        <f aca="false">IFERROR(L818/P818,0)</f>
        <v>1022.105</v>
      </c>
    </row>
    <row r="819" customFormat="false" ht="15" hidden="false" customHeight="false" outlineLevel="0" collapsed="false">
      <c r="A819" s="33" t="s">
        <v>475</v>
      </c>
      <c r="B819" s="34" t="n">
        <v>45437</v>
      </c>
      <c r="C819" s="34" t="n">
        <v>45439</v>
      </c>
      <c r="D819" s="33" t="n">
        <v>8</v>
      </c>
      <c r="E819" s="33" t="s">
        <v>154</v>
      </c>
      <c r="F819" s="33" t="s">
        <v>155</v>
      </c>
      <c r="G819" s="33" t="s">
        <v>302</v>
      </c>
      <c r="H819" s="33" t="s">
        <v>222</v>
      </c>
      <c r="I819" s="33" t="s">
        <v>143</v>
      </c>
      <c r="J819" s="33" t="s">
        <v>176</v>
      </c>
      <c r="K819" s="33" t="s">
        <v>145</v>
      </c>
      <c r="L819" s="35" t="n">
        <v>5492.5</v>
      </c>
      <c r="M819" s="33" t="n">
        <v>3</v>
      </c>
      <c r="N819" s="33" t="s">
        <v>146</v>
      </c>
      <c r="O819" s="33" t="s">
        <v>147</v>
      </c>
      <c r="P819" s="39" t="n">
        <f aca="false">C819-B819</f>
        <v>2</v>
      </c>
      <c r="Q819" s="40" t="str">
        <f aca="false">CHOOSE(MONTH(B819),"يناير","فبراير","مارس","أبريل","مايو","يونيو","يوليو","أغسطس","سبتمبر","أكتوبر","نوفمبر","ديسمبر")</f>
        <v>مايو</v>
      </c>
      <c r="R819" s="40" t="str">
        <f aca="false">"الربع "&amp;ROUNDUP(MONTH(B819)/3,0)</f>
        <v>الربع 2</v>
      </c>
      <c r="S819" s="40" t="str">
        <f aca="false">IF(D819&lt;=12,"أطفال (0-12)",IF(D819&lt;=24,"شباب (13-24)",IF(D819&lt;=44,"بالغون (25-44)",IF(D819&lt;=64,"متوسطو العمر (45-64)","كبار السن (+65)"))))</f>
        <v>أطفال (0-12)</v>
      </c>
      <c r="T819" s="41" t="n">
        <f aca="false">IFERROR(L819/P819,0)</f>
        <v>2746.25</v>
      </c>
    </row>
    <row r="820" customFormat="false" ht="15" hidden="false" customHeight="false" outlineLevel="0" collapsed="false">
      <c r="A820" s="42" t="s">
        <v>1597</v>
      </c>
      <c r="B820" s="43" t="n">
        <v>45437</v>
      </c>
      <c r="C820" s="43" t="n">
        <v>45440</v>
      </c>
      <c r="D820" s="42" t="n">
        <v>29</v>
      </c>
      <c r="E820" s="42" t="s">
        <v>139</v>
      </c>
      <c r="F820" s="42" t="s">
        <v>149</v>
      </c>
      <c r="G820" s="42" t="s">
        <v>224</v>
      </c>
      <c r="H820" s="42" t="s">
        <v>186</v>
      </c>
      <c r="I820" s="42" t="s">
        <v>143</v>
      </c>
      <c r="J820" s="42" t="s">
        <v>144</v>
      </c>
      <c r="K820" s="42" t="s">
        <v>145</v>
      </c>
      <c r="L820" s="44" t="n">
        <v>8304.07</v>
      </c>
      <c r="M820" s="42" t="n">
        <v>4</v>
      </c>
      <c r="N820" s="42" t="s">
        <v>146</v>
      </c>
      <c r="O820" s="42" t="s">
        <v>147</v>
      </c>
      <c r="P820" s="39" t="n">
        <f aca="false">C820-B820</f>
        <v>3</v>
      </c>
      <c r="Q820" s="40" t="str">
        <f aca="false">CHOOSE(MONTH(B820),"يناير","فبراير","مارس","أبريل","مايو","يونيو","يوليو","أغسطس","سبتمبر","أكتوبر","نوفمبر","ديسمبر")</f>
        <v>مايو</v>
      </c>
      <c r="R820" s="40" t="str">
        <f aca="false">"الربع "&amp;ROUNDUP(MONTH(B820)/3,0)</f>
        <v>الربع 2</v>
      </c>
      <c r="S820" s="40" t="str">
        <f aca="false">IF(D820&lt;=12,"أطفال (0-12)",IF(D820&lt;=24,"شباب (13-24)",IF(D820&lt;=44,"بالغون (25-44)",IF(D820&lt;=64,"متوسطو العمر (45-64)","كبار السن (+65)"))))</f>
        <v>بالغون (25-44)</v>
      </c>
      <c r="T820" s="41" t="n">
        <f aca="false">IFERROR(L820/P820,0)</f>
        <v>2768.02333333333</v>
      </c>
    </row>
    <row r="821" customFormat="false" ht="15" hidden="false" customHeight="false" outlineLevel="0" collapsed="false">
      <c r="A821" s="33" t="s">
        <v>1648</v>
      </c>
      <c r="B821" s="34" t="n">
        <v>45438</v>
      </c>
      <c r="C821" s="34" t="n">
        <v>45444</v>
      </c>
      <c r="D821" s="33" t="n">
        <v>45</v>
      </c>
      <c r="E821" s="33" t="s">
        <v>139</v>
      </c>
      <c r="F821" s="33" t="s">
        <v>140</v>
      </c>
      <c r="G821" s="33" t="s">
        <v>167</v>
      </c>
      <c r="H821" s="33" t="s">
        <v>290</v>
      </c>
      <c r="I821" s="33" t="s">
        <v>143</v>
      </c>
      <c r="J821" s="33" t="s">
        <v>159</v>
      </c>
      <c r="K821" s="33" t="s">
        <v>184</v>
      </c>
      <c r="L821" s="35" t="n">
        <v>14394.97</v>
      </c>
      <c r="M821" s="33" t="n">
        <v>2</v>
      </c>
      <c r="N821" s="33" t="s">
        <v>146</v>
      </c>
      <c r="O821" s="33" t="s">
        <v>147</v>
      </c>
      <c r="P821" s="39" t="n">
        <f aca="false">C821-B821</f>
        <v>6</v>
      </c>
      <c r="Q821" s="40" t="str">
        <f aca="false">CHOOSE(MONTH(B821),"يناير","فبراير","مارس","أبريل","مايو","يونيو","يوليو","أغسطس","سبتمبر","أكتوبر","نوفمبر","ديسمبر")</f>
        <v>مايو</v>
      </c>
      <c r="R821" s="40" t="str">
        <f aca="false">"الربع "&amp;ROUNDUP(MONTH(B821)/3,0)</f>
        <v>الربع 2</v>
      </c>
      <c r="S821" s="40" t="str">
        <f aca="false">IF(D821&lt;=12,"أطفال (0-12)",IF(D821&lt;=24,"شباب (13-24)",IF(D821&lt;=44,"بالغون (25-44)",IF(D821&lt;=64,"متوسطو العمر (45-64)","كبار السن (+65)"))))</f>
        <v>متوسطو العمر (45-64)</v>
      </c>
      <c r="T821" s="41" t="n">
        <f aca="false">IFERROR(L821/P821,0)</f>
        <v>2399.16166666667</v>
      </c>
    </row>
    <row r="822" customFormat="false" ht="15" hidden="false" customHeight="false" outlineLevel="0" collapsed="false">
      <c r="A822" s="42" t="s">
        <v>1425</v>
      </c>
      <c r="B822" s="43" t="n">
        <v>45438</v>
      </c>
      <c r="C822" s="43" t="n">
        <v>45440</v>
      </c>
      <c r="D822" s="42" t="n">
        <v>5</v>
      </c>
      <c r="E822" s="42" t="s">
        <v>139</v>
      </c>
      <c r="F822" s="42" t="s">
        <v>203</v>
      </c>
      <c r="G822" s="42" t="s">
        <v>232</v>
      </c>
      <c r="H822" s="42" t="s">
        <v>233</v>
      </c>
      <c r="I822" s="42" t="s">
        <v>143</v>
      </c>
      <c r="J822" s="42" t="s">
        <v>144</v>
      </c>
      <c r="K822" s="42" t="s">
        <v>184</v>
      </c>
      <c r="L822" s="44" t="n">
        <v>3616.33</v>
      </c>
      <c r="M822" s="42" t="n">
        <v>3</v>
      </c>
      <c r="N822" s="42" t="s">
        <v>146</v>
      </c>
      <c r="O822" s="42" t="s">
        <v>147</v>
      </c>
      <c r="P822" s="39" t="n">
        <f aca="false">C822-B822</f>
        <v>2</v>
      </c>
      <c r="Q822" s="40" t="str">
        <f aca="false">CHOOSE(MONTH(B822),"يناير","فبراير","مارس","أبريل","مايو","يونيو","يوليو","أغسطس","سبتمبر","أكتوبر","نوفمبر","ديسمبر")</f>
        <v>مايو</v>
      </c>
      <c r="R822" s="40" t="str">
        <f aca="false">"الربع "&amp;ROUNDUP(MONTH(B822)/3,0)</f>
        <v>الربع 2</v>
      </c>
      <c r="S822" s="40" t="str">
        <f aca="false">IF(D822&lt;=12,"أطفال (0-12)",IF(D822&lt;=24,"شباب (13-24)",IF(D822&lt;=44,"بالغون (25-44)",IF(D822&lt;=64,"متوسطو العمر (45-64)","كبار السن (+65)"))))</f>
        <v>أطفال (0-12)</v>
      </c>
      <c r="T822" s="41" t="n">
        <f aca="false">IFERROR(L822/P822,0)</f>
        <v>1808.165</v>
      </c>
    </row>
    <row r="823" customFormat="false" ht="15" hidden="false" customHeight="false" outlineLevel="0" collapsed="false">
      <c r="A823" s="33" t="s">
        <v>1290</v>
      </c>
      <c r="B823" s="34" t="n">
        <v>45438</v>
      </c>
      <c r="C823" s="34" t="n">
        <v>45442</v>
      </c>
      <c r="D823" s="33" t="n">
        <v>0</v>
      </c>
      <c r="E823" s="33" t="s">
        <v>154</v>
      </c>
      <c r="F823" s="33" t="s">
        <v>155</v>
      </c>
      <c r="G823" s="33" t="s">
        <v>156</v>
      </c>
      <c r="H823" s="33" t="s">
        <v>222</v>
      </c>
      <c r="I823" s="33" t="s">
        <v>152</v>
      </c>
      <c r="J823" s="33" t="s">
        <v>159</v>
      </c>
      <c r="K823" s="33" t="s">
        <v>160</v>
      </c>
      <c r="L823" s="35" t="n">
        <v>3484.5</v>
      </c>
      <c r="M823" s="33" t="n">
        <v>5</v>
      </c>
      <c r="N823" s="33" t="s">
        <v>146</v>
      </c>
      <c r="O823" s="33" t="s">
        <v>147</v>
      </c>
      <c r="P823" s="39" t="n">
        <f aca="false">C823-B823</f>
        <v>4</v>
      </c>
      <c r="Q823" s="40" t="str">
        <f aca="false">CHOOSE(MONTH(B823),"يناير","فبراير","مارس","أبريل","مايو","يونيو","يوليو","أغسطس","سبتمبر","أكتوبر","نوفمبر","ديسمبر")</f>
        <v>مايو</v>
      </c>
      <c r="R823" s="40" t="str">
        <f aca="false">"الربع "&amp;ROUNDUP(MONTH(B823)/3,0)</f>
        <v>الربع 2</v>
      </c>
      <c r="S823" s="40" t="str">
        <f aca="false">IF(D823&lt;=12,"أطفال (0-12)",IF(D823&lt;=24,"شباب (13-24)",IF(D823&lt;=44,"بالغون (25-44)",IF(D823&lt;=64,"متوسطو العمر (45-64)","كبار السن (+65)"))))</f>
        <v>أطفال (0-12)</v>
      </c>
      <c r="T823" s="41" t="n">
        <f aca="false">IFERROR(L823/P823,0)</f>
        <v>871.125</v>
      </c>
    </row>
    <row r="824" customFormat="false" ht="15" hidden="false" customHeight="false" outlineLevel="0" collapsed="false">
      <c r="A824" s="42" t="s">
        <v>1660</v>
      </c>
      <c r="B824" s="43" t="n">
        <v>45439</v>
      </c>
      <c r="C824" s="43" t="n">
        <v>45441</v>
      </c>
      <c r="D824" s="42" t="n">
        <v>35</v>
      </c>
      <c r="E824" s="42" t="s">
        <v>139</v>
      </c>
      <c r="F824" s="42" t="s">
        <v>173</v>
      </c>
      <c r="G824" s="42" t="s">
        <v>178</v>
      </c>
      <c r="H824" s="42" t="s">
        <v>199</v>
      </c>
      <c r="I824" s="42" t="s">
        <v>143</v>
      </c>
      <c r="J824" s="42" t="s">
        <v>159</v>
      </c>
      <c r="K824" s="42" t="s">
        <v>160</v>
      </c>
      <c r="L824" s="44" t="n">
        <v>4688.21</v>
      </c>
      <c r="M824" s="42" t="n">
        <v>3</v>
      </c>
      <c r="N824" s="42" t="s">
        <v>146</v>
      </c>
      <c r="O824" s="42" t="s">
        <v>147</v>
      </c>
      <c r="P824" s="39" t="n">
        <f aca="false">C824-B824</f>
        <v>2</v>
      </c>
      <c r="Q824" s="40" t="str">
        <f aca="false">CHOOSE(MONTH(B824),"يناير","فبراير","مارس","أبريل","مايو","يونيو","يوليو","أغسطس","سبتمبر","أكتوبر","نوفمبر","ديسمبر")</f>
        <v>مايو</v>
      </c>
      <c r="R824" s="40" t="str">
        <f aca="false">"الربع "&amp;ROUNDUP(MONTH(B824)/3,0)</f>
        <v>الربع 2</v>
      </c>
      <c r="S824" s="40" t="str">
        <f aca="false">IF(D824&lt;=12,"أطفال (0-12)",IF(D824&lt;=24,"شباب (13-24)",IF(D824&lt;=44,"بالغون (25-44)",IF(D824&lt;=64,"متوسطو العمر (45-64)","كبار السن (+65)"))))</f>
        <v>بالغون (25-44)</v>
      </c>
      <c r="T824" s="41" t="n">
        <f aca="false">IFERROR(L824/P824,0)</f>
        <v>2344.105</v>
      </c>
    </row>
    <row r="825" customFormat="false" ht="15" hidden="false" customHeight="false" outlineLevel="0" collapsed="false">
      <c r="A825" s="33" t="s">
        <v>1137</v>
      </c>
      <c r="B825" s="34" t="n">
        <v>45439</v>
      </c>
      <c r="C825" s="34" t="n">
        <v>45441</v>
      </c>
      <c r="D825" s="33" t="n">
        <v>22</v>
      </c>
      <c r="E825" s="33" t="s">
        <v>154</v>
      </c>
      <c r="F825" s="33" t="s">
        <v>169</v>
      </c>
      <c r="G825" s="33" t="s">
        <v>230</v>
      </c>
      <c r="H825" s="33" t="s">
        <v>195</v>
      </c>
      <c r="I825" s="33" t="s">
        <v>152</v>
      </c>
      <c r="J825" s="33" t="s">
        <v>159</v>
      </c>
      <c r="K825" s="33" t="s">
        <v>209</v>
      </c>
      <c r="L825" s="35" t="n">
        <v>2249.52</v>
      </c>
      <c r="M825" s="33" t="n">
        <v>4</v>
      </c>
      <c r="N825" s="33" t="s">
        <v>146</v>
      </c>
      <c r="O825" s="33" t="s">
        <v>147</v>
      </c>
      <c r="P825" s="39" t="n">
        <f aca="false">C825-B825</f>
        <v>2</v>
      </c>
      <c r="Q825" s="40" t="str">
        <f aca="false">CHOOSE(MONTH(B825),"يناير","فبراير","مارس","أبريل","مايو","يونيو","يوليو","أغسطس","سبتمبر","أكتوبر","نوفمبر","ديسمبر")</f>
        <v>مايو</v>
      </c>
      <c r="R825" s="40" t="str">
        <f aca="false">"الربع "&amp;ROUNDUP(MONTH(B825)/3,0)</f>
        <v>الربع 2</v>
      </c>
      <c r="S825" s="40" t="str">
        <f aca="false">IF(D825&lt;=12,"أطفال (0-12)",IF(D825&lt;=24,"شباب (13-24)",IF(D825&lt;=44,"بالغون (25-44)",IF(D825&lt;=64,"متوسطو العمر (45-64)","كبار السن (+65)"))))</f>
        <v>شباب (13-24)</v>
      </c>
      <c r="T825" s="41" t="n">
        <f aca="false">IFERROR(L825/P825,0)</f>
        <v>1124.76</v>
      </c>
    </row>
    <row r="826" customFormat="false" ht="15" hidden="false" customHeight="false" outlineLevel="0" collapsed="false">
      <c r="A826" s="42" t="s">
        <v>486</v>
      </c>
      <c r="B826" s="43" t="n">
        <v>45439</v>
      </c>
      <c r="C826" s="43" t="n">
        <v>45447</v>
      </c>
      <c r="D826" s="42" t="n">
        <v>55</v>
      </c>
      <c r="E826" s="42" t="s">
        <v>154</v>
      </c>
      <c r="F826" s="42" t="s">
        <v>140</v>
      </c>
      <c r="G826" s="42" t="s">
        <v>141</v>
      </c>
      <c r="H826" s="42" t="s">
        <v>142</v>
      </c>
      <c r="I826" s="42" t="s">
        <v>143</v>
      </c>
      <c r="J826" s="42" t="s">
        <v>159</v>
      </c>
      <c r="K826" s="42" t="s">
        <v>184</v>
      </c>
      <c r="L826" s="44" t="n">
        <v>18094.51</v>
      </c>
      <c r="M826" s="42" t="n">
        <v>4</v>
      </c>
      <c r="N826" s="42" t="s">
        <v>146</v>
      </c>
      <c r="O826" s="42" t="s">
        <v>147</v>
      </c>
      <c r="P826" s="39" t="n">
        <f aca="false">C826-B826</f>
        <v>8</v>
      </c>
      <c r="Q826" s="40" t="str">
        <f aca="false">CHOOSE(MONTH(B826),"يناير","فبراير","مارس","أبريل","مايو","يونيو","يوليو","أغسطس","سبتمبر","أكتوبر","نوفمبر","ديسمبر")</f>
        <v>مايو</v>
      </c>
      <c r="R826" s="40" t="str">
        <f aca="false">"الربع "&amp;ROUNDUP(MONTH(B826)/3,0)</f>
        <v>الربع 2</v>
      </c>
      <c r="S826" s="40" t="str">
        <f aca="false">IF(D826&lt;=12,"أطفال (0-12)",IF(D826&lt;=24,"شباب (13-24)",IF(D826&lt;=44,"بالغون (25-44)",IF(D826&lt;=64,"متوسطو العمر (45-64)","كبار السن (+65)"))))</f>
        <v>متوسطو العمر (45-64)</v>
      </c>
      <c r="T826" s="41" t="n">
        <f aca="false">IFERROR(L826/P826,0)</f>
        <v>2261.81375</v>
      </c>
    </row>
    <row r="827" customFormat="false" ht="15" hidden="false" customHeight="false" outlineLevel="0" collapsed="false">
      <c r="A827" s="33" t="s">
        <v>1245</v>
      </c>
      <c r="B827" s="34" t="n">
        <v>45439</v>
      </c>
      <c r="C827" s="34" t="n">
        <v>45440</v>
      </c>
      <c r="D827" s="33" t="n">
        <v>19</v>
      </c>
      <c r="E827" s="33" t="s">
        <v>139</v>
      </c>
      <c r="F827" s="33" t="s">
        <v>203</v>
      </c>
      <c r="G827" s="33" t="s">
        <v>241</v>
      </c>
      <c r="H827" s="33" t="s">
        <v>205</v>
      </c>
      <c r="I827" s="33" t="s">
        <v>158</v>
      </c>
      <c r="J827" s="33" t="s">
        <v>144</v>
      </c>
      <c r="K827" s="33" t="s">
        <v>209</v>
      </c>
      <c r="L827" s="35" t="n">
        <v>1740.25</v>
      </c>
      <c r="M827" s="33" t="n">
        <v>3</v>
      </c>
      <c r="N827" s="33" t="s">
        <v>146</v>
      </c>
      <c r="O827" s="33" t="s">
        <v>147</v>
      </c>
      <c r="P827" s="39" t="n">
        <f aca="false">C827-B827</f>
        <v>1</v>
      </c>
      <c r="Q827" s="40" t="str">
        <f aca="false">CHOOSE(MONTH(B827),"يناير","فبراير","مارس","أبريل","مايو","يونيو","يوليو","أغسطس","سبتمبر","أكتوبر","نوفمبر","ديسمبر")</f>
        <v>مايو</v>
      </c>
      <c r="R827" s="40" t="str">
        <f aca="false">"الربع "&amp;ROUNDUP(MONTH(B827)/3,0)</f>
        <v>الربع 2</v>
      </c>
      <c r="S827" s="40" t="str">
        <f aca="false">IF(D827&lt;=12,"أطفال (0-12)",IF(D827&lt;=24,"شباب (13-24)",IF(D827&lt;=44,"بالغون (25-44)",IF(D827&lt;=64,"متوسطو العمر (45-64)","كبار السن (+65)"))))</f>
        <v>شباب (13-24)</v>
      </c>
      <c r="T827" s="41" t="n">
        <f aca="false">IFERROR(L827/P827,0)</f>
        <v>1740.25</v>
      </c>
    </row>
    <row r="828" customFormat="false" ht="15" hidden="false" customHeight="false" outlineLevel="0" collapsed="false">
      <c r="A828" s="42" t="s">
        <v>1951</v>
      </c>
      <c r="B828" s="43" t="n">
        <v>45439</v>
      </c>
      <c r="C828" s="43" t="n">
        <v>45440</v>
      </c>
      <c r="D828" s="42" t="n">
        <v>32</v>
      </c>
      <c r="E828" s="42" t="s">
        <v>139</v>
      </c>
      <c r="F828" s="42" t="s">
        <v>149</v>
      </c>
      <c r="G828" s="42" t="s">
        <v>243</v>
      </c>
      <c r="H828" s="42" t="s">
        <v>151</v>
      </c>
      <c r="I828" s="42" t="s">
        <v>158</v>
      </c>
      <c r="J828" s="42" t="s">
        <v>144</v>
      </c>
      <c r="K828" s="42" t="s">
        <v>160</v>
      </c>
      <c r="L828" s="44" t="n">
        <v>2831.28</v>
      </c>
      <c r="M828" s="42" t="n">
        <v>4</v>
      </c>
      <c r="N828" s="42" t="s">
        <v>146</v>
      </c>
      <c r="O828" s="42" t="s">
        <v>147</v>
      </c>
      <c r="P828" s="39" t="n">
        <f aca="false">C828-B828</f>
        <v>1</v>
      </c>
      <c r="Q828" s="40" t="str">
        <f aca="false">CHOOSE(MONTH(B828),"يناير","فبراير","مارس","أبريل","مايو","يونيو","يوليو","أغسطس","سبتمبر","أكتوبر","نوفمبر","ديسمبر")</f>
        <v>مايو</v>
      </c>
      <c r="R828" s="40" t="str">
        <f aca="false">"الربع "&amp;ROUNDUP(MONTH(B828)/3,0)</f>
        <v>الربع 2</v>
      </c>
      <c r="S828" s="40" t="str">
        <f aca="false">IF(D828&lt;=12,"أطفال (0-12)",IF(D828&lt;=24,"شباب (13-24)",IF(D828&lt;=44,"بالغون (25-44)",IF(D828&lt;=64,"متوسطو العمر (45-64)","كبار السن (+65)"))))</f>
        <v>بالغون (25-44)</v>
      </c>
      <c r="T828" s="41" t="n">
        <f aca="false">IFERROR(L828/P828,0)</f>
        <v>2831.28</v>
      </c>
    </row>
    <row r="829" customFormat="false" ht="15" hidden="false" customHeight="false" outlineLevel="0" collapsed="false">
      <c r="A829" s="33" t="s">
        <v>918</v>
      </c>
      <c r="B829" s="34" t="n">
        <v>45439</v>
      </c>
      <c r="C829" s="34" t="n">
        <v>45440</v>
      </c>
      <c r="D829" s="33" t="n">
        <v>42</v>
      </c>
      <c r="E829" s="33" t="s">
        <v>154</v>
      </c>
      <c r="F829" s="33" t="s">
        <v>169</v>
      </c>
      <c r="G829" s="33" t="s">
        <v>213</v>
      </c>
      <c r="H829" s="33" t="s">
        <v>164</v>
      </c>
      <c r="I829" s="33" t="s">
        <v>158</v>
      </c>
      <c r="J829" s="33" t="s">
        <v>159</v>
      </c>
      <c r="K829" s="33" t="s">
        <v>145</v>
      </c>
      <c r="L829" s="35" t="n">
        <v>1352.51</v>
      </c>
      <c r="M829" s="33" t="n">
        <v>4</v>
      </c>
      <c r="N829" s="33" t="s">
        <v>146</v>
      </c>
      <c r="O829" s="33" t="s">
        <v>147</v>
      </c>
      <c r="P829" s="39" t="n">
        <f aca="false">C829-B829</f>
        <v>1</v>
      </c>
      <c r="Q829" s="40" t="str">
        <f aca="false">CHOOSE(MONTH(B829),"يناير","فبراير","مارس","أبريل","مايو","يونيو","يوليو","أغسطس","سبتمبر","أكتوبر","نوفمبر","ديسمبر")</f>
        <v>مايو</v>
      </c>
      <c r="R829" s="40" t="str">
        <f aca="false">"الربع "&amp;ROUNDUP(MONTH(B829)/3,0)</f>
        <v>الربع 2</v>
      </c>
      <c r="S829" s="40" t="str">
        <f aca="false">IF(D829&lt;=12,"أطفال (0-12)",IF(D829&lt;=24,"شباب (13-24)",IF(D829&lt;=44,"بالغون (25-44)",IF(D829&lt;=64,"متوسطو العمر (45-64)","كبار السن (+65)"))))</f>
        <v>بالغون (25-44)</v>
      </c>
      <c r="T829" s="41" t="n">
        <f aca="false">IFERROR(L829/P829,0)</f>
        <v>1352.51</v>
      </c>
    </row>
    <row r="830" customFormat="false" ht="15" hidden="false" customHeight="false" outlineLevel="0" collapsed="false">
      <c r="A830" s="42" t="s">
        <v>2271</v>
      </c>
      <c r="B830" s="43" t="n">
        <v>45440</v>
      </c>
      <c r="C830" s="43" t="n">
        <v>45441</v>
      </c>
      <c r="D830" s="42" t="n">
        <v>68</v>
      </c>
      <c r="E830" s="42" t="s">
        <v>154</v>
      </c>
      <c r="F830" s="42" t="s">
        <v>181</v>
      </c>
      <c r="G830" s="42" t="s">
        <v>182</v>
      </c>
      <c r="H830" s="42" t="s">
        <v>183</v>
      </c>
      <c r="I830" s="42" t="s">
        <v>152</v>
      </c>
      <c r="J830" s="42" t="s">
        <v>159</v>
      </c>
      <c r="K830" s="42" t="s">
        <v>160</v>
      </c>
      <c r="L830" s="44" t="n">
        <v>2845.11</v>
      </c>
      <c r="M830" s="42" t="n">
        <v>5</v>
      </c>
      <c r="N830" s="42" t="s">
        <v>146</v>
      </c>
      <c r="O830" s="42" t="s">
        <v>147</v>
      </c>
      <c r="P830" s="39" t="n">
        <f aca="false">C830-B830</f>
        <v>1</v>
      </c>
      <c r="Q830" s="40" t="str">
        <f aca="false">CHOOSE(MONTH(B830),"يناير","فبراير","مارس","أبريل","مايو","يونيو","يوليو","أغسطس","سبتمبر","أكتوبر","نوفمبر","ديسمبر")</f>
        <v>مايو</v>
      </c>
      <c r="R830" s="40" t="str">
        <f aca="false">"الربع "&amp;ROUNDUP(MONTH(B830)/3,0)</f>
        <v>الربع 2</v>
      </c>
      <c r="S830" s="40" t="str">
        <f aca="false">IF(D830&lt;=12,"أطفال (0-12)",IF(D830&lt;=24,"شباب (13-24)",IF(D830&lt;=44,"بالغون (25-44)",IF(D830&lt;=64,"متوسطو العمر (45-64)","كبار السن (+65)"))))</f>
        <v>كبار السن (+65)</v>
      </c>
      <c r="T830" s="41" t="n">
        <f aca="false">IFERROR(L830/P830,0)</f>
        <v>2845.11</v>
      </c>
    </row>
    <row r="831" customFormat="false" ht="15" hidden="false" customHeight="false" outlineLevel="0" collapsed="false">
      <c r="A831" s="33" t="s">
        <v>1734</v>
      </c>
      <c r="B831" s="34" t="n">
        <v>45440</v>
      </c>
      <c r="C831" s="34" t="n">
        <v>45442</v>
      </c>
      <c r="D831" s="33" t="n">
        <v>40</v>
      </c>
      <c r="E831" s="33" t="s">
        <v>154</v>
      </c>
      <c r="F831" s="33" t="s">
        <v>169</v>
      </c>
      <c r="G831" s="33" t="s">
        <v>163</v>
      </c>
      <c r="H831" s="33" t="s">
        <v>195</v>
      </c>
      <c r="I831" s="33" t="s">
        <v>143</v>
      </c>
      <c r="J831" s="33" t="s">
        <v>144</v>
      </c>
      <c r="K831" s="33" t="s">
        <v>145</v>
      </c>
      <c r="L831" s="35" t="n">
        <v>3233.16</v>
      </c>
      <c r="M831" s="33" t="n">
        <v>3</v>
      </c>
      <c r="N831" s="33" t="s">
        <v>146</v>
      </c>
      <c r="O831" s="33" t="s">
        <v>206</v>
      </c>
      <c r="P831" s="39" t="n">
        <f aca="false">C831-B831</f>
        <v>2</v>
      </c>
      <c r="Q831" s="40" t="str">
        <f aca="false">CHOOSE(MONTH(B831),"يناير","فبراير","مارس","أبريل","مايو","يونيو","يوليو","أغسطس","سبتمبر","أكتوبر","نوفمبر","ديسمبر")</f>
        <v>مايو</v>
      </c>
      <c r="R831" s="40" t="str">
        <f aca="false">"الربع "&amp;ROUNDUP(MONTH(B831)/3,0)</f>
        <v>الربع 2</v>
      </c>
      <c r="S831" s="40" t="str">
        <f aca="false">IF(D831&lt;=12,"أطفال (0-12)",IF(D831&lt;=24,"شباب (13-24)",IF(D831&lt;=44,"بالغون (25-44)",IF(D831&lt;=64,"متوسطو العمر (45-64)","كبار السن (+65)"))))</f>
        <v>بالغون (25-44)</v>
      </c>
      <c r="T831" s="41" t="n">
        <f aca="false">IFERROR(L831/P831,0)</f>
        <v>1616.58</v>
      </c>
    </row>
    <row r="832" customFormat="false" ht="15" hidden="false" customHeight="false" outlineLevel="0" collapsed="false">
      <c r="A832" s="42" t="s">
        <v>1744</v>
      </c>
      <c r="B832" s="43" t="n">
        <v>45440</v>
      </c>
      <c r="C832" s="43" t="n">
        <v>45441</v>
      </c>
      <c r="D832" s="42" t="n">
        <v>19</v>
      </c>
      <c r="E832" s="42" t="s">
        <v>154</v>
      </c>
      <c r="F832" s="42" t="s">
        <v>140</v>
      </c>
      <c r="G832" s="42" t="s">
        <v>167</v>
      </c>
      <c r="H832" s="42" t="s">
        <v>290</v>
      </c>
      <c r="I832" s="42" t="s">
        <v>143</v>
      </c>
      <c r="J832" s="42" t="s">
        <v>159</v>
      </c>
      <c r="K832" s="42" t="s">
        <v>145</v>
      </c>
      <c r="L832" s="44" t="n">
        <v>2144.23</v>
      </c>
      <c r="M832" s="42" t="n">
        <v>4</v>
      </c>
      <c r="N832" s="42" t="s">
        <v>146</v>
      </c>
      <c r="O832" s="42" t="s">
        <v>147</v>
      </c>
      <c r="P832" s="39" t="n">
        <f aca="false">C832-B832</f>
        <v>1</v>
      </c>
      <c r="Q832" s="40" t="str">
        <f aca="false">CHOOSE(MONTH(B832),"يناير","فبراير","مارس","أبريل","مايو","يونيو","يوليو","أغسطس","سبتمبر","أكتوبر","نوفمبر","ديسمبر")</f>
        <v>مايو</v>
      </c>
      <c r="R832" s="40" t="str">
        <f aca="false">"الربع "&amp;ROUNDUP(MONTH(B832)/3,0)</f>
        <v>الربع 2</v>
      </c>
      <c r="S832" s="40" t="str">
        <f aca="false">IF(D832&lt;=12,"أطفال (0-12)",IF(D832&lt;=24,"شباب (13-24)",IF(D832&lt;=44,"بالغون (25-44)",IF(D832&lt;=64,"متوسطو العمر (45-64)","كبار السن (+65)"))))</f>
        <v>شباب (13-24)</v>
      </c>
      <c r="T832" s="41" t="n">
        <f aca="false">IFERROR(L832/P832,0)</f>
        <v>2144.23</v>
      </c>
    </row>
    <row r="833" customFormat="false" ht="15" hidden="false" customHeight="false" outlineLevel="0" collapsed="false">
      <c r="A833" s="33" t="s">
        <v>1414</v>
      </c>
      <c r="B833" s="34" t="n">
        <v>45440</v>
      </c>
      <c r="C833" s="34" t="n">
        <v>45441</v>
      </c>
      <c r="D833" s="33" t="n">
        <v>62</v>
      </c>
      <c r="E833" s="33" t="s">
        <v>139</v>
      </c>
      <c r="F833" s="33" t="s">
        <v>203</v>
      </c>
      <c r="G833" s="33" t="s">
        <v>232</v>
      </c>
      <c r="H833" s="33" t="s">
        <v>193</v>
      </c>
      <c r="I833" s="33" t="s">
        <v>143</v>
      </c>
      <c r="J833" s="33" t="s">
        <v>176</v>
      </c>
      <c r="K833" s="33" t="s">
        <v>160</v>
      </c>
      <c r="L833" s="35" t="n">
        <v>3108.4</v>
      </c>
      <c r="M833" s="33" t="n">
        <v>3</v>
      </c>
      <c r="N833" s="33" t="s">
        <v>210</v>
      </c>
      <c r="O833" s="33" t="s">
        <v>147</v>
      </c>
      <c r="P833" s="39" t="n">
        <f aca="false">C833-B833</f>
        <v>1</v>
      </c>
      <c r="Q833" s="40" t="str">
        <f aca="false">CHOOSE(MONTH(B833),"يناير","فبراير","مارس","أبريل","مايو","يونيو","يوليو","أغسطس","سبتمبر","أكتوبر","نوفمبر","ديسمبر")</f>
        <v>مايو</v>
      </c>
      <c r="R833" s="40" t="str">
        <f aca="false">"الربع "&amp;ROUNDUP(MONTH(B833)/3,0)</f>
        <v>الربع 2</v>
      </c>
      <c r="S833" s="40" t="str">
        <f aca="false">IF(D833&lt;=12,"أطفال (0-12)",IF(D833&lt;=24,"شباب (13-24)",IF(D833&lt;=44,"بالغون (25-44)",IF(D833&lt;=64,"متوسطو العمر (45-64)","كبار السن (+65)"))))</f>
        <v>متوسطو العمر (45-64)</v>
      </c>
      <c r="T833" s="41" t="n">
        <f aca="false">IFERROR(L833/P833,0)</f>
        <v>3108.4</v>
      </c>
    </row>
    <row r="834" customFormat="false" ht="15" hidden="false" customHeight="false" outlineLevel="0" collapsed="false">
      <c r="A834" s="42" t="s">
        <v>913</v>
      </c>
      <c r="B834" s="43" t="n">
        <v>45441</v>
      </c>
      <c r="C834" s="43" t="n">
        <v>45442</v>
      </c>
      <c r="D834" s="42" t="n">
        <v>16</v>
      </c>
      <c r="E834" s="42" t="s">
        <v>154</v>
      </c>
      <c r="F834" s="42" t="s">
        <v>203</v>
      </c>
      <c r="G834" s="42" t="s">
        <v>192</v>
      </c>
      <c r="H834" s="42" t="s">
        <v>233</v>
      </c>
      <c r="I834" s="42" t="s">
        <v>143</v>
      </c>
      <c r="J834" s="42" t="s">
        <v>144</v>
      </c>
      <c r="K834" s="42" t="s">
        <v>145</v>
      </c>
      <c r="L834" s="44" t="n">
        <v>2270.97</v>
      </c>
      <c r="M834" s="42" t="n">
        <v>4</v>
      </c>
      <c r="N834" s="42" t="s">
        <v>146</v>
      </c>
      <c r="O834" s="42" t="s">
        <v>147</v>
      </c>
      <c r="P834" s="39" t="n">
        <f aca="false">C834-B834</f>
        <v>1</v>
      </c>
      <c r="Q834" s="40" t="str">
        <f aca="false">CHOOSE(MONTH(B834),"يناير","فبراير","مارس","أبريل","مايو","يونيو","يوليو","أغسطس","سبتمبر","أكتوبر","نوفمبر","ديسمبر")</f>
        <v>مايو</v>
      </c>
      <c r="R834" s="40" t="str">
        <f aca="false">"الربع "&amp;ROUNDUP(MONTH(B834)/3,0)</f>
        <v>الربع 2</v>
      </c>
      <c r="S834" s="40" t="str">
        <f aca="false">IF(D834&lt;=12,"أطفال (0-12)",IF(D834&lt;=24,"شباب (13-24)",IF(D834&lt;=44,"بالغون (25-44)",IF(D834&lt;=64,"متوسطو العمر (45-64)","كبار السن (+65)"))))</f>
        <v>شباب (13-24)</v>
      </c>
      <c r="T834" s="41" t="n">
        <f aca="false">IFERROR(L834/P834,0)</f>
        <v>2270.97</v>
      </c>
    </row>
    <row r="835" customFormat="false" ht="15" hidden="false" customHeight="false" outlineLevel="0" collapsed="false">
      <c r="A835" s="33" t="s">
        <v>673</v>
      </c>
      <c r="B835" s="34" t="n">
        <v>45441</v>
      </c>
      <c r="C835" s="34" t="n">
        <v>45446</v>
      </c>
      <c r="D835" s="33" t="n">
        <v>56</v>
      </c>
      <c r="E835" s="33" t="s">
        <v>154</v>
      </c>
      <c r="F835" s="33" t="s">
        <v>140</v>
      </c>
      <c r="G835" s="33" t="s">
        <v>167</v>
      </c>
      <c r="H835" s="33" t="s">
        <v>290</v>
      </c>
      <c r="I835" s="33" t="s">
        <v>152</v>
      </c>
      <c r="J835" s="33" t="s">
        <v>159</v>
      </c>
      <c r="K835" s="33" t="s">
        <v>145</v>
      </c>
      <c r="L835" s="35" t="n">
        <v>12321.45</v>
      </c>
      <c r="M835" s="33" t="n">
        <v>3</v>
      </c>
      <c r="N835" s="33" t="s">
        <v>146</v>
      </c>
      <c r="O835" s="33" t="s">
        <v>147</v>
      </c>
      <c r="P835" s="39" t="n">
        <f aca="false">C835-B835</f>
        <v>5</v>
      </c>
      <c r="Q835" s="40" t="str">
        <f aca="false">CHOOSE(MONTH(B835),"يناير","فبراير","مارس","أبريل","مايو","يونيو","يوليو","أغسطس","سبتمبر","أكتوبر","نوفمبر","ديسمبر")</f>
        <v>مايو</v>
      </c>
      <c r="R835" s="40" t="str">
        <f aca="false">"الربع "&amp;ROUNDUP(MONTH(B835)/3,0)</f>
        <v>الربع 2</v>
      </c>
      <c r="S835" s="40" t="str">
        <f aca="false">IF(D835&lt;=12,"أطفال (0-12)",IF(D835&lt;=24,"شباب (13-24)",IF(D835&lt;=44,"بالغون (25-44)",IF(D835&lt;=64,"متوسطو العمر (45-64)","كبار السن (+65)"))))</f>
        <v>متوسطو العمر (45-64)</v>
      </c>
      <c r="T835" s="41" t="n">
        <f aca="false">IFERROR(L835/P835,0)</f>
        <v>2464.29</v>
      </c>
    </row>
    <row r="836" customFormat="false" ht="15" hidden="false" customHeight="false" outlineLevel="0" collapsed="false">
      <c r="A836" s="42" t="s">
        <v>2113</v>
      </c>
      <c r="B836" s="43" t="n">
        <v>45441</v>
      </c>
      <c r="C836" s="43" t="n">
        <v>45443</v>
      </c>
      <c r="D836" s="42" t="n">
        <v>24</v>
      </c>
      <c r="E836" s="42" t="s">
        <v>139</v>
      </c>
      <c r="F836" s="42" t="s">
        <v>149</v>
      </c>
      <c r="G836" s="42" t="s">
        <v>243</v>
      </c>
      <c r="H836" s="42" t="s">
        <v>186</v>
      </c>
      <c r="I836" s="42" t="s">
        <v>158</v>
      </c>
      <c r="J836" s="42" t="s">
        <v>159</v>
      </c>
      <c r="K836" s="42" t="s">
        <v>160</v>
      </c>
      <c r="L836" s="44" t="n">
        <v>2679.68</v>
      </c>
      <c r="M836" s="42" t="n">
        <v>5</v>
      </c>
      <c r="N836" s="42" t="s">
        <v>146</v>
      </c>
      <c r="O836" s="42" t="s">
        <v>147</v>
      </c>
      <c r="P836" s="39" t="n">
        <f aca="false">C836-B836</f>
        <v>2</v>
      </c>
      <c r="Q836" s="40" t="str">
        <f aca="false">CHOOSE(MONTH(B836),"يناير","فبراير","مارس","أبريل","مايو","يونيو","يوليو","أغسطس","سبتمبر","أكتوبر","نوفمبر","ديسمبر")</f>
        <v>مايو</v>
      </c>
      <c r="R836" s="40" t="str">
        <f aca="false">"الربع "&amp;ROUNDUP(MONTH(B836)/3,0)</f>
        <v>الربع 2</v>
      </c>
      <c r="S836" s="40" t="str">
        <f aca="false">IF(D836&lt;=12,"أطفال (0-12)",IF(D836&lt;=24,"شباب (13-24)",IF(D836&lt;=44,"بالغون (25-44)",IF(D836&lt;=64,"متوسطو العمر (45-64)","كبار السن (+65)"))))</f>
        <v>شباب (13-24)</v>
      </c>
      <c r="T836" s="41" t="n">
        <f aca="false">IFERROR(L836/P836,0)</f>
        <v>1339.84</v>
      </c>
    </row>
    <row r="837" customFormat="false" ht="15" hidden="false" customHeight="false" outlineLevel="0" collapsed="false">
      <c r="A837" s="33" t="s">
        <v>2170</v>
      </c>
      <c r="B837" s="34" t="n">
        <v>45441</v>
      </c>
      <c r="C837" s="34" t="n">
        <v>45447</v>
      </c>
      <c r="D837" s="33" t="n">
        <v>60</v>
      </c>
      <c r="E837" s="33" t="s">
        <v>154</v>
      </c>
      <c r="F837" s="33" t="s">
        <v>169</v>
      </c>
      <c r="G837" s="33" t="s">
        <v>213</v>
      </c>
      <c r="H837" s="33" t="s">
        <v>2322</v>
      </c>
      <c r="I837" s="33" t="s">
        <v>143</v>
      </c>
      <c r="J837" s="33" t="s">
        <v>144</v>
      </c>
      <c r="K837" s="33" t="s">
        <v>160</v>
      </c>
      <c r="L837" s="35" t="n">
        <v>14529.6</v>
      </c>
      <c r="M837" s="33" t="n">
        <v>5</v>
      </c>
      <c r="N837" s="33" t="s">
        <v>146</v>
      </c>
      <c r="O837" s="33" t="s">
        <v>147</v>
      </c>
      <c r="P837" s="39" t="n">
        <f aca="false">C837-B837</f>
        <v>6</v>
      </c>
      <c r="Q837" s="40" t="str">
        <f aca="false">CHOOSE(MONTH(B837),"يناير","فبراير","مارس","أبريل","مايو","يونيو","يوليو","أغسطس","سبتمبر","أكتوبر","نوفمبر","ديسمبر")</f>
        <v>مايو</v>
      </c>
      <c r="R837" s="40" t="str">
        <f aca="false">"الربع "&amp;ROUNDUP(MONTH(B837)/3,0)</f>
        <v>الربع 2</v>
      </c>
      <c r="S837" s="40" t="str">
        <f aca="false">IF(D837&lt;=12,"أطفال (0-12)",IF(D837&lt;=24,"شباب (13-24)",IF(D837&lt;=44,"بالغون (25-44)",IF(D837&lt;=64,"متوسطو العمر (45-64)","كبار السن (+65)"))))</f>
        <v>متوسطو العمر (45-64)</v>
      </c>
      <c r="T837" s="41" t="n">
        <f aca="false">IFERROR(L837/P837,0)</f>
        <v>2421.6</v>
      </c>
    </row>
    <row r="838" customFormat="false" ht="15" hidden="false" customHeight="false" outlineLevel="0" collapsed="false">
      <c r="A838" s="42" t="s">
        <v>1617</v>
      </c>
      <c r="B838" s="43" t="n">
        <v>45441</v>
      </c>
      <c r="C838" s="43" t="n">
        <v>45446</v>
      </c>
      <c r="D838" s="42" t="n">
        <v>47</v>
      </c>
      <c r="E838" s="42" t="s">
        <v>154</v>
      </c>
      <c r="F838" s="42" t="s">
        <v>140</v>
      </c>
      <c r="G838" s="42" t="s">
        <v>167</v>
      </c>
      <c r="H838" s="42" t="s">
        <v>142</v>
      </c>
      <c r="I838" s="42" t="s">
        <v>143</v>
      </c>
      <c r="J838" s="42" t="s">
        <v>159</v>
      </c>
      <c r="K838" s="42" t="s">
        <v>145</v>
      </c>
      <c r="L838" s="44" t="n">
        <v>13640.06</v>
      </c>
      <c r="M838" s="42" t="n">
        <v>4</v>
      </c>
      <c r="N838" s="42" t="s">
        <v>146</v>
      </c>
      <c r="O838" s="42" t="s">
        <v>247</v>
      </c>
      <c r="P838" s="39" t="n">
        <f aca="false">C838-B838</f>
        <v>5</v>
      </c>
      <c r="Q838" s="40" t="str">
        <f aca="false">CHOOSE(MONTH(B838),"يناير","فبراير","مارس","أبريل","مايو","يونيو","يوليو","أغسطس","سبتمبر","أكتوبر","نوفمبر","ديسمبر")</f>
        <v>مايو</v>
      </c>
      <c r="R838" s="40" t="str">
        <f aca="false">"الربع "&amp;ROUNDUP(MONTH(B838)/3,0)</f>
        <v>الربع 2</v>
      </c>
      <c r="S838" s="40" t="str">
        <f aca="false">IF(D838&lt;=12,"أطفال (0-12)",IF(D838&lt;=24,"شباب (13-24)",IF(D838&lt;=44,"بالغون (25-44)",IF(D838&lt;=64,"متوسطو العمر (45-64)","كبار السن (+65)"))))</f>
        <v>متوسطو العمر (45-64)</v>
      </c>
      <c r="T838" s="41" t="n">
        <f aca="false">IFERROR(L838/P838,0)</f>
        <v>2728.012</v>
      </c>
    </row>
    <row r="839" customFormat="false" ht="15" hidden="false" customHeight="false" outlineLevel="0" collapsed="false">
      <c r="A839" s="33" t="s">
        <v>600</v>
      </c>
      <c r="B839" s="34" t="n">
        <v>45441</v>
      </c>
      <c r="C839" s="34" t="n">
        <v>45446</v>
      </c>
      <c r="D839" s="33" t="n">
        <v>29</v>
      </c>
      <c r="E839" s="33" t="s">
        <v>139</v>
      </c>
      <c r="F839" s="33" t="s">
        <v>149</v>
      </c>
      <c r="G839" s="33" t="s">
        <v>224</v>
      </c>
      <c r="H839" s="33" t="s">
        <v>151</v>
      </c>
      <c r="I839" s="33" t="s">
        <v>143</v>
      </c>
      <c r="J839" s="33" t="s">
        <v>176</v>
      </c>
      <c r="K839" s="33" t="s">
        <v>145</v>
      </c>
      <c r="L839" s="35" t="n">
        <v>24429.3</v>
      </c>
      <c r="M839" s="33" t="n">
        <v>5</v>
      </c>
      <c r="N839" s="33" t="s">
        <v>146</v>
      </c>
      <c r="O839" s="33" t="s">
        <v>147</v>
      </c>
      <c r="P839" s="39" t="n">
        <f aca="false">C839-B839</f>
        <v>5</v>
      </c>
      <c r="Q839" s="40" t="str">
        <f aca="false">CHOOSE(MONTH(B839),"يناير","فبراير","مارس","أبريل","مايو","يونيو","يوليو","أغسطس","سبتمبر","أكتوبر","نوفمبر","ديسمبر")</f>
        <v>مايو</v>
      </c>
      <c r="R839" s="40" t="str">
        <f aca="false">"الربع "&amp;ROUNDUP(MONTH(B839)/3,0)</f>
        <v>الربع 2</v>
      </c>
      <c r="S839" s="40" t="str">
        <f aca="false">IF(D839&lt;=12,"أطفال (0-12)",IF(D839&lt;=24,"شباب (13-24)",IF(D839&lt;=44,"بالغون (25-44)",IF(D839&lt;=64,"متوسطو العمر (45-64)","كبار السن (+65)"))))</f>
        <v>بالغون (25-44)</v>
      </c>
      <c r="T839" s="41" t="n">
        <f aca="false">IFERROR(L839/P839,0)</f>
        <v>4885.86</v>
      </c>
    </row>
    <row r="840" customFormat="false" ht="15" hidden="false" customHeight="false" outlineLevel="0" collapsed="false">
      <c r="A840" s="42" t="s">
        <v>628</v>
      </c>
      <c r="B840" s="43" t="n">
        <v>45441</v>
      </c>
      <c r="C840" s="43" t="n">
        <v>45444</v>
      </c>
      <c r="D840" s="42" t="n">
        <v>94</v>
      </c>
      <c r="E840" s="42" t="s">
        <v>139</v>
      </c>
      <c r="F840" s="42" t="s">
        <v>181</v>
      </c>
      <c r="G840" s="42" t="s">
        <v>182</v>
      </c>
      <c r="H840" s="42" t="s">
        <v>245</v>
      </c>
      <c r="I840" s="42" t="s">
        <v>152</v>
      </c>
      <c r="J840" s="42" t="s">
        <v>159</v>
      </c>
      <c r="K840" s="42" t="s">
        <v>160</v>
      </c>
      <c r="L840" s="44" t="n">
        <v>7879.63</v>
      </c>
      <c r="M840" s="42" t="n">
        <v>3</v>
      </c>
      <c r="N840" s="42" t="s">
        <v>146</v>
      </c>
      <c r="O840" s="42" t="s">
        <v>147</v>
      </c>
      <c r="P840" s="39" t="n">
        <f aca="false">C840-B840</f>
        <v>3</v>
      </c>
      <c r="Q840" s="40" t="str">
        <f aca="false">CHOOSE(MONTH(B840),"يناير","فبراير","مارس","أبريل","مايو","يونيو","يوليو","أغسطس","سبتمبر","أكتوبر","نوفمبر","ديسمبر")</f>
        <v>مايو</v>
      </c>
      <c r="R840" s="40" t="str">
        <f aca="false">"الربع "&amp;ROUNDUP(MONTH(B840)/3,0)</f>
        <v>الربع 2</v>
      </c>
      <c r="S840" s="40" t="str">
        <f aca="false">IF(D840&lt;=12,"أطفال (0-12)",IF(D840&lt;=24,"شباب (13-24)",IF(D840&lt;=44,"بالغون (25-44)",IF(D840&lt;=64,"متوسطو العمر (45-64)","كبار السن (+65)"))))</f>
        <v>كبار السن (+65)</v>
      </c>
      <c r="T840" s="41" t="n">
        <f aca="false">IFERROR(L840/P840,0)</f>
        <v>2626.54333333333</v>
      </c>
    </row>
    <row r="841" customFormat="false" ht="15" hidden="false" customHeight="false" outlineLevel="0" collapsed="false">
      <c r="A841" s="33" t="s">
        <v>1851</v>
      </c>
      <c r="B841" s="34" t="n">
        <v>45441</v>
      </c>
      <c r="C841" s="34" t="n">
        <v>45451</v>
      </c>
      <c r="D841" s="33" t="n">
        <v>71</v>
      </c>
      <c r="E841" s="33" t="s">
        <v>154</v>
      </c>
      <c r="F841" s="33" t="s">
        <v>226</v>
      </c>
      <c r="G841" s="33" t="s">
        <v>258</v>
      </c>
      <c r="H841" s="33" t="s">
        <v>228</v>
      </c>
      <c r="I841" s="33" t="s">
        <v>152</v>
      </c>
      <c r="J841" s="33" t="s">
        <v>159</v>
      </c>
      <c r="K841" s="33" t="s">
        <v>209</v>
      </c>
      <c r="L841" s="35" t="n">
        <v>27646.32</v>
      </c>
      <c r="M841" s="33" t="n">
        <v>3</v>
      </c>
      <c r="N841" s="33" t="s">
        <v>146</v>
      </c>
      <c r="O841" s="33" t="s">
        <v>295</v>
      </c>
      <c r="P841" s="39" t="n">
        <f aca="false">C841-B841</f>
        <v>10</v>
      </c>
      <c r="Q841" s="40" t="str">
        <f aca="false">CHOOSE(MONTH(B841),"يناير","فبراير","مارس","أبريل","مايو","يونيو","يوليو","أغسطس","سبتمبر","أكتوبر","نوفمبر","ديسمبر")</f>
        <v>مايو</v>
      </c>
      <c r="R841" s="40" t="str">
        <f aca="false">"الربع "&amp;ROUNDUP(MONTH(B841)/3,0)</f>
        <v>الربع 2</v>
      </c>
      <c r="S841" s="40" t="str">
        <f aca="false">IF(D841&lt;=12,"أطفال (0-12)",IF(D841&lt;=24,"شباب (13-24)",IF(D841&lt;=44,"بالغون (25-44)",IF(D841&lt;=64,"متوسطو العمر (45-64)","كبار السن (+65)"))))</f>
        <v>كبار السن (+65)</v>
      </c>
      <c r="T841" s="41" t="n">
        <f aca="false">IFERROR(L841/P841,0)</f>
        <v>2764.632</v>
      </c>
    </row>
    <row r="842" customFormat="false" ht="15" hidden="false" customHeight="false" outlineLevel="0" collapsed="false">
      <c r="A842" s="42" t="s">
        <v>1087</v>
      </c>
      <c r="B842" s="43" t="n">
        <v>45442</v>
      </c>
      <c r="C842" s="43" t="n">
        <v>45444</v>
      </c>
      <c r="D842" s="42" t="n">
        <v>39</v>
      </c>
      <c r="E842" s="42" t="s">
        <v>139</v>
      </c>
      <c r="F842" s="42" t="s">
        <v>149</v>
      </c>
      <c r="G842" s="42" t="s">
        <v>243</v>
      </c>
      <c r="H842" s="42" t="s">
        <v>186</v>
      </c>
      <c r="I842" s="42" t="s">
        <v>143</v>
      </c>
      <c r="J842" s="42" t="s">
        <v>159</v>
      </c>
      <c r="K842" s="42" t="s">
        <v>209</v>
      </c>
      <c r="L842" s="44" t="n">
        <v>2406.94</v>
      </c>
      <c r="M842" s="42" t="n">
        <v>3</v>
      </c>
      <c r="N842" s="42" t="s">
        <v>146</v>
      </c>
      <c r="O842" s="42" t="s">
        <v>247</v>
      </c>
      <c r="P842" s="39" t="n">
        <f aca="false">C842-B842</f>
        <v>2</v>
      </c>
      <c r="Q842" s="40" t="str">
        <f aca="false">CHOOSE(MONTH(B842),"يناير","فبراير","مارس","أبريل","مايو","يونيو","يوليو","أغسطس","سبتمبر","أكتوبر","نوفمبر","ديسمبر")</f>
        <v>مايو</v>
      </c>
      <c r="R842" s="40" t="str">
        <f aca="false">"الربع "&amp;ROUNDUP(MONTH(B842)/3,0)</f>
        <v>الربع 2</v>
      </c>
      <c r="S842" s="40" t="str">
        <f aca="false">IF(D842&lt;=12,"أطفال (0-12)",IF(D842&lt;=24,"شباب (13-24)",IF(D842&lt;=44,"بالغون (25-44)",IF(D842&lt;=64,"متوسطو العمر (45-64)","كبار السن (+65)"))))</f>
        <v>بالغون (25-44)</v>
      </c>
      <c r="T842" s="41" t="n">
        <f aca="false">IFERROR(L842/P842,0)</f>
        <v>1203.47</v>
      </c>
    </row>
    <row r="843" customFormat="false" ht="15" hidden="false" customHeight="false" outlineLevel="0" collapsed="false">
      <c r="A843" s="33" t="s">
        <v>1538</v>
      </c>
      <c r="B843" s="34" t="n">
        <v>45442</v>
      </c>
      <c r="C843" s="34" t="n">
        <v>45443</v>
      </c>
      <c r="D843" s="33" t="n">
        <v>54</v>
      </c>
      <c r="E843" s="33" t="s">
        <v>154</v>
      </c>
      <c r="F843" s="33" t="s">
        <v>203</v>
      </c>
      <c r="G843" s="33" t="s">
        <v>217</v>
      </c>
      <c r="H843" s="33" t="s">
        <v>205</v>
      </c>
      <c r="I843" s="33" t="s">
        <v>143</v>
      </c>
      <c r="J843" s="33" t="s">
        <v>159</v>
      </c>
      <c r="K843" s="33" t="s">
        <v>145</v>
      </c>
      <c r="L843" s="35" t="n">
        <v>878.76</v>
      </c>
      <c r="M843" s="33" t="n">
        <v>4</v>
      </c>
      <c r="N843" s="33" t="s">
        <v>146</v>
      </c>
      <c r="O843" s="33" t="s">
        <v>147</v>
      </c>
      <c r="P843" s="39" t="n">
        <f aca="false">C843-B843</f>
        <v>1</v>
      </c>
      <c r="Q843" s="40" t="str">
        <f aca="false">CHOOSE(MONTH(B843),"يناير","فبراير","مارس","أبريل","مايو","يونيو","يوليو","أغسطس","سبتمبر","أكتوبر","نوفمبر","ديسمبر")</f>
        <v>مايو</v>
      </c>
      <c r="R843" s="40" t="str">
        <f aca="false">"الربع "&amp;ROUNDUP(MONTH(B843)/3,0)</f>
        <v>الربع 2</v>
      </c>
      <c r="S843" s="40" t="str">
        <f aca="false">IF(D843&lt;=12,"أطفال (0-12)",IF(D843&lt;=24,"شباب (13-24)",IF(D843&lt;=44,"بالغون (25-44)",IF(D843&lt;=64,"متوسطو العمر (45-64)","كبار السن (+65)"))))</f>
        <v>متوسطو العمر (45-64)</v>
      </c>
      <c r="T843" s="41" t="n">
        <f aca="false">IFERROR(L843/P843,0)</f>
        <v>878.76</v>
      </c>
    </row>
    <row r="844" customFormat="false" ht="15" hidden="false" customHeight="false" outlineLevel="0" collapsed="false">
      <c r="A844" s="42" t="s">
        <v>1880</v>
      </c>
      <c r="B844" s="43" t="n">
        <v>45442</v>
      </c>
      <c r="C844" s="43" t="n">
        <v>45447</v>
      </c>
      <c r="D844" s="42" t="n">
        <v>4</v>
      </c>
      <c r="E844" s="42" t="s">
        <v>139</v>
      </c>
      <c r="F844" s="42" t="s">
        <v>155</v>
      </c>
      <c r="G844" s="42" t="s">
        <v>302</v>
      </c>
      <c r="H844" s="42" t="s">
        <v>222</v>
      </c>
      <c r="I844" s="42" t="s">
        <v>143</v>
      </c>
      <c r="J844" s="42" t="s">
        <v>159</v>
      </c>
      <c r="K844" s="42" t="s">
        <v>160</v>
      </c>
      <c r="L844" s="44" t="n">
        <v>3902.87</v>
      </c>
      <c r="M844" s="42" t="n">
        <v>4</v>
      </c>
      <c r="N844" s="42" t="s">
        <v>146</v>
      </c>
      <c r="O844" s="42" t="s">
        <v>147</v>
      </c>
      <c r="P844" s="39" t="n">
        <f aca="false">C844-B844</f>
        <v>5</v>
      </c>
      <c r="Q844" s="40" t="str">
        <f aca="false">CHOOSE(MONTH(B844),"يناير","فبراير","مارس","أبريل","مايو","يونيو","يوليو","أغسطس","سبتمبر","أكتوبر","نوفمبر","ديسمبر")</f>
        <v>مايو</v>
      </c>
      <c r="R844" s="40" t="str">
        <f aca="false">"الربع "&amp;ROUNDUP(MONTH(B844)/3,0)</f>
        <v>الربع 2</v>
      </c>
      <c r="S844" s="40" t="str">
        <f aca="false">IF(D844&lt;=12,"أطفال (0-12)",IF(D844&lt;=24,"شباب (13-24)",IF(D844&lt;=44,"بالغون (25-44)",IF(D844&lt;=64,"متوسطو العمر (45-64)","كبار السن (+65)"))))</f>
        <v>أطفال (0-12)</v>
      </c>
      <c r="T844" s="41" t="n">
        <f aca="false">IFERROR(L844/P844,0)</f>
        <v>780.574</v>
      </c>
    </row>
    <row r="845" customFormat="false" ht="15" hidden="false" customHeight="false" outlineLevel="0" collapsed="false">
      <c r="A845" s="33" t="s">
        <v>1778</v>
      </c>
      <c r="B845" s="34" t="n">
        <v>45442</v>
      </c>
      <c r="C845" s="34" t="n">
        <v>45445</v>
      </c>
      <c r="D845" s="33" t="n">
        <v>1</v>
      </c>
      <c r="E845" s="33" t="s">
        <v>139</v>
      </c>
      <c r="F845" s="33" t="s">
        <v>155</v>
      </c>
      <c r="G845" s="33" t="s">
        <v>156</v>
      </c>
      <c r="H845" s="33" t="s">
        <v>157</v>
      </c>
      <c r="I845" s="33" t="s">
        <v>152</v>
      </c>
      <c r="J845" s="33" t="s">
        <v>159</v>
      </c>
      <c r="K845" s="33" t="s">
        <v>160</v>
      </c>
      <c r="L845" s="35" t="n">
        <v>2143.66</v>
      </c>
      <c r="M845" s="33" t="n">
        <v>4</v>
      </c>
      <c r="N845" s="33" t="s">
        <v>146</v>
      </c>
      <c r="O845" s="33" t="s">
        <v>147</v>
      </c>
      <c r="P845" s="39" t="n">
        <f aca="false">C845-B845</f>
        <v>3</v>
      </c>
      <c r="Q845" s="40" t="str">
        <f aca="false">CHOOSE(MONTH(B845),"يناير","فبراير","مارس","أبريل","مايو","يونيو","يوليو","أغسطس","سبتمبر","أكتوبر","نوفمبر","ديسمبر")</f>
        <v>مايو</v>
      </c>
      <c r="R845" s="40" t="str">
        <f aca="false">"الربع "&amp;ROUNDUP(MONTH(B845)/3,0)</f>
        <v>الربع 2</v>
      </c>
      <c r="S845" s="40" t="str">
        <f aca="false">IF(D845&lt;=12,"أطفال (0-12)",IF(D845&lt;=24,"شباب (13-24)",IF(D845&lt;=44,"بالغون (25-44)",IF(D845&lt;=64,"متوسطو العمر (45-64)","كبار السن (+65)"))))</f>
        <v>أطفال (0-12)</v>
      </c>
      <c r="T845" s="41" t="n">
        <f aca="false">IFERROR(L845/P845,0)</f>
        <v>714.553333333333</v>
      </c>
    </row>
    <row r="846" customFormat="false" ht="15" hidden="false" customHeight="false" outlineLevel="0" collapsed="false">
      <c r="A846" s="42" t="s">
        <v>1198</v>
      </c>
      <c r="B846" s="43" t="n">
        <v>45442</v>
      </c>
      <c r="C846" s="43" t="n">
        <v>45445</v>
      </c>
      <c r="D846" s="42" t="n">
        <v>43</v>
      </c>
      <c r="E846" s="42" t="s">
        <v>139</v>
      </c>
      <c r="F846" s="42" t="s">
        <v>140</v>
      </c>
      <c r="G846" s="42" t="s">
        <v>316</v>
      </c>
      <c r="H846" s="42" t="s">
        <v>290</v>
      </c>
      <c r="I846" s="42" t="s">
        <v>152</v>
      </c>
      <c r="J846" s="42" t="s">
        <v>176</v>
      </c>
      <c r="K846" s="42" t="s">
        <v>145</v>
      </c>
      <c r="L846" s="44" t="n">
        <v>19017.06</v>
      </c>
      <c r="M846" s="42" t="n">
        <v>4</v>
      </c>
      <c r="N846" s="42" t="s">
        <v>146</v>
      </c>
      <c r="O846" s="42" t="s">
        <v>147</v>
      </c>
      <c r="P846" s="39" t="n">
        <f aca="false">C846-B846</f>
        <v>3</v>
      </c>
      <c r="Q846" s="40" t="str">
        <f aca="false">CHOOSE(MONTH(B846),"يناير","فبراير","مارس","أبريل","مايو","يونيو","يوليو","أغسطس","سبتمبر","أكتوبر","نوفمبر","ديسمبر")</f>
        <v>مايو</v>
      </c>
      <c r="R846" s="40" t="str">
        <f aca="false">"الربع "&amp;ROUNDUP(MONTH(B846)/3,0)</f>
        <v>الربع 2</v>
      </c>
      <c r="S846" s="40" t="str">
        <f aca="false">IF(D846&lt;=12,"أطفال (0-12)",IF(D846&lt;=24,"شباب (13-24)",IF(D846&lt;=44,"بالغون (25-44)",IF(D846&lt;=64,"متوسطو العمر (45-64)","كبار السن (+65)"))))</f>
        <v>بالغون (25-44)</v>
      </c>
      <c r="T846" s="41" t="n">
        <f aca="false">IFERROR(L846/P846,0)</f>
        <v>6339.02</v>
      </c>
    </row>
    <row r="847" customFormat="false" ht="15" hidden="false" customHeight="false" outlineLevel="0" collapsed="false">
      <c r="A847" s="33" t="s">
        <v>1572</v>
      </c>
      <c r="B847" s="34" t="n">
        <v>45442</v>
      </c>
      <c r="C847" s="34" t="n">
        <v>45451</v>
      </c>
      <c r="D847" s="33" t="n">
        <v>46</v>
      </c>
      <c r="E847" s="33" t="s">
        <v>139</v>
      </c>
      <c r="F847" s="33" t="s">
        <v>173</v>
      </c>
      <c r="G847" s="33" t="s">
        <v>178</v>
      </c>
      <c r="H847" s="33" t="s">
        <v>199</v>
      </c>
      <c r="I847" s="33" t="s">
        <v>143</v>
      </c>
      <c r="J847" s="33" t="s">
        <v>159</v>
      </c>
      <c r="K847" s="33" t="s">
        <v>145</v>
      </c>
      <c r="L847" s="35" t="n">
        <v>23430.85</v>
      </c>
      <c r="M847" s="33" t="n">
        <v>3</v>
      </c>
      <c r="N847" s="33" t="s">
        <v>146</v>
      </c>
      <c r="O847" s="33" t="s">
        <v>147</v>
      </c>
      <c r="P847" s="39" t="n">
        <f aca="false">C847-B847</f>
        <v>9</v>
      </c>
      <c r="Q847" s="40" t="str">
        <f aca="false">CHOOSE(MONTH(B847),"يناير","فبراير","مارس","أبريل","مايو","يونيو","يوليو","أغسطس","سبتمبر","أكتوبر","نوفمبر","ديسمبر")</f>
        <v>مايو</v>
      </c>
      <c r="R847" s="40" t="str">
        <f aca="false">"الربع "&amp;ROUNDUP(MONTH(B847)/3,0)</f>
        <v>الربع 2</v>
      </c>
      <c r="S847" s="40" t="str">
        <f aca="false">IF(D847&lt;=12,"أطفال (0-12)",IF(D847&lt;=24,"شباب (13-24)",IF(D847&lt;=44,"بالغون (25-44)",IF(D847&lt;=64,"متوسطو العمر (45-64)","كبار السن (+65)"))))</f>
        <v>متوسطو العمر (45-64)</v>
      </c>
      <c r="T847" s="41" t="n">
        <f aca="false">IFERROR(L847/P847,0)</f>
        <v>2603.42777777778</v>
      </c>
    </row>
    <row r="848" customFormat="false" ht="15" hidden="false" customHeight="false" outlineLevel="0" collapsed="false">
      <c r="A848" s="42" t="s">
        <v>343</v>
      </c>
      <c r="B848" s="43" t="n">
        <v>45442</v>
      </c>
      <c r="C848" s="43" t="n">
        <v>45443</v>
      </c>
      <c r="D848" s="42" t="n">
        <v>34</v>
      </c>
      <c r="E848" s="42" t="s">
        <v>154</v>
      </c>
      <c r="F848" s="42" t="s">
        <v>203</v>
      </c>
      <c r="G848" s="42" t="s">
        <v>192</v>
      </c>
      <c r="H848" s="42" t="s">
        <v>205</v>
      </c>
      <c r="I848" s="42" t="s">
        <v>143</v>
      </c>
      <c r="J848" s="42" t="s">
        <v>159</v>
      </c>
      <c r="K848" s="42" t="s">
        <v>145</v>
      </c>
      <c r="L848" s="44" t="n">
        <v>963.2</v>
      </c>
      <c r="M848" s="42" t="n">
        <v>4</v>
      </c>
      <c r="N848" s="42" t="s">
        <v>146</v>
      </c>
      <c r="O848" s="42" t="s">
        <v>147</v>
      </c>
      <c r="P848" s="39" t="n">
        <f aca="false">C848-B848</f>
        <v>1</v>
      </c>
      <c r="Q848" s="40" t="str">
        <f aca="false">CHOOSE(MONTH(B848),"يناير","فبراير","مارس","أبريل","مايو","يونيو","يوليو","أغسطس","سبتمبر","أكتوبر","نوفمبر","ديسمبر")</f>
        <v>مايو</v>
      </c>
      <c r="R848" s="40" t="str">
        <f aca="false">"الربع "&amp;ROUNDUP(MONTH(B848)/3,0)</f>
        <v>الربع 2</v>
      </c>
      <c r="S848" s="40" t="str">
        <f aca="false">IF(D848&lt;=12,"أطفال (0-12)",IF(D848&lt;=24,"شباب (13-24)",IF(D848&lt;=44,"بالغون (25-44)",IF(D848&lt;=64,"متوسطو العمر (45-64)","كبار السن (+65)"))))</f>
        <v>بالغون (25-44)</v>
      </c>
      <c r="T848" s="41" t="n">
        <f aca="false">IFERROR(L848/P848,0)</f>
        <v>963.2</v>
      </c>
    </row>
    <row r="849" customFormat="false" ht="15" hidden="false" customHeight="false" outlineLevel="0" collapsed="false">
      <c r="A849" s="33" t="s">
        <v>980</v>
      </c>
      <c r="B849" s="34" t="n">
        <v>45443</v>
      </c>
      <c r="C849" s="34" t="n">
        <v>45448</v>
      </c>
      <c r="D849" s="33" t="n">
        <v>11</v>
      </c>
      <c r="E849" s="33" t="s">
        <v>139</v>
      </c>
      <c r="F849" s="33" t="s">
        <v>155</v>
      </c>
      <c r="G849" s="33" t="s">
        <v>302</v>
      </c>
      <c r="H849" s="33" t="s">
        <v>222</v>
      </c>
      <c r="I849" s="33" t="s">
        <v>152</v>
      </c>
      <c r="J849" s="33" t="s">
        <v>159</v>
      </c>
      <c r="K849" s="33" t="s">
        <v>160</v>
      </c>
      <c r="L849" s="35" t="n">
        <v>4019.04</v>
      </c>
      <c r="M849" s="33" t="n">
        <v>4</v>
      </c>
      <c r="N849" s="33" t="s">
        <v>146</v>
      </c>
      <c r="O849" s="33" t="s">
        <v>147</v>
      </c>
      <c r="P849" s="39" t="n">
        <f aca="false">C849-B849</f>
        <v>5</v>
      </c>
      <c r="Q849" s="40" t="str">
        <f aca="false">CHOOSE(MONTH(B849),"يناير","فبراير","مارس","أبريل","مايو","يونيو","يوليو","أغسطس","سبتمبر","أكتوبر","نوفمبر","ديسمبر")</f>
        <v>مايو</v>
      </c>
      <c r="R849" s="40" t="str">
        <f aca="false">"الربع "&amp;ROUNDUP(MONTH(B849)/3,0)</f>
        <v>الربع 2</v>
      </c>
      <c r="S849" s="40" t="str">
        <f aca="false">IF(D849&lt;=12,"أطفال (0-12)",IF(D849&lt;=24,"شباب (13-24)",IF(D849&lt;=44,"بالغون (25-44)",IF(D849&lt;=64,"متوسطو العمر (45-64)","كبار السن (+65)"))))</f>
        <v>أطفال (0-12)</v>
      </c>
      <c r="T849" s="41" t="n">
        <f aca="false">IFERROR(L849/P849,0)</f>
        <v>803.808</v>
      </c>
    </row>
    <row r="850" customFormat="false" ht="15" hidden="false" customHeight="false" outlineLevel="0" collapsed="false">
      <c r="A850" s="42" t="s">
        <v>818</v>
      </c>
      <c r="B850" s="43" t="n">
        <v>45443</v>
      </c>
      <c r="C850" s="43" t="n">
        <v>45444</v>
      </c>
      <c r="D850" s="42" t="n">
        <v>36</v>
      </c>
      <c r="E850" s="42" t="s">
        <v>139</v>
      </c>
      <c r="F850" s="42" t="s">
        <v>203</v>
      </c>
      <c r="G850" s="42" t="s">
        <v>241</v>
      </c>
      <c r="H850" s="42" t="s">
        <v>233</v>
      </c>
      <c r="I850" s="42" t="s">
        <v>143</v>
      </c>
      <c r="J850" s="42" t="s">
        <v>159</v>
      </c>
      <c r="K850" s="42" t="s">
        <v>184</v>
      </c>
      <c r="L850" s="44" t="n">
        <v>925.99</v>
      </c>
      <c r="M850" s="42" t="n">
        <v>4</v>
      </c>
      <c r="N850" s="42" t="s">
        <v>146</v>
      </c>
      <c r="O850" s="42" t="s">
        <v>147</v>
      </c>
      <c r="P850" s="39" t="n">
        <f aca="false">C850-B850</f>
        <v>1</v>
      </c>
      <c r="Q850" s="40" t="str">
        <f aca="false">CHOOSE(MONTH(B850),"يناير","فبراير","مارس","أبريل","مايو","يونيو","يوليو","أغسطس","سبتمبر","أكتوبر","نوفمبر","ديسمبر")</f>
        <v>مايو</v>
      </c>
      <c r="R850" s="40" t="str">
        <f aca="false">"الربع "&amp;ROUNDUP(MONTH(B850)/3,0)</f>
        <v>الربع 2</v>
      </c>
      <c r="S850" s="40" t="str">
        <f aca="false">IF(D850&lt;=12,"أطفال (0-12)",IF(D850&lt;=24,"شباب (13-24)",IF(D850&lt;=44,"بالغون (25-44)",IF(D850&lt;=64,"متوسطو العمر (45-64)","كبار السن (+65)"))))</f>
        <v>بالغون (25-44)</v>
      </c>
      <c r="T850" s="41" t="n">
        <f aca="false">IFERROR(L850/P850,0)</f>
        <v>925.99</v>
      </c>
    </row>
    <row r="851" customFormat="false" ht="15" hidden="false" customHeight="false" outlineLevel="0" collapsed="false">
      <c r="A851" s="33" t="s">
        <v>1274</v>
      </c>
      <c r="B851" s="34" t="n">
        <v>45443</v>
      </c>
      <c r="C851" s="34" t="n">
        <v>45448</v>
      </c>
      <c r="D851" s="33" t="n">
        <v>65</v>
      </c>
      <c r="E851" s="33" t="s">
        <v>154</v>
      </c>
      <c r="F851" s="33" t="s">
        <v>181</v>
      </c>
      <c r="G851" s="33" t="s">
        <v>237</v>
      </c>
      <c r="H851" s="33" t="s">
        <v>245</v>
      </c>
      <c r="I851" s="33" t="s">
        <v>152</v>
      </c>
      <c r="J851" s="33" t="s">
        <v>144</v>
      </c>
      <c r="K851" s="33" t="s">
        <v>145</v>
      </c>
      <c r="L851" s="35" t="n">
        <v>17766.25</v>
      </c>
      <c r="M851" s="33" t="n">
        <v>5</v>
      </c>
      <c r="N851" s="33" t="s">
        <v>146</v>
      </c>
      <c r="O851" s="33" t="s">
        <v>206</v>
      </c>
      <c r="P851" s="39" t="n">
        <f aca="false">C851-B851</f>
        <v>5</v>
      </c>
      <c r="Q851" s="40" t="str">
        <f aca="false">CHOOSE(MONTH(B851),"يناير","فبراير","مارس","أبريل","مايو","يونيو","يوليو","أغسطس","سبتمبر","أكتوبر","نوفمبر","ديسمبر")</f>
        <v>مايو</v>
      </c>
      <c r="R851" s="40" t="str">
        <f aca="false">"الربع "&amp;ROUNDUP(MONTH(B851)/3,0)</f>
        <v>الربع 2</v>
      </c>
      <c r="S851" s="40" t="str">
        <f aca="false">IF(D851&lt;=12,"أطفال (0-12)",IF(D851&lt;=24,"شباب (13-24)",IF(D851&lt;=44,"بالغون (25-44)",IF(D851&lt;=64,"متوسطو العمر (45-64)","كبار السن (+65)"))))</f>
        <v>كبار السن (+65)</v>
      </c>
      <c r="T851" s="41" t="n">
        <f aca="false">IFERROR(L851/P851,0)</f>
        <v>3553.25</v>
      </c>
    </row>
    <row r="852" customFormat="false" ht="15" hidden="false" customHeight="false" outlineLevel="0" collapsed="false">
      <c r="A852" s="42" t="s">
        <v>1706</v>
      </c>
      <c r="B852" s="43" t="n">
        <v>45443</v>
      </c>
      <c r="C852" s="43" t="n">
        <v>45444</v>
      </c>
      <c r="D852" s="42" t="n">
        <v>66</v>
      </c>
      <c r="E852" s="42" t="s">
        <v>139</v>
      </c>
      <c r="F852" s="42" t="s">
        <v>203</v>
      </c>
      <c r="G852" s="42" t="s">
        <v>217</v>
      </c>
      <c r="H852" s="42" t="s">
        <v>233</v>
      </c>
      <c r="I852" s="42" t="s">
        <v>143</v>
      </c>
      <c r="J852" s="42" t="s">
        <v>176</v>
      </c>
      <c r="K852" s="42" t="s">
        <v>160</v>
      </c>
      <c r="L852" s="44" t="n">
        <v>3171.62</v>
      </c>
      <c r="M852" s="42" t="n">
        <v>4</v>
      </c>
      <c r="N852" s="42" t="s">
        <v>146</v>
      </c>
      <c r="O852" s="42" t="s">
        <v>147</v>
      </c>
      <c r="P852" s="39" t="n">
        <f aca="false">C852-B852</f>
        <v>1</v>
      </c>
      <c r="Q852" s="40" t="str">
        <f aca="false">CHOOSE(MONTH(B852),"يناير","فبراير","مارس","أبريل","مايو","يونيو","يوليو","أغسطس","سبتمبر","أكتوبر","نوفمبر","ديسمبر")</f>
        <v>مايو</v>
      </c>
      <c r="R852" s="40" t="str">
        <f aca="false">"الربع "&amp;ROUNDUP(MONTH(B852)/3,0)</f>
        <v>الربع 2</v>
      </c>
      <c r="S852" s="40" t="str">
        <f aca="false">IF(D852&lt;=12,"أطفال (0-12)",IF(D852&lt;=24,"شباب (13-24)",IF(D852&lt;=44,"بالغون (25-44)",IF(D852&lt;=64,"متوسطو العمر (45-64)","كبار السن (+65)"))))</f>
        <v>كبار السن (+65)</v>
      </c>
      <c r="T852" s="41" t="n">
        <f aca="false">IFERROR(L852/P852,0)</f>
        <v>3171.62</v>
      </c>
    </row>
    <row r="853" customFormat="false" ht="15" hidden="false" customHeight="false" outlineLevel="0" collapsed="false">
      <c r="A853" s="33" t="s">
        <v>851</v>
      </c>
      <c r="B853" s="34" t="n">
        <v>45443</v>
      </c>
      <c r="C853" s="34" t="n">
        <v>45445</v>
      </c>
      <c r="D853" s="33" t="n">
        <v>21</v>
      </c>
      <c r="E853" s="33" t="s">
        <v>154</v>
      </c>
      <c r="F853" s="33" t="s">
        <v>203</v>
      </c>
      <c r="G853" s="33" t="s">
        <v>204</v>
      </c>
      <c r="H853" s="33" t="s">
        <v>193</v>
      </c>
      <c r="I853" s="33" t="s">
        <v>158</v>
      </c>
      <c r="J853" s="33" t="s">
        <v>159</v>
      </c>
      <c r="K853" s="33" t="s">
        <v>184</v>
      </c>
      <c r="L853" s="35" t="n">
        <v>1928.94</v>
      </c>
      <c r="M853" s="33" t="n">
        <v>5</v>
      </c>
      <c r="N853" s="33" t="s">
        <v>146</v>
      </c>
      <c r="O853" s="33" t="s">
        <v>147</v>
      </c>
      <c r="P853" s="39" t="n">
        <f aca="false">C853-B853</f>
        <v>2</v>
      </c>
      <c r="Q853" s="40" t="str">
        <f aca="false">CHOOSE(MONTH(B853),"يناير","فبراير","مارس","أبريل","مايو","يونيو","يوليو","أغسطس","سبتمبر","أكتوبر","نوفمبر","ديسمبر")</f>
        <v>مايو</v>
      </c>
      <c r="R853" s="40" t="str">
        <f aca="false">"الربع "&amp;ROUNDUP(MONTH(B853)/3,0)</f>
        <v>الربع 2</v>
      </c>
      <c r="S853" s="40" t="str">
        <f aca="false">IF(D853&lt;=12,"أطفال (0-12)",IF(D853&lt;=24,"شباب (13-24)",IF(D853&lt;=44,"بالغون (25-44)",IF(D853&lt;=64,"متوسطو العمر (45-64)","كبار السن (+65)"))))</f>
        <v>شباب (13-24)</v>
      </c>
      <c r="T853" s="41" t="n">
        <f aca="false">IFERROR(L853/P853,0)</f>
        <v>964.47</v>
      </c>
    </row>
    <row r="854" customFormat="false" ht="15" hidden="false" customHeight="false" outlineLevel="0" collapsed="false">
      <c r="A854" s="42" t="s">
        <v>179</v>
      </c>
      <c r="B854" s="43" t="n">
        <v>45443</v>
      </c>
      <c r="C854" s="43" t="n">
        <v>45449</v>
      </c>
      <c r="D854" s="42" t="n">
        <v>62</v>
      </c>
      <c r="E854" s="42" t="s">
        <v>154</v>
      </c>
      <c r="F854" s="42" t="s">
        <v>181</v>
      </c>
      <c r="G854" s="42" t="s">
        <v>182</v>
      </c>
      <c r="H854" s="42" t="s">
        <v>183</v>
      </c>
      <c r="I854" s="42" t="s">
        <v>152</v>
      </c>
      <c r="J854" s="42" t="s">
        <v>159</v>
      </c>
      <c r="K854" s="42" t="s">
        <v>184</v>
      </c>
      <c r="L854" s="44" t="n">
        <v>14266.05</v>
      </c>
      <c r="M854" s="42" t="n">
        <v>5</v>
      </c>
      <c r="N854" s="42" t="s">
        <v>146</v>
      </c>
      <c r="O854" s="42" t="s">
        <v>147</v>
      </c>
      <c r="P854" s="39" t="n">
        <f aca="false">C854-B854</f>
        <v>6</v>
      </c>
      <c r="Q854" s="40" t="str">
        <f aca="false">CHOOSE(MONTH(B854),"يناير","فبراير","مارس","أبريل","مايو","يونيو","يوليو","أغسطس","سبتمبر","أكتوبر","نوفمبر","ديسمبر")</f>
        <v>مايو</v>
      </c>
      <c r="R854" s="40" t="str">
        <f aca="false">"الربع "&amp;ROUNDUP(MONTH(B854)/3,0)</f>
        <v>الربع 2</v>
      </c>
      <c r="S854" s="40" t="str">
        <f aca="false">IF(D854&lt;=12,"أطفال (0-12)",IF(D854&lt;=24,"شباب (13-24)",IF(D854&lt;=44,"بالغون (25-44)",IF(D854&lt;=64,"متوسطو العمر (45-64)","كبار السن (+65)"))))</f>
        <v>متوسطو العمر (45-64)</v>
      </c>
      <c r="T854" s="41" t="n">
        <f aca="false">IFERROR(L854/P854,0)</f>
        <v>2377.675</v>
      </c>
    </row>
    <row r="855" customFormat="false" ht="15" hidden="false" customHeight="false" outlineLevel="0" collapsed="false">
      <c r="A855" s="33" t="s">
        <v>666</v>
      </c>
      <c r="B855" s="34" t="n">
        <v>45443</v>
      </c>
      <c r="C855" s="34" t="n">
        <v>45444</v>
      </c>
      <c r="D855" s="33" t="n">
        <v>71</v>
      </c>
      <c r="E855" s="33" t="s">
        <v>139</v>
      </c>
      <c r="F855" s="33" t="s">
        <v>173</v>
      </c>
      <c r="G855" s="33" t="s">
        <v>178</v>
      </c>
      <c r="H855" s="33" t="s">
        <v>199</v>
      </c>
      <c r="I855" s="33" t="s">
        <v>158</v>
      </c>
      <c r="J855" s="33" t="s">
        <v>159</v>
      </c>
      <c r="K855" s="33" t="s">
        <v>209</v>
      </c>
      <c r="L855" s="35" t="n">
        <v>1852.47</v>
      </c>
      <c r="M855" s="33" t="n">
        <v>3</v>
      </c>
      <c r="N855" s="33" t="s">
        <v>146</v>
      </c>
      <c r="O855" s="33" t="s">
        <v>147</v>
      </c>
      <c r="P855" s="39" t="n">
        <f aca="false">C855-B855</f>
        <v>1</v>
      </c>
      <c r="Q855" s="40" t="str">
        <f aca="false">CHOOSE(MONTH(B855),"يناير","فبراير","مارس","أبريل","مايو","يونيو","يوليو","أغسطس","سبتمبر","أكتوبر","نوفمبر","ديسمبر")</f>
        <v>مايو</v>
      </c>
      <c r="R855" s="40" t="str">
        <f aca="false">"الربع "&amp;ROUNDUP(MONTH(B855)/3,0)</f>
        <v>الربع 2</v>
      </c>
      <c r="S855" s="40" t="str">
        <f aca="false">IF(D855&lt;=12,"أطفال (0-12)",IF(D855&lt;=24,"شباب (13-24)",IF(D855&lt;=44,"بالغون (25-44)",IF(D855&lt;=64,"متوسطو العمر (45-64)","كبار السن (+65)"))))</f>
        <v>كبار السن (+65)</v>
      </c>
      <c r="T855" s="41" t="n">
        <f aca="false">IFERROR(L855/P855,0)</f>
        <v>1852.47</v>
      </c>
    </row>
    <row r="856" customFormat="false" ht="15" hidden="false" customHeight="false" outlineLevel="0" collapsed="false">
      <c r="A856" s="42" t="s">
        <v>1103</v>
      </c>
      <c r="B856" s="43" t="n">
        <v>45443</v>
      </c>
      <c r="C856" s="43" t="n">
        <v>45448</v>
      </c>
      <c r="D856" s="42" t="n">
        <v>74</v>
      </c>
      <c r="E856" s="42" t="s">
        <v>154</v>
      </c>
      <c r="F856" s="42" t="s">
        <v>203</v>
      </c>
      <c r="G856" s="42" t="s">
        <v>232</v>
      </c>
      <c r="H856" s="42" t="s">
        <v>205</v>
      </c>
      <c r="I856" s="42" t="s">
        <v>143</v>
      </c>
      <c r="J856" s="42" t="s">
        <v>159</v>
      </c>
      <c r="K856" s="42" t="s">
        <v>160</v>
      </c>
      <c r="L856" s="44" t="n">
        <v>4967.79</v>
      </c>
      <c r="M856" s="42" t="n">
        <v>4</v>
      </c>
      <c r="N856" s="42" t="s">
        <v>146</v>
      </c>
      <c r="O856" s="42" t="s">
        <v>147</v>
      </c>
      <c r="P856" s="39" t="n">
        <f aca="false">C856-B856</f>
        <v>5</v>
      </c>
      <c r="Q856" s="40" t="str">
        <f aca="false">CHOOSE(MONTH(B856),"يناير","فبراير","مارس","أبريل","مايو","يونيو","يوليو","أغسطس","سبتمبر","أكتوبر","نوفمبر","ديسمبر")</f>
        <v>مايو</v>
      </c>
      <c r="R856" s="40" t="str">
        <f aca="false">"الربع "&amp;ROUNDUP(MONTH(B856)/3,0)</f>
        <v>الربع 2</v>
      </c>
      <c r="S856" s="40" t="str">
        <f aca="false">IF(D856&lt;=12,"أطفال (0-12)",IF(D856&lt;=24,"شباب (13-24)",IF(D856&lt;=44,"بالغون (25-44)",IF(D856&lt;=64,"متوسطو العمر (45-64)","كبار السن (+65)"))))</f>
        <v>كبار السن (+65)</v>
      </c>
      <c r="T856" s="41" t="n">
        <f aca="false">IFERROR(L856/P856,0)</f>
        <v>993.558</v>
      </c>
    </row>
    <row r="857" customFormat="false" ht="15" hidden="false" customHeight="false" outlineLevel="0" collapsed="false">
      <c r="A857" s="33" t="s">
        <v>433</v>
      </c>
      <c r="B857" s="34" t="n">
        <v>45443</v>
      </c>
      <c r="C857" s="34" t="n">
        <v>45444</v>
      </c>
      <c r="D857" s="33" t="n">
        <v>29</v>
      </c>
      <c r="E857" s="33" t="s">
        <v>154</v>
      </c>
      <c r="F857" s="33" t="s">
        <v>203</v>
      </c>
      <c r="G857" s="33" t="s">
        <v>232</v>
      </c>
      <c r="H857" s="33" t="s">
        <v>233</v>
      </c>
      <c r="I857" s="33" t="s">
        <v>143</v>
      </c>
      <c r="J857" s="33" t="s">
        <v>144</v>
      </c>
      <c r="K857" s="33" t="s">
        <v>145</v>
      </c>
      <c r="L857" s="35" t="n">
        <v>1371.3</v>
      </c>
      <c r="M857" s="33" t="n">
        <v>4</v>
      </c>
      <c r="N857" s="33" t="s">
        <v>146</v>
      </c>
      <c r="O857" s="33" t="s">
        <v>147</v>
      </c>
      <c r="P857" s="39" t="n">
        <f aca="false">C857-B857</f>
        <v>1</v>
      </c>
      <c r="Q857" s="40" t="str">
        <f aca="false">CHOOSE(MONTH(B857),"يناير","فبراير","مارس","أبريل","مايو","يونيو","يوليو","أغسطس","سبتمبر","أكتوبر","نوفمبر","ديسمبر")</f>
        <v>مايو</v>
      </c>
      <c r="R857" s="40" t="str">
        <f aca="false">"الربع "&amp;ROUNDUP(MONTH(B857)/3,0)</f>
        <v>الربع 2</v>
      </c>
      <c r="S857" s="40" t="str">
        <f aca="false">IF(D857&lt;=12,"أطفال (0-12)",IF(D857&lt;=24,"شباب (13-24)",IF(D857&lt;=44,"بالغون (25-44)",IF(D857&lt;=64,"متوسطو العمر (45-64)","كبار السن (+65)"))))</f>
        <v>بالغون (25-44)</v>
      </c>
      <c r="T857" s="41" t="n">
        <f aca="false">IFERROR(L857/P857,0)</f>
        <v>1371.3</v>
      </c>
    </row>
    <row r="858" customFormat="false" ht="15" hidden="false" customHeight="false" outlineLevel="0" collapsed="false">
      <c r="A858" s="42" t="s">
        <v>415</v>
      </c>
      <c r="B858" s="43" t="n">
        <v>45444</v>
      </c>
      <c r="C858" s="43" t="n">
        <v>45448</v>
      </c>
      <c r="D858" s="42" t="n">
        <v>37</v>
      </c>
      <c r="E858" s="42" t="s">
        <v>154</v>
      </c>
      <c r="F858" s="42" t="s">
        <v>140</v>
      </c>
      <c r="G858" s="42" t="s">
        <v>167</v>
      </c>
      <c r="H858" s="42" t="s">
        <v>142</v>
      </c>
      <c r="I858" s="42" t="s">
        <v>143</v>
      </c>
      <c r="J858" s="42" t="s">
        <v>159</v>
      </c>
      <c r="K858" s="42" t="s">
        <v>184</v>
      </c>
      <c r="L858" s="44" t="n">
        <v>7394.75</v>
      </c>
      <c r="M858" s="42" t="n">
        <v>4</v>
      </c>
      <c r="N858" s="42" t="s">
        <v>146</v>
      </c>
      <c r="O858" s="42" t="s">
        <v>147</v>
      </c>
      <c r="P858" s="39" t="n">
        <f aca="false">C858-B858</f>
        <v>4</v>
      </c>
      <c r="Q858" s="40" t="str">
        <f aca="false">CHOOSE(MONTH(B858),"يناير","فبراير","مارس","أبريل","مايو","يونيو","يوليو","أغسطس","سبتمبر","أكتوبر","نوفمبر","ديسمبر")</f>
        <v>يونيو</v>
      </c>
      <c r="R858" s="40" t="str">
        <f aca="false">"الربع "&amp;ROUNDUP(MONTH(B858)/3,0)</f>
        <v>الربع 2</v>
      </c>
      <c r="S858" s="40" t="str">
        <f aca="false">IF(D858&lt;=12,"أطفال (0-12)",IF(D858&lt;=24,"شباب (13-24)",IF(D858&lt;=44,"بالغون (25-44)",IF(D858&lt;=64,"متوسطو العمر (45-64)","كبار السن (+65)"))))</f>
        <v>بالغون (25-44)</v>
      </c>
      <c r="T858" s="41" t="n">
        <f aca="false">IFERROR(L858/P858,0)</f>
        <v>1848.6875</v>
      </c>
    </row>
    <row r="859" customFormat="false" ht="15" hidden="false" customHeight="false" outlineLevel="0" collapsed="false">
      <c r="A859" s="33" t="s">
        <v>2184</v>
      </c>
      <c r="B859" s="34" t="n">
        <v>45444</v>
      </c>
      <c r="C859" s="34" t="n">
        <v>45445</v>
      </c>
      <c r="D859" s="33" t="n">
        <v>36</v>
      </c>
      <c r="E859" s="33" t="s">
        <v>139</v>
      </c>
      <c r="F859" s="33" t="s">
        <v>149</v>
      </c>
      <c r="G859" s="33" t="s">
        <v>150</v>
      </c>
      <c r="H859" s="33" t="s">
        <v>186</v>
      </c>
      <c r="I859" s="33" t="s">
        <v>143</v>
      </c>
      <c r="J859" s="33" t="s">
        <v>159</v>
      </c>
      <c r="K859" s="33" t="s">
        <v>145</v>
      </c>
      <c r="L859" s="35" t="n">
        <v>1569.18</v>
      </c>
      <c r="M859" s="33" t="n">
        <v>4</v>
      </c>
      <c r="N859" s="33" t="s">
        <v>146</v>
      </c>
      <c r="O859" s="33" t="s">
        <v>295</v>
      </c>
      <c r="P859" s="39" t="n">
        <f aca="false">C859-B859</f>
        <v>1</v>
      </c>
      <c r="Q859" s="40" t="str">
        <f aca="false">CHOOSE(MONTH(B859),"يناير","فبراير","مارس","أبريل","مايو","يونيو","يوليو","أغسطس","سبتمبر","أكتوبر","نوفمبر","ديسمبر")</f>
        <v>يونيو</v>
      </c>
      <c r="R859" s="40" t="str">
        <f aca="false">"الربع "&amp;ROUNDUP(MONTH(B859)/3,0)</f>
        <v>الربع 2</v>
      </c>
      <c r="S859" s="40" t="str">
        <f aca="false">IF(D859&lt;=12,"أطفال (0-12)",IF(D859&lt;=24,"شباب (13-24)",IF(D859&lt;=44,"بالغون (25-44)",IF(D859&lt;=64,"متوسطو العمر (45-64)","كبار السن (+65)"))))</f>
        <v>بالغون (25-44)</v>
      </c>
      <c r="T859" s="41" t="n">
        <f aca="false">IFERROR(L859/P859,0)</f>
        <v>1569.18</v>
      </c>
    </row>
    <row r="860" customFormat="false" ht="15" hidden="false" customHeight="false" outlineLevel="0" collapsed="false">
      <c r="A860" s="42" t="s">
        <v>816</v>
      </c>
      <c r="B860" s="43" t="n">
        <v>45444</v>
      </c>
      <c r="C860" s="43" t="n">
        <v>45446</v>
      </c>
      <c r="D860" s="42" t="n">
        <v>33</v>
      </c>
      <c r="E860" s="42" t="s">
        <v>139</v>
      </c>
      <c r="F860" s="42" t="s">
        <v>149</v>
      </c>
      <c r="G860" s="42" t="s">
        <v>150</v>
      </c>
      <c r="H860" s="42" t="s">
        <v>151</v>
      </c>
      <c r="I860" s="42" t="s">
        <v>143</v>
      </c>
      <c r="J860" s="42" t="s">
        <v>144</v>
      </c>
      <c r="K860" s="42" t="s">
        <v>145</v>
      </c>
      <c r="L860" s="44" t="n">
        <v>5616.14</v>
      </c>
      <c r="M860" s="42" t="n">
        <v>5</v>
      </c>
      <c r="N860" s="42" t="s">
        <v>146</v>
      </c>
      <c r="O860" s="42" t="s">
        <v>147</v>
      </c>
      <c r="P860" s="39" t="n">
        <f aca="false">C860-B860</f>
        <v>2</v>
      </c>
      <c r="Q860" s="40" t="str">
        <f aca="false">CHOOSE(MONTH(B860),"يناير","فبراير","مارس","أبريل","مايو","يونيو","يوليو","أغسطس","سبتمبر","أكتوبر","نوفمبر","ديسمبر")</f>
        <v>يونيو</v>
      </c>
      <c r="R860" s="40" t="str">
        <f aca="false">"الربع "&amp;ROUNDUP(MONTH(B860)/3,0)</f>
        <v>الربع 2</v>
      </c>
      <c r="S860" s="40" t="str">
        <f aca="false">IF(D860&lt;=12,"أطفال (0-12)",IF(D860&lt;=24,"شباب (13-24)",IF(D860&lt;=44,"بالغون (25-44)",IF(D860&lt;=64,"متوسطو العمر (45-64)","كبار السن (+65)"))))</f>
        <v>بالغون (25-44)</v>
      </c>
      <c r="T860" s="41" t="n">
        <f aca="false">IFERROR(L860/P860,0)</f>
        <v>2808.07</v>
      </c>
    </row>
    <row r="861" customFormat="false" ht="15" hidden="false" customHeight="false" outlineLevel="0" collapsed="false">
      <c r="A861" s="33" t="s">
        <v>554</v>
      </c>
      <c r="B861" s="34" t="n">
        <v>45444</v>
      </c>
      <c r="C861" s="34" t="n">
        <v>45447</v>
      </c>
      <c r="D861" s="33" t="n">
        <v>4</v>
      </c>
      <c r="E861" s="33" t="s">
        <v>154</v>
      </c>
      <c r="F861" s="33" t="s">
        <v>155</v>
      </c>
      <c r="G861" s="33" t="s">
        <v>302</v>
      </c>
      <c r="H861" s="33" t="s">
        <v>222</v>
      </c>
      <c r="I861" s="33" t="s">
        <v>158</v>
      </c>
      <c r="J861" s="33" t="s">
        <v>159</v>
      </c>
      <c r="K861" s="33" t="s">
        <v>160</v>
      </c>
      <c r="L861" s="35" t="n">
        <v>2308.84</v>
      </c>
      <c r="M861" s="33" t="n">
        <v>4</v>
      </c>
      <c r="N861" s="33" t="s">
        <v>146</v>
      </c>
      <c r="O861" s="33" t="s">
        <v>147</v>
      </c>
      <c r="P861" s="39" t="n">
        <f aca="false">C861-B861</f>
        <v>3</v>
      </c>
      <c r="Q861" s="40" t="str">
        <f aca="false">CHOOSE(MONTH(B861),"يناير","فبراير","مارس","أبريل","مايو","يونيو","يوليو","أغسطس","سبتمبر","أكتوبر","نوفمبر","ديسمبر")</f>
        <v>يونيو</v>
      </c>
      <c r="R861" s="40" t="str">
        <f aca="false">"الربع "&amp;ROUNDUP(MONTH(B861)/3,0)</f>
        <v>الربع 2</v>
      </c>
      <c r="S861" s="40" t="str">
        <f aca="false">IF(D861&lt;=12,"أطفال (0-12)",IF(D861&lt;=24,"شباب (13-24)",IF(D861&lt;=44,"بالغون (25-44)",IF(D861&lt;=64,"متوسطو العمر (45-64)","كبار السن (+65)"))))</f>
        <v>أطفال (0-12)</v>
      </c>
      <c r="T861" s="41" t="n">
        <f aca="false">IFERROR(L861/P861,0)</f>
        <v>769.613333333333</v>
      </c>
    </row>
    <row r="862" customFormat="false" ht="15" hidden="false" customHeight="false" outlineLevel="0" collapsed="false">
      <c r="A862" s="42" t="s">
        <v>544</v>
      </c>
      <c r="B862" s="43" t="n">
        <v>45444</v>
      </c>
      <c r="C862" s="43" t="n">
        <v>45445</v>
      </c>
      <c r="D862" s="42" t="n">
        <v>45</v>
      </c>
      <c r="E862" s="42" t="s">
        <v>154</v>
      </c>
      <c r="F862" s="42" t="s">
        <v>203</v>
      </c>
      <c r="G862" s="42" t="s">
        <v>192</v>
      </c>
      <c r="H862" s="42" t="s">
        <v>233</v>
      </c>
      <c r="I862" s="42" t="s">
        <v>158</v>
      </c>
      <c r="J862" s="42" t="s">
        <v>144</v>
      </c>
      <c r="K862" s="42" t="s">
        <v>145</v>
      </c>
      <c r="L862" s="44" t="n">
        <v>1935.36</v>
      </c>
      <c r="M862" s="42" t="n">
        <v>5</v>
      </c>
      <c r="N862" s="42" t="s">
        <v>146</v>
      </c>
      <c r="O862" s="42" t="s">
        <v>147</v>
      </c>
      <c r="P862" s="39" t="n">
        <f aca="false">C862-B862</f>
        <v>1</v>
      </c>
      <c r="Q862" s="40" t="str">
        <f aca="false">CHOOSE(MONTH(B862),"يناير","فبراير","مارس","أبريل","مايو","يونيو","يوليو","أغسطس","سبتمبر","أكتوبر","نوفمبر","ديسمبر")</f>
        <v>يونيو</v>
      </c>
      <c r="R862" s="40" t="str">
        <f aca="false">"الربع "&amp;ROUNDUP(MONTH(B862)/3,0)</f>
        <v>الربع 2</v>
      </c>
      <c r="S862" s="40" t="str">
        <f aca="false">IF(D862&lt;=12,"أطفال (0-12)",IF(D862&lt;=24,"شباب (13-24)",IF(D862&lt;=44,"بالغون (25-44)",IF(D862&lt;=64,"متوسطو العمر (45-64)","كبار السن (+65)"))))</f>
        <v>متوسطو العمر (45-64)</v>
      </c>
      <c r="T862" s="41" t="n">
        <f aca="false">IFERROR(L862/P862,0)</f>
        <v>1935.36</v>
      </c>
    </row>
    <row r="863" customFormat="false" ht="15" hidden="false" customHeight="false" outlineLevel="0" collapsed="false">
      <c r="A863" s="33" t="s">
        <v>1036</v>
      </c>
      <c r="B863" s="34" t="n">
        <v>45444</v>
      </c>
      <c r="C863" s="34" t="n">
        <v>45446</v>
      </c>
      <c r="D863" s="33" t="n">
        <v>24</v>
      </c>
      <c r="E863" s="33" t="s">
        <v>154</v>
      </c>
      <c r="F863" s="33" t="s">
        <v>203</v>
      </c>
      <c r="G863" s="33" t="s">
        <v>217</v>
      </c>
      <c r="H863" s="33" t="s">
        <v>193</v>
      </c>
      <c r="I863" s="33" t="s">
        <v>143</v>
      </c>
      <c r="J863" s="33" t="s">
        <v>176</v>
      </c>
      <c r="K863" s="33" t="s">
        <v>145</v>
      </c>
      <c r="L863" s="35" t="n">
        <v>5559.12</v>
      </c>
      <c r="M863" s="33" t="n">
        <v>5</v>
      </c>
      <c r="N863" s="33" t="s">
        <v>146</v>
      </c>
      <c r="O863" s="33" t="s">
        <v>147</v>
      </c>
      <c r="P863" s="39" t="n">
        <f aca="false">C863-B863</f>
        <v>2</v>
      </c>
      <c r="Q863" s="40" t="str">
        <f aca="false">CHOOSE(MONTH(B863),"يناير","فبراير","مارس","أبريل","مايو","يونيو","يوليو","أغسطس","سبتمبر","أكتوبر","نوفمبر","ديسمبر")</f>
        <v>يونيو</v>
      </c>
      <c r="R863" s="40" t="str">
        <f aca="false">"الربع "&amp;ROUNDUP(MONTH(B863)/3,0)</f>
        <v>الربع 2</v>
      </c>
      <c r="S863" s="40" t="str">
        <f aca="false">IF(D863&lt;=12,"أطفال (0-12)",IF(D863&lt;=24,"شباب (13-24)",IF(D863&lt;=44,"بالغون (25-44)",IF(D863&lt;=64,"متوسطو العمر (45-64)","كبار السن (+65)"))))</f>
        <v>شباب (13-24)</v>
      </c>
      <c r="T863" s="41" t="n">
        <f aca="false">IFERROR(L863/P863,0)</f>
        <v>2779.56</v>
      </c>
    </row>
    <row r="864" customFormat="false" ht="15" hidden="false" customHeight="false" outlineLevel="0" collapsed="false">
      <c r="A864" s="42" t="s">
        <v>1906</v>
      </c>
      <c r="B864" s="43" t="n">
        <v>45444</v>
      </c>
      <c r="C864" s="43" t="n">
        <v>45447</v>
      </c>
      <c r="D864" s="42" t="n">
        <v>13</v>
      </c>
      <c r="E864" s="42" t="s">
        <v>139</v>
      </c>
      <c r="F864" s="42" t="s">
        <v>155</v>
      </c>
      <c r="G864" s="42" t="s">
        <v>302</v>
      </c>
      <c r="H864" s="42" t="s">
        <v>222</v>
      </c>
      <c r="I864" s="42" t="s">
        <v>143</v>
      </c>
      <c r="J864" s="42" t="s">
        <v>159</v>
      </c>
      <c r="K864" s="42" t="s">
        <v>160</v>
      </c>
      <c r="L864" s="44" t="n">
        <v>2535.01</v>
      </c>
      <c r="M864" s="42" t="n">
        <v>5</v>
      </c>
      <c r="N864" s="42" t="s">
        <v>146</v>
      </c>
      <c r="O864" s="42" t="s">
        <v>295</v>
      </c>
      <c r="P864" s="39" t="n">
        <f aca="false">C864-B864</f>
        <v>3</v>
      </c>
      <c r="Q864" s="40" t="str">
        <f aca="false">CHOOSE(MONTH(B864),"يناير","فبراير","مارس","أبريل","مايو","يونيو","يوليو","أغسطس","سبتمبر","أكتوبر","نوفمبر","ديسمبر")</f>
        <v>يونيو</v>
      </c>
      <c r="R864" s="40" t="str">
        <f aca="false">"الربع "&amp;ROUNDUP(MONTH(B864)/3,0)</f>
        <v>الربع 2</v>
      </c>
      <c r="S864" s="40" t="str">
        <f aca="false">IF(D864&lt;=12,"أطفال (0-12)",IF(D864&lt;=24,"شباب (13-24)",IF(D864&lt;=44,"بالغون (25-44)",IF(D864&lt;=64,"متوسطو العمر (45-64)","كبار السن (+65)"))))</f>
        <v>شباب (13-24)</v>
      </c>
      <c r="T864" s="41" t="n">
        <f aca="false">IFERROR(L864/P864,0)</f>
        <v>845.003333333333</v>
      </c>
    </row>
    <row r="865" customFormat="false" ht="15" hidden="false" customHeight="false" outlineLevel="0" collapsed="false">
      <c r="A865" s="33" t="s">
        <v>1746</v>
      </c>
      <c r="B865" s="34" t="n">
        <v>45444</v>
      </c>
      <c r="C865" s="34" t="n">
        <v>45450</v>
      </c>
      <c r="D865" s="33" t="n">
        <v>38</v>
      </c>
      <c r="E865" s="33" t="s">
        <v>154</v>
      </c>
      <c r="F865" s="33" t="s">
        <v>169</v>
      </c>
      <c r="G865" s="33" t="s">
        <v>163</v>
      </c>
      <c r="H865" s="33" t="s">
        <v>195</v>
      </c>
      <c r="I865" s="33" t="s">
        <v>143</v>
      </c>
      <c r="J865" s="33" t="s">
        <v>159</v>
      </c>
      <c r="K865" s="33" t="s">
        <v>184</v>
      </c>
      <c r="L865" s="35" t="n">
        <v>7607.1</v>
      </c>
      <c r="M865" s="33" t="n">
        <v>3</v>
      </c>
      <c r="N865" s="33" t="s">
        <v>146</v>
      </c>
      <c r="O865" s="33" t="s">
        <v>147</v>
      </c>
      <c r="P865" s="39" t="n">
        <f aca="false">C865-B865</f>
        <v>6</v>
      </c>
      <c r="Q865" s="40" t="str">
        <f aca="false">CHOOSE(MONTH(B865),"يناير","فبراير","مارس","أبريل","مايو","يونيو","يوليو","أغسطس","سبتمبر","أكتوبر","نوفمبر","ديسمبر")</f>
        <v>يونيو</v>
      </c>
      <c r="R865" s="40" t="str">
        <f aca="false">"الربع "&amp;ROUNDUP(MONTH(B865)/3,0)</f>
        <v>الربع 2</v>
      </c>
      <c r="S865" s="40" t="str">
        <f aca="false">IF(D865&lt;=12,"أطفال (0-12)",IF(D865&lt;=24,"شباب (13-24)",IF(D865&lt;=44,"بالغون (25-44)",IF(D865&lt;=64,"متوسطو العمر (45-64)","كبار السن (+65)"))))</f>
        <v>بالغون (25-44)</v>
      </c>
      <c r="T865" s="41" t="n">
        <f aca="false">IFERROR(L865/P865,0)</f>
        <v>1267.85</v>
      </c>
    </row>
    <row r="866" customFormat="false" ht="15" hidden="false" customHeight="false" outlineLevel="0" collapsed="false">
      <c r="A866" s="42" t="s">
        <v>856</v>
      </c>
      <c r="B866" s="43" t="n">
        <v>45444</v>
      </c>
      <c r="C866" s="43" t="n">
        <v>45446</v>
      </c>
      <c r="D866" s="42" t="n">
        <v>39</v>
      </c>
      <c r="E866" s="42" t="s">
        <v>139</v>
      </c>
      <c r="F866" s="42" t="s">
        <v>203</v>
      </c>
      <c r="G866" s="42" t="s">
        <v>192</v>
      </c>
      <c r="H866" s="42" t="s">
        <v>193</v>
      </c>
      <c r="I866" s="42" t="s">
        <v>143</v>
      </c>
      <c r="J866" s="42" t="s">
        <v>159</v>
      </c>
      <c r="K866" s="42" t="s">
        <v>145</v>
      </c>
      <c r="L866" s="44" t="n">
        <v>1867.95</v>
      </c>
      <c r="M866" s="42" t="n">
        <v>4</v>
      </c>
      <c r="N866" s="42" t="s">
        <v>146</v>
      </c>
      <c r="O866" s="42" t="s">
        <v>147</v>
      </c>
      <c r="P866" s="39" t="n">
        <f aca="false">C866-B866</f>
        <v>2</v>
      </c>
      <c r="Q866" s="40" t="str">
        <f aca="false">CHOOSE(MONTH(B866),"يناير","فبراير","مارس","أبريل","مايو","يونيو","يوليو","أغسطس","سبتمبر","أكتوبر","نوفمبر","ديسمبر")</f>
        <v>يونيو</v>
      </c>
      <c r="R866" s="40" t="str">
        <f aca="false">"الربع "&amp;ROUNDUP(MONTH(B866)/3,0)</f>
        <v>الربع 2</v>
      </c>
      <c r="S866" s="40" t="str">
        <f aca="false">IF(D866&lt;=12,"أطفال (0-12)",IF(D866&lt;=24,"شباب (13-24)",IF(D866&lt;=44,"بالغون (25-44)",IF(D866&lt;=64,"متوسطو العمر (45-64)","كبار السن (+65)"))))</f>
        <v>بالغون (25-44)</v>
      </c>
      <c r="T866" s="41" t="n">
        <f aca="false">IFERROR(L866/P866,0)</f>
        <v>933.975</v>
      </c>
    </row>
    <row r="867" customFormat="false" ht="15" hidden="false" customHeight="false" outlineLevel="0" collapsed="false">
      <c r="A867" s="33" t="s">
        <v>992</v>
      </c>
      <c r="B867" s="34" t="n">
        <v>45445</v>
      </c>
      <c r="C867" s="34" t="n">
        <v>45449</v>
      </c>
      <c r="D867" s="33" t="n">
        <v>47</v>
      </c>
      <c r="E867" s="33" t="s">
        <v>154</v>
      </c>
      <c r="F867" s="33" t="s">
        <v>140</v>
      </c>
      <c r="G867" s="33" t="s">
        <v>316</v>
      </c>
      <c r="H867" s="33" t="s">
        <v>142</v>
      </c>
      <c r="I867" s="33" t="s">
        <v>143</v>
      </c>
      <c r="J867" s="33" t="s">
        <v>144</v>
      </c>
      <c r="K867" s="33" t="s">
        <v>145</v>
      </c>
      <c r="L867" s="35" t="n">
        <v>14998.05</v>
      </c>
      <c r="M867" s="33" t="n">
        <v>4</v>
      </c>
      <c r="N867" s="33" t="s">
        <v>146</v>
      </c>
      <c r="O867" s="33" t="s">
        <v>147</v>
      </c>
      <c r="P867" s="39" t="n">
        <f aca="false">C867-B867</f>
        <v>4</v>
      </c>
      <c r="Q867" s="40" t="str">
        <f aca="false">CHOOSE(MONTH(B867),"يناير","فبراير","مارس","أبريل","مايو","يونيو","يوليو","أغسطس","سبتمبر","أكتوبر","نوفمبر","ديسمبر")</f>
        <v>يونيو</v>
      </c>
      <c r="R867" s="40" t="str">
        <f aca="false">"الربع "&amp;ROUNDUP(MONTH(B867)/3,0)</f>
        <v>الربع 2</v>
      </c>
      <c r="S867" s="40" t="str">
        <f aca="false">IF(D867&lt;=12,"أطفال (0-12)",IF(D867&lt;=24,"شباب (13-24)",IF(D867&lt;=44,"بالغون (25-44)",IF(D867&lt;=64,"متوسطو العمر (45-64)","كبار السن (+65)"))))</f>
        <v>متوسطو العمر (45-64)</v>
      </c>
      <c r="T867" s="41" t="n">
        <f aca="false">IFERROR(L867/P867,0)</f>
        <v>3749.5125</v>
      </c>
    </row>
    <row r="868" customFormat="false" ht="15" hidden="false" customHeight="false" outlineLevel="0" collapsed="false">
      <c r="A868" s="42" t="s">
        <v>2289</v>
      </c>
      <c r="B868" s="43" t="n">
        <v>45445</v>
      </c>
      <c r="C868" s="43" t="n">
        <v>45447</v>
      </c>
      <c r="D868" s="42" t="n">
        <v>61</v>
      </c>
      <c r="E868" s="42" t="s">
        <v>154</v>
      </c>
      <c r="F868" s="42" t="s">
        <v>203</v>
      </c>
      <c r="G868" s="42" t="s">
        <v>241</v>
      </c>
      <c r="H868" s="42" t="s">
        <v>193</v>
      </c>
      <c r="I868" s="42" t="s">
        <v>143</v>
      </c>
      <c r="J868" s="42" t="s">
        <v>159</v>
      </c>
      <c r="K868" s="42" t="s">
        <v>160</v>
      </c>
      <c r="L868" s="44" t="n">
        <v>1839.09</v>
      </c>
      <c r="M868" s="42" t="n">
        <v>4</v>
      </c>
      <c r="N868" s="42" t="s">
        <v>146</v>
      </c>
      <c r="O868" s="42" t="s">
        <v>147</v>
      </c>
      <c r="P868" s="39" t="n">
        <f aca="false">C868-B868</f>
        <v>2</v>
      </c>
      <c r="Q868" s="40" t="str">
        <f aca="false">CHOOSE(MONTH(B868),"يناير","فبراير","مارس","أبريل","مايو","يونيو","يوليو","أغسطس","سبتمبر","أكتوبر","نوفمبر","ديسمبر")</f>
        <v>يونيو</v>
      </c>
      <c r="R868" s="40" t="str">
        <f aca="false">"الربع "&amp;ROUNDUP(MONTH(B868)/3,0)</f>
        <v>الربع 2</v>
      </c>
      <c r="S868" s="40" t="str">
        <f aca="false">IF(D868&lt;=12,"أطفال (0-12)",IF(D868&lt;=24,"شباب (13-24)",IF(D868&lt;=44,"بالغون (25-44)",IF(D868&lt;=64,"متوسطو العمر (45-64)","كبار السن (+65)"))))</f>
        <v>متوسطو العمر (45-64)</v>
      </c>
      <c r="T868" s="41" t="n">
        <f aca="false">IFERROR(L868/P868,0)</f>
        <v>919.545</v>
      </c>
    </row>
    <row r="869" customFormat="false" ht="15" hidden="false" customHeight="false" outlineLevel="0" collapsed="false">
      <c r="A869" s="33" t="s">
        <v>1439</v>
      </c>
      <c r="B869" s="34" t="n">
        <v>45445</v>
      </c>
      <c r="C869" s="34" t="n">
        <v>45447</v>
      </c>
      <c r="D869" s="33" t="n">
        <v>61</v>
      </c>
      <c r="E869" s="33" t="s">
        <v>154</v>
      </c>
      <c r="F869" s="33" t="s">
        <v>203</v>
      </c>
      <c r="G869" s="33" t="s">
        <v>232</v>
      </c>
      <c r="H869" s="33" t="s">
        <v>205</v>
      </c>
      <c r="I869" s="33" t="s">
        <v>143</v>
      </c>
      <c r="J869" s="33" t="s">
        <v>159</v>
      </c>
      <c r="K869" s="33" t="s">
        <v>184</v>
      </c>
      <c r="L869" s="35" t="n">
        <v>1639.03</v>
      </c>
      <c r="M869" s="33" t="n">
        <v>4</v>
      </c>
      <c r="N869" s="33" t="s">
        <v>146</v>
      </c>
      <c r="O869" s="33" t="s">
        <v>147</v>
      </c>
      <c r="P869" s="39" t="n">
        <f aca="false">C869-B869</f>
        <v>2</v>
      </c>
      <c r="Q869" s="40" t="str">
        <f aca="false">CHOOSE(MONTH(B869),"يناير","فبراير","مارس","أبريل","مايو","يونيو","يوليو","أغسطس","سبتمبر","أكتوبر","نوفمبر","ديسمبر")</f>
        <v>يونيو</v>
      </c>
      <c r="R869" s="40" t="str">
        <f aca="false">"الربع "&amp;ROUNDUP(MONTH(B869)/3,0)</f>
        <v>الربع 2</v>
      </c>
      <c r="S869" s="40" t="str">
        <f aca="false">IF(D869&lt;=12,"أطفال (0-12)",IF(D869&lt;=24,"شباب (13-24)",IF(D869&lt;=44,"بالغون (25-44)",IF(D869&lt;=64,"متوسطو العمر (45-64)","كبار السن (+65)"))))</f>
        <v>متوسطو العمر (45-64)</v>
      </c>
      <c r="T869" s="41" t="n">
        <f aca="false">IFERROR(L869/P869,0)</f>
        <v>819.515</v>
      </c>
    </row>
    <row r="870" customFormat="false" ht="15" hidden="false" customHeight="false" outlineLevel="0" collapsed="false">
      <c r="A870" s="42" t="s">
        <v>2033</v>
      </c>
      <c r="B870" s="43" t="n">
        <v>45445</v>
      </c>
      <c r="C870" s="43" t="n">
        <v>45447</v>
      </c>
      <c r="D870" s="42" t="n">
        <v>30</v>
      </c>
      <c r="E870" s="42" t="s">
        <v>139</v>
      </c>
      <c r="F870" s="42" t="s">
        <v>149</v>
      </c>
      <c r="G870" s="42" t="s">
        <v>224</v>
      </c>
      <c r="H870" s="42" t="s">
        <v>151</v>
      </c>
      <c r="I870" s="42" t="s">
        <v>143</v>
      </c>
      <c r="J870" s="42" t="s">
        <v>159</v>
      </c>
      <c r="K870" s="42" t="s">
        <v>160</v>
      </c>
      <c r="L870" s="44" t="n">
        <v>2914.98</v>
      </c>
      <c r="M870" s="42" t="n">
        <v>4</v>
      </c>
      <c r="N870" s="42" t="s">
        <v>146</v>
      </c>
      <c r="O870" s="42" t="s">
        <v>147</v>
      </c>
      <c r="P870" s="39" t="n">
        <f aca="false">C870-B870</f>
        <v>2</v>
      </c>
      <c r="Q870" s="40" t="str">
        <f aca="false">CHOOSE(MONTH(B870),"يناير","فبراير","مارس","أبريل","مايو","يونيو","يوليو","أغسطس","سبتمبر","أكتوبر","نوفمبر","ديسمبر")</f>
        <v>يونيو</v>
      </c>
      <c r="R870" s="40" t="str">
        <f aca="false">"الربع "&amp;ROUNDUP(MONTH(B870)/3,0)</f>
        <v>الربع 2</v>
      </c>
      <c r="S870" s="40" t="str">
        <f aca="false">IF(D870&lt;=12,"أطفال (0-12)",IF(D870&lt;=24,"شباب (13-24)",IF(D870&lt;=44,"بالغون (25-44)",IF(D870&lt;=64,"متوسطو العمر (45-64)","كبار السن (+65)"))))</f>
        <v>بالغون (25-44)</v>
      </c>
      <c r="T870" s="41" t="n">
        <f aca="false">IFERROR(L870/P870,0)</f>
        <v>1457.49</v>
      </c>
    </row>
    <row r="871" customFormat="false" ht="15" hidden="false" customHeight="false" outlineLevel="0" collapsed="false">
      <c r="A871" s="33" t="s">
        <v>1142</v>
      </c>
      <c r="B871" s="34" t="n">
        <v>45445</v>
      </c>
      <c r="C871" s="34" t="n">
        <v>45447</v>
      </c>
      <c r="D871" s="33" t="n">
        <v>63</v>
      </c>
      <c r="E871" s="33" t="s">
        <v>139</v>
      </c>
      <c r="F871" s="33" t="s">
        <v>226</v>
      </c>
      <c r="G871" s="33" t="s">
        <v>258</v>
      </c>
      <c r="H871" s="33" t="s">
        <v>263</v>
      </c>
      <c r="I871" s="33" t="s">
        <v>158</v>
      </c>
      <c r="J871" s="33" t="s">
        <v>159</v>
      </c>
      <c r="K871" s="33" t="s">
        <v>184</v>
      </c>
      <c r="L871" s="35" t="n">
        <v>6360</v>
      </c>
      <c r="M871" s="33" t="n">
        <v>5</v>
      </c>
      <c r="N871" s="33" t="s">
        <v>146</v>
      </c>
      <c r="O871" s="33" t="s">
        <v>147</v>
      </c>
      <c r="P871" s="39" t="n">
        <f aca="false">C871-B871</f>
        <v>2</v>
      </c>
      <c r="Q871" s="40" t="str">
        <f aca="false">CHOOSE(MONTH(B871),"يناير","فبراير","مارس","أبريل","مايو","يونيو","يوليو","أغسطس","سبتمبر","أكتوبر","نوفمبر","ديسمبر")</f>
        <v>يونيو</v>
      </c>
      <c r="R871" s="40" t="str">
        <f aca="false">"الربع "&amp;ROUNDUP(MONTH(B871)/3,0)</f>
        <v>الربع 2</v>
      </c>
      <c r="S871" s="40" t="str">
        <f aca="false">IF(D871&lt;=12,"أطفال (0-12)",IF(D871&lt;=24,"شباب (13-24)",IF(D871&lt;=44,"بالغون (25-44)",IF(D871&lt;=64,"متوسطو العمر (45-64)","كبار السن (+65)"))))</f>
        <v>متوسطو العمر (45-64)</v>
      </c>
      <c r="T871" s="41" t="n">
        <f aca="false">IFERROR(L871/P871,0)</f>
        <v>3180</v>
      </c>
    </row>
    <row r="872" customFormat="false" ht="15" hidden="false" customHeight="false" outlineLevel="0" collapsed="false">
      <c r="A872" s="42" t="s">
        <v>2264</v>
      </c>
      <c r="B872" s="43" t="n">
        <v>45445</v>
      </c>
      <c r="C872" s="43" t="n">
        <v>45447</v>
      </c>
      <c r="D872" s="42" t="n">
        <v>27</v>
      </c>
      <c r="E872" s="42" t="s">
        <v>139</v>
      </c>
      <c r="F872" s="42" t="s">
        <v>149</v>
      </c>
      <c r="G872" s="42" t="s">
        <v>243</v>
      </c>
      <c r="H872" s="42" t="s">
        <v>186</v>
      </c>
      <c r="I872" s="42" t="s">
        <v>152</v>
      </c>
      <c r="J872" s="42" t="s">
        <v>159</v>
      </c>
      <c r="K872" s="42" t="s">
        <v>184</v>
      </c>
      <c r="L872" s="44" t="n">
        <v>3139.66</v>
      </c>
      <c r="M872" s="42" t="n">
        <v>4</v>
      </c>
      <c r="N872" s="42" t="s">
        <v>146</v>
      </c>
      <c r="O872" s="42" t="s">
        <v>206</v>
      </c>
      <c r="P872" s="39" t="n">
        <f aca="false">C872-B872</f>
        <v>2</v>
      </c>
      <c r="Q872" s="40" t="str">
        <f aca="false">CHOOSE(MONTH(B872),"يناير","فبراير","مارس","أبريل","مايو","يونيو","يوليو","أغسطس","سبتمبر","أكتوبر","نوفمبر","ديسمبر")</f>
        <v>يونيو</v>
      </c>
      <c r="R872" s="40" t="str">
        <f aca="false">"الربع "&amp;ROUNDUP(MONTH(B872)/3,0)</f>
        <v>الربع 2</v>
      </c>
      <c r="S872" s="40" t="str">
        <f aca="false">IF(D872&lt;=12,"أطفال (0-12)",IF(D872&lt;=24,"شباب (13-24)",IF(D872&lt;=44,"بالغون (25-44)",IF(D872&lt;=64,"متوسطو العمر (45-64)","كبار السن (+65)"))))</f>
        <v>بالغون (25-44)</v>
      </c>
      <c r="T872" s="41" t="n">
        <f aca="false">IFERROR(L872/P872,0)</f>
        <v>1569.83</v>
      </c>
    </row>
    <row r="873" customFormat="false" ht="15" hidden="false" customHeight="false" outlineLevel="0" collapsed="false">
      <c r="A873" s="33" t="s">
        <v>2093</v>
      </c>
      <c r="B873" s="34" t="n">
        <v>45445</v>
      </c>
      <c r="C873" s="34" t="n">
        <v>45446</v>
      </c>
      <c r="D873" s="33" t="n">
        <v>45</v>
      </c>
      <c r="E873" s="33" t="s">
        <v>139</v>
      </c>
      <c r="F873" s="33" t="s">
        <v>203</v>
      </c>
      <c r="G873" s="33" t="s">
        <v>192</v>
      </c>
      <c r="H873" s="33" t="s">
        <v>233</v>
      </c>
      <c r="I873" s="33" t="s">
        <v>143</v>
      </c>
      <c r="J873" s="33" t="s">
        <v>159</v>
      </c>
      <c r="K873" s="33" t="s">
        <v>160</v>
      </c>
      <c r="L873" s="35" t="n">
        <v>812.95</v>
      </c>
      <c r="M873" s="33" t="n">
        <v>4</v>
      </c>
      <c r="N873" s="33" t="s">
        <v>146</v>
      </c>
      <c r="O873" s="33" t="s">
        <v>147</v>
      </c>
      <c r="P873" s="39" t="n">
        <f aca="false">C873-B873</f>
        <v>1</v>
      </c>
      <c r="Q873" s="40" t="str">
        <f aca="false">CHOOSE(MONTH(B873),"يناير","فبراير","مارس","أبريل","مايو","يونيو","يوليو","أغسطس","سبتمبر","أكتوبر","نوفمبر","ديسمبر")</f>
        <v>يونيو</v>
      </c>
      <c r="R873" s="40" t="str">
        <f aca="false">"الربع "&amp;ROUNDUP(MONTH(B873)/3,0)</f>
        <v>الربع 2</v>
      </c>
      <c r="S873" s="40" t="str">
        <f aca="false">IF(D873&lt;=12,"أطفال (0-12)",IF(D873&lt;=24,"شباب (13-24)",IF(D873&lt;=44,"بالغون (25-44)",IF(D873&lt;=64,"متوسطو العمر (45-64)","كبار السن (+65)"))))</f>
        <v>متوسطو العمر (45-64)</v>
      </c>
      <c r="T873" s="41" t="n">
        <f aca="false">IFERROR(L873/P873,0)</f>
        <v>812.95</v>
      </c>
    </row>
    <row r="874" customFormat="false" ht="15" hidden="false" customHeight="false" outlineLevel="0" collapsed="false">
      <c r="A874" s="42" t="s">
        <v>285</v>
      </c>
      <c r="B874" s="43" t="n">
        <v>45445</v>
      </c>
      <c r="C874" s="43" t="n">
        <v>45446</v>
      </c>
      <c r="D874" s="42" t="n">
        <v>34</v>
      </c>
      <c r="E874" s="42" t="s">
        <v>154</v>
      </c>
      <c r="F874" s="42" t="s">
        <v>203</v>
      </c>
      <c r="G874" s="42" t="s">
        <v>192</v>
      </c>
      <c r="H874" s="42" t="s">
        <v>205</v>
      </c>
      <c r="I874" s="42" t="s">
        <v>143</v>
      </c>
      <c r="J874" s="42" t="s">
        <v>159</v>
      </c>
      <c r="K874" s="42" t="s">
        <v>145</v>
      </c>
      <c r="L874" s="44" t="n">
        <v>842.06</v>
      </c>
      <c r="M874" s="42" t="n">
        <v>3</v>
      </c>
      <c r="N874" s="42" t="s">
        <v>146</v>
      </c>
      <c r="O874" s="42" t="s">
        <v>147</v>
      </c>
      <c r="P874" s="39" t="n">
        <f aca="false">C874-B874</f>
        <v>1</v>
      </c>
      <c r="Q874" s="40" t="str">
        <f aca="false">CHOOSE(MONTH(B874),"يناير","فبراير","مارس","أبريل","مايو","يونيو","يوليو","أغسطس","سبتمبر","أكتوبر","نوفمبر","ديسمبر")</f>
        <v>يونيو</v>
      </c>
      <c r="R874" s="40" t="str">
        <f aca="false">"الربع "&amp;ROUNDUP(MONTH(B874)/3,0)</f>
        <v>الربع 2</v>
      </c>
      <c r="S874" s="40" t="str">
        <f aca="false">IF(D874&lt;=12,"أطفال (0-12)",IF(D874&lt;=24,"شباب (13-24)",IF(D874&lt;=44,"بالغون (25-44)",IF(D874&lt;=64,"متوسطو العمر (45-64)","كبار السن (+65)"))))</f>
        <v>بالغون (25-44)</v>
      </c>
      <c r="T874" s="41" t="n">
        <f aca="false">IFERROR(L874/P874,0)</f>
        <v>842.06</v>
      </c>
    </row>
    <row r="875" customFormat="false" ht="15" hidden="false" customHeight="false" outlineLevel="0" collapsed="false">
      <c r="A875" s="33" t="s">
        <v>356</v>
      </c>
      <c r="B875" s="34" t="n">
        <v>45445</v>
      </c>
      <c r="C875" s="34" t="n">
        <v>45450</v>
      </c>
      <c r="D875" s="33" t="n">
        <v>4</v>
      </c>
      <c r="E875" s="33" t="s">
        <v>139</v>
      </c>
      <c r="F875" s="33" t="s">
        <v>155</v>
      </c>
      <c r="G875" s="33" t="s">
        <v>156</v>
      </c>
      <c r="H875" s="33" t="s">
        <v>222</v>
      </c>
      <c r="I875" s="33" t="s">
        <v>143</v>
      </c>
      <c r="J875" s="33" t="s">
        <v>159</v>
      </c>
      <c r="K875" s="33" t="s">
        <v>145</v>
      </c>
      <c r="L875" s="35" t="n">
        <v>4783.37</v>
      </c>
      <c r="M875" s="33" t="n">
        <v>3</v>
      </c>
      <c r="N875" s="33" t="s">
        <v>210</v>
      </c>
      <c r="O875" s="33" t="s">
        <v>147</v>
      </c>
      <c r="P875" s="39" t="n">
        <f aca="false">C875-B875</f>
        <v>5</v>
      </c>
      <c r="Q875" s="40" t="str">
        <f aca="false">CHOOSE(MONTH(B875),"يناير","فبراير","مارس","أبريل","مايو","يونيو","يوليو","أغسطس","سبتمبر","أكتوبر","نوفمبر","ديسمبر")</f>
        <v>يونيو</v>
      </c>
      <c r="R875" s="40" t="str">
        <f aca="false">"الربع "&amp;ROUNDUP(MONTH(B875)/3,0)</f>
        <v>الربع 2</v>
      </c>
      <c r="S875" s="40" t="str">
        <f aca="false">IF(D875&lt;=12,"أطفال (0-12)",IF(D875&lt;=24,"شباب (13-24)",IF(D875&lt;=44,"بالغون (25-44)",IF(D875&lt;=64,"متوسطو العمر (45-64)","كبار السن (+65)"))))</f>
        <v>أطفال (0-12)</v>
      </c>
      <c r="T875" s="41" t="n">
        <f aca="false">IFERROR(L875/P875,0)</f>
        <v>956.674</v>
      </c>
    </row>
    <row r="876" customFormat="false" ht="15" hidden="false" customHeight="false" outlineLevel="0" collapsed="false">
      <c r="A876" s="42" t="s">
        <v>2248</v>
      </c>
      <c r="B876" s="43" t="n">
        <v>45447</v>
      </c>
      <c r="C876" s="43" t="n">
        <v>45449</v>
      </c>
      <c r="D876" s="42" t="n">
        <v>89</v>
      </c>
      <c r="E876" s="42" t="s">
        <v>154</v>
      </c>
      <c r="F876" s="42" t="s">
        <v>203</v>
      </c>
      <c r="G876" s="42" t="s">
        <v>192</v>
      </c>
      <c r="H876" s="42" t="s">
        <v>205</v>
      </c>
      <c r="I876" s="42" t="s">
        <v>143</v>
      </c>
      <c r="J876" s="42" t="s">
        <v>176</v>
      </c>
      <c r="K876" s="42" t="s">
        <v>145</v>
      </c>
      <c r="L876" s="44" t="n">
        <v>5481.89</v>
      </c>
      <c r="M876" s="42" t="n">
        <v>4</v>
      </c>
      <c r="N876" s="42" t="s">
        <v>146</v>
      </c>
      <c r="O876" s="42" t="s">
        <v>147</v>
      </c>
      <c r="P876" s="39" t="n">
        <f aca="false">C876-B876</f>
        <v>2</v>
      </c>
      <c r="Q876" s="40" t="str">
        <f aca="false">CHOOSE(MONTH(B876),"يناير","فبراير","مارس","أبريل","مايو","يونيو","يوليو","أغسطس","سبتمبر","أكتوبر","نوفمبر","ديسمبر")</f>
        <v>يونيو</v>
      </c>
      <c r="R876" s="40" t="str">
        <f aca="false">"الربع "&amp;ROUNDUP(MONTH(B876)/3,0)</f>
        <v>الربع 2</v>
      </c>
      <c r="S876" s="40" t="str">
        <f aca="false">IF(D876&lt;=12,"أطفال (0-12)",IF(D876&lt;=24,"شباب (13-24)",IF(D876&lt;=44,"بالغون (25-44)",IF(D876&lt;=64,"متوسطو العمر (45-64)","كبار السن (+65)"))))</f>
        <v>كبار السن (+65)</v>
      </c>
      <c r="T876" s="41" t="n">
        <f aca="false">IFERROR(L876/P876,0)</f>
        <v>2740.945</v>
      </c>
    </row>
    <row r="877" customFormat="false" ht="15" hidden="false" customHeight="false" outlineLevel="0" collapsed="false">
      <c r="A877" s="33" t="s">
        <v>1682</v>
      </c>
      <c r="B877" s="34" t="n">
        <v>45447</v>
      </c>
      <c r="C877" s="34" t="n">
        <v>45449</v>
      </c>
      <c r="D877" s="33" t="n">
        <v>25</v>
      </c>
      <c r="E877" s="33" t="s">
        <v>154</v>
      </c>
      <c r="F877" s="33" t="s">
        <v>169</v>
      </c>
      <c r="G877" s="33" t="s">
        <v>163</v>
      </c>
      <c r="H877" s="33" t="s">
        <v>164</v>
      </c>
      <c r="I877" s="33" t="s">
        <v>152</v>
      </c>
      <c r="J877" s="33" t="s">
        <v>159</v>
      </c>
      <c r="K877" s="33" t="s">
        <v>145</v>
      </c>
      <c r="L877" s="35" t="n">
        <v>1844.52</v>
      </c>
      <c r="M877" s="33" t="n">
        <v>4</v>
      </c>
      <c r="N877" s="33" t="s">
        <v>210</v>
      </c>
      <c r="O877" s="33" t="s">
        <v>147</v>
      </c>
      <c r="P877" s="39" t="n">
        <f aca="false">C877-B877</f>
        <v>2</v>
      </c>
      <c r="Q877" s="40" t="str">
        <f aca="false">CHOOSE(MONTH(B877),"يناير","فبراير","مارس","أبريل","مايو","يونيو","يوليو","أغسطس","سبتمبر","أكتوبر","نوفمبر","ديسمبر")</f>
        <v>يونيو</v>
      </c>
      <c r="R877" s="40" t="str">
        <f aca="false">"الربع "&amp;ROUNDUP(MONTH(B877)/3,0)</f>
        <v>الربع 2</v>
      </c>
      <c r="S877" s="40" t="str">
        <f aca="false">IF(D877&lt;=12,"أطفال (0-12)",IF(D877&lt;=24,"شباب (13-24)",IF(D877&lt;=44,"بالغون (25-44)",IF(D877&lt;=64,"متوسطو العمر (45-64)","كبار السن (+65)"))))</f>
        <v>بالغون (25-44)</v>
      </c>
      <c r="T877" s="41" t="n">
        <f aca="false">IFERROR(L877/P877,0)</f>
        <v>922.26</v>
      </c>
    </row>
    <row r="878" customFormat="false" ht="15" hidden="false" customHeight="false" outlineLevel="0" collapsed="false">
      <c r="A878" s="42" t="s">
        <v>808</v>
      </c>
      <c r="B878" s="43" t="n">
        <v>45447</v>
      </c>
      <c r="C878" s="43" t="n">
        <v>45448</v>
      </c>
      <c r="D878" s="42" t="n">
        <v>45</v>
      </c>
      <c r="E878" s="42" t="s">
        <v>154</v>
      </c>
      <c r="F878" s="42" t="s">
        <v>203</v>
      </c>
      <c r="G878" s="42" t="s">
        <v>241</v>
      </c>
      <c r="H878" s="42" t="s">
        <v>205</v>
      </c>
      <c r="I878" s="42" t="s">
        <v>143</v>
      </c>
      <c r="J878" s="42" t="s">
        <v>159</v>
      </c>
      <c r="K878" s="42" t="s">
        <v>160</v>
      </c>
      <c r="L878" s="44" t="n">
        <v>949.08</v>
      </c>
      <c r="M878" s="42" t="n">
        <v>4</v>
      </c>
      <c r="N878" s="42" t="s">
        <v>146</v>
      </c>
      <c r="O878" s="42" t="s">
        <v>147</v>
      </c>
      <c r="P878" s="39" t="n">
        <f aca="false">C878-B878</f>
        <v>1</v>
      </c>
      <c r="Q878" s="40" t="str">
        <f aca="false">CHOOSE(MONTH(B878),"يناير","فبراير","مارس","أبريل","مايو","يونيو","يوليو","أغسطس","سبتمبر","أكتوبر","نوفمبر","ديسمبر")</f>
        <v>يونيو</v>
      </c>
      <c r="R878" s="40" t="str">
        <f aca="false">"الربع "&amp;ROUNDUP(MONTH(B878)/3,0)</f>
        <v>الربع 2</v>
      </c>
      <c r="S878" s="40" t="str">
        <f aca="false">IF(D878&lt;=12,"أطفال (0-12)",IF(D878&lt;=24,"شباب (13-24)",IF(D878&lt;=44,"بالغون (25-44)",IF(D878&lt;=64,"متوسطو العمر (45-64)","كبار السن (+65)"))))</f>
        <v>متوسطو العمر (45-64)</v>
      </c>
      <c r="T878" s="41" t="n">
        <f aca="false">IFERROR(L878/P878,0)</f>
        <v>949.08</v>
      </c>
    </row>
    <row r="879" customFormat="false" ht="15" hidden="false" customHeight="false" outlineLevel="0" collapsed="false">
      <c r="A879" s="33" t="s">
        <v>794</v>
      </c>
      <c r="B879" s="34" t="n">
        <v>45447</v>
      </c>
      <c r="C879" s="34" t="n">
        <v>45450</v>
      </c>
      <c r="D879" s="33" t="n">
        <v>7</v>
      </c>
      <c r="E879" s="33" t="s">
        <v>154</v>
      </c>
      <c r="F879" s="33" t="s">
        <v>155</v>
      </c>
      <c r="G879" s="33" t="s">
        <v>220</v>
      </c>
      <c r="H879" s="33" t="s">
        <v>157</v>
      </c>
      <c r="I879" s="33" t="s">
        <v>143</v>
      </c>
      <c r="J879" s="33" t="s">
        <v>144</v>
      </c>
      <c r="K879" s="33" t="s">
        <v>145</v>
      </c>
      <c r="L879" s="35" t="n">
        <v>4181.19</v>
      </c>
      <c r="M879" s="33" t="n">
        <v>5</v>
      </c>
      <c r="N879" s="33" t="s">
        <v>146</v>
      </c>
      <c r="O879" s="33" t="s">
        <v>147</v>
      </c>
      <c r="P879" s="39" t="n">
        <f aca="false">C879-B879</f>
        <v>3</v>
      </c>
      <c r="Q879" s="40" t="str">
        <f aca="false">CHOOSE(MONTH(B879),"يناير","فبراير","مارس","أبريل","مايو","يونيو","يوليو","أغسطس","سبتمبر","أكتوبر","نوفمبر","ديسمبر")</f>
        <v>يونيو</v>
      </c>
      <c r="R879" s="40" t="str">
        <f aca="false">"الربع "&amp;ROUNDUP(MONTH(B879)/3,0)</f>
        <v>الربع 2</v>
      </c>
      <c r="S879" s="40" t="str">
        <f aca="false">IF(D879&lt;=12,"أطفال (0-12)",IF(D879&lt;=24,"شباب (13-24)",IF(D879&lt;=44,"بالغون (25-44)",IF(D879&lt;=64,"متوسطو العمر (45-64)","كبار السن (+65)"))))</f>
        <v>أطفال (0-12)</v>
      </c>
      <c r="T879" s="41" t="n">
        <f aca="false">IFERROR(L879/P879,0)</f>
        <v>1393.73</v>
      </c>
    </row>
    <row r="880" customFormat="false" ht="15" hidden="false" customHeight="false" outlineLevel="0" collapsed="false">
      <c r="A880" s="42" t="s">
        <v>1958</v>
      </c>
      <c r="B880" s="43" t="n">
        <v>45447</v>
      </c>
      <c r="C880" s="43" t="n">
        <v>45451</v>
      </c>
      <c r="D880" s="42" t="n">
        <v>35</v>
      </c>
      <c r="E880" s="42" t="s">
        <v>154</v>
      </c>
      <c r="F880" s="42" t="s">
        <v>140</v>
      </c>
      <c r="G880" s="42" t="s">
        <v>141</v>
      </c>
      <c r="H880" s="42" t="s">
        <v>142</v>
      </c>
      <c r="I880" s="42" t="s">
        <v>143</v>
      </c>
      <c r="J880" s="42" t="s">
        <v>159</v>
      </c>
      <c r="K880" s="42" t="s">
        <v>160</v>
      </c>
      <c r="L880" s="44" t="n">
        <v>7843.25</v>
      </c>
      <c r="M880" s="42" t="n">
        <v>4</v>
      </c>
      <c r="N880" s="42" t="s">
        <v>146</v>
      </c>
      <c r="O880" s="42" t="s">
        <v>147</v>
      </c>
      <c r="P880" s="39" t="n">
        <f aca="false">C880-B880</f>
        <v>4</v>
      </c>
      <c r="Q880" s="40" t="str">
        <f aca="false">CHOOSE(MONTH(B880),"يناير","فبراير","مارس","أبريل","مايو","يونيو","يوليو","أغسطس","سبتمبر","أكتوبر","نوفمبر","ديسمبر")</f>
        <v>يونيو</v>
      </c>
      <c r="R880" s="40" t="str">
        <f aca="false">"الربع "&amp;ROUNDUP(MONTH(B880)/3,0)</f>
        <v>الربع 2</v>
      </c>
      <c r="S880" s="40" t="str">
        <f aca="false">IF(D880&lt;=12,"أطفال (0-12)",IF(D880&lt;=24,"شباب (13-24)",IF(D880&lt;=44,"بالغون (25-44)",IF(D880&lt;=64,"متوسطو العمر (45-64)","كبار السن (+65)"))))</f>
        <v>بالغون (25-44)</v>
      </c>
      <c r="T880" s="41" t="n">
        <f aca="false">IFERROR(L880/P880,0)</f>
        <v>1960.8125</v>
      </c>
    </row>
    <row r="881" customFormat="false" ht="15" hidden="false" customHeight="false" outlineLevel="0" collapsed="false">
      <c r="A881" s="33" t="s">
        <v>435</v>
      </c>
      <c r="B881" s="34" t="n">
        <v>45448</v>
      </c>
      <c r="C881" s="34" t="n">
        <v>45450</v>
      </c>
      <c r="D881" s="33" t="n">
        <v>0</v>
      </c>
      <c r="E881" s="33" t="s">
        <v>154</v>
      </c>
      <c r="F881" s="33" t="s">
        <v>173</v>
      </c>
      <c r="G881" s="33" t="s">
        <v>174</v>
      </c>
      <c r="H881" s="33" t="s">
        <v>199</v>
      </c>
      <c r="I881" s="33" t="s">
        <v>152</v>
      </c>
      <c r="J881" s="33" t="s">
        <v>144</v>
      </c>
      <c r="K881" s="33" t="s">
        <v>160</v>
      </c>
      <c r="L881" s="35" t="n">
        <v>9104.14</v>
      </c>
      <c r="M881" s="33" t="n">
        <v>5</v>
      </c>
      <c r="N881" s="33" t="s">
        <v>146</v>
      </c>
      <c r="O881" s="33" t="s">
        <v>147</v>
      </c>
      <c r="P881" s="39" t="n">
        <f aca="false">C881-B881</f>
        <v>2</v>
      </c>
      <c r="Q881" s="40" t="str">
        <f aca="false">CHOOSE(MONTH(B881),"يناير","فبراير","مارس","أبريل","مايو","يونيو","يوليو","أغسطس","سبتمبر","أكتوبر","نوفمبر","ديسمبر")</f>
        <v>يونيو</v>
      </c>
      <c r="R881" s="40" t="str">
        <f aca="false">"الربع "&amp;ROUNDUP(MONTH(B881)/3,0)</f>
        <v>الربع 2</v>
      </c>
      <c r="S881" s="40" t="str">
        <f aca="false">IF(D881&lt;=12,"أطفال (0-12)",IF(D881&lt;=24,"شباب (13-24)",IF(D881&lt;=44,"بالغون (25-44)",IF(D881&lt;=64,"متوسطو العمر (45-64)","كبار السن (+65)"))))</f>
        <v>أطفال (0-12)</v>
      </c>
      <c r="T881" s="41" t="n">
        <f aca="false">IFERROR(L881/P881,0)</f>
        <v>4552.07</v>
      </c>
    </row>
    <row r="882" customFormat="false" ht="15" hidden="false" customHeight="false" outlineLevel="0" collapsed="false">
      <c r="A882" s="42" t="s">
        <v>867</v>
      </c>
      <c r="B882" s="43" t="n">
        <v>45448</v>
      </c>
      <c r="C882" s="43" t="n">
        <v>45449</v>
      </c>
      <c r="D882" s="42" t="n">
        <v>42</v>
      </c>
      <c r="E882" s="42" t="s">
        <v>154</v>
      </c>
      <c r="F882" s="42" t="s">
        <v>203</v>
      </c>
      <c r="G882" s="42" t="s">
        <v>217</v>
      </c>
      <c r="H882" s="42" t="s">
        <v>193</v>
      </c>
      <c r="I882" s="42" t="s">
        <v>143</v>
      </c>
      <c r="J882" s="42" t="s">
        <v>159</v>
      </c>
      <c r="K882" s="42" t="s">
        <v>160</v>
      </c>
      <c r="L882" s="44" t="n">
        <v>1113.17</v>
      </c>
      <c r="M882" s="42" t="n">
        <v>3</v>
      </c>
      <c r="N882" s="42" t="s">
        <v>146</v>
      </c>
      <c r="O882" s="42" t="s">
        <v>147</v>
      </c>
      <c r="P882" s="39" t="n">
        <f aca="false">C882-B882</f>
        <v>1</v>
      </c>
      <c r="Q882" s="40" t="str">
        <f aca="false">CHOOSE(MONTH(B882),"يناير","فبراير","مارس","أبريل","مايو","يونيو","يوليو","أغسطس","سبتمبر","أكتوبر","نوفمبر","ديسمبر")</f>
        <v>يونيو</v>
      </c>
      <c r="R882" s="40" t="str">
        <f aca="false">"الربع "&amp;ROUNDUP(MONTH(B882)/3,0)</f>
        <v>الربع 2</v>
      </c>
      <c r="S882" s="40" t="str">
        <f aca="false">IF(D882&lt;=12,"أطفال (0-12)",IF(D882&lt;=24,"شباب (13-24)",IF(D882&lt;=44,"بالغون (25-44)",IF(D882&lt;=64,"متوسطو العمر (45-64)","كبار السن (+65)"))))</f>
        <v>بالغون (25-44)</v>
      </c>
      <c r="T882" s="41" t="n">
        <f aca="false">IFERROR(L882/P882,0)</f>
        <v>1113.17</v>
      </c>
    </row>
    <row r="883" customFormat="false" ht="15" hidden="false" customHeight="false" outlineLevel="0" collapsed="false">
      <c r="A883" s="33" t="s">
        <v>467</v>
      </c>
      <c r="B883" s="34" t="n">
        <v>45448</v>
      </c>
      <c r="C883" s="34" t="n">
        <v>45449</v>
      </c>
      <c r="D883" s="33" t="n">
        <v>69</v>
      </c>
      <c r="E883" s="33" t="s">
        <v>154</v>
      </c>
      <c r="F883" s="33" t="s">
        <v>173</v>
      </c>
      <c r="G883" s="33" t="s">
        <v>198</v>
      </c>
      <c r="H883" s="33" t="s">
        <v>175</v>
      </c>
      <c r="I883" s="33" t="s">
        <v>152</v>
      </c>
      <c r="J883" s="33" t="s">
        <v>159</v>
      </c>
      <c r="K883" s="33" t="s">
        <v>145</v>
      </c>
      <c r="L883" s="35" t="n">
        <v>2529.28</v>
      </c>
      <c r="M883" s="33" t="n">
        <v>4</v>
      </c>
      <c r="N883" s="33" t="s">
        <v>146</v>
      </c>
      <c r="O883" s="33" t="s">
        <v>206</v>
      </c>
      <c r="P883" s="39" t="n">
        <f aca="false">C883-B883</f>
        <v>1</v>
      </c>
      <c r="Q883" s="40" t="str">
        <f aca="false">CHOOSE(MONTH(B883),"يناير","فبراير","مارس","أبريل","مايو","يونيو","يوليو","أغسطس","سبتمبر","أكتوبر","نوفمبر","ديسمبر")</f>
        <v>يونيو</v>
      </c>
      <c r="R883" s="40" t="str">
        <f aca="false">"الربع "&amp;ROUNDUP(MONTH(B883)/3,0)</f>
        <v>الربع 2</v>
      </c>
      <c r="S883" s="40" t="str">
        <f aca="false">IF(D883&lt;=12,"أطفال (0-12)",IF(D883&lt;=24,"شباب (13-24)",IF(D883&lt;=44,"بالغون (25-44)",IF(D883&lt;=64,"متوسطو العمر (45-64)","كبار السن (+65)"))))</f>
        <v>كبار السن (+65)</v>
      </c>
      <c r="T883" s="41" t="n">
        <f aca="false">IFERROR(L883/P883,0)</f>
        <v>2529.28</v>
      </c>
    </row>
    <row r="884" customFormat="false" ht="15" hidden="false" customHeight="false" outlineLevel="0" collapsed="false">
      <c r="A884" s="42" t="s">
        <v>680</v>
      </c>
      <c r="B884" s="43" t="n">
        <v>45449</v>
      </c>
      <c r="C884" s="43" t="n">
        <v>45450</v>
      </c>
      <c r="D884" s="42" t="n">
        <v>5</v>
      </c>
      <c r="E884" s="42" t="s">
        <v>154</v>
      </c>
      <c r="F884" s="42" t="s">
        <v>155</v>
      </c>
      <c r="G884" s="42" t="s">
        <v>220</v>
      </c>
      <c r="H884" s="42" t="s">
        <v>157</v>
      </c>
      <c r="I884" s="42" t="s">
        <v>152</v>
      </c>
      <c r="J884" s="42" t="s">
        <v>144</v>
      </c>
      <c r="K884" s="42" t="s">
        <v>184</v>
      </c>
      <c r="L884" s="44" t="n">
        <v>1215.67</v>
      </c>
      <c r="M884" s="42" t="n">
        <v>4</v>
      </c>
      <c r="N884" s="42" t="s">
        <v>146</v>
      </c>
      <c r="O884" s="42" t="s">
        <v>147</v>
      </c>
      <c r="P884" s="39" t="n">
        <f aca="false">C884-B884</f>
        <v>1</v>
      </c>
      <c r="Q884" s="40" t="str">
        <f aca="false">CHOOSE(MONTH(B884),"يناير","فبراير","مارس","أبريل","مايو","يونيو","يوليو","أغسطس","سبتمبر","أكتوبر","نوفمبر","ديسمبر")</f>
        <v>يونيو</v>
      </c>
      <c r="R884" s="40" t="str">
        <f aca="false">"الربع "&amp;ROUNDUP(MONTH(B884)/3,0)</f>
        <v>الربع 2</v>
      </c>
      <c r="S884" s="40" t="str">
        <f aca="false">IF(D884&lt;=12,"أطفال (0-12)",IF(D884&lt;=24,"شباب (13-24)",IF(D884&lt;=44,"بالغون (25-44)",IF(D884&lt;=64,"متوسطو العمر (45-64)","كبار السن (+65)"))))</f>
        <v>أطفال (0-12)</v>
      </c>
      <c r="T884" s="41" t="n">
        <f aca="false">IFERROR(L884/P884,0)</f>
        <v>1215.67</v>
      </c>
    </row>
    <row r="885" customFormat="false" ht="15" hidden="false" customHeight="false" outlineLevel="0" collapsed="false">
      <c r="A885" s="33" t="s">
        <v>363</v>
      </c>
      <c r="B885" s="34" t="n">
        <v>45449</v>
      </c>
      <c r="C885" s="34" t="n">
        <v>45450</v>
      </c>
      <c r="D885" s="33" t="n">
        <v>31</v>
      </c>
      <c r="E885" s="33" t="s">
        <v>139</v>
      </c>
      <c r="F885" s="33" t="s">
        <v>149</v>
      </c>
      <c r="G885" s="33" t="s">
        <v>150</v>
      </c>
      <c r="H885" s="33" t="s">
        <v>151</v>
      </c>
      <c r="I885" s="33" t="s">
        <v>152</v>
      </c>
      <c r="J885" s="33" t="s">
        <v>159</v>
      </c>
      <c r="K885" s="33" t="s">
        <v>209</v>
      </c>
      <c r="L885" s="35" t="n">
        <v>1286</v>
      </c>
      <c r="M885" s="33" t="n">
        <v>3</v>
      </c>
      <c r="N885" s="33" t="s">
        <v>146</v>
      </c>
      <c r="O885" s="33" t="s">
        <v>147</v>
      </c>
      <c r="P885" s="39" t="n">
        <f aca="false">C885-B885</f>
        <v>1</v>
      </c>
      <c r="Q885" s="40" t="str">
        <f aca="false">CHOOSE(MONTH(B885),"يناير","فبراير","مارس","أبريل","مايو","يونيو","يوليو","أغسطس","سبتمبر","أكتوبر","نوفمبر","ديسمبر")</f>
        <v>يونيو</v>
      </c>
      <c r="R885" s="40" t="str">
        <f aca="false">"الربع "&amp;ROUNDUP(MONTH(B885)/3,0)</f>
        <v>الربع 2</v>
      </c>
      <c r="S885" s="40" t="str">
        <f aca="false">IF(D885&lt;=12,"أطفال (0-12)",IF(D885&lt;=24,"شباب (13-24)",IF(D885&lt;=44,"بالغون (25-44)",IF(D885&lt;=64,"متوسطو العمر (45-64)","كبار السن (+65)"))))</f>
        <v>بالغون (25-44)</v>
      </c>
      <c r="T885" s="41" t="n">
        <f aca="false">IFERROR(L885/P885,0)</f>
        <v>1286</v>
      </c>
    </row>
    <row r="886" customFormat="false" ht="15" hidden="false" customHeight="false" outlineLevel="0" collapsed="false">
      <c r="A886" s="42" t="s">
        <v>1168</v>
      </c>
      <c r="B886" s="43" t="n">
        <v>45449</v>
      </c>
      <c r="C886" s="43" t="n">
        <v>45454</v>
      </c>
      <c r="D886" s="42" t="n">
        <v>61</v>
      </c>
      <c r="E886" s="42" t="s">
        <v>154</v>
      </c>
      <c r="F886" s="42" t="s">
        <v>181</v>
      </c>
      <c r="G886" s="42" t="s">
        <v>237</v>
      </c>
      <c r="H886" s="42" t="s">
        <v>245</v>
      </c>
      <c r="I886" s="42" t="s">
        <v>143</v>
      </c>
      <c r="J886" s="42" t="s">
        <v>144</v>
      </c>
      <c r="K886" s="42" t="s">
        <v>145</v>
      </c>
      <c r="L886" s="44" t="n">
        <v>20935.9</v>
      </c>
      <c r="M886" s="42" t="n">
        <v>3</v>
      </c>
      <c r="N886" s="42" t="s">
        <v>210</v>
      </c>
      <c r="O886" s="42" t="s">
        <v>147</v>
      </c>
      <c r="P886" s="39" t="n">
        <f aca="false">C886-B886</f>
        <v>5</v>
      </c>
      <c r="Q886" s="40" t="str">
        <f aca="false">CHOOSE(MONTH(B886),"يناير","فبراير","مارس","أبريل","مايو","يونيو","يوليو","أغسطس","سبتمبر","أكتوبر","نوفمبر","ديسمبر")</f>
        <v>يونيو</v>
      </c>
      <c r="R886" s="40" t="str">
        <f aca="false">"الربع "&amp;ROUNDUP(MONTH(B886)/3,0)</f>
        <v>الربع 2</v>
      </c>
      <c r="S886" s="40" t="str">
        <f aca="false">IF(D886&lt;=12,"أطفال (0-12)",IF(D886&lt;=24,"شباب (13-24)",IF(D886&lt;=44,"بالغون (25-44)",IF(D886&lt;=64,"متوسطو العمر (45-64)","كبار السن (+65)"))))</f>
        <v>متوسطو العمر (45-64)</v>
      </c>
      <c r="T886" s="41" t="n">
        <f aca="false">IFERROR(L886/P886,0)</f>
        <v>4187.18</v>
      </c>
    </row>
    <row r="887" customFormat="false" ht="15" hidden="false" customHeight="false" outlineLevel="0" collapsed="false">
      <c r="A887" s="33" t="s">
        <v>895</v>
      </c>
      <c r="B887" s="34" t="n">
        <v>45449</v>
      </c>
      <c r="C887" s="34" t="n">
        <v>45453</v>
      </c>
      <c r="D887" s="33" t="n">
        <v>21</v>
      </c>
      <c r="E887" s="33" t="s">
        <v>139</v>
      </c>
      <c r="F887" s="33" t="s">
        <v>173</v>
      </c>
      <c r="G887" s="33" t="s">
        <v>198</v>
      </c>
      <c r="H887" s="33" t="s">
        <v>199</v>
      </c>
      <c r="I887" s="33" t="s">
        <v>152</v>
      </c>
      <c r="J887" s="33" t="s">
        <v>159</v>
      </c>
      <c r="K887" s="33" t="s">
        <v>145</v>
      </c>
      <c r="L887" s="35" t="n">
        <v>10582.57</v>
      </c>
      <c r="M887" s="33" t="n">
        <v>4</v>
      </c>
      <c r="N887" s="33" t="s">
        <v>146</v>
      </c>
      <c r="O887" s="33" t="s">
        <v>147</v>
      </c>
      <c r="P887" s="39" t="n">
        <f aca="false">C887-B887</f>
        <v>4</v>
      </c>
      <c r="Q887" s="40" t="str">
        <f aca="false">CHOOSE(MONTH(B887),"يناير","فبراير","مارس","أبريل","مايو","يونيو","يوليو","أغسطس","سبتمبر","أكتوبر","نوفمبر","ديسمبر")</f>
        <v>يونيو</v>
      </c>
      <c r="R887" s="40" t="str">
        <f aca="false">"الربع "&amp;ROUNDUP(MONTH(B887)/3,0)</f>
        <v>الربع 2</v>
      </c>
      <c r="S887" s="40" t="str">
        <f aca="false">IF(D887&lt;=12,"أطفال (0-12)",IF(D887&lt;=24,"شباب (13-24)",IF(D887&lt;=44,"بالغون (25-44)",IF(D887&lt;=64,"متوسطو العمر (45-64)","كبار السن (+65)"))))</f>
        <v>شباب (13-24)</v>
      </c>
      <c r="T887" s="41" t="n">
        <f aca="false">IFERROR(L887/P887,0)</f>
        <v>2645.6425</v>
      </c>
    </row>
    <row r="888" customFormat="false" ht="15" hidden="false" customHeight="false" outlineLevel="0" collapsed="false">
      <c r="A888" s="42" t="s">
        <v>787</v>
      </c>
      <c r="B888" s="43" t="n">
        <v>45449</v>
      </c>
      <c r="C888" s="43" t="n">
        <v>45457</v>
      </c>
      <c r="D888" s="42" t="n">
        <v>8</v>
      </c>
      <c r="E888" s="42" t="s">
        <v>139</v>
      </c>
      <c r="F888" s="42" t="s">
        <v>155</v>
      </c>
      <c r="G888" s="42" t="s">
        <v>302</v>
      </c>
      <c r="H888" s="42" t="s">
        <v>157</v>
      </c>
      <c r="I888" s="42" t="s">
        <v>143</v>
      </c>
      <c r="J888" s="42" t="s">
        <v>159</v>
      </c>
      <c r="K888" s="42" t="s">
        <v>145</v>
      </c>
      <c r="L888" s="44" t="n">
        <v>6688.31</v>
      </c>
      <c r="M888" s="42" t="n">
        <v>4</v>
      </c>
      <c r="N888" s="42" t="s">
        <v>146</v>
      </c>
      <c r="O888" s="42" t="s">
        <v>147</v>
      </c>
      <c r="P888" s="39" t="n">
        <f aca="false">C888-B888</f>
        <v>8</v>
      </c>
      <c r="Q888" s="40" t="str">
        <f aca="false">CHOOSE(MONTH(B888),"يناير","فبراير","مارس","أبريل","مايو","يونيو","يوليو","أغسطس","سبتمبر","أكتوبر","نوفمبر","ديسمبر")</f>
        <v>يونيو</v>
      </c>
      <c r="R888" s="40" t="str">
        <f aca="false">"الربع "&amp;ROUNDUP(MONTH(B888)/3,0)</f>
        <v>الربع 2</v>
      </c>
      <c r="S888" s="40" t="str">
        <f aca="false">IF(D888&lt;=12,"أطفال (0-12)",IF(D888&lt;=24,"شباب (13-24)",IF(D888&lt;=44,"بالغون (25-44)",IF(D888&lt;=64,"متوسطو العمر (45-64)","كبار السن (+65)"))))</f>
        <v>أطفال (0-12)</v>
      </c>
      <c r="T888" s="41" t="n">
        <f aca="false">IFERROR(L888/P888,0)</f>
        <v>836.03875</v>
      </c>
    </row>
    <row r="889" customFormat="false" ht="15" hidden="false" customHeight="false" outlineLevel="0" collapsed="false">
      <c r="A889" s="33" t="s">
        <v>1685</v>
      </c>
      <c r="B889" s="34" t="n">
        <v>45449</v>
      </c>
      <c r="C889" s="34" t="n">
        <v>45450</v>
      </c>
      <c r="D889" s="33" t="n">
        <v>5</v>
      </c>
      <c r="E889" s="33" t="s">
        <v>139</v>
      </c>
      <c r="F889" s="33" t="s">
        <v>155</v>
      </c>
      <c r="G889" s="33" t="s">
        <v>302</v>
      </c>
      <c r="H889" s="33" t="s">
        <v>222</v>
      </c>
      <c r="I889" s="33" t="s">
        <v>143</v>
      </c>
      <c r="J889" s="33" t="s">
        <v>144</v>
      </c>
      <c r="K889" s="33" t="s">
        <v>145</v>
      </c>
      <c r="L889" s="35" t="n">
        <v>1485.22</v>
      </c>
      <c r="M889" s="33" t="n">
        <v>4</v>
      </c>
      <c r="N889" s="33" t="s">
        <v>146</v>
      </c>
      <c r="O889" s="33" t="s">
        <v>147</v>
      </c>
      <c r="P889" s="39" t="n">
        <f aca="false">C889-B889</f>
        <v>1</v>
      </c>
      <c r="Q889" s="40" t="str">
        <f aca="false">CHOOSE(MONTH(B889),"يناير","فبراير","مارس","أبريل","مايو","يونيو","يوليو","أغسطس","سبتمبر","أكتوبر","نوفمبر","ديسمبر")</f>
        <v>يونيو</v>
      </c>
      <c r="R889" s="40" t="str">
        <f aca="false">"الربع "&amp;ROUNDUP(MONTH(B889)/3,0)</f>
        <v>الربع 2</v>
      </c>
      <c r="S889" s="40" t="str">
        <f aca="false">IF(D889&lt;=12,"أطفال (0-12)",IF(D889&lt;=24,"شباب (13-24)",IF(D889&lt;=44,"بالغون (25-44)",IF(D889&lt;=64,"متوسطو العمر (45-64)","كبار السن (+65)"))))</f>
        <v>أطفال (0-12)</v>
      </c>
      <c r="T889" s="41" t="n">
        <f aca="false">IFERROR(L889/P889,0)</f>
        <v>1485.22</v>
      </c>
    </row>
    <row r="890" customFormat="false" ht="15" hidden="false" customHeight="false" outlineLevel="0" collapsed="false">
      <c r="A890" s="42" t="s">
        <v>276</v>
      </c>
      <c r="B890" s="43" t="n">
        <v>45450</v>
      </c>
      <c r="C890" s="43" t="n">
        <v>45451</v>
      </c>
      <c r="D890" s="42" t="n">
        <v>29</v>
      </c>
      <c r="E890" s="42" t="s">
        <v>154</v>
      </c>
      <c r="F890" s="42" t="s">
        <v>203</v>
      </c>
      <c r="G890" s="42" t="s">
        <v>192</v>
      </c>
      <c r="H890" s="42" t="s">
        <v>193</v>
      </c>
      <c r="I890" s="42" t="s">
        <v>143</v>
      </c>
      <c r="J890" s="42" t="s">
        <v>144</v>
      </c>
      <c r="K890" s="42" t="s">
        <v>160</v>
      </c>
      <c r="L890" s="44" t="n">
        <v>1824.95</v>
      </c>
      <c r="M890" s="42" t="n">
        <v>4</v>
      </c>
      <c r="N890" s="42" t="s">
        <v>146</v>
      </c>
      <c r="O890" s="42" t="s">
        <v>147</v>
      </c>
      <c r="P890" s="39" t="n">
        <f aca="false">C890-B890</f>
        <v>1</v>
      </c>
      <c r="Q890" s="40" t="str">
        <f aca="false">CHOOSE(MONTH(B890),"يناير","فبراير","مارس","أبريل","مايو","يونيو","يوليو","أغسطس","سبتمبر","أكتوبر","نوفمبر","ديسمبر")</f>
        <v>يونيو</v>
      </c>
      <c r="R890" s="40" t="str">
        <f aca="false">"الربع "&amp;ROUNDUP(MONTH(B890)/3,0)</f>
        <v>الربع 2</v>
      </c>
      <c r="S890" s="40" t="str">
        <f aca="false">IF(D890&lt;=12,"أطفال (0-12)",IF(D890&lt;=24,"شباب (13-24)",IF(D890&lt;=44,"بالغون (25-44)",IF(D890&lt;=64,"متوسطو العمر (45-64)","كبار السن (+65)"))))</f>
        <v>بالغون (25-44)</v>
      </c>
      <c r="T890" s="41" t="n">
        <f aca="false">IFERROR(L890/P890,0)</f>
        <v>1824.95</v>
      </c>
    </row>
    <row r="891" customFormat="false" ht="15" hidden="false" customHeight="false" outlineLevel="0" collapsed="false">
      <c r="A891" s="33" t="s">
        <v>387</v>
      </c>
      <c r="B891" s="34" t="n">
        <v>45450</v>
      </c>
      <c r="C891" s="34" t="n">
        <v>45452</v>
      </c>
      <c r="D891" s="33" t="n">
        <v>33</v>
      </c>
      <c r="E891" s="33" t="s">
        <v>139</v>
      </c>
      <c r="F891" s="33" t="s">
        <v>203</v>
      </c>
      <c r="G891" s="33" t="s">
        <v>232</v>
      </c>
      <c r="H891" s="33" t="s">
        <v>2322</v>
      </c>
      <c r="I891" s="33" t="s">
        <v>143</v>
      </c>
      <c r="J891" s="33" t="s">
        <v>159</v>
      </c>
      <c r="K891" s="33" t="s">
        <v>209</v>
      </c>
      <c r="L891" s="35" t="n">
        <v>1778.74</v>
      </c>
      <c r="M891" s="33" t="n">
        <v>4</v>
      </c>
      <c r="N891" s="33" t="s">
        <v>146</v>
      </c>
      <c r="O891" s="33" t="s">
        <v>147</v>
      </c>
      <c r="P891" s="39" t="n">
        <f aca="false">C891-B891</f>
        <v>2</v>
      </c>
      <c r="Q891" s="40" t="str">
        <f aca="false">CHOOSE(MONTH(B891),"يناير","فبراير","مارس","أبريل","مايو","يونيو","يوليو","أغسطس","سبتمبر","أكتوبر","نوفمبر","ديسمبر")</f>
        <v>يونيو</v>
      </c>
      <c r="R891" s="40" t="str">
        <f aca="false">"الربع "&amp;ROUNDUP(MONTH(B891)/3,0)</f>
        <v>الربع 2</v>
      </c>
      <c r="S891" s="40" t="str">
        <f aca="false">IF(D891&lt;=12,"أطفال (0-12)",IF(D891&lt;=24,"شباب (13-24)",IF(D891&lt;=44,"بالغون (25-44)",IF(D891&lt;=64,"متوسطو العمر (45-64)","كبار السن (+65)"))))</f>
        <v>بالغون (25-44)</v>
      </c>
      <c r="T891" s="41" t="n">
        <f aca="false">IFERROR(L891/P891,0)</f>
        <v>889.37</v>
      </c>
    </row>
    <row r="892" customFormat="false" ht="15" hidden="false" customHeight="false" outlineLevel="0" collapsed="false">
      <c r="A892" s="42" t="s">
        <v>1963</v>
      </c>
      <c r="B892" s="43" t="n">
        <v>45450</v>
      </c>
      <c r="C892" s="43" t="n">
        <v>45454</v>
      </c>
      <c r="D892" s="42" t="n">
        <v>44</v>
      </c>
      <c r="E892" s="42" t="s">
        <v>154</v>
      </c>
      <c r="F892" s="42" t="s">
        <v>169</v>
      </c>
      <c r="G892" s="42" t="s">
        <v>230</v>
      </c>
      <c r="H892" s="42" t="s">
        <v>195</v>
      </c>
      <c r="I892" s="42" t="s">
        <v>152</v>
      </c>
      <c r="J892" s="42" t="s">
        <v>159</v>
      </c>
      <c r="K892" s="42" t="s">
        <v>145</v>
      </c>
      <c r="L892" s="44" t="n">
        <v>4333.43</v>
      </c>
      <c r="M892" s="42" t="n">
        <v>4</v>
      </c>
      <c r="N892" s="42" t="s">
        <v>146</v>
      </c>
      <c r="O892" s="42" t="s">
        <v>147</v>
      </c>
      <c r="P892" s="39" t="n">
        <f aca="false">C892-B892</f>
        <v>4</v>
      </c>
      <c r="Q892" s="40" t="str">
        <f aca="false">CHOOSE(MONTH(B892),"يناير","فبراير","مارس","أبريل","مايو","يونيو","يوليو","أغسطس","سبتمبر","أكتوبر","نوفمبر","ديسمبر")</f>
        <v>يونيو</v>
      </c>
      <c r="R892" s="40" t="str">
        <f aca="false">"الربع "&amp;ROUNDUP(MONTH(B892)/3,0)</f>
        <v>الربع 2</v>
      </c>
      <c r="S892" s="40" t="str">
        <f aca="false">IF(D892&lt;=12,"أطفال (0-12)",IF(D892&lt;=24,"شباب (13-24)",IF(D892&lt;=44,"بالغون (25-44)",IF(D892&lt;=64,"متوسطو العمر (45-64)","كبار السن (+65)"))))</f>
        <v>بالغون (25-44)</v>
      </c>
      <c r="T892" s="41" t="n">
        <f aca="false">IFERROR(L892/P892,0)</f>
        <v>1083.3575</v>
      </c>
    </row>
    <row r="893" customFormat="false" ht="15" hidden="false" customHeight="false" outlineLevel="0" collapsed="false">
      <c r="A893" s="33" t="s">
        <v>1760</v>
      </c>
      <c r="B893" s="34" t="n">
        <v>45450</v>
      </c>
      <c r="C893" s="34" t="n">
        <v>45453</v>
      </c>
      <c r="D893" s="33" t="n">
        <v>59</v>
      </c>
      <c r="E893" s="33" t="s">
        <v>154</v>
      </c>
      <c r="F893" s="33" t="s">
        <v>173</v>
      </c>
      <c r="G893" s="33" t="s">
        <v>174</v>
      </c>
      <c r="H893" s="33" t="s">
        <v>199</v>
      </c>
      <c r="I893" s="33" t="s">
        <v>143</v>
      </c>
      <c r="J893" s="33" t="s">
        <v>159</v>
      </c>
      <c r="K893" s="33" t="s">
        <v>145</v>
      </c>
      <c r="L893" s="35" t="n">
        <v>7082.59</v>
      </c>
      <c r="M893" s="33" t="n">
        <v>5</v>
      </c>
      <c r="N893" s="33" t="s">
        <v>146</v>
      </c>
      <c r="O893" s="33" t="s">
        <v>147</v>
      </c>
      <c r="P893" s="39" t="n">
        <f aca="false">C893-B893</f>
        <v>3</v>
      </c>
      <c r="Q893" s="40" t="str">
        <f aca="false">CHOOSE(MONTH(B893),"يناير","فبراير","مارس","أبريل","مايو","يونيو","يوليو","أغسطس","سبتمبر","أكتوبر","نوفمبر","ديسمبر")</f>
        <v>يونيو</v>
      </c>
      <c r="R893" s="40" t="str">
        <f aca="false">"الربع "&amp;ROUNDUP(MONTH(B893)/3,0)</f>
        <v>الربع 2</v>
      </c>
      <c r="S893" s="40" t="str">
        <f aca="false">IF(D893&lt;=12,"أطفال (0-12)",IF(D893&lt;=24,"شباب (13-24)",IF(D893&lt;=44,"بالغون (25-44)",IF(D893&lt;=64,"متوسطو العمر (45-64)","كبار السن (+65)"))))</f>
        <v>متوسطو العمر (45-64)</v>
      </c>
      <c r="T893" s="41" t="n">
        <f aca="false">IFERROR(L893/P893,0)</f>
        <v>2360.86333333333</v>
      </c>
    </row>
    <row r="894" customFormat="false" ht="15" hidden="false" customHeight="false" outlineLevel="0" collapsed="false">
      <c r="A894" s="42" t="s">
        <v>1139</v>
      </c>
      <c r="B894" s="43" t="n">
        <v>45450</v>
      </c>
      <c r="C894" s="43" t="n">
        <v>45451</v>
      </c>
      <c r="D894" s="42" t="n">
        <v>81</v>
      </c>
      <c r="E894" s="42" t="s">
        <v>139</v>
      </c>
      <c r="F894" s="42" t="s">
        <v>203</v>
      </c>
      <c r="G894" s="42" t="s">
        <v>192</v>
      </c>
      <c r="H894" s="42" t="s">
        <v>205</v>
      </c>
      <c r="I894" s="42" t="s">
        <v>143</v>
      </c>
      <c r="J894" s="42" t="s">
        <v>144</v>
      </c>
      <c r="K894" s="42" t="s">
        <v>160</v>
      </c>
      <c r="L894" s="44" t="n">
        <v>1460.59</v>
      </c>
      <c r="M894" s="42" t="n">
        <v>3</v>
      </c>
      <c r="N894" s="42" t="s">
        <v>146</v>
      </c>
      <c r="O894" s="42" t="s">
        <v>147</v>
      </c>
      <c r="P894" s="39" t="n">
        <f aca="false">C894-B894</f>
        <v>1</v>
      </c>
      <c r="Q894" s="40" t="str">
        <f aca="false">CHOOSE(MONTH(B894),"يناير","فبراير","مارس","أبريل","مايو","يونيو","يوليو","أغسطس","سبتمبر","أكتوبر","نوفمبر","ديسمبر")</f>
        <v>يونيو</v>
      </c>
      <c r="R894" s="40" t="str">
        <f aca="false">"الربع "&amp;ROUNDUP(MONTH(B894)/3,0)</f>
        <v>الربع 2</v>
      </c>
      <c r="S894" s="40" t="str">
        <f aca="false">IF(D894&lt;=12,"أطفال (0-12)",IF(D894&lt;=24,"شباب (13-24)",IF(D894&lt;=44,"بالغون (25-44)",IF(D894&lt;=64,"متوسطو العمر (45-64)","كبار السن (+65)"))))</f>
        <v>كبار السن (+65)</v>
      </c>
      <c r="T894" s="41" t="n">
        <f aca="false">IFERROR(L894/P894,0)</f>
        <v>1460.59</v>
      </c>
    </row>
    <row r="895" customFormat="false" ht="15" hidden="false" customHeight="false" outlineLevel="0" collapsed="false">
      <c r="A895" s="33" t="s">
        <v>591</v>
      </c>
      <c r="B895" s="34" t="n">
        <v>45450</v>
      </c>
      <c r="C895" s="34" t="n">
        <v>45453</v>
      </c>
      <c r="D895" s="33" t="n">
        <v>55</v>
      </c>
      <c r="E895" s="33" t="s">
        <v>154</v>
      </c>
      <c r="F895" s="33" t="s">
        <v>169</v>
      </c>
      <c r="G895" s="33" t="s">
        <v>163</v>
      </c>
      <c r="H895" s="33" t="s">
        <v>171</v>
      </c>
      <c r="I895" s="33" t="s">
        <v>143</v>
      </c>
      <c r="J895" s="33" t="s">
        <v>159</v>
      </c>
      <c r="K895" s="33" t="s">
        <v>145</v>
      </c>
      <c r="L895" s="35" t="n">
        <v>2669.25</v>
      </c>
      <c r="M895" s="33" t="n">
        <v>4</v>
      </c>
      <c r="N895" s="33" t="s">
        <v>146</v>
      </c>
      <c r="O895" s="33" t="s">
        <v>147</v>
      </c>
      <c r="P895" s="39" t="n">
        <f aca="false">C895-B895</f>
        <v>3</v>
      </c>
      <c r="Q895" s="40" t="str">
        <f aca="false">CHOOSE(MONTH(B895),"يناير","فبراير","مارس","أبريل","مايو","يونيو","يوليو","أغسطس","سبتمبر","أكتوبر","نوفمبر","ديسمبر")</f>
        <v>يونيو</v>
      </c>
      <c r="R895" s="40" t="str">
        <f aca="false">"الربع "&amp;ROUNDUP(MONTH(B895)/3,0)</f>
        <v>الربع 2</v>
      </c>
      <c r="S895" s="40" t="str">
        <f aca="false">IF(D895&lt;=12,"أطفال (0-12)",IF(D895&lt;=24,"شباب (13-24)",IF(D895&lt;=44,"بالغون (25-44)",IF(D895&lt;=64,"متوسطو العمر (45-64)","كبار السن (+65)"))))</f>
        <v>متوسطو العمر (45-64)</v>
      </c>
      <c r="T895" s="41" t="n">
        <f aca="false">IFERROR(L895/P895,0)</f>
        <v>889.75</v>
      </c>
    </row>
    <row r="896" customFormat="false" ht="15" hidden="false" customHeight="false" outlineLevel="0" collapsed="false">
      <c r="A896" s="42" t="s">
        <v>1570</v>
      </c>
      <c r="B896" s="43" t="n">
        <v>45450</v>
      </c>
      <c r="C896" s="43" t="n">
        <v>45451</v>
      </c>
      <c r="D896" s="42" t="n">
        <v>45</v>
      </c>
      <c r="E896" s="42" t="s">
        <v>154</v>
      </c>
      <c r="F896" s="42" t="s">
        <v>203</v>
      </c>
      <c r="G896" s="42" t="s">
        <v>241</v>
      </c>
      <c r="H896" s="42" t="s">
        <v>193</v>
      </c>
      <c r="I896" s="42" t="s">
        <v>143</v>
      </c>
      <c r="J896" s="42" t="s">
        <v>159</v>
      </c>
      <c r="K896" s="42" t="s">
        <v>145</v>
      </c>
      <c r="L896" s="44" t="n">
        <v>836.32</v>
      </c>
      <c r="M896" s="42" t="n">
        <v>2</v>
      </c>
      <c r="N896" s="42" t="s">
        <v>146</v>
      </c>
      <c r="O896" s="42" t="s">
        <v>147</v>
      </c>
      <c r="P896" s="39" t="n">
        <f aca="false">C896-B896</f>
        <v>1</v>
      </c>
      <c r="Q896" s="40" t="str">
        <f aca="false">CHOOSE(MONTH(B896),"يناير","فبراير","مارس","أبريل","مايو","يونيو","يوليو","أغسطس","سبتمبر","أكتوبر","نوفمبر","ديسمبر")</f>
        <v>يونيو</v>
      </c>
      <c r="R896" s="40" t="str">
        <f aca="false">"الربع "&amp;ROUNDUP(MONTH(B896)/3,0)</f>
        <v>الربع 2</v>
      </c>
      <c r="S896" s="40" t="str">
        <f aca="false">IF(D896&lt;=12,"أطفال (0-12)",IF(D896&lt;=24,"شباب (13-24)",IF(D896&lt;=44,"بالغون (25-44)",IF(D896&lt;=64,"متوسطو العمر (45-64)","كبار السن (+65)"))))</f>
        <v>متوسطو العمر (45-64)</v>
      </c>
      <c r="T896" s="41" t="n">
        <f aca="false">IFERROR(L896/P896,0)</f>
        <v>836.32</v>
      </c>
    </row>
    <row r="897" customFormat="false" ht="15" hidden="false" customHeight="false" outlineLevel="0" collapsed="false">
      <c r="A897" s="33" t="s">
        <v>2304</v>
      </c>
      <c r="B897" s="34" t="n">
        <v>45450</v>
      </c>
      <c r="C897" s="34" t="n">
        <v>45452</v>
      </c>
      <c r="D897" s="33" t="n">
        <v>45</v>
      </c>
      <c r="E897" s="33" t="s">
        <v>139</v>
      </c>
      <c r="F897" s="33" t="s">
        <v>169</v>
      </c>
      <c r="G897" s="33" t="s">
        <v>170</v>
      </c>
      <c r="H897" s="33" t="s">
        <v>195</v>
      </c>
      <c r="I897" s="33" t="s">
        <v>143</v>
      </c>
      <c r="J897" s="33" t="s">
        <v>159</v>
      </c>
      <c r="K897" s="33" t="s">
        <v>184</v>
      </c>
      <c r="L897" s="35" t="n">
        <v>2165.31</v>
      </c>
      <c r="M897" s="33" t="n">
        <v>3</v>
      </c>
      <c r="N897" s="33" t="s">
        <v>210</v>
      </c>
      <c r="O897" s="33" t="s">
        <v>147</v>
      </c>
      <c r="P897" s="39" t="n">
        <f aca="false">C897-B897</f>
        <v>2</v>
      </c>
      <c r="Q897" s="40" t="str">
        <f aca="false">CHOOSE(MONTH(B897),"يناير","فبراير","مارس","أبريل","مايو","يونيو","يوليو","أغسطس","سبتمبر","أكتوبر","نوفمبر","ديسمبر")</f>
        <v>يونيو</v>
      </c>
      <c r="R897" s="40" t="str">
        <f aca="false">"الربع "&amp;ROUNDUP(MONTH(B897)/3,0)</f>
        <v>الربع 2</v>
      </c>
      <c r="S897" s="40" t="str">
        <f aca="false">IF(D897&lt;=12,"أطفال (0-12)",IF(D897&lt;=24,"شباب (13-24)",IF(D897&lt;=44,"بالغون (25-44)",IF(D897&lt;=64,"متوسطو العمر (45-64)","كبار السن (+65)"))))</f>
        <v>متوسطو العمر (45-64)</v>
      </c>
      <c r="T897" s="41" t="n">
        <f aca="false">IFERROR(L897/P897,0)</f>
        <v>1082.655</v>
      </c>
    </row>
    <row r="898" customFormat="false" ht="15" hidden="false" customHeight="false" outlineLevel="0" collapsed="false">
      <c r="A898" s="42" t="s">
        <v>1243</v>
      </c>
      <c r="B898" s="43" t="n">
        <v>45450</v>
      </c>
      <c r="C898" s="43" t="n">
        <v>45458</v>
      </c>
      <c r="D898" s="42" t="n">
        <v>64</v>
      </c>
      <c r="E898" s="42" t="s">
        <v>139</v>
      </c>
      <c r="F898" s="42" t="s">
        <v>169</v>
      </c>
      <c r="G898" s="42" t="s">
        <v>213</v>
      </c>
      <c r="H898" s="42" t="s">
        <v>164</v>
      </c>
      <c r="I898" s="42" t="s">
        <v>143</v>
      </c>
      <c r="J898" s="42" t="s">
        <v>159</v>
      </c>
      <c r="K898" s="42" t="s">
        <v>145</v>
      </c>
      <c r="L898" s="44" t="n">
        <v>7529.76</v>
      </c>
      <c r="M898" s="42" t="n">
        <v>5</v>
      </c>
      <c r="N898" s="42" t="s">
        <v>146</v>
      </c>
      <c r="O898" s="42" t="s">
        <v>147</v>
      </c>
      <c r="P898" s="39" t="n">
        <f aca="false">C898-B898</f>
        <v>8</v>
      </c>
      <c r="Q898" s="40" t="str">
        <f aca="false">CHOOSE(MONTH(B898),"يناير","فبراير","مارس","أبريل","مايو","يونيو","يوليو","أغسطس","سبتمبر","أكتوبر","نوفمبر","ديسمبر")</f>
        <v>يونيو</v>
      </c>
      <c r="R898" s="40" t="str">
        <f aca="false">"الربع "&amp;ROUNDUP(MONTH(B898)/3,0)</f>
        <v>الربع 2</v>
      </c>
      <c r="S898" s="40" t="str">
        <f aca="false">IF(D898&lt;=12,"أطفال (0-12)",IF(D898&lt;=24,"شباب (13-24)",IF(D898&lt;=44,"بالغون (25-44)",IF(D898&lt;=64,"متوسطو العمر (45-64)","كبار السن (+65)"))))</f>
        <v>متوسطو العمر (45-64)</v>
      </c>
      <c r="T898" s="41" t="n">
        <f aca="false">IFERROR(L898/P898,0)</f>
        <v>941.22</v>
      </c>
    </row>
    <row r="899" customFormat="false" ht="15" hidden="false" customHeight="false" outlineLevel="0" collapsed="false">
      <c r="A899" s="33" t="s">
        <v>2043</v>
      </c>
      <c r="B899" s="34" t="n">
        <v>45450</v>
      </c>
      <c r="C899" s="34" t="n">
        <v>45453</v>
      </c>
      <c r="D899" s="33" t="n">
        <v>5</v>
      </c>
      <c r="E899" s="33" t="s">
        <v>139</v>
      </c>
      <c r="F899" s="33" t="s">
        <v>155</v>
      </c>
      <c r="G899" s="33" t="s">
        <v>220</v>
      </c>
      <c r="H899" s="33" t="s">
        <v>157</v>
      </c>
      <c r="I899" s="33" t="s">
        <v>143</v>
      </c>
      <c r="J899" s="33" t="s">
        <v>159</v>
      </c>
      <c r="K899" s="33" t="s">
        <v>160</v>
      </c>
      <c r="L899" s="35" t="n">
        <v>2320.9</v>
      </c>
      <c r="M899" s="33" t="n">
        <v>5</v>
      </c>
      <c r="N899" s="33" t="s">
        <v>146</v>
      </c>
      <c r="O899" s="33" t="s">
        <v>147</v>
      </c>
      <c r="P899" s="39" t="n">
        <f aca="false">C899-B899</f>
        <v>3</v>
      </c>
      <c r="Q899" s="40" t="str">
        <f aca="false">CHOOSE(MONTH(B899),"يناير","فبراير","مارس","أبريل","مايو","يونيو","يوليو","أغسطس","سبتمبر","أكتوبر","نوفمبر","ديسمبر")</f>
        <v>يونيو</v>
      </c>
      <c r="R899" s="40" t="str">
        <f aca="false">"الربع "&amp;ROUNDUP(MONTH(B899)/3,0)</f>
        <v>الربع 2</v>
      </c>
      <c r="S899" s="40" t="str">
        <f aca="false">IF(D899&lt;=12,"أطفال (0-12)",IF(D899&lt;=24,"شباب (13-24)",IF(D899&lt;=44,"بالغون (25-44)",IF(D899&lt;=64,"متوسطو العمر (45-64)","كبار السن (+65)"))))</f>
        <v>أطفال (0-12)</v>
      </c>
      <c r="T899" s="41" t="n">
        <f aca="false">IFERROR(L899/P899,0)</f>
        <v>773.633333333333</v>
      </c>
    </row>
    <row r="900" customFormat="false" ht="15" hidden="false" customHeight="false" outlineLevel="0" collapsed="false">
      <c r="A900" s="42" t="s">
        <v>595</v>
      </c>
      <c r="B900" s="43" t="n">
        <v>45450</v>
      </c>
      <c r="C900" s="43" t="n">
        <v>45453</v>
      </c>
      <c r="D900" s="42" t="n">
        <v>13</v>
      </c>
      <c r="E900" s="42" t="s">
        <v>154</v>
      </c>
      <c r="F900" s="42" t="s">
        <v>155</v>
      </c>
      <c r="G900" s="42" t="s">
        <v>220</v>
      </c>
      <c r="H900" s="42" t="s">
        <v>157</v>
      </c>
      <c r="I900" s="42" t="s">
        <v>152</v>
      </c>
      <c r="J900" s="42" t="s">
        <v>159</v>
      </c>
      <c r="K900" s="42" t="s">
        <v>145</v>
      </c>
      <c r="L900" s="44" t="n">
        <v>2907.77</v>
      </c>
      <c r="M900" s="42" t="n">
        <v>3</v>
      </c>
      <c r="N900" s="42" t="s">
        <v>146</v>
      </c>
      <c r="O900" s="42" t="s">
        <v>147</v>
      </c>
      <c r="P900" s="39" t="n">
        <f aca="false">C900-B900</f>
        <v>3</v>
      </c>
      <c r="Q900" s="40" t="str">
        <f aca="false">CHOOSE(MONTH(B900),"يناير","فبراير","مارس","أبريل","مايو","يونيو","يوليو","أغسطس","سبتمبر","أكتوبر","نوفمبر","ديسمبر")</f>
        <v>يونيو</v>
      </c>
      <c r="R900" s="40" t="str">
        <f aca="false">"الربع "&amp;ROUNDUP(MONTH(B900)/3,0)</f>
        <v>الربع 2</v>
      </c>
      <c r="S900" s="40" t="str">
        <f aca="false">IF(D900&lt;=12,"أطفال (0-12)",IF(D900&lt;=24,"شباب (13-24)",IF(D900&lt;=44,"بالغون (25-44)",IF(D900&lt;=64,"متوسطو العمر (45-64)","كبار السن (+65)"))))</f>
        <v>شباب (13-24)</v>
      </c>
      <c r="T900" s="41" t="n">
        <f aca="false">IFERROR(L900/P900,0)</f>
        <v>969.256666666667</v>
      </c>
    </row>
    <row r="901" customFormat="false" ht="15" hidden="false" customHeight="false" outlineLevel="0" collapsed="false">
      <c r="A901" s="33" t="s">
        <v>324</v>
      </c>
      <c r="B901" s="34" t="n">
        <v>45451</v>
      </c>
      <c r="C901" s="34" t="n">
        <v>45456</v>
      </c>
      <c r="D901" s="33" t="n">
        <v>62</v>
      </c>
      <c r="E901" s="33" t="s">
        <v>139</v>
      </c>
      <c r="F901" s="33" t="s">
        <v>140</v>
      </c>
      <c r="G901" s="33" t="s">
        <v>316</v>
      </c>
      <c r="H901" s="33" t="s">
        <v>142</v>
      </c>
      <c r="I901" s="33" t="s">
        <v>143</v>
      </c>
      <c r="J901" s="33" t="s">
        <v>176</v>
      </c>
      <c r="K901" s="33" t="s">
        <v>145</v>
      </c>
      <c r="L901" s="35" t="n">
        <v>41209.71</v>
      </c>
      <c r="M901" s="33" t="n">
        <v>3</v>
      </c>
      <c r="N901" s="33" t="s">
        <v>146</v>
      </c>
      <c r="O901" s="33" t="s">
        <v>147</v>
      </c>
      <c r="P901" s="39" t="n">
        <f aca="false">C901-B901</f>
        <v>5</v>
      </c>
      <c r="Q901" s="40" t="str">
        <f aca="false">CHOOSE(MONTH(B901),"يناير","فبراير","مارس","أبريل","مايو","يونيو","يوليو","أغسطس","سبتمبر","أكتوبر","نوفمبر","ديسمبر")</f>
        <v>يونيو</v>
      </c>
      <c r="R901" s="40" t="str">
        <f aca="false">"الربع "&amp;ROUNDUP(MONTH(B901)/3,0)</f>
        <v>الربع 2</v>
      </c>
      <c r="S901" s="40" t="str">
        <f aca="false">IF(D901&lt;=12,"أطفال (0-12)",IF(D901&lt;=24,"شباب (13-24)",IF(D901&lt;=44,"بالغون (25-44)",IF(D901&lt;=64,"متوسطو العمر (45-64)","كبار السن (+65)"))))</f>
        <v>متوسطو العمر (45-64)</v>
      </c>
      <c r="T901" s="41" t="n">
        <f aca="false">IFERROR(L901/P901,0)</f>
        <v>8241.942</v>
      </c>
    </row>
    <row r="902" customFormat="false" ht="15" hidden="false" customHeight="false" outlineLevel="0" collapsed="false">
      <c r="A902" s="42" t="s">
        <v>982</v>
      </c>
      <c r="B902" s="43" t="n">
        <v>45451</v>
      </c>
      <c r="C902" s="43" t="n">
        <v>45452</v>
      </c>
      <c r="D902" s="42" t="n">
        <v>64</v>
      </c>
      <c r="E902" s="42" t="s">
        <v>154</v>
      </c>
      <c r="F902" s="42" t="s">
        <v>203</v>
      </c>
      <c r="G902" s="42" t="s">
        <v>241</v>
      </c>
      <c r="H902" s="42" t="s">
        <v>233</v>
      </c>
      <c r="I902" s="42" t="s">
        <v>143</v>
      </c>
      <c r="J902" s="42" t="s">
        <v>159</v>
      </c>
      <c r="K902" s="42" t="s">
        <v>145</v>
      </c>
      <c r="L902" s="44" t="n">
        <v>693.12</v>
      </c>
      <c r="M902" s="42" t="n">
        <v>2</v>
      </c>
      <c r="N902" s="42" t="s">
        <v>146</v>
      </c>
      <c r="O902" s="42" t="s">
        <v>147</v>
      </c>
      <c r="P902" s="39" t="n">
        <f aca="false">C902-B902</f>
        <v>1</v>
      </c>
      <c r="Q902" s="40" t="str">
        <f aca="false">CHOOSE(MONTH(B902),"يناير","فبراير","مارس","أبريل","مايو","يونيو","يوليو","أغسطس","سبتمبر","أكتوبر","نوفمبر","ديسمبر")</f>
        <v>يونيو</v>
      </c>
      <c r="R902" s="40" t="str">
        <f aca="false">"الربع "&amp;ROUNDUP(MONTH(B902)/3,0)</f>
        <v>الربع 2</v>
      </c>
      <c r="S902" s="40" t="str">
        <f aca="false">IF(D902&lt;=12,"أطفال (0-12)",IF(D902&lt;=24,"شباب (13-24)",IF(D902&lt;=44,"بالغون (25-44)",IF(D902&lt;=64,"متوسطو العمر (45-64)","كبار السن (+65)"))))</f>
        <v>متوسطو العمر (45-64)</v>
      </c>
      <c r="T902" s="41" t="n">
        <f aca="false">IFERROR(L902/P902,0)</f>
        <v>693.12</v>
      </c>
    </row>
    <row r="903" customFormat="false" ht="15" hidden="false" customHeight="false" outlineLevel="0" collapsed="false">
      <c r="A903" s="33" t="s">
        <v>1173</v>
      </c>
      <c r="B903" s="34" t="n">
        <v>45451</v>
      </c>
      <c r="C903" s="34" t="n">
        <v>45452</v>
      </c>
      <c r="D903" s="33" t="n">
        <v>8</v>
      </c>
      <c r="E903" s="33" t="s">
        <v>154</v>
      </c>
      <c r="F903" s="33" t="s">
        <v>155</v>
      </c>
      <c r="G903" s="33" t="s">
        <v>156</v>
      </c>
      <c r="H903" s="33" t="s">
        <v>157</v>
      </c>
      <c r="I903" s="33" t="s">
        <v>158</v>
      </c>
      <c r="J903" s="33" t="s">
        <v>144</v>
      </c>
      <c r="K903" s="33" t="s">
        <v>145</v>
      </c>
      <c r="L903" s="35" t="n">
        <v>1264.33</v>
      </c>
      <c r="M903" s="33" t="n">
        <v>4</v>
      </c>
      <c r="N903" s="33" t="s">
        <v>146</v>
      </c>
      <c r="O903" s="33" t="s">
        <v>147</v>
      </c>
      <c r="P903" s="39" t="n">
        <f aca="false">C903-B903</f>
        <v>1</v>
      </c>
      <c r="Q903" s="40" t="str">
        <f aca="false">CHOOSE(MONTH(B903),"يناير","فبراير","مارس","أبريل","مايو","يونيو","يوليو","أغسطس","سبتمبر","أكتوبر","نوفمبر","ديسمبر")</f>
        <v>يونيو</v>
      </c>
      <c r="R903" s="40" t="str">
        <f aca="false">"الربع "&amp;ROUNDUP(MONTH(B903)/3,0)</f>
        <v>الربع 2</v>
      </c>
      <c r="S903" s="40" t="str">
        <f aca="false">IF(D903&lt;=12,"أطفال (0-12)",IF(D903&lt;=24,"شباب (13-24)",IF(D903&lt;=44,"بالغون (25-44)",IF(D903&lt;=64,"متوسطو العمر (45-64)","كبار السن (+65)"))))</f>
        <v>أطفال (0-12)</v>
      </c>
      <c r="T903" s="41" t="n">
        <f aca="false">IFERROR(L903/P903,0)</f>
        <v>1264.33</v>
      </c>
    </row>
    <row r="904" customFormat="false" ht="15" hidden="false" customHeight="false" outlineLevel="0" collapsed="false">
      <c r="A904" s="42" t="s">
        <v>508</v>
      </c>
      <c r="B904" s="43" t="n">
        <v>45451</v>
      </c>
      <c r="C904" s="43" t="n">
        <v>45454</v>
      </c>
      <c r="D904" s="42" t="n">
        <v>6</v>
      </c>
      <c r="E904" s="42" t="s">
        <v>154</v>
      </c>
      <c r="F904" s="42" t="s">
        <v>155</v>
      </c>
      <c r="G904" s="42" t="s">
        <v>156</v>
      </c>
      <c r="H904" s="42" t="s">
        <v>222</v>
      </c>
      <c r="I904" s="42" t="s">
        <v>143</v>
      </c>
      <c r="J904" s="42" t="s">
        <v>159</v>
      </c>
      <c r="K904" s="42" t="s">
        <v>145</v>
      </c>
      <c r="L904" s="44" t="n">
        <v>2544.84</v>
      </c>
      <c r="M904" s="42" t="n">
        <v>5</v>
      </c>
      <c r="N904" s="42" t="s">
        <v>210</v>
      </c>
      <c r="O904" s="42" t="s">
        <v>147</v>
      </c>
      <c r="P904" s="39" t="n">
        <f aca="false">C904-B904</f>
        <v>3</v>
      </c>
      <c r="Q904" s="40" t="str">
        <f aca="false">CHOOSE(MONTH(B904),"يناير","فبراير","مارس","أبريل","مايو","يونيو","يوليو","أغسطس","سبتمبر","أكتوبر","نوفمبر","ديسمبر")</f>
        <v>يونيو</v>
      </c>
      <c r="R904" s="40" t="str">
        <f aca="false">"الربع "&amp;ROUNDUP(MONTH(B904)/3,0)</f>
        <v>الربع 2</v>
      </c>
      <c r="S904" s="40" t="str">
        <f aca="false">IF(D904&lt;=12,"أطفال (0-12)",IF(D904&lt;=24,"شباب (13-24)",IF(D904&lt;=44,"بالغون (25-44)",IF(D904&lt;=64,"متوسطو العمر (45-64)","كبار السن (+65)"))))</f>
        <v>أطفال (0-12)</v>
      </c>
      <c r="T904" s="41" t="n">
        <f aca="false">IFERROR(L904/P904,0)</f>
        <v>848.28</v>
      </c>
    </row>
    <row r="905" customFormat="false" ht="15" hidden="false" customHeight="false" outlineLevel="0" collapsed="false">
      <c r="A905" s="33" t="s">
        <v>1821</v>
      </c>
      <c r="B905" s="34" t="n">
        <v>45451</v>
      </c>
      <c r="C905" s="34" t="n">
        <v>45454</v>
      </c>
      <c r="D905" s="33" t="n">
        <v>38</v>
      </c>
      <c r="E905" s="33" t="s">
        <v>154</v>
      </c>
      <c r="F905" s="33" t="s">
        <v>140</v>
      </c>
      <c r="G905" s="33" t="s">
        <v>167</v>
      </c>
      <c r="H905" s="33" t="s">
        <v>142</v>
      </c>
      <c r="I905" s="33" t="s">
        <v>152</v>
      </c>
      <c r="J905" s="33" t="s">
        <v>159</v>
      </c>
      <c r="K905" s="33" t="s">
        <v>160</v>
      </c>
      <c r="L905" s="35" t="n">
        <v>7077.58</v>
      </c>
      <c r="M905" s="33" t="n">
        <v>5</v>
      </c>
      <c r="N905" s="33" t="s">
        <v>146</v>
      </c>
      <c r="O905" s="33" t="s">
        <v>147</v>
      </c>
      <c r="P905" s="39" t="n">
        <f aca="false">C905-B905</f>
        <v>3</v>
      </c>
      <c r="Q905" s="40" t="str">
        <f aca="false">CHOOSE(MONTH(B905),"يناير","فبراير","مارس","أبريل","مايو","يونيو","يوليو","أغسطس","سبتمبر","أكتوبر","نوفمبر","ديسمبر")</f>
        <v>يونيو</v>
      </c>
      <c r="R905" s="40" t="str">
        <f aca="false">"الربع "&amp;ROUNDUP(MONTH(B905)/3,0)</f>
        <v>الربع 2</v>
      </c>
      <c r="S905" s="40" t="str">
        <f aca="false">IF(D905&lt;=12,"أطفال (0-12)",IF(D905&lt;=24,"شباب (13-24)",IF(D905&lt;=44,"بالغون (25-44)",IF(D905&lt;=64,"متوسطو العمر (45-64)","كبار السن (+65)"))))</f>
        <v>بالغون (25-44)</v>
      </c>
      <c r="T905" s="41" t="n">
        <f aca="false">IFERROR(L905/P905,0)</f>
        <v>2359.19333333333</v>
      </c>
    </row>
    <row r="906" customFormat="false" ht="15" hidden="false" customHeight="false" outlineLevel="0" collapsed="false">
      <c r="A906" s="42" t="s">
        <v>455</v>
      </c>
      <c r="B906" s="43" t="n">
        <v>45451</v>
      </c>
      <c r="C906" s="43" t="n">
        <v>45454</v>
      </c>
      <c r="D906" s="42" t="n">
        <v>0</v>
      </c>
      <c r="E906" s="42" t="s">
        <v>154</v>
      </c>
      <c r="F906" s="42" t="s">
        <v>155</v>
      </c>
      <c r="G906" s="42" t="s">
        <v>302</v>
      </c>
      <c r="H906" s="42" t="s">
        <v>157</v>
      </c>
      <c r="I906" s="42" t="s">
        <v>152</v>
      </c>
      <c r="J906" s="42" t="s">
        <v>159</v>
      </c>
      <c r="K906" s="42" t="s">
        <v>209</v>
      </c>
      <c r="L906" s="44" t="n">
        <v>2466.14</v>
      </c>
      <c r="M906" s="42" t="n">
        <v>2</v>
      </c>
      <c r="N906" s="42" t="s">
        <v>146</v>
      </c>
      <c r="O906" s="42" t="s">
        <v>147</v>
      </c>
      <c r="P906" s="39" t="n">
        <f aca="false">C906-B906</f>
        <v>3</v>
      </c>
      <c r="Q906" s="40" t="str">
        <f aca="false">CHOOSE(MONTH(B906),"يناير","فبراير","مارس","أبريل","مايو","يونيو","يوليو","أغسطس","سبتمبر","أكتوبر","نوفمبر","ديسمبر")</f>
        <v>يونيو</v>
      </c>
      <c r="R906" s="40" t="str">
        <f aca="false">"الربع "&amp;ROUNDUP(MONTH(B906)/3,0)</f>
        <v>الربع 2</v>
      </c>
      <c r="S906" s="40" t="str">
        <f aca="false">IF(D906&lt;=12,"أطفال (0-12)",IF(D906&lt;=24,"شباب (13-24)",IF(D906&lt;=44,"بالغون (25-44)",IF(D906&lt;=64,"متوسطو العمر (45-64)","كبار السن (+65)"))))</f>
        <v>أطفال (0-12)</v>
      </c>
      <c r="T906" s="41" t="n">
        <f aca="false">IFERROR(L906/P906,0)</f>
        <v>822.046666666667</v>
      </c>
    </row>
    <row r="907" customFormat="false" ht="15" hidden="false" customHeight="false" outlineLevel="0" collapsed="false">
      <c r="A907" s="33" t="s">
        <v>1044</v>
      </c>
      <c r="B907" s="34" t="n">
        <v>45452</v>
      </c>
      <c r="C907" s="34" t="n">
        <v>45455</v>
      </c>
      <c r="D907" s="33" t="n">
        <v>31</v>
      </c>
      <c r="E907" s="33" t="s">
        <v>154</v>
      </c>
      <c r="F907" s="33" t="s">
        <v>140</v>
      </c>
      <c r="G907" s="33" t="s">
        <v>316</v>
      </c>
      <c r="H907" s="33" t="s">
        <v>290</v>
      </c>
      <c r="I907" s="33" t="s">
        <v>143</v>
      </c>
      <c r="J907" s="33" t="s">
        <v>144</v>
      </c>
      <c r="K907" s="33" t="s">
        <v>160</v>
      </c>
      <c r="L907" s="35" t="n">
        <v>11855.15</v>
      </c>
      <c r="M907" s="33" t="n">
        <v>4</v>
      </c>
      <c r="N907" s="33" t="s">
        <v>146</v>
      </c>
      <c r="O907" s="33" t="s">
        <v>147</v>
      </c>
      <c r="P907" s="39" t="n">
        <f aca="false">C907-B907</f>
        <v>3</v>
      </c>
      <c r="Q907" s="40" t="str">
        <f aca="false">CHOOSE(MONTH(B907),"يناير","فبراير","مارس","أبريل","مايو","يونيو","يوليو","أغسطس","سبتمبر","أكتوبر","نوفمبر","ديسمبر")</f>
        <v>يونيو</v>
      </c>
      <c r="R907" s="40" t="str">
        <f aca="false">"الربع "&amp;ROUNDUP(MONTH(B907)/3,0)</f>
        <v>الربع 2</v>
      </c>
      <c r="S907" s="40" t="str">
        <f aca="false">IF(D907&lt;=12,"أطفال (0-12)",IF(D907&lt;=24,"شباب (13-24)",IF(D907&lt;=44,"بالغون (25-44)",IF(D907&lt;=64,"متوسطو العمر (45-64)","كبار السن (+65)"))))</f>
        <v>بالغون (25-44)</v>
      </c>
      <c r="T907" s="41" t="n">
        <f aca="false">IFERROR(L907/P907,0)</f>
        <v>3951.71666666667</v>
      </c>
    </row>
    <row r="908" customFormat="false" ht="15" hidden="false" customHeight="false" outlineLevel="0" collapsed="false">
      <c r="A908" s="42" t="s">
        <v>751</v>
      </c>
      <c r="B908" s="43" t="n">
        <v>45452</v>
      </c>
      <c r="C908" s="43" t="n">
        <v>45456</v>
      </c>
      <c r="D908" s="42" t="n">
        <v>77</v>
      </c>
      <c r="E908" s="42" t="s">
        <v>154</v>
      </c>
      <c r="F908" s="42" t="s">
        <v>140</v>
      </c>
      <c r="G908" s="42" t="s">
        <v>141</v>
      </c>
      <c r="H908" s="42" t="s">
        <v>142</v>
      </c>
      <c r="I908" s="42" t="s">
        <v>152</v>
      </c>
      <c r="J908" s="42" t="s">
        <v>159</v>
      </c>
      <c r="K908" s="42" t="s">
        <v>145</v>
      </c>
      <c r="L908" s="44" t="n">
        <v>8637.71</v>
      </c>
      <c r="M908" s="42" t="n">
        <v>4</v>
      </c>
      <c r="N908" s="42" t="s">
        <v>146</v>
      </c>
      <c r="O908" s="42" t="s">
        <v>147</v>
      </c>
      <c r="P908" s="39" t="n">
        <f aca="false">C908-B908</f>
        <v>4</v>
      </c>
      <c r="Q908" s="40" t="str">
        <f aca="false">CHOOSE(MONTH(B908),"يناير","فبراير","مارس","أبريل","مايو","يونيو","يوليو","أغسطس","سبتمبر","أكتوبر","نوفمبر","ديسمبر")</f>
        <v>يونيو</v>
      </c>
      <c r="R908" s="40" t="str">
        <f aca="false">"الربع "&amp;ROUNDUP(MONTH(B908)/3,0)</f>
        <v>الربع 2</v>
      </c>
      <c r="S908" s="40" t="str">
        <f aca="false">IF(D908&lt;=12,"أطفال (0-12)",IF(D908&lt;=24,"شباب (13-24)",IF(D908&lt;=44,"بالغون (25-44)",IF(D908&lt;=64,"متوسطو العمر (45-64)","كبار السن (+65)"))))</f>
        <v>كبار السن (+65)</v>
      </c>
      <c r="T908" s="41" t="n">
        <f aca="false">IFERROR(L908/P908,0)</f>
        <v>2159.4275</v>
      </c>
    </row>
    <row r="909" customFormat="false" ht="15" hidden="false" customHeight="false" outlineLevel="0" collapsed="false">
      <c r="A909" s="33" t="s">
        <v>1707</v>
      </c>
      <c r="B909" s="34" t="n">
        <v>45452</v>
      </c>
      <c r="C909" s="34" t="n">
        <v>45456</v>
      </c>
      <c r="D909" s="33" t="n">
        <v>36</v>
      </c>
      <c r="E909" s="33" t="s">
        <v>139</v>
      </c>
      <c r="F909" s="33" t="s">
        <v>149</v>
      </c>
      <c r="G909" s="33" t="s">
        <v>243</v>
      </c>
      <c r="H909" s="33" t="s">
        <v>151</v>
      </c>
      <c r="I909" s="33" t="s">
        <v>143</v>
      </c>
      <c r="J909" s="33" t="s">
        <v>159</v>
      </c>
      <c r="K909" s="33" t="s">
        <v>145</v>
      </c>
      <c r="L909" s="35" t="n">
        <v>6316.45</v>
      </c>
      <c r="M909" s="33" t="n">
        <v>4</v>
      </c>
      <c r="N909" s="33" t="s">
        <v>146</v>
      </c>
      <c r="O909" s="33" t="s">
        <v>147</v>
      </c>
      <c r="P909" s="39" t="n">
        <f aca="false">C909-B909</f>
        <v>4</v>
      </c>
      <c r="Q909" s="40" t="str">
        <f aca="false">CHOOSE(MONTH(B909),"يناير","فبراير","مارس","أبريل","مايو","يونيو","يوليو","أغسطس","سبتمبر","أكتوبر","نوفمبر","ديسمبر")</f>
        <v>يونيو</v>
      </c>
      <c r="R909" s="40" t="str">
        <f aca="false">"الربع "&amp;ROUNDUP(MONTH(B909)/3,0)</f>
        <v>الربع 2</v>
      </c>
      <c r="S909" s="40" t="str">
        <f aca="false">IF(D909&lt;=12,"أطفال (0-12)",IF(D909&lt;=24,"شباب (13-24)",IF(D909&lt;=44,"بالغون (25-44)",IF(D909&lt;=64,"متوسطو العمر (45-64)","كبار السن (+65)"))))</f>
        <v>بالغون (25-44)</v>
      </c>
      <c r="T909" s="41" t="n">
        <f aca="false">IFERROR(L909/P909,0)</f>
        <v>1579.1125</v>
      </c>
    </row>
    <row r="910" customFormat="false" ht="15" hidden="false" customHeight="false" outlineLevel="0" collapsed="false">
      <c r="A910" s="42" t="s">
        <v>1610</v>
      </c>
      <c r="B910" s="43" t="n">
        <v>45452</v>
      </c>
      <c r="C910" s="43" t="n">
        <v>45454</v>
      </c>
      <c r="D910" s="42" t="n">
        <v>4</v>
      </c>
      <c r="E910" s="42" t="s">
        <v>154</v>
      </c>
      <c r="F910" s="42" t="s">
        <v>155</v>
      </c>
      <c r="G910" s="42" t="s">
        <v>156</v>
      </c>
      <c r="H910" s="42" t="s">
        <v>157</v>
      </c>
      <c r="I910" s="42" t="s">
        <v>143</v>
      </c>
      <c r="J910" s="42" t="s">
        <v>144</v>
      </c>
      <c r="K910" s="42" t="s">
        <v>160</v>
      </c>
      <c r="L910" s="44" t="n">
        <v>2446.18</v>
      </c>
      <c r="M910" s="42" t="n">
        <v>5</v>
      </c>
      <c r="N910" s="42" t="s">
        <v>146</v>
      </c>
      <c r="O910" s="42" t="s">
        <v>147</v>
      </c>
      <c r="P910" s="39" t="n">
        <f aca="false">C910-B910</f>
        <v>2</v>
      </c>
      <c r="Q910" s="40" t="str">
        <f aca="false">CHOOSE(MONTH(B910),"يناير","فبراير","مارس","أبريل","مايو","يونيو","يوليو","أغسطس","سبتمبر","أكتوبر","نوفمبر","ديسمبر")</f>
        <v>يونيو</v>
      </c>
      <c r="R910" s="40" t="str">
        <f aca="false">"الربع "&amp;ROUNDUP(MONTH(B910)/3,0)</f>
        <v>الربع 2</v>
      </c>
      <c r="S910" s="40" t="str">
        <f aca="false">IF(D910&lt;=12,"أطفال (0-12)",IF(D910&lt;=24,"شباب (13-24)",IF(D910&lt;=44,"بالغون (25-44)",IF(D910&lt;=64,"متوسطو العمر (45-64)","كبار السن (+65)"))))</f>
        <v>أطفال (0-12)</v>
      </c>
      <c r="T910" s="41" t="n">
        <f aca="false">IFERROR(L910/P910,0)</f>
        <v>1223.09</v>
      </c>
    </row>
    <row r="911" customFormat="false" ht="15" hidden="false" customHeight="false" outlineLevel="0" collapsed="false">
      <c r="A911" s="33" t="s">
        <v>196</v>
      </c>
      <c r="B911" s="34" t="n">
        <v>45452</v>
      </c>
      <c r="C911" s="34" t="n">
        <v>45454</v>
      </c>
      <c r="D911" s="33" t="n">
        <v>67</v>
      </c>
      <c r="E911" s="33" t="s">
        <v>139</v>
      </c>
      <c r="F911" s="33" t="s">
        <v>181</v>
      </c>
      <c r="G911" s="33" t="s">
        <v>182</v>
      </c>
      <c r="H911" s="33" t="s">
        <v>183</v>
      </c>
      <c r="I911" s="33" t="s">
        <v>158</v>
      </c>
      <c r="J911" s="33" t="s">
        <v>159</v>
      </c>
      <c r="K911" s="33" t="s">
        <v>145</v>
      </c>
      <c r="L911" s="35" t="n">
        <v>4462.32</v>
      </c>
      <c r="M911" s="33" t="n">
        <v>3</v>
      </c>
      <c r="N911" s="33" t="s">
        <v>146</v>
      </c>
      <c r="O911" s="33" t="s">
        <v>147</v>
      </c>
      <c r="P911" s="39" t="n">
        <f aca="false">C911-B911</f>
        <v>2</v>
      </c>
      <c r="Q911" s="40" t="str">
        <f aca="false">CHOOSE(MONTH(B911),"يناير","فبراير","مارس","أبريل","مايو","يونيو","يوليو","أغسطس","سبتمبر","أكتوبر","نوفمبر","ديسمبر")</f>
        <v>يونيو</v>
      </c>
      <c r="R911" s="40" t="str">
        <f aca="false">"الربع "&amp;ROUNDUP(MONTH(B911)/3,0)</f>
        <v>الربع 2</v>
      </c>
      <c r="S911" s="40" t="str">
        <f aca="false">IF(D911&lt;=12,"أطفال (0-12)",IF(D911&lt;=24,"شباب (13-24)",IF(D911&lt;=44,"بالغون (25-44)",IF(D911&lt;=64,"متوسطو العمر (45-64)","كبار السن (+65)"))))</f>
        <v>كبار السن (+65)</v>
      </c>
      <c r="T911" s="41" t="n">
        <f aca="false">IFERROR(L911/P911,0)</f>
        <v>2231.16</v>
      </c>
    </row>
    <row r="912" customFormat="false" ht="15" hidden="false" customHeight="false" outlineLevel="0" collapsed="false">
      <c r="A912" s="42" t="s">
        <v>711</v>
      </c>
      <c r="B912" s="43" t="n">
        <v>45452</v>
      </c>
      <c r="C912" s="43" t="n">
        <v>45453</v>
      </c>
      <c r="D912" s="42" t="n">
        <v>30</v>
      </c>
      <c r="E912" s="42" t="s">
        <v>139</v>
      </c>
      <c r="F912" s="42" t="s">
        <v>203</v>
      </c>
      <c r="G912" s="42" t="s">
        <v>192</v>
      </c>
      <c r="H912" s="42" t="s">
        <v>233</v>
      </c>
      <c r="I912" s="42" t="s">
        <v>143</v>
      </c>
      <c r="J912" s="42" t="s">
        <v>176</v>
      </c>
      <c r="K912" s="42" t="s">
        <v>145</v>
      </c>
      <c r="L912" s="44" t="n">
        <v>2776.97</v>
      </c>
      <c r="M912" s="42" t="n">
        <v>3</v>
      </c>
      <c r="N912" s="42" t="s">
        <v>146</v>
      </c>
      <c r="O912" s="42" t="s">
        <v>147</v>
      </c>
      <c r="P912" s="39" t="n">
        <f aca="false">C912-B912</f>
        <v>1</v>
      </c>
      <c r="Q912" s="40" t="str">
        <f aca="false">CHOOSE(MONTH(B912),"يناير","فبراير","مارس","أبريل","مايو","يونيو","يوليو","أغسطس","سبتمبر","أكتوبر","نوفمبر","ديسمبر")</f>
        <v>يونيو</v>
      </c>
      <c r="R912" s="40" t="str">
        <f aca="false">"الربع "&amp;ROUNDUP(MONTH(B912)/3,0)</f>
        <v>الربع 2</v>
      </c>
      <c r="S912" s="40" t="str">
        <f aca="false">IF(D912&lt;=12,"أطفال (0-12)",IF(D912&lt;=24,"شباب (13-24)",IF(D912&lt;=44,"بالغون (25-44)",IF(D912&lt;=64,"متوسطو العمر (45-64)","كبار السن (+65)"))))</f>
        <v>بالغون (25-44)</v>
      </c>
      <c r="T912" s="41" t="n">
        <f aca="false">IFERROR(L912/P912,0)</f>
        <v>2776.97</v>
      </c>
    </row>
    <row r="913" customFormat="false" ht="15" hidden="false" customHeight="false" outlineLevel="0" collapsed="false">
      <c r="A913" s="33" t="s">
        <v>2294</v>
      </c>
      <c r="B913" s="34" t="n">
        <v>45453</v>
      </c>
      <c r="C913" s="34" t="n">
        <v>45455</v>
      </c>
      <c r="D913" s="33" t="n">
        <v>68</v>
      </c>
      <c r="E913" s="33" t="s">
        <v>139</v>
      </c>
      <c r="F913" s="33" t="s">
        <v>226</v>
      </c>
      <c r="G913" s="33" t="s">
        <v>386</v>
      </c>
      <c r="H913" s="33" t="s">
        <v>228</v>
      </c>
      <c r="I913" s="33" t="s">
        <v>143</v>
      </c>
      <c r="J913" s="33" t="s">
        <v>144</v>
      </c>
      <c r="K913" s="33" t="s">
        <v>160</v>
      </c>
      <c r="L913" s="35" t="n">
        <v>10464.57</v>
      </c>
      <c r="M913" s="33" t="n">
        <v>3</v>
      </c>
      <c r="N913" s="33" t="s">
        <v>146</v>
      </c>
      <c r="O913" s="33" t="s">
        <v>147</v>
      </c>
      <c r="P913" s="39" t="n">
        <f aca="false">C913-B913</f>
        <v>2</v>
      </c>
      <c r="Q913" s="40" t="str">
        <f aca="false">CHOOSE(MONTH(B913),"يناير","فبراير","مارس","أبريل","مايو","يونيو","يوليو","أغسطس","سبتمبر","أكتوبر","نوفمبر","ديسمبر")</f>
        <v>يونيو</v>
      </c>
      <c r="R913" s="40" t="str">
        <f aca="false">"الربع "&amp;ROUNDUP(MONTH(B913)/3,0)</f>
        <v>الربع 2</v>
      </c>
      <c r="S913" s="40" t="str">
        <f aca="false">IF(D913&lt;=12,"أطفال (0-12)",IF(D913&lt;=24,"شباب (13-24)",IF(D913&lt;=44,"بالغون (25-44)",IF(D913&lt;=64,"متوسطو العمر (45-64)","كبار السن (+65)"))))</f>
        <v>كبار السن (+65)</v>
      </c>
      <c r="T913" s="41" t="n">
        <f aca="false">IFERROR(L913/P913,0)</f>
        <v>5232.285</v>
      </c>
    </row>
    <row r="914" customFormat="false" ht="15" hidden="false" customHeight="false" outlineLevel="0" collapsed="false">
      <c r="A914" s="42" t="s">
        <v>225</v>
      </c>
      <c r="B914" s="43" t="n">
        <v>45453</v>
      </c>
      <c r="C914" s="43" t="n">
        <v>45458</v>
      </c>
      <c r="D914" s="42" t="n">
        <v>70</v>
      </c>
      <c r="E914" s="42" t="s">
        <v>154</v>
      </c>
      <c r="F914" s="42" t="s">
        <v>226</v>
      </c>
      <c r="G914" s="42" t="s">
        <v>227</v>
      </c>
      <c r="H914" s="42" t="s">
        <v>228</v>
      </c>
      <c r="I914" s="42" t="s">
        <v>143</v>
      </c>
      <c r="J914" s="42" t="s">
        <v>144</v>
      </c>
      <c r="K914" s="42" t="s">
        <v>145</v>
      </c>
      <c r="L914" s="44" t="n">
        <v>26155.83</v>
      </c>
      <c r="M914" s="42" t="n">
        <v>4</v>
      </c>
      <c r="N914" s="42" t="s">
        <v>146</v>
      </c>
      <c r="O914" s="42" t="s">
        <v>147</v>
      </c>
      <c r="P914" s="39" t="n">
        <f aca="false">C914-B914</f>
        <v>5</v>
      </c>
      <c r="Q914" s="40" t="str">
        <f aca="false">CHOOSE(MONTH(B914),"يناير","فبراير","مارس","أبريل","مايو","يونيو","يوليو","أغسطس","سبتمبر","أكتوبر","نوفمبر","ديسمبر")</f>
        <v>يونيو</v>
      </c>
      <c r="R914" s="40" t="str">
        <f aca="false">"الربع "&amp;ROUNDUP(MONTH(B914)/3,0)</f>
        <v>الربع 2</v>
      </c>
      <c r="S914" s="40" t="str">
        <f aca="false">IF(D914&lt;=12,"أطفال (0-12)",IF(D914&lt;=24,"شباب (13-24)",IF(D914&lt;=44,"بالغون (25-44)",IF(D914&lt;=64,"متوسطو العمر (45-64)","كبار السن (+65)"))))</f>
        <v>كبار السن (+65)</v>
      </c>
      <c r="T914" s="41" t="n">
        <f aca="false">IFERROR(L914/P914,0)</f>
        <v>5231.166</v>
      </c>
    </row>
    <row r="915" customFormat="false" ht="15" hidden="false" customHeight="false" outlineLevel="0" collapsed="false">
      <c r="A915" s="33" t="s">
        <v>1462</v>
      </c>
      <c r="B915" s="34" t="n">
        <v>45453</v>
      </c>
      <c r="C915" s="34" t="n">
        <v>45458</v>
      </c>
      <c r="D915" s="33" t="n">
        <v>92</v>
      </c>
      <c r="E915" s="33" t="s">
        <v>139</v>
      </c>
      <c r="F915" s="33" t="s">
        <v>169</v>
      </c>
      <c r="G915" s="33" t="s">
        <v>230</v>
      </c>
      <c r="H915" s="33" t="s">
        <v>195</v>
      </c>
      <c r="I915" s="33" t="s">
        <v>143</v>
      </c>
      <c r="J915" s="33" t="s">
        <v>159</v>
      </c>
      <c r="K915" s="33" t="s">
        <v>145</v>
      </c>
      <c r="L915" s="35" t="n">
        <v>4500.62</v>
      </c>
      <c r="M915" s="33" t="n">
        <v>4</v>
      </c>
      <c r="N915" s="33" t="s">
        <v>146</v>
      </c>
      <c r="O915" s="33" t="s">
        <v>147</v>
      </c>
      <c r="P915" s="39" t="n">
        <f aca="false">C915-B915</f>
        <v>5</v>
      </c>
      <c r="Q915" s="40" t="str">
        <f aca="false">CHOOSE(MONTH(B915),"يناير","فبراير","مارس","أبريل","مايو","يونيو","يوليو","أغسطس","سبتمبر","أكتوبر","نوفمبر","ديسمبر")</f>
        <v>يونيو</v>
      </c>
      <c r="R915" s="40" t="str">
        <f aca="false">"الربع "&amp;ROUNDUP(MONTH(B915)/3,0)</f>
        <v>الربع 2</v>
      </c>
      <c r="S915" s="40" t="str">
        <f aca="false">IF(D915&lt;=12,"أطفال (0-12)",IF(D915&lt;=24,"شباب (13-24)",IF(D915&lt;=44,"بالغون (25-44)",IF(D915&lt;=64,"متوسطو العمر (45-64)","كبار السن (+65)"))))</f>
        <v>كبار السن (+65)</v>
      </c>
      <c r="T915" s="41" t="n">
        <f aca="false">IFERROR(L915/P915,0)</f>
        <v>900.124</v>
      </c>
    </row>
    <row r="916" customFormat="false" ht="15" hidden="false" customHeight="false" outlineLevel="0" collapsed="false">
      <c r="A916" s="42" t="s">
        <v>1599</v>
      </c>
      <c r="B916" s="43" t="n">
        <v>45453</v>
      </c>
      <c r="C916" s="43" t="n">
        <v>45454</v>
      </c>
      <c r="D916" s="42" t="n">
        <v>30</v>
      </c>
      <c r="E916" s="42" t="s">
        <v>139</v>
      </c>
      <c r="F916" s="42" t="s">
        <v>203</v>
      </c>
      <c r="G916" s="42" t="s">
        <v>241</v>
      </c>
      <c r="H916" s="42" t="s">
        <v>233</v>
      </c>
      <c r="I916" s="42" t="s">
        <v>143</v>
      </c>
      <c r="J916" s="42" t="s">
        <v>159</v>
      </c>
      <c r="K916" s="42" t="s">
        <v>160</v>
      </c>
      <c r="L916" s="44" t="n">
        <v>926.88</v>
      </c>
      <c r="M916" s="42" t="n">
        <v>3</v>
      </c>
      <c r="N916" s="42" t="s">
        <v>146</v>
      </c>
      <c r="O916" s="42" t="s">
        <v>147</v>
      </c>
      <c r="P916" s="39" t="n">
        <f aca="false">C916-B916</f>
        <v>1</v>
      </c>
      <c r="Q916" s="40" t="str">
        <f aca="false">CHOOSE(MONTH(B916),"يناير","فبراير","مارس","أبريل","مايو","يونيو","يوليو","أغسطس","سبتمبر","أكتوبر","نوفمبر","ديسمبر")</f>
        <v>يونيو</v>
      </c>
      <c r="R916" s="40" t="str">
        <f aca="false">"الربع "&amp;ROUNDUP(MONTH(B916)/3,0)</f>
        <v>الربع 2</v>
      </c>
      <c r="S916" s="40" t="str">
        <f aca="false">IF(D916&lt;=12,"أطفال (0-12)",IF(D916&lt;=24,"شباب (13-24)",IF(D916&lt;=44,"بالغون (25-44)",IF(D916&lt;=64,"متوسطو العمر (45-64)","كبار السن (+65)"))))</f>
        <v>بالغون (25-44)</v>
      </c>
      <c r="T916" s="41" t="n">
        <f aca="false">IFERROR(L916/P916,0)</f>
        <v>926.88</v>
      </c>
    </row>
    <row r="917" customFormat="false" ht="15" hidden="false" customHeight="false" outlineLevel="0" collapsed="false">
      <c r="A917" s="33" t="s">
        <v>1614</v>
      </c>
      <c r="B917" s="34" t="n">
        <v>45454</v>
      </c>
      <c r="C917" s="34" t="n">
        <v>45456</v>
      </c>
      <c r="D917" s="33" t="n">
        <v>32</v>
      </c>
      <c r="E917" s="33" t="s">
        <v>154</v>
      </c>
      <c r="F917" s="33" t="s">
        <v>169</v>
      </c>
      <c r="G917" s="33" t="s">
        <v>230</v>
      </c>
      <c r="H917" s="33" t="s">
        <v>195</v>
      </c>
      <c r="I917" s="33" t="s">
        <v>143</v>
      </c>
      <c r="J917" s="33" t="s">
        <v>159</v>
      </c>
      <c r="K917" s="33" t="s">
        <v>145</v>
      </c>
      <c r="L917" s="35" t="n">
        <v>2265.26</v>
      </c>
      <c r="M917" s="33" t="n">
        <v>4</v>
      </c>
      <c r="N917" s="33" t="s">
        <v>146</v>
      </c>
      <c r="O917" s="33" t="s">
        <v>147</v>
      </c>
      <c r="P917" s="39" t="n">
        <f aca="false">C917-B917</f>
        <v>2</v>
      </c>
      <c r="Q917" s="40" t="str">
        <f aca="false">CHOOSE(MONTH(B917),"يناير","فبراير","مارس","أبريل","مايو","يونيو","يوليو","أغسطس","سبتمبر","أكتوبر","نوفمبر","ديسمبر")</f>
        <v>يونيو</v>
      </c>
      <c r="R917" s="40" t="str">
        <f aca="false">"الربع "&amp;ROUNDUP(MONTH(B917)/3,0)</f>
        <v>الربع 2</v>
      </c>
      <c r="S917" s="40" t="str">
        <f aca="false">IF(D917&lt;=12,"أطفال (0-12)",IF(D917&lt;=24,"شباب (13-24)",IF(D917&lt;=44,"بالغون (25-44)",IF(D917&lt;=64,"متوسطو العمر (45-64)","كبار السن (+65)"))))</f>
        <v>بالغون (25-44)</v>
      </c>
      <c r="T917" s="41" t="n">
        <f aca="false">IFERROR(L917/P917,0)</f>
        <v>1132.63</v>
      </c>
    </row>
    <row r="918" customFormat="false" ht="15" hidden="false" customHeight="false" outlineLevel="0" collapsed="false">
      <c r="A918" s="42" t="s">
        <v>259</v>
      </c>
      <c r="B918" s="43" t="n">
        <v>45454</v>
      </c>
      <c r="C918" s="43" t="n">
        <v>45458</v>
      </c>
      <c r="D918" s="42" t="n">
        <v>7</v>
      </c>
      <c r="E918" s="42" t="s">
        <v>139</v>
      </c>
      <c r="F918" s="42" t="s">
        <v>155</v>
      </c>
      <c r="G918" s="42" t="s">
        <v>220</v>
      </c>
      <c r="H918" s="42" t="s">
        <v>222</v>
      </c>
      <c r="I918" s="42" t="s">
        <v>158</v>
      </c>
      <c r="J918" s="42" t="s">
        <v>159</v>
      </c>
      <c r="K918" s="42" t="s">
        <v>160</v>
      </c>
      <c r="L918" s="44" t="n">
        <v>1807.5</v>
      </c>
      <c r="M918" s="42" t="n">
        <v>4</v>
      </c>
      <c r="N918" s="42" t="s">
        <v>146</v>
      </c>
      <c r="O918" s="42" t="s">
        <v>147</v>
      </c>
      <c r="P918" s="39" t="n">
        <f aca="false">C918-B918</f>
        <v>4</v>
      </c>
      <c r="Q918" s="40" t="str">
        <f aca="false">CHOOSE(MONTH(B918),"يناير","فبراير","مارس","أبريل","مايو","يونيو","يوليو","أغسطس","سبتمبر","أكتوبر","نوفمبر","ديسمبر")</f>
        <v>يونيو</v>
      </c>
      <c r="R918" s="40" t="str">
        <f aca="false">"الربع "&amp;ROUNDUP(MONTH(B918)/3,0)</f>
        <v>الربع 2</v>
      </c>
      <c r="S918" s="40" t="str">
        <f aca="false">IF(D918&lt;=12,"أطفال (0-12)",IF(D918&lt;=24,"شباب (13-24)",IF(D918&lt;=44,"بالغون (25-44)",IF(D918&lt;=64,"متوسطو العمر (45-64)","كبار السن (+65)"))))</f>
        <v>أطفال (0-12)</v>
      </c>
      <c r="T918" s="41" t="n">
        <f aca="false">IFERROR(L918/P918,0)</f>
        <v>451.875</v>
      </c>
    </row>
    <row r="919" customFormat="false" ht="15" hidden="false" customHeight="false" outlineLevel="0" collapsed="false">
      <c r="A919" s="33" t="s">
        <v>1691</v>
      </c>
      <c r="B919" s="34" t="n">
        <v>45454</v>
      </c>
      <c r="C919" s="34" t="n">
        <v>45461</v>
      </c>
      <c r="D919" s="33" t="n">
        <v>30</v>
      </c>
      <c r="E919" s="33" t="s">
        <v>139</v>
      </c>
      <c r="F919" s="33" t="s">
        <v>181</v>
      </c>
      <c r="G919" s="33" t="s">
        <v>182</v>
      </c>
      <c r="H919" s="33" t="s">
        <v>245</v>
      </c>
      <c r="I919" s="33" t="s">
        <v>143</v>
      </c>
      <c r="J919" s="33" t="s">
        <v>159</v>
      </c>
      <c r="K919" s="33" t="s">
        <v>145</v>
      </c>
      <c r="L919" s="35" t="n">
        <v>16741.19</v>
      </c>
      <c r="M919" s="33" t="n">
        <v>2</v>
      </c>
      <c r="N919" s="33" t="s">
        <v>210</v>
      </c>
      <c r="O919" s="33" t="s">
        <v>147</v>
      </c>
      <c r="P919" s="39" t="n">
        <f aca="false">C919-B919</f>
        <v>7</v>
      </c>
      <c r="Q919" s="40" t="str">
        <f aca="false">CHOOSE(MONTH(B919),"يناير","فبراير","مارس","أبريل","مايو","يونيو","يوليو","أغسطس","سبتمبر","أكتوبر","نوفمبر","ديسمبر")</f>
        <v>يونيو</v>
      </c>
      <c r="R919" s="40" t="str">
        <f aca="false">"الربع "&amp;ROUNDUP(MONTH(B919)/3,0)</f>
        <v>الربع 2</v>
      </c>
      <c r="S919" s="40" t="str">
        <f aca="false">IF(D919&lt;=12,"أطفال (0-12)",IF(D919&lt;=24,"شباب (13-24)",IF(D919&lt;=44,"بالغون (25-44)",IF(D919&lt;=64,"متوسطو العمر (45-64)","كبار السن (+65)"))))</f>
        <v>بالغون (25-44)</v>
      </c>
      <c r="T919" s="41" t="n">
        <f aca="false">IFERROR(L919/P919,0)</f>
        <v>2391.59857142857</v>
      </c>
    </row>
    <row r="920" customFormat="false" ht="15" hidden="false" customHeight="false" outlineLevel="0" collapsed="false">
      <c r="A920" s="42" t="s">
        <v>1949</v>
      </c>
      <c r="B920" s="43" t="n">
        <v>45454</v>
      </c>
      <c r="C920" s="43" t="n">
        <v>45457</v>
      </c>
      <c r="D920" s="42" t="n">
        <v>40</v>
      </c>
      <c r="E920" s="42" t="s">
        <v>139</v>
      </c>
      <c r="F920" s="42" t="s">
        <v>140</v>
      </c>
      <c r="G920" s="42" t="s">
        <v>167</v>
      </c>
      <c r="H920" s="42" t="s">
        <v>290</v>
      </c>
      <c r="I920" s="42" t="s">
        <v>143</v>
      </c>
      <c r="J920" s="42" t="s">
        <v>159</v>
      </c>
      <c r="K920" s="42" t="s">
        <v>184</v>
      </c>
      <c r="L920" s="44" t="n">
        <v>6184.04</v>
      </c>
      <c r="M920" s="42" t="n">
        <v>5</v>
      </c>
      <c r="N920" s="42" t="s">
        <v>146</v>
      </c>
      <c r="O920" s="42" t="s">
        <v>147</v>
      </c>
      <c r="P920" s="39" t="n">
        <f aca="false">C920-B920</f>
        <v>3</v>
      </c>
      <c r="Q920" s="40" t="str">
        <f aca="false">CHOOSE(MONTH(B920),"يناير","فبراير","مارس","أبريل","مايو","يونيو","يوليو","أغسطس","سبتمبر","أكتوبر","نوفمبر","ديسمبر")</f>
        <v>يونيو</v>
      </c>
      <c r="R920" s="40" t="str">
        <f aca="false">"الربع "&amp;ROUNDUP(MONTH(B920)/3,0)</f>
        <v>الربع 2</v>
      </c>
      <c r="S920" s="40" t="str">
        <f aca="false">IF(D920&lt;=12,"أطفال (0-12)",IF(D920&lt;=24,"شباب (13-24)",IF(D920&lt;=44,"بالغون (25-44)",IF(D920&lt;=64,"متوسطو العمر (45-64)","كبار السن (+65)"))))</f>
        <v>بالغون (25-44)</v>
      </c>
      <c r="T920" s="41" t="n">
        <f aca="false">IFERROR(L920/P920,0)</f>
        <v>2061.34666666667</v>
      </c>
    </row>
    <row r="921" customFormat="false" ht="15" hidden="false" customHeight="false" outlineLevel="0" collapsed="false">
      <c r="A921" s="33" t="s">
        <v>2291</v>
      </c>
      <c r="B921" s="34" t="n">
        <v>45454</v>
      </c>
      <c r="C921" s="34" t="n">
        <v>45455</v>
      </c>
      <c r="D921" s="33" t="n">
        <v>66</v>
      </c>
      <c r="E921" s="33" t="s">
        <v>139</v>
      </c>
      <c r="F921" s="33" t="s">
        <v>203</v>
      </c>
      <c r="G921" s="33" t="s">
        <v>192</v>
      </c>
      <c r="H921" s="33" t="s">
        <v>205</v>
      </c>
      <c r="I921" s="33" t="s">
        <v>143</v>
      </c>
      <c r="J921" s="33" t="s">
        <v>176</v>
      </c>
      <c r="K921" s="33" t="s">
        <v>184</v>
      </c>
      <c r="L921" s="35" t="n">
        <v>3651.46</v>
      </c>
      <c r="M921" s="33" t="n">
        <v>3</v>
      </c>
      <c r="N921" s="33" t="s">
        <v>146</v>
      </c>
      <c r="O921" s="33" t="s">
        <v>147</v>
      </c>
      <c r="P921" s="39" t="n">
        <f aca="false">C921-B921</f>
        <v>1</v>
      </c>
      <c r="Q921" s="40" t="str">
        <f aca="false">CHOOSE(MONTH(B921),"يناير","فبراير","مارس","أبريل","مايو","يونيو","يوليو","أغسطس","سبتمبر","أكتوبر","نوفمبر","ديسمبر")</f>
        <v>يونيو</v>
      </c>
      <c r="R921" s="40" t="str">
        <f aca="false">"الربع "&amp;ROUNDUP(MONTH(B921)/3,0)</f>
        <v>الربع 2</v>
      </c>
      <c r="S921" s="40" t="str">
        <f aca="false">IF(D921&lt;=12,"أطفال (0-12)",IF(D921&lt;=24,"شباب (13-24)",IF(D921&lt;=44,"بالغون (25-44)",IF(D921&lt;=64,"متوسطو العمر (45-64)","كبار السن (+65)"))))</f>
        <v>كبار السن (+65)</v>
      </c>
      <c r="T921" s="41" t="n">
        <f aca="false">IFERROR(L921/P921,0)</f>
        <v>3651.46</v>
      </c>
    </row>
    <row r="922" customFormat="false" ht="15" hidden="false" customHeight="false" outlineLevel="0" collapsed="false">
      <c r="A922" s="42" t="s">
        <v>2230</v>
      </c>
      <c r="B922" s="43" t="n">
        <v>45454</v>
      </c>
      <c r="C922" s="43" t="n">
        <v>45456</v>
      </c>
      <c r="D922" s="42" t="n">
        <v>72</v>
      </c>
      <c r="E922" s="42" t="s">
        <v>139</v>
      </c>
      <c r="F922" s="42" t="s">
        <v>140</v>
      </c>
      <c r="G922" s="42" t="s">
        <v>316</v>
      </c>
      <c r="H922" s="42" t="s">
        <v>142</v>
      </c>
      <c r="I922" s="42" t="s">
        <v>152</v>
      </c>
      <c r="J922" s="42" t="s">
        <v>159</v>
      </c>
      <c r="K922" s="42" t="s">
        <v>145</v>
      </c>
      <c r="L922" s="44" t="n">
        <v>4113.53</v>
      </c>
      <c r="M922" s="42" t="n">
        <v>3</v>
      </c>
      <c r="N922" s="42" t="s">
        <v>146</v>
      </c>
      <c r="O922" s="42" t="s">
        <v>147</v>
      </c>
      <c r="P922" s="39" t="n">
        <f aca="false">C922-B922</f>
        <v>2</v>
      </c>
      <c r="Q922" s="40" t="str">
        <f aca="false">CHOOSE(MONTH(B922),"يناير","فبراير","مارس","أبريل","مايو","يونيو","يوليو","أغسطس","سبتمبر","أكتوبر","نوفمبر","ديسمبر")</f>
        <v>يونيو</v>
      </c>
      <c r="R922" s="40" t="str">
        <f aca="false">"الربع "&amp;ROUNDUP(MONTH(B922)/3,0)</f>
        <v>الربع 2</v>
      </c>
      <c r="S922" s="40" t="str">
        <f aca="false">IF(D922&lt;=12,"أطفال (0-12)",IF(D922&lt;=24,"شباب (13-24)",IF(D922&lt;=44,"بالغون (25-44)",IF(D922&lt;=64,"متوسطو العمر (45-64)","كبار السن (+65)"))))</f>
        <v>كبار السن (+65)</v>
      </c>
      <c r="T922" s="41" t="n">
        <f aca="false">IFERROR(L922/P922,0)</f>
        <v>2056.765</v>
      </c>
    </row>
    <row r="923" customFormat="false" ht="15" hidden="false" customHeight="false" outlineLevel="0" collapsed="false">
      <c r="A923" s="33" t="s">
        <v>481</v>
      </c>
      <c r="B923" s="34" t="n">
        <v>45455</v>
      </c>
      <c r="C923" s="34" t="n">
        <v>45457</v>
      </c>
      <c r="D923" s="33" t="n">
        <v>3</v>
      </c>
      <c r="E923" s="33" t="s">
        <v>154</v>
      </c>
      <c r="F923" s="33" t="s">
        <v>155</v>
      </c>
      <c r="G923" s="33" t="s">
        <v>302</v>
      </c>
      <c r="H923" s="33" t="s">
        <v>222</v>
      </c>
      <c r="I923" s="33" t="s">
        <v>143</v>
      </c>
      <c r="J923" s="33" t="s">
        <v>159</v>
      </c>
      <c r="K923" s="33" t="s">
        <v>145</v>
      </c>
      <c r="L923" s="35" t="n">
        <v>1595.79</v>
      </c>
      <c r="M923" s="33" t="n">
        <v>3</v>
      </c>
      <c r="N923" s="33" t="s">
        <v>146</v>
      </c>
      <c r="O923" s="33" t="s">
        <v>147</v>
      </c>
      <c r="P923" s="39" t="n">
        <f aca="false">C923-B923</f>
        <v>2</v>
      </c>
      <c r="Q923" s="40" t="str">
        <f aca="false">CHOOSE(MONTH(B923),"يناير","فبراير","مارس","أبريل","مايو","يونيو","يوليو","أغسطس","سبتمبر","أكتوبر","نوفمبر","ديسمبر")</f>
        <v>يونيو</v>
      </c>
      <c r="R923" s="40" t="str">
        <f aca="false">"الربع "&amp;ROUNDUP(MONTH(B923)/3,0)</f>
        <v>الربع 2</v>
      </c>
      <c r="S923" s="40" t="str">
        <f aca="false">IF(D923&lt;=12,"أطفال (0-12)",IF(D923&lt;=24,"شباب (13-24)",IF(D923&lt;=44,"بالغون (25-44)",IF(D923&lt;=64,"متوسطو العمر (45-64)","كبار السن (+65)"))))</f>
        <v>أطفال (0-12)</v>
      </c>
      <c r="T923" s="41" t="n">
        <f aca="false">IFERROR(L923/P923,0)</f>
        <v>797.895</v>
      </c>
    </row>
    <row r="924" customFormat="false" ht="15" hidden="false" customHeight="false" outlineLevel="0" collapsed="false">
      <c r="A924" s="42" t="s">
        <v>1618</v>
      </c>
      <c r="B924" s="43" t="n">
        <v>45455</v>
      </c>
      <c r="C924" s="43" t="n">
        <v>45457</v>
      </c>
      <c r="D924" s="42" t="n">
        <v>64</v>
      </c>
      <c r="E924" s="42" t="s">
        <v>139</v>
      </c>
      <c r="F924" s="42" t="s">
        <v>181</v>
      </c>
      <c r="G924" s="42" t="s">
        <v>237</v>
      </c>
      <c r="H924" s="42" t="s">
        <v>183</v>
      </c>
      <c r="I924" s="42" t="s">
        <v>152</v>
      </c>
      <c r="J924" s="42" t="s">
        <v>159</v>
      </c>
      <c r="K924" s="42" t="s">
        <v>145</v>
      </c>
      <c r="L924" s="44" t="n">
        <v>5032.34</v>
      </c>
      <c r="M924" s="42" t="n">
        <v>4</v>
      </c>
      <c r="N924" s="42" t="s">
        <v>146</v>
      </c>
      <c r="O924" s="42" t="s">
        <v>147</v>
      </c>
      <c r="P924" s="39" t="n">
        <f aca="false">C924-B924</f>
        <v>2</v>
      </c>
      <c r="Q924" s="40" t="str">
        <f aca="false">CHOOSE(MONTH(B924),"يناير","فبراير","مارس","أبريل","مايو","يونيو","يوليو","أغسطس","سبتمبر","أكتوبر","نوفمبر","ديسمبر")</f>
        <v>يونيو</v>
      </c>
      <c r="R924" s="40" t="str">
        <f aca="false">"الربع "&amp;ROUNDUP(MONTH(B924)/3,0)</f>
        <v>الربع 2</v>
      </c>
      <c r="S924" s="40" t="str">
        <f aca="false">IF(D924&lt;=12,"أطفال (0-12)",IF(D924&lt;=24,"شباب (13-24)",IF(D924&lt;=44,"بالغون (25-44)",IF(D924&lt;=64,"متوسطو العمر (45-64)","كبار السن (+65)"))))</f>
        <v>متوسطو العمر (45-64)</v>
      </c>
      <c r="T924" s="41" t="n">
        <f aca="false">IFERROR(L924/P924,0)</f>
        <v>2516.17</v>
      </c>
    </row>
    <row r="925" customFormat="false" ht="15" hidden="false" customHeight="false" outlineLevel="0" collapsed="false">
      <c r="A925" s="33" t="s">
        <v>383</v>
      </c>
      <c r="B925" s="34" t="n">
        <v>45455</v>
      </c>
      <c r="C925" s="34" t="n">
        <v>45459</v>
      </c>
      <c r="D925" s="33" t="n">
        <v>66</v>
      </c>
      <c r="E925" s="33" t="s">
        <v>154</v>
      </c>
      <c r="F925" s="33" t="s">
        <v>169</v>
      </c>
      <c r="G925" s="33" t="s">
        <v>213</v>
      </c>
      <c r="H925" s="33" t="s">
        <v>195</v>
      </c>
      <c r="I925" s="33" t="s">
        <v>152</v>
      </c>
      <c r="J925" s="33" t="s">
        <v>159</v>
      </c>
      <c r="K925" s="33" t="s">
        <v>145</v>
      </c>
      <c r="L925" s="35" t="n">
        <v>4416.66</v>
      </c>
      <c r="M925" s="33" t="n">
        <v>3</v>
      </c>
      <c r="N925" s="33" t="s">
        <v>146</v>
      </c>
      <c r="O925" s="33" t="s">
        <v>147</v>
      </c>
      <c r="P925" s="39" t="n">
        <f aca="false">C925-B925</f>
        <v>4</v>
      </c>
      <c r="Q925" s="40" t="str">
        <f aca="false">CHOOSE(MONTH(B925),"يناير","فبراير","مارس","أبريل","مايو","يونيو","يوليو","أغسطس","سبتمبر","أكتوبر","نوفمبر","ديسمبر")</f>
        <v>يونيو</v>
      </c>
      <c r="R925" s="40" t="str">
        <f aca="false">"الربع "&amp;ROUNDUP(MONTH(B925)/3,0)</f>
        <v>الربع 2</v>
      </c>
      <c r="S925" s="40" t="str">
        <f aca="false">IF(D925&lt;=12,"أطفال (0-12)",IF(D925&lt;=24,"شباب (13-24)",IF(D925&lt;=44,"بالغون (25-44)",IF(D925&lt;=64,"متوسطو العمر (45-64)","كبار السن (+65)"))))</f>
        <v>كبار السن (+65)</v>
      </c>
      <c r="T925" s="41" t="n">
        <f aca="false">IFERROR(L925/P925,0)</f>
        <v>1104.165</v>
      </c>
    </row>
    <row r="926" customFormat="false" ht="15" hidden="false" customHeight="false" outlineLevel="0" collapsed="false">
      <c r="A926" s="42" t="s">
        <v>801</v>
      </c>
      <c r="B926" s="43" t="n">
        <v>45455</v>
      </c>
      <c r="C926" s="43" t="n">
        <v>45458</v>
      </c>
      <c r="D926" s="42" t="n">
        <v>64</v>
      </c>
      <c r="E926" s="42" t="s">
        <v>139</v>
      </c>
      <c r="F926" s="42" t="s">
        <v>181</v>
      </c>
      <c r="G926" s="42" t="s">
        <v>237</v>
      </c>
      <c r="H926" s="42" t="s">
        <v>245</v>
      </c>
      <c r="I926" s="42" t="s">
        <v>152</v>
      </c>
      <c r="J926" s="42" t="s">
        <v>159</v>
      </c>
      <c r="K926" s="42" t="s">
        <v>160</v>
      </c>
      <c r="L926" s="44" t="n">
        <v>8007.79</v>
      </c>
      <c r="M926" s="42" t="n">
        <v>3</v>
      </c>
      <c r="N926" s="42" t="s">
        <v>146</v>
      </c>
      <c r="O926" s="42" t="s">
        <v>147</v>
      </c>
      <c r="P926" s="39" t="n">
        <f aca="false">C926-B926</f>
        <v>3</v>
      </c>
      <c r="Q926" s="40" t="str">
        <f aca="false">CHOOSE(MONTH(B926),"يناير","فبراير","مارس","أبريل","مايو","يونيو","يوليو","أغسطس","سبتمبر","أكتوبر","نوفمبر","ديسمبر")</f>
        <v>يونيو</v>
      </c>
      <c r="R926" s="40" t="str">
        <f aca="false">"الربع "&amp;ROUNDUP(MONTH(B926)/3,0)</f>
        <v>الربع 2</v>
      </c>
      <c r="S926" s="40" t="str">
        <f aca="false">IF(D926&lt;=12,"أطفال (0-12)",IF(D926&lt;=24,"شباب (13-24)",IF(D926&lt;=44,"بالغون (25-44)",IF(D926&lt;=64,"متوسطو العمر (45-64)","كبار السن (+65)"))))</f>
        <v>متوسطو العمر (45-64)</v>
      </c>
      <c r="T926" s="41" t="n">
        <f aca="false">IFERROR(L926/P926,0)</f>
        <v>2669.26333333333</v>
      </c>
    </row>
    <row r="927" customFormat="false" ht="15" hidden="false" customHeight="false" outlineLevel="0" collapsed="false">
      <c r="A927" s="33" t="s">
        <v>594</v>
      </c>
      <c r="B927" s="34" t="n">
        <v>45455</v>
      </c>
      <c r="C927" s="34" t="n">
        <v>45456</v>
      </c>
      <c r="D927" s="33" t="n">
        <v>74</v>
      </c>
      <c r="E927" s="33" t="s">
        <v>154</v>
      </c>
      <c r="F927" s="33" t="s">
        <v>203</v>
      </c>
      <c r="G927" s="33" t="s">
        <v>217</v>
      </c>
      <c r="H927" s="33" t="s">
        <v>233</v>
      </c>
      <c r="I927" s="33" t="s">
        <v>143</v>
      </c>
      <c r="J927" s="33" t="s">
        <v>159</v>
      </c>
      <c r="K927" s="33" t="s">
        <v>145</v>
      </c>
      <c r="L927" s="35" t="n">
        <v>872.74</v>
      </c>
      <c r="M927" s="33" t="n">
        <v>3</v>
      </c>
      <c r="N927" s="33" t="s">
        <v>146</v>
      </c>
      <c r="O927" s="33" t="s">
        <v>147</v>
      </c>
      <c r="P927" s="39" t="n">
        <f aca="false">C927-B927</f>
        <v>1</v>
      </c>
      <c r="Q927" s="40" t="str">
        <f aca="false">CHOOSE(MONTH(B927),"يناير","فبراير","مارس","أبريل","مايو","يونيو","يوليو","أغسطس","سبتمبر","أكتوبر","نوفمبر","ديسمبر")</f>
        <v>يونيو</v>
      </c>
      <c r="R927" s="40" t="str">
        <f aca="false">"الربع "&amp;ROUNDUP(MONTH(B927)/3,0)</f>
        <v>الربع 2</v>
      </c>
      <c r="S927" s="40" t="str">
        <f aca="false">IF(D927&lt;=12,"أطفال (0-12)",IF(D927&lt;=24,"شباب (13-24)",IF(D927&lt;=44,"بالغون (25-44)",IF(D927&lt;=64,"متوسطو العمر (45-64)","كبار السن (+65)"))))</f>
        <v>كبار السن (+65)</v>
      </c>
      <c r="T927" s="41" t="n">
        <f aca="false">IFERROR(L927/P927,0)</f>
        <v>872.74</v>
      </c>
    </row>
    <row r="928" customFormat="false" ht="15" hidden="false" customHeight="false" outlineLevel="0" collapsed="false">
      <c r="A928" s="42" t="s">
        <v>166</v>
      </c>
      <c r="B928" s="43" t="n">
        <v>45455</v>
      </c>
      <c r="C928" s="43" t="n">
        <v>45458</v>
      </c>
      <c r="D928" s="42" t="n">
        <v>60</v>
      </c>
      <c r="E928" s="42" t="s">
        <v>139</v>
      </c>
      <c r="F928" s="42" t="s">
        <v>140</v>
      </c>
      <c r="G928" s="42" t="s">
        <v>167</v>
      </c>
      <c r="H928" s="42" t="s">
        <v>142</v>
      </c>
      <c r="I928" s="42" t="s">
        <v>143</v>
      </c>
      <c r="J928" s="42" t="s">
        <v>144</v>
      </c>
      <c r="K928" s="42" t="s">
        <v>145</v>
      </c>
      <c r="L928" s="44" t="n">
        <v>13156.21</v>
      </c>
      <c r="M928" s="42" t="n">
        <v>5</v>
      </c>
      <c r="N928" s="42" t="s">
        <v>146</v>
      </c>
      <c r="O928" s="42" t="s">
        <v>147</v>
      </c>
      <c r="P928" s="39" t="n">
        <f aca="false">C928-B928</f>
        <v>3</v>
      </c>
      <c r="Q928" s="40" t="str">
        <f aca="false">CHOOSE(MONTH(B928),"يناير","فبراير","مارس","أبريل","مايو","يونيو","يوليو","أغسطس","سبتمبر","أكتوبر","نوفمبر","ديسمبر")</f>
        <v>يونيو</v>
      </c>
      <c r="R928" s="40" t="str">
        <f aca="false">"الربع "&amp;ROUNDUP(MONTH(B928)/3,0)</f>
        <v>الربع 2</v>
      </c>
      <c r="S928" s="40" t="str">
        <f aca="false">IF(D928&lt;=12,"أطفال (0-12)",IF(D928&lt;=24,"شباب (13-24)",IF(D928&lt;=44,"بالغون (25-44)",IF(D928&lt;=64,"متوسطو العمر (45-64)","كبار السن (+65)"))))</f>
        <v>متوسطو العمر (45-64)</v>
      </c>
      <c r="T928" s="41" t="n">
        <f aca="false">IFERROR(L928/P928,0)</f>
        <v>4385.40333333333</v>
      </c>
    </row>
    <row r="929" customFormat="false" ht="15" hidden="false" customHeight="false" outlineLevel="0" collapsed="false">
      <c r="A929" s="33" t="s">
        <v>845</v>
      </c>
      <c r="B929" s="34" t="n">
        <v>45455</v>
      </c>
      <c r="C929" s="34" t="n">
        <v>45456</v>
      </c>
      <c r="D929" s="33" t="n">
        <v>10</v>
      </c>
      <c r="E929" s="33" t="s">
        <v>154</v>
      </c>
      <c r="F929" s="33" t="s">
        <v>155</v>
      </c>
      <c r="G929" s="33" t="s">
        <v>220</v>
      </c>
      <c r="H929" s="33" t="s">
        <v>157</v>
      </c>
      <c r="I929" s="33" t="s">
        <v>152</v>
      </c>
      <c r="J929" s="33" t="s">
        <v>159</v>
      </c>
      <c r="K929" s="33" t="s">
        <v>184</v>
      </c>
      <c r="L929" s="35" t="n">
        <v>924.21</v>
      </c>
      <c r="M929" s="33" t="n">
        <v>3</v>
      </c>
      <c r="N929" s="33" t="s">
        <v>146</v>
      </c>
      <c r="O929" s="33" t="s">
        <v>147</v>
      </c>
      <c r="P929" s="39" t="n">
        <f aca="false">C929-B929</f>
        <v>1</v>
      </c>
      <c r="Q929" s="40" t="str">
        <f aca="false">CHOOSE(MONTH(B929),"يناير","فبراير","مارس","أبريل","مايو","يونيو","يوليو","أغسطس","سبتمبر","أكتوبر","نوفمبر","ديسمبر")</f>
        <v>يونيو</v>
      </c>
      <c r="R929" s="40" t="str">
        <f aca="false">"الربع "&amp;ROUNDUP(MONTH(B929)/3,0)</f>
        <v>الربع 2</v>
      </c>
      <c r="S929" s="40" t="str">
        <f aca="false">IF(D929&lt;=12,"أطفال (0-12)",IF(D929&lt;=24,"شباب (13-24)",IF(D929&lt;=44,"بالغون (25-44)",IF(D929&lt;=64,"متوسطو العمر (45-64)","كبار السن (+65)"))))</f>
        <v>أطفال (0-12)</v>
      </c>
      <c r="T929" s="41" t="n">
        <f aca="false">IFERROR(L929/P929,0)</f>
        <v>924.21</v>
      </c>
    </row>
    <row r="930" customFormat="false" ht="15" hidden="false" customHeight="false" outlineLevel="0" collapsed="false">
      <c r="A930" s="42" t="s">
        <v>882</v>
      </c>
      <c r="B930" s="43" t="n">
        <v>45456</v>
      </c>
      <c r="C930" s="43" t="n">
        <v>45458</v>
      </c>
      <c r="D930" s="42" t="n">
        <v>34</v>
      </c>
      <c r="E930" s="42" t="s">
        <v>139</v>
      </c>
      <c r="F930" s="42" t="s">
        <v>173</v>
      </c>
      <c r="G930" s="42" t="s">
        <v>174</v>
      </c>
      <c r="H930" s="42" t="s">
        <v>199</v>
      </c>
      <c r="I930" s="42" t="s">
        <v>143</v>
      </c>
      <c r="J930" s="42" t="s">
        <v>159</v>
      </c>
      <c r="K930" s="42" t="s">
        <v>145</v>
      </c>
      <c r="L930" s="44" t="n">
        <v>6947.01</v>
      </c>
      <c r="M930" s="42" t="n">
        <v>3</v>
      </c>
      <c r="N930" s="42" t="s">
        <v>146</v>
      </c>
      <c r="O930" s="42" t="s">
        <v>147</v>
      </c>
      <c r="P930" s="39" t="n">
        <f aca="false">C930-B930</f>
        <v>2</v>
      </c>
      <c r="Q930" s="40" t="str">
        <f aca="false">CHOOSE(MONTH(B930),"يناير","فبراير","مارس","أبريل","مايو","يونيو","يوليو","أغسطس","سبتمبر","أكتوبر","نوفمبر","ديسمبر")</f>
        <v>يونيو</v>
      </c>
      <c r="R930" s="40" t="str">
        <f aca="false">"الربع "&amp;ROUNDUP(MONTH(B930)/3,0)</f>
        <v>الربع 2</v>
      </c>
      <c r="S930" s="40" t="str">
        <f aca="false">IF(D930&lt;=12,"أطفال (0-12)",IF(D930&lt;=24,"شباب (13-24)",IF(D930&lt;=44,"بالغون (25-44)",IF(D930&lt;=64,"متوسطو العمر (45-64)","كبار السن (+65)"))))</f>
        <v>بالغون (25-44)</v>
      </c>
      <c r="T930" s="41" t="n">
        <f aca="false">IFERROR(L930/P930,0)</f>
        <v>3473.505</v>
      </c>
    </row>
    <row r="931" customFormat="false" ht="15" hidden="false" customHeight="false" outlineLevel="0" collapsed="false">
      <c r="A931" s="33" t="s">
        <v>2313</v>
      </c>
      <c r="B931" s="34" t="n">
        <v>45456</v>
      </c>
      <c r="C931" s="34" t="n">
        <v>45457</v>
      </c>
      <c r="D931" s="33" t="n">
        <v>23</v>
      </c>
      <c r="E931" s="33" t="s">
        <v>139</v>
      </c>
      <c r="F931" s="33" t="s">
        <v>203</v>
      </c>
      <c r="G931" s="33" t="s">
        <v>241</v>
      </c>
      <c r="H931" s="33" t="s">
        <v>2322</v>
      </c>
      <c r="I931" s="33" t="s">
        <v>143</v>
      </c>
      <c r="J931" s="33" t="s">
        <v>159</v>
      </c>
      <c r="K931" s="33" t="s">
        <v>184</v>
      </c>
      <c r="L931" s="35" t="n">
        <v>878.9</v>
      </c>
      <c r="M931" s="33" t="n">
        <v>4</v>
      </c>
      <c r="N931" s="33" t="s">
        <v>146</v>
      </c>
      <c r="O931" s="33" t="s">
        <v>147</v>
      </c>
      <c r="P931" s="39" t="n">
        <f aca="false">C931-B931</f>
        <v>1</v>
      </c>
      <c r="Q931" s="40" t="str">
        <f aca="false">CHOOSE(MONTH(B931),"يناير","فبراير","مارس","أبريل","مايو","يونيو","يوليو","أغسطس","سبتمبر","أكتوبر","نوفمبر","ديسمبر")</f>
        <v>يونيو</v>
      </c>
      <c r="R931" s="40" t="str">
        <f aca="false">"الربع "&amp;ROUNDUP(MONTH(B931)/3,0)</f>
        <v>الربع 2</v>
      </c>
      <c r="S931" s="40" t="str">
        <f aca="false">IF(D931&lt;=12,"أطفال (0-12)",IF(D931&lt;=24,"شباب (13-24)",IF(D931&lt;=44,"بالغون (25-44)",IF(D931&lt;=64,"متوسطو العمر (45-64)","كبار السن (+65)"))))</f>
        <v>شباب (13-24)</v>
      </c>
      <c r="T931" s="41" t="n">
        <f aca="false">IFERROR(L931/P931,0)</f>
        <v>878.9</v>
      </c>
    </row>
    <row r="932" customFormat="false" ht="15" hidden="false" customHeight="false" outlineLevel="0" collapsed="false">
      <c r="A932" s="42" t="s">
        <v>641</v>
      </c>
      <c r="B932" s="43" t="n">
        <v>45456</v>
      </c>
      <c r="C932" s="43" t="n">
        <v>45463</v>
      </c>
      <c r="D932" s="42" t="n">
        <v>83</v>
      </c>
      <c r="E932" s="42" t="s">
        <v>154</v>
      </c>
      <c r="F932" s="42" t="s">
        <v>169</v>
      </c>
      <c r="G932" s="42" t="s">
        <v>213</v>
      </c>
      <c r="H932" s="42" t="s">
        <v>164</v>
      </c>
      <c r="I932" s="42" t="s">
        <v>143</v>
      </c>
      <c r="J932" s="42" t="s">
        <v>159</v>
      </c>
      <c r="K932" s="42" t="s">
        <v>184</v>
      </c>
      <c r="L932" s="44" t="n">
        <v>7286.83</v>
      </c>
      <c r="M932" s="42" t="n">
        <v>4</v>
      </c>
      <c r="N932" s="42" t="s">
        <v>146</v>
      </c>
      <c r="O932" s="42" t="s">
        <v>206</v>
      </c>
      <c r="P932" s="39" t="n">
        <f aca="false">C932-B932</f>
        <v>7</v>
      </c>
      <c r="Q932" s="40" t="str">
        <f aca="false">CHOOSE(MONTH(B932),"يناير","فبراير","مارس","أبريل","مايو","يونيو","يوليو","أغسطس","سبتمبر","أكتوبر","نوفمبر","ديسمبر")</f>
        <v>يونيو</v>
      </c>
      <c r="R932" s="40" t="str">
        <f aca="false">"الربع "&amp;ROUNDUP(MONTH(B932)/3,0)</f>
        <v>الربع 2</v>
      </c>
      <c r="S932" s="40" t="str">
        <f aca="false">IF(D932&lt;=12,"أطفال (0-12)",IF(D932&lt;=24,"شباب (13-24)",IF(D932&lt;=44,"بالغون (25-44)",IF(D932&lt;=64,"متوسطو العمر (45-64)","كبار السن (+65)"))))</f>
        <v>كبار السن (+65)</v>
      </c>
      <c r="T932" s="41" t="n">
        <f aca="false">IFERROR(L932/P932,0)</f>
        <v>1040.97571428571</v>
      </c>
    </row>
    <row r="933" customFormat="false" ht="15" hidden="false" customHeight="false" outlineLevel="0" collapsed="false">
      <c r="A933" s="33" t="s">
        <v>1403</v>
      </c>
      <c r="B933" s="34" t="n">
        <v>45456</v>
      </c>
      <c r="C933" s="34" t="n">
        <v>45463</v>
      </c>
      <c r="D933" s="33" t="n">
        <v>49</v>
      </c>
      <c r="E933" s="33" t="s">
        <v>139</v>
      </c>
      <c r="F933" s="33" t="s">
        <v>173</v>
      </c>
      <c r="G933" s="33" t="s">
        <v>174</v>
      </c>
      <c r="H933" s="33" t="s">
        <v>199</v>
      </c>
      <c r="I933" s="33" t="s">
        <v>152</v>
      </c>
      <c r="J933" s="33" t="s">
        <v>159</v>
      </c>
      <c r="K933" s="33" t="s">
        <v>160</v>
      </c>
      <c r="L933" s="35" t="n">
        <v>17322.04</v>
      </c>
      <c r="M933" s="33" t="n">
        <v>5</v>
      </c>
      <c r="N933" s="33" t="s">
        <v>146</v>
      </c>
      <c r="O933" s="33" t="s">
        <v>147</v>
      </c>
      <c r="P933" s="39" t="n">
        <f aca="false">C933-B933</f>
        <v>7</v>
      </c>
      <c r="Q933" s="40" t="str">
        <f aca="false">CHOOSE(MONTH(B933),"يناير","فبراير","مارس","أبريل","مايو","يونيو","يوليو","أغسطس","سبتمبر","أكتوبر","نوفمبر","ديسمبر")</f>
        <v>يونيو</v>
      </c>
      <c r="R933" s="40" t="str">
        <f aca="false">"الربع "&amp;ROUNDUP(MONTH(B933)/3,0)</f>
        <v>الربع 2</v>
      </c>
      <c r="S933" s="40" t="str">
        <f aca="false">IF(D933&lt;=12,"أطفال (0-12)",IF(D933&lt;=24,"شباب (13-24)",IF(D933&lt;=44,"بالغون (25-44)",IF(D933&lt;=64,"متوسطو العمر (45-64)","كبار السن (+65)"))))</f>
        <v>متوسطو العمر (45-64)</v>
      </c>
      <c r="T933" s="41" t="n">
        <f aca="false">IFERROR(L933/P933,0)</f>
        <v>2474.57714285714</v>
      </c>
    </row>
    <row r="934" customFormat="false" ht="15" hidden="false" customHeight="false" outlineLevel="0" collapsed="false">
      <c r="A934" s="42" t="s">
        <v>2286</v>
      </c>
      <c r="B934" s="43" t="n">
        <v>45456</v>
      </c>
      <c r="C934" s="43" t="n">
        <v>45457</v>
      </c>
      <c r="D934" s="42" t="n">
        <v>2</v>
      </c>
      <c r="E934" s="42" t="s">
        <v>154</v>
      </c>
      <c r="F934" s="42" t="s">
        <v>155</v>
      </c>
      <c r="G934" s="42" t="s">
        <v>302</v>
      </c>
      <c r="H934" s="42" t="s">
        <v>157</v>
      </c>
      <c r="I934" s="42" t="s">
        <v>143</v>
      </c>
      <c r="J934" s="42" t="s">
        <v>159</v>
      </c>
      <c r="K934" s="42" t="s">
        <v>160</v>
      </c>
      <c r="L934" s="44" t="n">
        <v>800.76</v>
      </c>
      <c r="M934" s="42" t="n">
        <v>5</v>
      </c>
      <c r="N934" s="42" t="s">
        <v>146</v>
      </c>
      <c r="O934" s="42" t="s">
        <v>147</v>
      </c>
      <c r="P934" s="39" t="n">
        <f aca="false">C934-B934</f>
        <v>1</v>
      </c>
      <c r="Q934" s="40" t="str">
        <f aca="false">CHOOSE(MONTH(B934),"يناير","فبراير","مارس","أبريل","مايو","يونيو","يوليو","أغسطس","سبتمبر","أكتوبر","نوفمبر","ديسمبر")</f>
        <v>يونيو</v>
      </c>
      <c r="R934" s="40" t="str">
        <f aca="false">"الربع "&amp;ROUNDUP(MONTH(B934)/3,0)</f>
        <v>الربع 2</v>
      </c>
      <c r="S934" s="40" t="str">
        <f aca="false">IF(D934&lt;=12,"أطفال (0-12)",IF(D934&lt;=24,"شباب (13-24)",IF(D934&lt;=44,"بالغون (25-44)",IF(D934&lt;=64,"متوسطو العمر (45-64)","كبار السن (+65)"))))</f>
        <v>أطفال (0-12)</v>
      </c>
      <c r="T934" s="41" t="n">
        <f aca="false">IFERROR(L934/P934,0)</f>
        <v>800.76</v>
      </c>
    </row>
    <row r="935" customFormat="false" ht="15" hidden="false" customHeight="false" outlineLevel="0" collapsed="false">
      <c r="A935" s="33" t="s">
        <v>1187</v>
      </c>
      <c r="B935" s="34" t="n">
        <v>45456</v>
      </c>
      <c r="C935" s="34" t="n">
        <v>45457</v>
      </c>
      <c r="D935" s="33" t="n">
        <v>63</v>
      </c>
      <c r="E935" s="33" t="s">
        <v>139</v>
      </c>
      <c r="F935" s="33" t="s">
        <v>173</v>
      </c>
      <c r="G935" s="33" t="s">
        <v>198</v>
      </c>
      <c r="H935" s="33" t="s">
        <v>199</v>
      </c>
      <c r="I935" s="33" t="s">
        <v>152</v>
      </c>
      <c r="J935" s="33" t="s">
        <v>176</v>
      </c>
      <c r="K935" s="33" t="s">
        <v>145</v>
      </c>
      <c r="L935" s="35" t="n">
        <v>10308.85</v>
      </c>
      <c r="M935" s="33" t="n">
        <v>3</v>
      </c>
      <c r="N935" s="33" t="s">
        <v>146</v>
      </c>
      <c r="O935" s="33" t="s">
        <v>147</v>
      </c>
      <c r="P935" s="39" t="n">
        <f aca="false">C935-B935</f>
        <v>1</v>
      </c>
      <c r="Q935" s="40" t="str">
        <f aca="false">CHOOSE(MONTH(B935),"يناير","فبراير","مارس","أبريل","مايو","يونيو","يوليو","أغسطس","سبتمبر","أكتوبر","نوفمبر","ديسمبر")</f>
        <v>يونيو</v>
      </c>
      <c r="R935" s="40" t="str">
        <f aca="false">"الربع "&amp;ROUNDUP(MONTH(B935)/3,0)</f>
        <v>الربع 2</v>
      </c>
      <c r="S935" s="40" t="str">
        <f aca="false">IF(D935&lt;=12,"أطفال (0-12)",IF(D935&lt;=24,"شباب (13-24)",IF(D935&lt;=44,"بالغون (25-44)",IF(D935&lt;=64,"متوسطو العمر (45-64)","كبار السن (+65)"))))</f>
        <v>متوسطو العمر (45-64)</v>
      </c>
      <c r="T935" s="41" t="n">
        <f aca="false">IFERROR(L935/P935,0)</f>
        <v>10308.85</v>
      </c>
    </row>
    <row r="936" customFormat="false" ht="15" hidden="false" customHeight="false" outlineLevel="0" collapsed="false">
      <c r="A936" s="42" t="s">
        <v>1254</v>
      </c>
      <c r="B936" s="43" t="n">
        <v>45456</v>
      </c>
      <c r="C936" s="43" t="n">
        <v>45463</v>
      </c>
      <c r="D936" s="42" t="n">
        <v>38</v>
      </c>
      <c r="E936" s="42" t="s">
        <v>154</v>
      </c>
      <c r="F936" s="42" t="s">
        <v>169</v>
      </c>
      <c r="G936" s="42" t="s">
        <v>230</v>
      </c>
      <c r="H936" s="42" t="s">
        <v>195</v>
      </c>
      <c r="I936" s="42" t="s">
        <v>152</v>
      </c>
      <c r="J936" s="42" t="s">
        <v>159</v>
      </c>
      <c r="K936" s="42" t="s">
        <v>209</v>
      </c>
      <c r="L936" s="44" t="n">
        <v>6949.85</v>
      </c>
      <c r="M936" s="42" t="n">
        <v>4</v>
      </c>
      <c r="N936" s="42" t="s">
        <v>146</v>
      </c>
      <c r="O936" s="42" t="s">
        <v>147</v>
      </c>
      <c r="P936" s="39" t="n">
        <f aca="false">C936-B936</f>
        <v>7</v>
      </c>
      <c r="Q936" s="40" t="str">
        <f aca="false">CHOOSE(MONTH(B936),"يناير","فبراير","مارس","أبريل","مايو","يونيو","يوليو","أغسطس","سبتمبر","أكتوبر","نوفمبر","ديسمبر")</f>
        <v>يونيو</v>
      </c>
      <c r="R936" s="40" t="str">
        <f aca="false">"الربع "&amp;ROUNDUP(MONTH(B936)/3,0)</f>
        <v>الربع 2</v>
      </c>
      <c r="S936" s="40" t="str">
        <f aca="false">IF(D936&lt;=12,"أطفال (0-12)",IF(D936&lt;=24,"شباب (13-24)",IF(D936&lt;=44,"بالغون (25-44)",IF(D936&lt;=64,"متوسطو العمر (45-64)","كبار السن (+65)"))))</f>
        <v>بالغون (25-44)</v>
      </c>
      <c r="T936" s="41" t="n">
        <f aca="false">IFERROR(L936/P936,0)</f>
        <v>992.835714285714</v>
      </c>
    </row>
    <row r="937" customFormat="false" ht="15" hidden="false" customHeight="false" outlineLevel="0" collapsed="false">
      <c r="A937" s="33" t="s">
        <v>1029</v>
      </c>
      <c r="B937" s="34" t="n">
        <v>45456</v>
      </c>
      <c r="C937" s="34" t="n">
        <v>45458</v>
      </c>
      <c r="D937" s="33" t="n">
        <v>63</v>
      </c>
      <c r="E937" s="33" t="s">
        <v>139</v>
      </c>
      <c r="F937" s="33" t="s">
        <v>169</v>
      </c>
      <c r="G937" s="33" t="s">
        <v>163</v>
      </c>
      <c r="H937" s="33" t="s">
        <v>171</v>
      </c>
      <c r="I937" s="33" t="s">
        <v>158</v>
      </c>
      <c r="J937" s="33" t="s">
        <v>144</v>
      </c>
      <c r="K937" s="33" t="s">
        <v>145</v>
      </c>
      <c r="L937" s="35" t="n">
        <v>4347.76</v>
      </c>
      <c r="M937" s="33" t="n">
        <v>4</v>
      </c>
      <c r="N937" s="33" t="s">
        <v>146</v>
      </c>
      <c r="O937" s="33" t="s">
        <v>147</v>
      </c>
      <c r="P937" s="39" t="n">
        <f aca="false">C937-B937</f>
        <v>2</v>
      </c>
      <c r="Q937" s="40" t="str">
        <f aca="false">CHOOSE(MONTH(B937),"يناير","فبراير","مارس","أبريل","مايو","يونيو","يوليو","أغسطس","سبتمبر","أكتوبر","نوفمبر","ديسمبر")</f>
        <v>يونيو</v>
      </c>
      <c r="R937" s="40" t="str">
        <f aca="false">"الربع "&amp;ROUNDUP(MONTH(B937)/3,0)</f>
        <v>الربع 2</v>
      </c>
      <c r="S937" s="40" t="str">
        <f aca="false">IF(D937&lt;=12,"أطفال (0-12)",IF(D937&lt;=24,"شباب (13-24)",IF(D937&lt;=44,"بالغون (25-44)",IF(D937&lt;=64,"متوسطو العمر (45-64)","كبار السن (+65)"))))</f>
        <v>متوسطو العمر (45-64)</v>
      </c>
      <c r="T937" s="41" t="n">
        <f aca="false">IFERROR(L937/P937,0)</f>
        <v>2173.88</v>
      </c>
    </row>
    <row r="938" customFormat="false" ht="15" hidden="false" customHeight="false" outlineLevel="0" collapsed="false">
      <c r="A938" s="42" t="s">
        <v>1191</v>
      </c>
      <c r="B938" s="43" t="n">
        <v>45456</v>
      </c>
      <c r="C938" s="43" t="n">
        <v>45458</v>
      </c>
      <c r="D938" s="42" t="n">
        <v>36</v>
      </c>
      <c r="E938" s="42" t="s">
        <v>139</v>
      </c>
      <c r="F938" s="42" t="s">
        <v>149</v>
      </c>
      <c r="G938" s="42" t="s">
        <v>243</v>
      </c>
      <c r="H938" s="42" t="s">
        <v>151</v>
      </c>
      <c r="I938" s="42" t="s">
        <v>143</v>
      </c>
      <c r="J938" s="42" t="s">
        <v>159</v>
      </c>
      <c r="K938" s="42" t="s">
        <v>209</v>
      </c>
      <c r="L938" s="44" t="n">
        <v>3250.08</v>
      </c>
      <c r="M938" s="42" t="n">
        <v>4</v>
      </c>
      <c r="N938" s="42" t="s">
        <v>146</v>
      </c>
      <c r="O938" s="42" t="s">
        <v>147</v>
      </c>
      <c r="P938" s="39" t="n">
        <f aca="false">C938-B938</f>
        <v>2</v>
      </c>
      <c r="Q938" s="40" t="str">
        <f aca="false">CHOOSE(MONTH(B938),"يناير","فبراير","مارس","أبريل","مايو","يونيو","يوليو","أغسطس","سبتمبر","أكتوبر","نوفمبر","ديسمبر")</f>
        <v>يونيو</v>
      </c>
      <c r="R938" s="40" t="str">
        <f aca="false">"الربع "&amp;ROUNDUP(MONTH(B938)/3,0)</f>
        <v>الربع 2</v>
      </c>
      <c r="S938" s="40" t="str">
        <f aca="false">IF(D938&lt;=12,"أطفال (0-12)",IF(D938&lt;=24,"شباب (13-24)",IF(D938&lt;=44,"بالغون (25-44)",IF(D938&lt;=64,"متوسطو العمر (45-64)","كبار السن (+65)"))))</f>
        <v>بالغون (25-44)</v>
      </c>
      <c r="T938" s="41" t="n">
        <f aca="false">IFERROR(L938/P938,0)</f>
        <v>1625.04</v>
      </c>
    </row>
    <row r="939" customFormat="false" ht="15" hidden="false" customHeight="false" outlineLevel="0" collapsed="false">
      <c r="A939" s="33" t="s">
        <v>1082</v>
      </c>
      <c r="B939" s="34" t="n">
        <v>45456</v>
      </c>
      <c r="C939" s="34" t="n">
        <v>45475</v>
      </c>
      <c r="D939" s="33" t="n">
        <v>48</v>
      </c>
      <c r="E939" s="33" t="s">
        <v>139</v>
      </c>
      <c r="F939" s="33" t="s">
        <v>181</v>
      </c>
      <c r="G939" s="33" t="s">
        <v>237</v>
      </c>
      <c r="H939" s="33" t="s">
        <v>183</v>
      </c>
      <c r="I939" s="33" t="s">
        <v>152</v>
      </c>
      <c r="J939" s="33" t="s">
        <v>159</v>
      </c>
      <c r="K939" s="33" t="s">
        <v>145</v>
      </c>
      <c r="L939" s="35" t="n">
        <v>47066.05</v>
      </c>
      <c r="M939" s="33" t="n">
        <v>3</v>
      </c>
      <c r="N939" s="33" t="s">
        <v>146</v>
      </c>
      <c r="O939" s="33" t="s">
        <v>147</v>
      </c>
      <c r="P939" s="39" t="n">
        <f aca="false">C939-B939</f>
        <v>19</v>
      </c>
      <c r="Q939" s="40" t="str">
        <f aca="false">CHOOSE(MONTH(B939),"يناير","فبراير","مارس","أبريل","مايو","يونيو","يوليو","أغسطس","سبتمبر","أكتوبر","نوفمبر","ديسمبر")</f>
        <v>يونيو</v>
      </c>
      <c r="R939" s="40" t="str">
        <f aca="false">"الربع "&amp;ROUNDUP(MONTH(B939)/3,0)</f>
        <v>الربع 2</v>
      </c>
      <c r="S939" s="40" t="str">
        <f aca="false">IF(D939&lt;=12,"أطفال (0-12)",IF(D939&lt;=24,"شباب (13-24)",IF(D939&lt;=44,"بالغون (25-44)",IF(D939&lt;=64,"متوسطو العمر (45-64)","كبار السن (+65)"))))</f>
        <v>متوسطو العمر (45-64)</v>
      </c>
      <c r="T939" s="41" t="n">
        <f aca="false">IFERROR(L939/P939,0)</f>
        <v>2477.16052631579</v>
      </c>
    </row>
    <row r="940" customFormat="false" ht="15" hidden="false" customHeight="false" outlineLevel="0" collapsed="false">
      <c r="A940" s="42" t="s">
        <v>1237</v>
      </c>
      <c r="B940" s="43" t="n">
        <v>45456</v>
      </c>
      <c r="C940" s="43" t="n">
        <v>45457</v>
      </c>
      <c r="D940" s="42" t="n">
        <v>41</v>
      </c>
      <c r="E940" s="42" t="s">
        <v>139</v>
      </c>
      <c r="F940" s="42" t="s">
        <v>169</v>
      </c>
      <c r="G940" s="42" t="s">
        <v>170</v>
      </c>
      <c r="H940" s="42" t="s">
        <v>164</v>
      </c>
      <c r="I940" s="42" t="s">
        <v>152</v>
      </c>
      <c r="J940" s="42" t="s">
        <v>159</v>
      </c>
      <c r="K940" s="42" t="s">
        <v>160</v>
      </c>
      <c r="L940" s="44" t="n">
        <v>1161</v>
      </c>
      <c r="M940" s="42" t="n">
        <v>4</v>
      </c>
      <c r="N940" s="42" t="s">
        <v>146</v>
      </c>
      <c r="O940" s="42" t="s">
        <v>147</v>
      </c>
      <c r="P940" s="39" t="n">
        <f aca="false">C940-B940</f>
        <v>1</v>
      </c>
      <c r="Q940" s="40" t="str">
        <f aca="false">CHOOSE(MONTH(B940),"يناير","فبراير","مارس","أبريل","مايو","يونيو","يوليو","أغسطس","سبتمبر","أكتوبر","نوفمبر","ديسمبر")</f>
        <v>يونيو</v>
      </c>
      <c r="R940" s="40" t="str">
        <f aca="false">"الربع "&amp;ROUNDUP(MONTH(B940)/3,0)</f>
        <v>الربع 2</v>
      </c>
      <c r="S940" s="40" t="str">
        <f aca="false">IF(D940&lt;=12,"أطفال (0-12)",IF(D940&lt;=24,"شباب (13-24)",IF(D940&lt;=44,"بالغون (25-44)",IF(D940&lt;=64,"متوسطو العمر (45-64)","كبار السن (+65)"))))</f>
        <v>بالغون (25-44)</v>
      </c>
      <c r="T940" s="41" t="n">
        <f aca="false">IFERROR(L940/P940,0)</f>
        <v>1161</v>
      </c>
    </row>
    <row r="941" customFormat="false" ht="15" hidden="false" customHeight="false" outlineLevel="0" collapsed="false">
      <c r="A941" s="33" t="s">
        <v>1068</v>
      </c>
      <c r="B941" s="34" t="n">
        <v>45456</v>
      </c>
      <c r="C941" s="34" t="n">
        <v>45457</v>
      </c>
      <c r="D941" s="33" t="n">
        <v>2</v>
      </c>
      <c r="E941" s="33" t="s">
        <v>139</v>
      </c>
      <c r="F941" s="33" t="s">
        <v>155</v>
      </c>
      <c r="G941" s="33" t="s">
        <v>220</v>
      </c>
      <c r="H941" s="33" t="s">
        <v>222</v>
      </c>
      <c r="I941" s="33" t="s">
        <v>143</v>
      </c>
      <c r="J941" s="33" t="s">
        <v>159</v>
      </c>
      <c r="K941" s="33" t="s">
        <v>209</v>
      </c>
      <c r="L941" s="35" t="n">
        <v>827.43</v>
      </c>
      <c r="M941" s="33" t="n">
        <v>4</v>
      </c>
      <c r="N941" s="33" t="s">
        <v>146</v>
      </c>
      <c r="O941" s="33" t="s">
        <v>147</v>
      </c>
      <c r="P941" s="39" t="n">
        <f aca="false">C941-B941</f>
        <v>1</v>
      </c>
      <c r="Q941" s="40" t="str">
        <f aca="false">CHOOSE(MONTH(B941),"يناير","فبراير","مارس","أبريل","مايو","يونيو","يوليو","أغسطس","سبتمبر","أكتوبر","نوفمبر","ديسمبر")</f>
        <v>يونيو</v>
      </c>
      <c r="R941" s="40" t="str">
        <f aca="false">"الربع "&amp;ROUNDUP(MONTH(B941)/3,0)</f>
        <v>الربع 2</v>
      </c>
      <c r="S941" s="40" t="str">
        <f aca="false">IF(D941&lt;=12,"أطفال (0-12)",IF(D941&lt;=24,"شباب (13-24)",IF(D941&lt;=44,"بالغون (25-44)",IF(D941&lt;=64,"متوسطو العمر (45-64)","كبار السن (+65)"))))</f>
        <v>أطفال (0-12)</v>
      </c>
      <c r="T941" s="41" t="n">
        <f aca="false">IFERROR(L941/P941,0)</f>
        <v>827.43</v>
      </c>
    </row>
    <row r="942" customFormat="false" ht="15" hidden="false" customHeight="false" outlineLevel="0" collapsed="false">
      <c r="A942" s="42" t="s">
        <v>2068</v>
      </c>
      <c r="B942" s="43" t="n">
        <v>45456</v>
      </c>
      <c r="C942" s="43" t="n">
        <v>45457</v>
      </c>
      <c r="D942" s="42" t="n">
        <v>1</v>
      </c>
      <c r="E942" s="42" t="s">
        <v>139</v>
      </c>
      <c r="F942" s="42" t="s">
        <v>155</v>
      </c>
      <c r="G942" s="42" t="s">
        <v>220</v>
      </c>
      <c r="H942" s="42" t="s">
        <v>222</v>
      </c>
      <c r="I942" s="42" t="s">
        <v>143</v>
      </c>
      <c r="J942" s="42" t="s">
        <v>159</v>
      </c>
      <c r="K942" s="42" t="s">
        <v>209</v>
      </c>
      <c r="L942" s="44" t="n">
        <v>789.08</v>
      </c>
      <c r="M942" s="42" t="n">
        <v>3</v>
      </c>
      <c r="N942" s="42" t="s">
        <v>146</v>
      </c>
      <c r="O942" s="42" t="s">
        <v>147</v>
      </c>
      <c r="P942" s="39" t="n">
        <f aca="false">C942-B942</f>
        <v>1</v>
      </c>
      <c r="Q942" s="40" t="str">
        <f aca="false">CHOOSE(MONTH(B942),"يناير","فبراير","مارس","أبريل","مايو","يونيو","يوليو","أغسطس","سبتمبر","أكتوبر","نوفمبر","ديسمبر")</f>
        <v>يونيو</v>
      </c>
      <c r="R942" s="40" t="str">
        <f aca="false">"الربع "&amp;ROUNDUP(MONTH(B942)/3,0)</f>
        <v>الربع 2</v>
      </c>
      <c r="S942" s="40" t="str">
        <f aca="false">IF(D942&lt;=12,"أطفال (0-12)",IF(D942&lt;=24,"شباب (13-24)",IF(D942&lt;=44,"بالغون (25-44)",IF(D942&lt;=64,"متوسطو العمر (45-64)","كبار السن (+65)"))))</f>
        <v>أطفال (0-12)</v>
      </c>
      <c r="T942" s="41" t="n">
        <f aca="false">IFERROR(L942/P942,0)</f>
        <v>789.08</v>
      </c>
    </row>
    <row r="943" customFormat="false" ht="15" hidden="false" customHeight="false" outlineLevel="0" collapsed="false">
      <c r="A943" s="33" t="s">
        <v>375</v>
      </c>
      <c r="B943" s="34" t="n">
        <v>45457</v>
      </c>
      <c r="C943" s="34" t="n">
        <v>45461</v>
      </c>
      <c r="D943" s="33" t="n">
        <v>14</v>
      </c>
      <c r="E943" s="33" t="s">
        <v>139</v>
      </c>
      <c r="F943" s="33" t="s">
        <v>155</v>
      </c>
      <c r="G943" s="33" t="s">
        <v>156</v>
      </c>
      <c r="H943" s="33" t="s">
        <v>157</v>
      </c>
      <c r="I943" s="33" t="s">
        <v>143</v>
      </c>
      <c r="J943" s="33" t="s">
        <v>159</v>
      </c>
      <c r="K943" s="33" t="s">
        <v>184</v>
      </c>
      <c r="L943" s="35" t="n">
        <v>2951.86</v>
      </c>
      <c r="M943" s="33" t="n">
        <v>4</v>
      </c>
      <c r="N943" s="33" t="s">
        <v>146</v>
      </c>
      <c r="O943" s="33" t="s">
        <v>147</v>
      </c>
      <c r="P943" s="39" t="n">
        <f aca="false">C943-B943</f>
        <v>4</v>
      </c>
      <c r="Q943" s="40" t="str">
        <f aca="false">CHOOSE(MONTH(B943),"يناير","فبراير","مارس","أبريل","مايو","يونيو","يوليو","أغسطس","سبتمبر","أكتوبر","نوفمبر","ديسمبر")</f>
        <v>يونيو</v>
      </c>
      <c r="R943" s="40" t="str">
        <f aca="false">"الربع "&amp;ROUNDUP(MONTH(B943)/3,0)</f>
        <v>الربع 2</v>
      </c>
      <c r="S943" s="40" t="str">
        <f aca="false">IF(D943&lt;=12,"أطفال (0-12)",IF(D943&lt;=24,"شباب (13-24)",IF(D943&lt;=44,"بالغون (25-44)",IF(D943&lt;=64,"متوسطو العمر (45-64)","كبار السن (+65)"))))</f>
        <v>شباب (13-24)</v>
      </c>
      <c r="T943" s="41" t="n">
        <f aca="false">IFERROR(L943/P943,0)</f>
        <v>737.965</v>
      </c>
    </row>
    <row r="944" customFormat="false" ht="15" hidden="false" customHeight="false" outlineLevel="0" collapsed="false">
      <c r="A944" s="42" t="s">
        <v>1745</v>
      </c>
      <c r="B944" s="43" t="n">
        <v>45457</v>
      </c>
      <c r="C944" s="43" t="n">
        <v>45459</v>
      </c>
      <c r="D944" s="42" t="n">
        <v>41</v>
      </c>
      <c r="E944" s="42" t="s">
        <v>154</v>
      </c>
      <c r="F944" s="42" t="s">
        <v>203</v>
      </c>
      <c r="G944" s="42" t="s">
        <v>204</v>
      </c>
      <c r="H944" s="42" t="s">
        <v>193</v>
      </c>
      <c r="I944" s="42" t="s">
        <v>143</v>
      </c>
      <c r="J944" s="42" t="s">
        <v>176</v>
      </c>
      <c r="K944" s="42" t="s">
        <v>184</v>
      </c>
      <c r="L944" s="44" t="n">
        <v>5493.65</v>
      </c>
      <c r="M944" s="42" t="n">
        <v>3</v>
      </c>
      <c r="N944" s="42" t="s">
        <v>146</v>
      </c>
      <c r="O944" s="42" t="s">
        <v>147</v>
      </c>
      <c r="P944" s="39" t="n">
        <f aca="false">C944-B944</f>
        <v>2</v>
      </c>
      <c r="Q944" s="40" t="str">
        <f aca="false">CHOOSE(MONTH(B944),"يناير","فبراير","مارس","أبريل","مايو","يونيو","يوليو","أغسطس","سبتمبر","أكتوبر","نوفمبر","ديسمبر")</f>
        <v>يونيو</v>
      </c>
      <c r="R944" s="40" t="str">
        <f aca="false">"الربع "&amp;ROUNDUP(MONTH(B944)/3,0)</f>
        <v>الربع 2</v>
      </c>
      <c r="S944" s="40" t="str">
        <f aca="false">IF(D944&lt;=12,"أطفال (0-12)",IF(D944&lt;=24,"شباب (13-24)",IF(D944&lt;=44,"بالغون (25-44)",IF(D944&lt;=64,"متوسطو العمر (45-64)","كبار السن (+65)"))))</f>
        <v>بالغون (25-44)</v>
      </c>
      <c r="T944" s="41" t="n">
        <f aca="false">IFERROR(L944/P944,0)</f>
        <v>2746.825</v>
      </c>
    </row>
    <row r="945" customFormat="false" ht="15" hidden="false" customHeight="false" outlineLevel="0" collapsed="false">
      <c r="A945" s="33" t="s">
        <v>2078</v>
      </c>
      <c r="B945" s="34" t="n">
        <v>45457</v>
      </c>
      <c r="C945" s="34" t="n">
        <v>45458</v>
      </c>
      <c r="D945" s="33" t="n">
        <v>9</v>
      </c>
      <c r="E945" s="33" t="s">
        <v>139</v>
      </c>
      <c r="F945" s="33" t="s">
        <v>155</v>
      </c>
      <c r="G945" s="33" t="s">
        <v>156</v>
      </c>
      <c r="H945" s="33" t="s">
        <v>222</v>
      </c>
      <c r="I945" s="33" t="s">
        <v>152</v>
      </c>
      <c r="J945" s="33" t="s">
        <v>159</v>
      </c>
      <c r="K945" s="33" t="s">
        <v>160</v>
      </c>
      <c r="L945" s="35" t="n">
        <v>1009.16</v>
      </c>
      <c r="M945" s="33" t="n">
        <v>4</v>
      </c>
      <c r="N945" s="33" t="s">
        <v>146</v>
      </c>
      <c r="O945" s="33" t="s">
        <v>147</v>
      </c>
      <c r="P945" s="39" t="n">
        <f aca="false">C945-B945</f>
        <v>1</v>
      </c>
      <c r="Q945" s="40" t="str">
        <f aca="false">CHOOSE(MONTH(B945),"يناير","فبراير","مارس","أبريل","مايو","يونيو","يوليو","أغسطس","سبتمبر","أكتوبر","نوفمبر","ديسمبر")</f>
        <v>يونيو</v>
      </c>
      <c r="R945" s="40" t="str">
        <f aca="false">"الربع "&amp;ROUNDUP(MONTH(B945)/3,0)</f>
        <v>الربع 2</v>
      </c>
      <c r="S945" s="40" t="str">
        <f aca="false">IF(D945&lt;=12,"أطفال (0-12)",IF(D945&lt;=24,"شباب (13-24)",IF(D945&lt;=44,"بالغون (25-44)",IF(D945&lt;=64,"متوسطو العمر (45-64)","كبار السن (+65)"))))</f>
        <v>أطفال (0-12)</v>
      </c>
      <c r="T945" s="41" t="n">
        <f aca="false">IFERROR(L945/P945,0)</f>
        <v>1009.16</v>
      </c>
    </row>
    <row r="946" customFormat="false" ht="15" hidden="false" customHeight="false" outlineLevel="0" collapsed="false">
      <c r="A946" s="42" t="s">
        <v>1164</v>
      </c>
      <c r="B946" s="43" t="n">
        <v>45457</v>
      </c>
      <c r="C946" s="43" t="n">
        <v>45460</v>
      </c>
      <c r="D946" s="42" t="n">
        <v>60</v>
      </c>
      <c r="E946" s="42" t="s">
        <v>139</v>
      </c>
      <c r="F946" s="42" t="s">
        <v>226</v>
      </c>
      <c r="G946" s="42" t="s">
        <v>258</v>
      </c>
      <c r="H946" s="42" t="s">
        <v>228</v>
      </c>
      <c r="I946" s="42" t="s">
        <v>158</v>
      </c>
      <c r="J946" s="42" t="s">
        <v>144</v>
      </c>
      <c r="K946" s="42" t="s">
        <v>184</v>
      </c>
      <c r="L946" s="44" t="n">
        <v>18287.86</v>
      </c>
      <c r="M946" s="42" t="n">
        <v>3</v>
      </c>
      <c r="N946" s="42" t="s">
        <v>146</v>
      </c>
      <c r="O946" s="42" t="s">
        <v>147</v>
      </c>
      <c r="P946" s="39" t="n">
        <f aca="false">C946-B946</f>
        <v>3</v>
      </c>
      <c r="Q946" s="40" t="str">
        <f aca="false">CHOOSE(MONTH(B946),"يناير","فبراير","مارس","أبريل","مايو","يونيو","يوليو","أغسطس","سبتمبر","أكتوبر","نوفمبر","ديسمبر")</f>
        <v>يونيو</v>
      </c>
      <c r="R946" s="40" t="str">
        <f aca="false">"الربع "&amp;ROUNDUP(MONTH(B946)/3,0)</f>
        <v>الربع 2</v>
      </c>
      <c r="S946" s="40" t="str">
        <f aca="false">IF(D946&lt;=12,"أطفال (0-12)",IF(D946&lt;=24,"شباب (13-24)",IF(D946&lt;=44,"بالغون (25-44)",IF(D946&lt;=64,"متوسطو العمر (45-64)","كبار السن (+65)"))))</f>
        <v>متوسطو العمر (45-64)</v>
      </c>
      <c r="T946" s="41" t="n">
        <f aca="false">IFERROR(L946/P946,0)</f>
        <v>6095.95333333333</v>
      </c>
    </row>
    <row r="947" customFormat="false" ht="15" hidden="false" customHeight="false" outlineLevel="0" collapsed="false">
      <c r="A947" s="33" t="s">
        <v>1279</v>
      </c>
      <c r="B947" s="34" t="n">
        <v>45458</v>
      </c>
      <c r="C947" s="34" t="n">
        <v>45472</v>
      </c>
      <c r="D947" s="33" t="n">
        <v>67</v>
      </c>
      <c r="E947" s="33" t="s">
        <v>139</v>
      </c>
      <c r="F947" s="33" t="s">
        <v>181</v>
      </c>
      <c r="G947" s="33" t="s">
        <v>237</v>
      </c>
      <c r="H947" s="33" t="s">
        <v>183</v>
      </c>
      <c r="I947" s="33" t="s">
        <v>152</v>
      </c>
      <c r="J947" s="33" t="s">
        <v>159</v>
      </c>
      <c r="K947" s="33" t="s">
        <v>145</v>
      </c>
      <c r="L947" s="35" t="n">
        <v>34014.83</v>
      </c>
      <c r="M947" s="33" t="n">
        <v>3</v>
      </c>
      <c r="N947" s="33" t="s">
        <v>146</v>
      </c>
      <c r="O947" s="33" t="s">
        <v>147</v>
      </c>
      <c r="P947" s="39" t="n">
        <f aca="false">C947-B947</f>
        <v>14</v>
      </c>
      <c r="Q947" s="40" t="str">
        <f aca="false">CHOOSE(MONTH(B947),"يناير","فبراير","مارس","أبريل","مايو","يونيو","يوليو","أغسطس","سبتمبر","أكتوبر","نوفمبر","ديسمبر")</f>
        <v>يونيو</v>
      </c>
      <c r="R947" s="40" t="str">
        <f aca="false">"الربع "&amp;ROUNDUP(MONTH(B947)/3,0)</f>
        <v>الربع 2</v>
      </c>
      <c r="S947" s="40" t="str">
        <f aca="false">IF(D947&lt;=12,"أطفال (0-12)",IF(D947&lt;=24,"شباب (13-24)",IF(D947&lt;=44,"بالغون (25-44)",IF(D947&lt;=64,"متوسطو العمر (45-64)","كبار السن (+65)"))))</f>
        <v>كبار السن (+65)</v>
      </c>
      <c r="T947" s="41" t="n">
        <f aca="false">IFERROR(L947/P947,0)</f>
        <v>2429.63071428571</v>
      </c>
    </row>
    <row r="948" customFormat="false" ht="15" hidden="false" customHeight="false" outlineLevel="0" collapsed="false">
      <c r="A948" s="42" t="s">
        <v>1061</v>
      </c>
      <c r="B948" s="43" t="n">
        <v>45458</v>
      </c>
      <c r="C948" s="43" t="n">
        <v>45460</v>
      </c>
      <c r="D948" s="42" t="n">
        <v>56</v>
      </c>
      <c r="E948" s="42" t="s">
        <v>139</v>
      </c>
      <c r="F948" s="42" t="s">
        <v>169</v>
      </c>
      <c r="G948" s="42" t="s">
        <v>170</v>
      </c>
      <c r="H948" s="42" t="s">
        <v>195</v>
      </c>
      <c r="I948" s="42" t="s">
        <v>143</v>
      </c>
      <c r="J948" s="42" t="s">
        <v>159</v>
      </c>
      <c r="K948" s="42" t="s">
        <v>209</v>
      </c>
      <c r="L948" s="44" t="n">
        <v>2911.84</v>
      </c>
      <c r="M948" s="42" t="n">
        <v>5</v>
      </c>
      <c r="N948" s="42" t="s">
        <v>146</v>
      </c>
      <c r="O948" s="42" t="s">
        <v>147</v>
      </c>
      <c r="P948" s="39" t="n">
        <f aca="false">C948-B948</f>
        <v>2</v>
      </c>
      <c r="Q948" s="40" t="str">
        <f aca="false">CHOOSE(MONTH(B948),"يناير","فبراير","مارس","أبريل","مايو","يونيو","يوليو","أغسطس","سبتمبر","أكتوبر","نوفمبر","ديسمبر")</f>
        <v>يونيو</v>
      </c>
      <c r="R948" s="40" t="str">
        <f aca="false">"الربع "&amp;ROUNDUP(MONTH(B948)/3,0)</f>
        <v>الربع 2</v>
      </c>
      <c r="S948" s="40" t="str">
        <f aca="false">IF(D948&lt;=12,"أطفال (0-12)",IF(D948&lt;=24,"شباب (13-24)",IF(D948&lt;=44,"بالغون (25-44)",IF(D948&lt;=64,"متوسطو العمر (45-64)","كبار السن (+65)"))))</f>
        <v>متوسطو العمر (45-64)</v>
      </c>
      <c r="T948" s="41" t="n">
        <f aca="false">IFERROR(L948/P948,0)</f>
        <v>1455.92</v>
      </c>
    </row>
    <row r="949" customFormat="false" ht="15" hidden="false" customHeight="false" outlineLevel="0" collapsed="false">
      <c r="A949" s="33" t="s">
        <v>537</v>
      </c>
      <c r="B949" s="34" t="n">
        <v>45458</v>
      </c>
      <c r="C949" s="34" t="n">
        <v>45460</v>
      </c>
      <c r="D949" s="33" t="n">
        <v>86</v>
      </c>
      <c r="E949" s="33" t="s">
        <v>154</v>
      </c>
      <c r="F949" s="33" t="s">
        <v>181</v>
      </c>
      <c r="G949" s="33" t="s">
        <v>182</v>
      </c>
      <c r="H949" s="33" t="s">
        <v>245</v>
      </c>
      <c r="I949" s="33" t="s">
        <v>143</v>
      </c>
      <c r="J949" s="33" t="s">
        <v>159</v>
      </c>
      <c r="K949" s="33" t="s">
        <v>145</v>
      </c>
      <c r="L949" s="35" t="n">
        <v>4808.55</v>
      </c>
      <c r="M949" s="33" t="n">
        <v>4</v>
      </c>
      <c r="N949" s="33" t="s">
        <v>146</v>
      </c>
      <c r="O949" s="33" t="s">
        <v>147</v>
      </c>
      <c r="P949" s="39" t="n">
        <f aca="false">C949-B949</f>
        <v>2</v>
      </c>
      <c r="Q949" s="40" t="str">
        <f aca="false">CHOOSE(MONTH(B949),"يناير","فبراير","مارس","أبريل","مايو","يونيو","يوليو","أغسطس","سبتمبر","أكتوبر","نوفمبر","ديسمبر")</f>
        <v>يونيو</v>
      </c>
      <c r="R949" s="40" t="str">
        <f aca="false">"الربع "&amp;ROUNDUP(MONTH(B949)/3,0)</f>
        <v>الربع 2</v>
      </c>
      <c r="S949" s="40" t="str">
        <f aca="false">IF(D949&lt;=12,"أطفال (0-12)",IF(D949&lt;=24,"شباب (13-24)",IF(D949&lt;=44,"بالغون (25-44)",IF(D949&lt;=64,"متوسطو العمر (45-64)","كبار السن (+65)"))))</f>
        <v>كبار السن (+65)</v>
      </c>
      <c r="T949" s="41" t="n">
        <f aca="false">IFERROR(L949/P949,0)</f>
        <v>2404.275</v>
      </c>
    </row>
    <row r="950" customFormat="false" ht="15" hidden="false" customHeight="false" outlineLevel="0" collapsed="false">
      <c r="A950" s="42" t="s">
        <v>1461</v>
      </c>
      <c r="B950" s="43" t="n">
        <v>45458</v>
      </c>
      <c r="C950" s="43" t="n">
        <v>45461</v>
      </c>
      <c r="D950" s="42" t="n">
        <v>38</v>
      </c>
      <c r="E950" s="42" t="s">
        <v>154</v>
      </c>
      <c r="F950" s="42" t="s">
        <v>140</v>
      </c>
      <c r="G950" s="42" t="s">
        <v>316</v>
      </c>
      <c r="H950" s="42" t="s">
        <v>290</v>
      </c>
      <c r="I950" s="42" t="s">
        <v>143</v>
      </c>
      <c r="J950" s="42" t="s">
        <v>144</v>
      </c>
      <c r="K950" s="42" t="s">
        <v>145</v>
      </c>
      <c r="L950" s="44" t="n">
        <v>11534.13</v>
      </c>
      <c r="M950" s="42" t="n">
        <v>3</v>
      </c>
      <c r="N950" s="42" t="s">
        <v>146</v>
      </c>
      <c r="O950" s="42" t="s">
        <v>147</v>
      </c>
      <c r="P950" s="39" t="n">
        <f aca="false">C950-B950</f>
        <v>3</v>
      </c>
      <c r="Q950" s="40" t="str">
        <f aca="false">CHOOSE(MONTH(B950),"يناير","فبراير","مارس","أبريل","مايو","يونيو","يوليو","أغسطس","سبتمبر","أكتوبر","نوفمبر","ديسمبر")</f>
        <v>يونيو</v>
      </c>
      <c r="R950" s="40" t="str">
        <f aca="false">"الربع "&amp;ROUNDUP(MONTH(B950)/3,0)</f>
        <v>الربع 2</v>
      </c>
      <c r="S950" s="40" t="str">
        <f aca="false">IF(D950&lt;=12,"أطفال (0-12)",IF(D950&lt;=24,"شباب (13-24)",IF(D950&lt;=44,"بالغون (25-44)",IF(D950&lt;=64,"متوسطو العمر (45-64)","كبار السن (+65)"))))</f>
        <v>بالغون (25-44)</v>
      </c>
      <c r="T950" s="41" t="n">
        <f aca="false">IFERROR(L950/P950,0)</f>
        <v>3844.71</v>
      </c>
    </row>
    <row r="951" customFormat="false" ht="15" hidden="false" customHeight="false" outlineLevel="0" collapsed="false">
      <c r="A951" s="33" t="s">
        <v>1640</v>
      </c>
      <c r="B951" s="34" t="n">
        <v>45458</v>
      </c>
      <c r="C951" s="34" t="n">
        <v>45461</v>
      </c>
      <c r="D951" s="33" t="n">
        <v>59</v>
      </c>
      <c r="E951" s="33" t="s">
        <v>139</v>
      </c>
      <c r="F951" s="33" t="s">
        <v>181</v>
      </c>
      <c r="G951" s="33" t="s">
        <v>188</v>
      </c>
      <c r="H951" s="33" t="s">
        <v>183</v>
      </c>
      <c r="I951" s="33" t="s">
        <v>143</v>
      </c>
      <c r="J951" s="33" t="s">
        <v>159</v>
      </c>
      <c r="K951" s="33" t="s">
        <v>145</v>
      </c>
      <c r="L951" s="35" t="n">
        <v>8576.82</v>
      </c>
      <c r="M951" s="33" t="n">
        <v>4</v>
      </c>
      <c r="N951" s="33" t="s">
        <v>146</v>
      </c>
      <c r="O951" s="33" t="s">
        <v>147</v>
      </c>
      <c r="P951" s="39" t="n">
        <f aca="false">C951-B951</f>
        <v>3</v>
      </c>
      <c r="Q951" s="40" t="str">
        <f aca="false">CHOOSE(MONTH(B951),"يناير","فبراير","مارس","أبريل","مايو","يونيو","يوليو","أغسطس","سبتمبر","أكتوبر","نوفمبر","ديسمبر")</f>
        <v>يونيو</v>
      </c>
      <c r="R951" s="40" t="str">
        <f aca="false">"الربع "&amp;ROUNDUP(MONTH(B951)/3,0)</f>
        <v>الربع 2</v>
      </c>
      <c r="S951" s="40" t="str">
        <f aca="false">IF(D951&lt;=12,"أطفال (0-12)",IF(D951&lt;=24,"شباب (13-24)",IF(D951&lt;=44,"بالغون (25-44)",IF(D951&lt;=64,"متوسطو العمر (45-64)","كبار السن (+65)"))))</f>
        <v>متوسطو العمر (45-64)</v>
      </c>
      <c r="T951" s="41" t="n">
        <f aca="false">IFERROR(L951/P951,0)</f>
        <v>2858.94</v>
      </c>
    </row>
    <row r="952" customFormat="false" ht="15" hidden="false" customHeight="false" outlineLevel="0" collapsed="false">
      <c r="A952" s="42" t="s">
        <v>1104</v>
      </c>
      <c r="B952" s="43" t="n">
        <v>45458</v>
      </c>
      <c r="C952" s="43" t="n">
        <v>45459</v>
      </c>
      <c r="D952" s="42" t="n">
        <v>20</v>
      </c>
      <c r="E952" s="42" t="s">
        <v>154</v>
      </c>
      <c r="F952" s="42" t="s">
        <v>140</v>
      </c>
      <c r="G952" s="42" t="s">
        <v>316</v>
      </c>
      <c r="H952" s="42" t="s">
        <v>142</v>
      </c>
      <c r="I952" s="42" t="s">
        <v>152</v>
      </c>
      <c r="J952" s="42" t="s">
        <v>176</v>
      </c>
      <c r="K952" s="42" t="s">
        <v>184</v>
      </c>
      <c r="L952" s="44" t="n">
        <v>8799.09</v>
      </c>
      <c r="M952" s="42" t="n">
        <v>4</v>
      </c>
      <c r="N952" s="42" t="s">
        <v>146</v>
      </c>
      <c r="O952" s="42" t="s">
        <v>147</v>
      </c>
      <c r="P952" s="39" t="n">
        <f aca="false">C952-B952</f>
        <v>1</v>
      </c>
      <c r="Q952" s="40" t="str">
        <f aca="false">CHOOSE(MONTH(B952),"يناير","فبراير","مارس","أبريل","مايو","يونيو","يوليو","أغسطس","سبتمبر","أكتوبر","نوفمبر","ديسمبر")</f>
        <v>يونيو</v>
      </c>
      <c r="R952" s="40" t="str">
        <f aca="false">"الربع "&amp;ROUNDUP(MONTH(B952)/3,0)</f>
        <v>الربع 2</v>
      </c>
      <c r="S952" s="40" t="str">
        <f aca="false">IF(D952&lt;=12,"أطفال (0-12)",IF(D952&lt;=24,"شباب (13-24)",IF(D952&lt;=44,"بالغون (25-44)",IF(D952&lt;=64,"متوسطو العمر (45-64)","كبار السن (+65)"))))</f>
        <v>شباب (13-24)</v>
      </c>
      <c r="T952" s="41" t="n">
        <f aca="false">IFERROR(L952/P952,0)</f>
        <v>8799.09</v>
      </c>
    </row>
    <row r="953" customFormat="false" ht="15" hidden="false" customHeight="false" outlineLevel="0" collapsed="false">
      <c r="A953" s="33" t="s">
        <v>1404</v>
      </c>
      <c r="B953" s="34" t="n">
        <v>45458</v>
      </c>
      <c r="C953" s="34" t="n">
        <v>45462</v>
      </c>
      <c r="D953" s="33" t="n">
        <v>51</v>
      </c>
      <c r="E953" s="33" t="s">
        <v>139</v>
      </c>
      <c r="F953" s="33" t="s">
        <v>173</v>
      </c>
      <c r="G953" s="33" t="s">
        <v>198</v>
      </c>
      <c r="H953" s="33" t="s">
        <v>175</v>
      </c>
      <c r="I953" s="33" t="s">
        <v>143</v>
      </c>
      <c r="J953" s="33" t="s">
        <v>159</v>
      </c>
      <c r="K953" s="33" t="s">
        <v>145</v>
      </c>
      <c r="L953" s="35" t="n">
        <v>13818.9</v>
      </c>
      <c r="M953" s="33" t="n">
        <v>4</v>
      </c>
      <c r="N953" s="33" t="s">
        <v>146</v>
      </c>
      <c r="O953" s="33" t="s">
        <v>147</v>
      </c>
      <c r="P953" s="39" t="n">
        <f aca="false">C953-B953</f>
        <v>4</v>
      </c>
      <c r="Q953" s="40" t="str">
        <f aca="false">CHOOSE(MONTH(B953),"يناير","فبراير","مارس","أبريل","مايو","يونيو","يوليو","أغسطس","سبتمبر","أكتوبر","نوفمبر","ديسمبر")</f>
        <v>يونيو</v>
      </c>
      <c r="R953" s="40" t="str">
        <f aca="false">"الربع "&amp;ROUNDUP(MONTH(B953)/3,0)</f>
        <v>الربع 2</v>
      </c>
      <c r="S953" s="40" t="str">
        <f aca="false">IF(D953&lt;=12,"أطفال (0-12)",IF(D953&lt;=24,"شباب (13-24)",IF(D953&lt;=44,"بالغون (25-44)",IF(D953&lt;=64,"متوسطو العمر (45-64)","كبار السن (+65)"))))</f>
        <v>متوسطو العمر (45-64)</v>
      </c>
      <c r="T953" s="41" t="n">
        <f aca="false">IFERROR(L953/P953,0)</f>
        <v>3454.725</v>
      </c>
    </row>
    <row r="954" customFormat="false" ht="15" hidden="false" customHeight="false" outlineLevel="0" collapsed="false">
      <c r="A954" s="42" t="s">
        <v>912</v>
      </c>
      <c r="B954" s="43" t="n">
        <v>45458</v>
      </c>
      <c r="C954" s="43" t="n">
        <v>45459</v>
      </c>
      <c r="D954" s="42" t="n">
        <v>29</v>
      </c>
      <c r="E954" s="42" t="s">
        <v>139</v>
      </c>
      <c r="F954" s="42" t="s">
        <v>149</v>
      </c>
      <c r="G954" s="42" t="s">
        <v>224</v>
      </c>
      <c r="H954" s="42" t="s">
        <v>186</v>
      </c>
      <c r="I954" s="42" t="s">
        <v>143</v>
      </c>
      <c r="J954" s="42" t="s">
        <v>159</v>
      </c>
      <c r="K954" s="42" t="s">
        <v>209</v>
      </c>
      <c r="L954" s="44" t="n">
        <v>1502.41</v>
      </c>
      <c r="M954" s="42" t="n">
        <v>4</v>
      </c>
      <c r="N954" s="42" t="s">
        <v>146</v>
      </c>
      <c r="O954" s="42" t="s">
        <v>147</v>
      </c>
      <c r="P954" s="39" t="n">
        <f aca="false">C954-B954</f>
        <v>1</v>
      </c>
      <c r="Q954" s="40" t="str">
        <f aca="false">CHOOSE(MONTH(B954),"يناير","فبراير","مارس","أبريل","مايو","يونيو","يوليو","أغسطس","سبتمبر","أكتوبر","نوفمبر","ديسمبر")</f>
        <v>يونيو</v>
      </c>
      <c r="R954" s="40" t="str">
        <f aca="false">"الربع "&amp;ROUNDUP(MONTH(B954)/3,0)</f>
        <v>الربع 2</v>
      </c>
      <c r="S954" s="40" t="str">
        <f aca="false">IF(D954&lt;=12,"أطفال (0-12)",IF(D954&lt;=24,"شباب (13-24)",IF(D954&lt;=44,"بالغون (25-44)",IF(D954&lt;=64,"متوسطو العمر (45-64)","كبار السن (+65)"))))</f>
        <v>بالغون (25-44)</v>
      </c>
      <c r="T954" s="41" t="n">
        <f aca="false">IFERROR(L954/P954,0)</f>
        <v>1502.41</v>
      </c>
    </row>
    <row r="955" customFormat="false" ht="15" hidden="false" customHeight="false" outlineLevel="0" collapsed="false">
      <c r="A955" s="33" t="s">
        <v>1136</v>
      </c>
      <c r="B955" s="34" t="n">
        <v>45458</v>
      </c>
      <c r="C955" s="34" t="n">
        <v>45466</v>
      </c>
      <c r="D955" s="33" t="n">
        <v>29</v>
      </c>
      <c r="E955" s="33" t="s">
        <v>139</v>
      </c>
      <c r="F955" s="33" t="s">
        <v>173</v>
      </c>
      <c r="G955" s="33" t="s">
        <v>198</v>
      </c>
      <c r="H955" s="33" t="s">
        <v>199</v>
      </c>
      <c r="I955" s="33" t="s">
        <v>143</v>
      </c>
      <c r="J955" s="33" t="s">
        <v>159</v>
      </c>
      <c r="K955" s="33" t="s">
        <v>160</v>
      </c>
      <c r="L955" s="35" t="n">
        <v>23705.74</v>
      </c>
      <c r="M955" s="33" t="n">
        <v>4</v>
      </c>
      <c r="N955" s="33" t="s">
        <v>146</v>
      </c>
      <c r="O955" s="33" t="s">
        <v>147</v>
      </c>
      <c r="P955" s="39" t="n">
        <f aca="false">C955-B955</f>
        <v>8</v>
      </c>
      <c r="Q955" s="40" t="str">
        <f aca="false">CHOOSE(MONTH(B955),"يناير","فبراير","مارس","أبريل","مايو","يونيو","يوليو","أغسطس","سبتمبر","أكتوبر","نوفمبر","ديسمبر")</f>
        <v>يونيو</v>
      </c>
      <c r="R955" s="40" t="str">
        <f aca="false">"الربع "&amp;ROUNDUP(MONTH(B955)/3,0)</f>
        <v>الربع 2</v>
      </c>
      <c r="S955" s="40" t="str">
        <f aca="false">IF(D955&lt;=12,"أطفال (0-12)",IF(D955&lt;=24,"شباب (13-24)",IF(D955&lt;=44,"بالغون (25-44)",IF(D955&lt;=64,"متوسطو العمر (45-64)","كبار السن (+65)"))))</f>
        <v>بالغون (25-44)</v>
      </c>
      <c r="T955" s="41" t="n">
        <f aca="false">IFERROR(L955/P955,0)</f>
        <v>2963.2175</v>
      </c>
    </row>
    <row r="956" customFormat="false" ht="15" hidden="false" customHeight="false" outlineLevel="0" collapsed="false">
      <c r="A956" s="42" t="s">
        <v>253</v>
      </c>
      <c r="B956" s="43" t="n">
        <v>45458</v>
      </c>
      <c r="C956" s="43" t="n">
        <v>45459</v>
      </c>
      <c r="D956" s="42" t="n">
        <v>56</v>
      </c>
      <c r="E956" s="42" t="s">
        <v>139</v>
      </c>
      <c r="F956" s="42" t="s">
        <v>203</v>
      </c>
      <c r="G956" s="42" t="s">
        <v>192</v>
      </c>
      <c r="H956" s="42" t="s">
        <v>193</v>
      </c>
      <c r="I956" s="42" t="s">
        <v>143</v>
      </c>
      <c r="J956" s="42" t="s">
        <v>159</v>
      </c>
      <c r="K956" s="42" t="s">
        <v>145</v>
      </c>
      <c r="L956" s="44" t="n">
        <v>858.46</v>
      </c>
      <c r="M956" s="42" t="n">
        <v>4</v>
      </c>
      <c r="N956" s="42" t="s">
        <v>146</v>
      </c>
      <c r="O956" s="42" t="s">
        <v>147</v>
      </c>
      <c r="P956" s="39" t="n">
        <f aca="false">C956-B956</f>
        <v>1</v>
      </c>
      <c r="Q956" s="40" t="str">
        <f aca="false">CHOOSE(MONTH(B956),"يناير","فبراير","مارس","أبريل","مايو","يونيو","يوليو","أغسطس","سبتمبر","أكتوبر","نوفمبر","ديسمبر")</f>
        <v>يونيو</v>
      </c>
      <c r="R956" s="40" t="str">
        <f aca="false">"الربع "&amp;ROUNDUP(MONTH(B956)/3,0)</f>
        <v>الربع 2</v>
      </c>
      <c r="S956" s="40" t="str">
        <f aca="false">IF(D956&lt;=12,"أطفال (0-12)",IF(D956&lt;=24,"شباب (13-24)",IF(D956&lt;=44,"بالغون (25-44)",IF(D956&lt;=64,"متوسطو العمر (45-64)","كبار السن (+65)"))))</f>
        <v>متوسطو العمر (45-64)</v>
      </c>
      <c r="T956" s="41" t="n">
        <f aca="false">IFERROR(L956/P956,0)</f>
        <v>858.46</v>
      </c>
    </row>
    <row r="957" customFormat="false" ht="15" hidden="false" customHeight="false" outlineLevel="0" collapsed="false">
      <c r="A957" s="33" t="s">
        <v>1551</v>
      </c>
      <c r="B957" s="34" t="n">
        <v>45459</v>
      </c>
      <c r="C957" s="34" t="n">
        <v>45465</v>
      </c>
      <c r="D957" s="33" t="n">
        <v>10</v>
      </c>
      <c r="E957" s="33" t="s">
        <v>154</v>
      </c>
      <c r="F957" s="33" t="s">
        <v>140</v>
      </c>
      <c r="G957" s="33" t="s">
        <v>141</v>
      </c>
      <c r="H957" s="33" t="s">
        <v>142</v>
      </c>
      <c r="I957" s="33" t="s">
        <v>152</v>
      </c>
      <c r="J957" s="33" t="s">
        <v>159</v>
      </c>
      <c r="K957" s="33" t="s">
        <v>184</v>
      </c>
      <c r="L957" s="35" t="n">
        <v>12687.68</v>
      </c>
      <c r="M957" s="33" t="n">
        <v>5</v>
      </c>
      <c r="N957" s="33" t="s">
        <v>146</v>
      </c>
      <c r="O957" s="33" t="s">
        <v>147</v>
      </c>
      <c r="P957" s="39" t="n">
        <f aca="false">C957-B957</f>
        <v>6</v>
      </c>
      <c r="Q957" s="40" t="str">
        <f aca="false">CHOOSE(MONTH(B957),"يناير","فبراير","مارس","أبريل","مايو","يونيو","يوليو","أغسطس","سبتمبر","أكتوبر","نوفمبر","ديسمبر")</f>
        <v>يونيو</v>
      </c>
      <c r="R957" s="40" t="str">
        <f aca="false">"الربع "&amp;ROUNDUP(MONTH(B957)/3,0)</f>
        <v>الربع 2</v>
      </c>
      <c r="S957" s="40" t="str">
        <f aca="false">IF(D957&lt;=12,"أطفال (0-12)",IF(D957&lt;=24,"شباب (13-24)",IF(D957&lt;=44,"بالغون (25-44)",IF(D957&lt;=64,"متوسطو العمر (45-64)","كبار السن (+65)"))))</f>
        <v>أطفال (0-12)</v>
      </c>
      <c r="T957" s="41" t="n">
        <f aca="false">IFERROR(L957/P957,0)</f>
        <v>2114.61333333333</v>
      </c>
    </row>
    <row r="958" customFormat="false" ht="15" hidden="false" customHeight="false" outlineLevel="0" collapsed="false">
      <c r="A958" s="42" t="s">
        <v>2310</v>
      </c>
      <c r="B958" s="43" t="n">
        <v>45459</v>
      </c>
      <c r="C958" s="43" t="n">
        <v>45464</v>
      </c>
      <c r="D958" s="42" t="n">
        <v>28</v>
      </c>
      <c r="E958" s="42" t="s">
        <v>154</v>
      </c>
      <c r="F958" s="42" t="s">
        <v>173</v>
      </c>
      <c r="G958" s="42" t="s">
        <v>174</v>
      </c>
      <c r="H958" s="42" t="s">
        <v>199</v>
      </c>
      <c r="I958" s="42" t="s">
        <v>152</v>
      </c>
      <c r="J958" s="42" t="s">
        <v>144</v>
      </c>
      <c r="K958" s="42" t="s">
        <v>145</v>
      </c>
      <c r="L958" s="44" t="n">
        <v>26552.26</v>
      </c>
      <c r="M958" s="42" t="n">
        <v>4</v>
      </c>
      <c r="N958" s="42" t="s">
        <v>210</v>
      </c>
      <c r="O958" s="42" t="s">
        <v>147</v>
      </c>
      <c r="P958" s="39" t="n">
        <f aca="false">C958-B958</f>
        <v>5</v>
      </c>
      <c r="Q958" s="40" t="str">
        <f aca="false">CHOOSE(MONTH(B958),"يناير","فبراير","مارس","أبريل","مايو","يونيو","يوليو","أغسطس","سبتمبر","أكتوبر","نوفمبر","ديسمبر")</f>
        <v>يونيو</v>
      </c>
      <c r="R958" s="40" t="str">
        <f aca="false">"الربع "&amp;ROUNDUP(MONTH(B958)/3,0)</f>
        <v>الربع 2</v>
      </c>
      <c r="S958" s="40" t="str">
        <f aca="false">IF(D958&lt;=12,"أطفال (0-12)",IF(D958&lt;=24,"شباب (13-24)",IF(D958&lt;=44,"بالغون (25-44)",IF(D958&lt;=64,"متوسطو العمر (45-64)","كبار السن (+65)"))))</f>
        <v>بالغون (25-44)</v>
      </c>
      <c r="T958" s="41" t="n">
        <f aca="false">IFERROR(L958/P958,0)</f>
        <v>5310.452</v>
      </c>
    </row>
    <row r="959" customFormat="false" ht="15" hidden="false" customHeight="false" outlineLevel="0" collapsed="false">
      <c r="A959" s="33" t="s">
        <v>617</v>
      </c>
      <c r="B959" s="34" t="n">
        <v>45459</v>
      </c>
      <c r="C959" s="34" t="n">
        <v>45464</v>
      </c>
      <c r="D959" s="33" t="n">
        <v>45</v>
      </c>
      <c r="E959" s="33" t="s">
        <v>154</v>
      </c>
      <c r="F959" s="33" t="s">
        <v>169</v>
      </c>
      <c r="G959" s="33" t="s">
        <v>170</v>
      </c>
      <c r="H959" s="33" t="s">
        <v>171</v>
      </c>
      <c r="I959" s="33" t="s">
        <v>143</v>
      </c>
      <c r="J959" s="33" t="s">
        <v>144</v>
      </c>
      <c r="K959" s="33" t="s">
        <v>160</v>
      </c>
      <c r="L959" s="35" t="n">
        <v>9943.34</v>
      </c>
      <c r="M959" s="33" t="n">
        <v>4</v>
      </c>
      <c r="N959" s="33" t="s">
        <v>146</v>
      </c>
      <c r="O959" s="33" t="s">
        <v>147</v>
      </c>
      <c r="P959" s="39" t="n">
        <f aca="false">C959-B959</f>
        <v>5</v>
      </c>
      <c r="Q959" s="40" t="str">
        <f aca="false">CHOOSE(MONTH(B959),"يناير","فبراير","مارس","أبريل","مايو","يونيو","يوليو","أغسطس","سبتمبر","أكتوبر","نوفمبر","ديسمبر")</f>
        <v>يونيو</v>
      </c>
      <c r="R959" s="40" t="str">
        <f aca="false">"الربع "&amp;ROUNDUP(MONTH(B959)/3,0)</f>
        <v>الربع 2</v>
      </c>
      <c r="S959" s="40" t="str">
        <f aca="false">IF(D959&lt;=12,"أطفال (0-12)",IF(D959&lt;=24,"شباب (13-24)",IF(D959&lt;=44,"بالغون (25-44)",IF(D959&lt;=64,"متوسطو العمر (45-64)","كبار السن (+65)"))))</f>
        <v>متوسطو العمر (45-64)</v>
      </c>
      <c r="T959" s="41" t="n">
        <f aca="false">IFERROR(L959/P959,0)</f>
        <v>1988.668</v>
      </c>
    </row>
    <row r="960" customFormat="false" ht="15" hidden="false" customHeight="false" outlineLevel="0" collapsed="false">
      <c r="A960" s="42" t="s">
        <v>1225</v>
      </c>
      <c r="B960" s="43" t="n">
        <v>45459</v>
      </c>
      <c r="C960" s="43" t="n">
        <v>45460</v>
      </c>
      <c r="D960" s="42" t="n">
        <v>25</v>
      </c>
      <c r="E960" s="42" t="s">
        <v>139</v>
      </c>
      <c r="F960" s="42" t="s">
        <v>149</v>
      </c>
      <c r="G960" s="42" t="s">
        <v>150</v>
      </c>
      <c r="H960" s="42" t="s">
        <v>186</v>
      </c>
      <c r="I960" s="42" t="s">
        <v>143</v>
      </c>
      <c r="J960" s="42" t="s">
        <v>144</v>
      </c>
      <c r="K960" s="42" t="s">
        <v>145</v>
      </c>
      <c r="L960" s="44" t="n">
        <v>3007.25</v>
      </c>
      <c r="M960" s="42" t="n">
        <v>4</v>
      </c>
      <c r="N960" s="42" t="s">
        <v>146</v>
      </c>
      <c r="O960" s="42" t="s">
        <v>147</v>
      </c>
      <c r="P960" s="39" t="n">
        <f aca="false">C960-B960</f>
        <v>1</v>
      </c>
      <c r="Q960" s="40" t="str">
        <f aca="false">CHOOSE(MONTH(B960),"يناير","فبراير","مارس","أبريل","مايو","يونيو","يوليو","أغسطس","سبتمبر","أكتوبر","نوفمبر","ديسمبر")</f>
        <v>يونيو</v>
      </c>
      <c r="R960" s="40" t="str">
        <f aca="false">"الربع "&amp;ROUNDUP(MONTH(B960)/3,0)</f>
        <v>الربع 2</v>
      </c>
      <c r="S960" s="40" t="str">
        <f aca="false">IF(D960&lt;=12,"أطفال (0-12)",IF(D960&lt;=24,"شباب (13-24)",IF(D960&lt;=44,"بالغون (25-44)",IF(D960&lt;=64,"متوسطو العمر (45-64)","كبار السن (+65)"))))</f>
        <v>بالغون (25-44)</v>
      </c>
      <c r="T960" s="41" t="n">
        <f aca="false">IFERROR(L960/P960,0)</f>
        <v>3007.25</v>
      </c>
    </row>
    <row r="961" customFormat="false" ht="15" hidden="false" customHeight="false" outlineLevel="0" collapsed="false">
      <c r="A961" s="33" t="s">
        <v>754</v>
      </c>
      <c r="B961" s="34" t="n">
        <v>45459</v>
      </c>
      <c r="C961" s="34" t="n">
        <v>45461</v>
      </c>
      <c r="D961" s="33" t="n">
        <v>47</v>
      </c>
      <c r="E961" s="33" t="s">
        <v>154</v>
      </c>
      <c r="F961" s="33" t="s">
        <v>140</v>
      </c>
      <c r="G961" s="33" t="s">
        <v>141</v>
      </c>
      <c r="H961" s="33" t="s">
        <v>142</v>
      </c>
      <c r="I961" s="33" t="s">
        <v>143</v>
      </c>
      <c r="J961" s="33" t="s">
        <v>144</v>
      </c>
      <c r="K961" s="33" t="s">
        <v>145</v>
      </c>
      <c r="L961" s="35" t="n">
        <v>7977.63</v>
      </c>
      <c r="M961" s="33" t="n">
        <v>4</v>
      </c>
      <c r="N961" s="33" t="s">
        <v>210</v>
      </c>
      <c r="O961" s="33" t="s">
        <v>147</v>
      </c>
      <c r="P961" s="39" t="n">
        <f aca="false">C961-B961</f>
        <v>2</v>
      </c>
      <c r="Q961" s="40" t="str">
        <f aca="false">CHOOSE(MONTH(B961),"يناير","فبراير","مارس","أبريل","مايو","يونيو","يوليو","أغسطس","سبتمبر","أكتوبر","نوفمبر","ديسمبر")</f>
        <v>يونيو</v>
      </c>
      <c r="R961" s="40" t="str">
        <f aca="false">"الربع "&amp;ROUNDUP(MONTH(B961)/3,0)</f>
        <v>الربع 2</v>
      </c>
      <c r="S961" s="40" t="str">
        <f aca="false">IF(D961&lt;=12,"أطفال (0-12)",IF(D961&lt;=24,"شباب (13-24)",IF(D961&lt;=44,"بالغون (25-44)",IF(D961&lt;=64,"متوسطو العمر (45-64)","كبار السن (+65)"))))</f>
        <v>متوسطو العمر (45-64)</v>
      </c>
      <c r="T961" s="41" t="n">
        <f aca="false">IFERROR(L961/P961,0)</f>
        <v>3988.815</v>
      </c>
    </row>
    <row r="962" customFormat="false" ht="15" hidden="false" customHeight="false" outlineLevel="0" collapsed="false">
      <c r="A962" s="42" t="s">
        <v>281</v>
      </c>
      <c r="B962" s="43" t="n">
        <v>45459</v>
      </c>
      <c r="C962" s="43" t="n">
        <v>45460</v>
      </c>
      <c r="D962" s="42" t="n">
        <v>41</v>
      </c>
      <c r="E962" s="42" t="s">
        <v>139</v>
      </c>
      <c r="F962" s="42" t="s">
        <v>149</v>
      </c>
      <c r="G962" s="42" t="s">
        <v>150</v>
      </c>
      <c r="H962" s="42" t="s">
        <v>151</v>
      </c>
      <c r="I962" s="42" t="s">
        <v>152</v>
      </c>
      <c r="J962" s="42" t="s">
        <v>144</v>
      </c>
      <c r="K962" s="42" t="s">
        <v>209</v>
      </c>
      <c r="L962" s="44" t="n">
        <v>2935.51</v>
      </c>
      <c r="M962" s="42" t="n">
        <v>3</v>
      </c>
      <c r="N962" s="42" t="s">
        <v>146</v>
      </c>
      <c r="O962" s="42" t="s">
        <v>147</v>
      </c>
      <c r="P962" s="39" t="n">
        <f aca="false">C962-B962</f>
        <v>1</v>
      </c>
      <c r="Q962" s="40" t="str">
        <f aca="false">CHOOSE(MONTH(B962),"يناير","فبراير","مارس","أبريل","مايو","يونيو","يوليو","أغسطس","سبتمبر","أكتوبر","نوفمبر","ديسمبر")</f>
        <v>يونيو</v>
      </c>
      <c r="R962" s="40" t="str">
        <f aca="false">"الربع "&amp;ROUNDUP(MONTH(B962)/3,0)</f>
        <v>الربع 2</v>
      </c>
      <c r="S962" s="40" t="str">
        <f aca="false">IF(D962&lt;=12,"أطفال (0-12)",IF(D962&lt;=24,"شباب (13-24)",IF(D962&lt;=44,"بالغون (25-44)",IF(D962&lt;=64,"متوسطو العمر (45-64)","كبار السن (+65)"))))</f>
        <v>بالغون (25-44)</v>
      </c>
      <c r="T962" s="41" t="n">
        <f aca="false">IFERROR(L962/P962,0)</f>
        <v>2935.51</v>
      </c>
    </row>
    <row r="963" customFormat="false" ht="15" hidden="false" customHeight="false" outlineLevel="0" collapsed="false">
      <c r="A963" s="33" t="s">
        <v>737</v>
      </c>
      <c r="B963" s="34" t="n">
        <v>45459</v>
      </c>
      <c r="C963" s="34" t="n">
        <v>45461</v>
      </c>
      <c r="D963" s="33" t="n">
        <v>10</v>
      </c>
      <c r="E963" s="33" t="s">
        <v>139</v>
      </c>
      <c r="F963" s="33" t="s">
        <v>203</v>
      </c>
      <c r="G963" s="33" t="s">
        <v>204</v>
      </c>
      <c r="H963" s="33" t="s">
        <v>205</v>
      </c>
      <c r="I963" s="33" t="s">
        <v>143</v>
      </c>
      <c r="J963" s="33" t="s">
        <v>159</v>
      </c>
      <c r="K963" s="33" t="s">
        <v>145</v>
      </c>
      <c r="L963" s="35" t="n">
        <v>1777.86</v>
      </c>
      <c r="M963" s="33" t="n">
        <v>2</v>
      </c>
      <c r="N963" s="33" t="s">
        <v>146</v>
      </c>
      <c r="O963" s="33" t="s">
        <v>147</v>
      </c>
      <c r="P963" s="39" t="n">
        <f aca="false">C963-B963</f>
        <v>2</v>
      </c>
      <c r="Q963" s="40" t="str">
        <f aca="false">CHOOSE(MONTH(B963),"يناير","فبراير","مارس","أبريل","مايو","يونيو","يوليو","أغسطس","سبتمبر","أكتوبر","نوفمبر","ديسمبر")</f>
        <v>يونيو</v>
      </c>
      <c r="R963" s="40" t="str">
        <f aca="false">"الربع "&amp;ROUNDUP(MONTH(B963)/3,0)</f>
        <v>الربع 2</v>
      </c>
      <c r="S963" s="40" t="str">
        <f aca="false">IF(D963&lt;=12,"أطفال (0-12)",IF(D963&lt;=24,"شباب (13-24)",IF(D963&lt;=44,"بالغون (25-44)",IF(D963&lt;=64,"متوسطو العمر (45-64)","كبار السن (+65)"))))</f>
        <v>أطفال (0-12)</v>
      </c>
      <c r="T963" s="41" t="n">
        <f aca="false">IFERROR(L963/P963,0)</f>
        <v>888.93</v>
      </c>
    </row>
    <row r="964" customFormat="false" ht="15" hidden="false" customHeight="false" outlineLevel="0" collapsed="false">
      <c r="A964" s="42" t="s">
        <v>1594</v>
      </c>
      <c r="B964" s="43" t="n">
        <v>45460</v>
      </c>
      <c r="C964" s="43" t="n">
        <v>45463</v>
      </c>
      <c r="D964" s="42" t="n">
        <v>25</v>
      </c>
      <c r="E964" s="42" t="s">
        <v>139</v>
      </c>
      <c r="F964" s="42" t="s">
        <v>149</v>
      </c>
      <c r="G964" s="42" t="s">
        <v>243</v>
      </c>
      <c r="H964" s="42" t="s">
        <v>151</v>
      </c>
      <c r="I964" s="42" t="s">
        <v>143</v>
      </c>
      <c r="J964" s="42" t="s">
        <v>159</v>
      </c>
      <c r="K964" s="42" t="s">
        <v>184</v>
      </c>
      <c r="L964" s="44" t="n">
        <v>5621.06</v>
      </c>
      <c r="M964" s="42" t="n">
        <v>4</v>
      </c>
      <c r="N964" s="42" t="s">
        <v>146</v>
      </c>
      <c r="O964" s="42" t="s">
        <v>206</v>
      </c>
      <c r="P964" s="39" t="n">
        <f aca="false">C964-B964</f>
        <v>3</v>
      </c>
      <c r="Q964" s="40" t="str">
        <f aca="false">CHOOSE(MONTH(B964),"يناير","فبراير","مارس","أبريل","مايو","يونيو","يوليو","أغسطس","سبتمبر","أكتوبر","نوفمبر","ديسمبر")</f>
        <v>يونيو</v>
      </c>
      <c r="R964" s="40" t="str">
        <f aca="false">"الربع "&amp;ROUNDUP(MONTH(B964)/3,0)</f>
        <v>الربع 2</v>
      </c>
      <c r="S964" s="40" t="str">
        <f aca="false">IF(D964&lt;=12,"أطفال (0-12)",IF(D964&lt;=24,"شباب (13-24)",IF(D964&lt;=44,"بالغون (25-44)",IF(D964&lt;=64,"متوسطو العمر (45-64)","كبار السن (+65)"))))</f>
        <v>بالغون (25-44)</v>
      </c>
      <c r="T964" s="41" t="n">
        <f aca="false">IFERROR(L964/P964,0)</f>
        <v>1873.68666666667</v>
      </c>
    </row>
    <row r="965" customFormat="false" ht="15" hidden="false" customHeight="false" outlineLevel="0" collapsed="false">
      <c r="A965" s="33" t="s">
        <v>1020</v>
      </c>
      <c r="B965" s="34" t="n">
        <v>45460</v>
      </c>
      <c r="C965" s="34" t="n">
        <v>45465</v>
      </c>
      <c r="D965" s="33" t="n">
        <v>64</v>
      </c>
      <c r="E965" s="33" t="s">
        <v>154</v>
      </c>
      <c r="F965" s="33" t="s">
        <v>169</v>
      </c>
      <c r="G965" s="33" t="s">
        <v>230</v>
      </c>
      <c r="H965" s="33" t="s">
        <v>164</v>
      </c>
      <c r="I965" s="33" t="s">
        <v>143</v>
      </c>
      <c r="J965" s="33" t="s">
        <v>159</v>
      </c>
      <c r="K965" s="33" t="s">
        <v>160</v>
      </c>
      <c r="L965" s="35" t="n">
        <v>6111.99</v>
      </c>
      <c r="M965" s="33" t="n">
        <v>4</v>
      </c>
      <c r="N965" s="33" t="s">
        <v>146</v>
      </c>
      <c r="O965" s="33" t="s">
        <v>147</v>
      </c>
      <c r="P965" s="39" t="n">
        <f aca="false">C965-B965</f>
        <v>5</v>
      </c>
      <c r="Q965" s="40" t="str">
        <f aca="false">CHOOSE(MONTH(B965),"يناير","فبراير","مارس","أبريل","مايو","يونيو","يوليو","أغسطس","سبتمبر","أكتوبر","نوفمبر","ديسمبر")</f>
        <v>يونيو</v>
      </c>
      <c r="R965" s="40" t="str">
        <f aca="false">"الربع "&amp;ROUNDUP(MONTH(B965)/3,0)</f>
        <v>الربع 2</v>
      </c>
      <c r="S965" s="40" t="str">
        <f aca="false">IF(D965&lt;=12,"أطفال (0-12)",IF(D965&lt;=24,"شباب (13-24)",IF(D965&lt;=44,"بالغون (25-44)",IF(D965&lt;=64,"متوسطو العمر (45-64)","كبار السن (+65)"))))</f>
        <v>متوسطو العمر (45-64)</v>
      </c>
      <c r="T965" s="41" t="n">
        <f aca="false">IFERROR(L965/P965,0)</f>
        <v>1222.398</v>
      </c>
    </row>
    <row r="966" customFormat="false" ht="15" hidden="false" customHeight="false" outlineLevel="0" collapsed="false">
      <c r="A966" s="42" t="s">
        <v>2222</v>
      </c>
      <c r="B966" s="43" t="n">
        <v>45460</v>
      </c>
      <c r="C966" s="43" t="n">
        <v>45461</v>
      </c>
      <c r="D966" s="42" t="n">
        <v>0</v>
      </c>
      <c r="E966" s="42" t="s">
        <v>139</v>
      </c>
      <c r="F966" s="42" t="s">
        <v>155</v>
      </c>
      <c r="G966" s="42" t="s">
        <v>220</v>
      </c>
      <c r="H966" s="42" t="s">
        <v>157</v>
      </c>
      <c r="I966" s="42" t="s">
        <v>143</v>
      </c>
      <c r="J966" s="42" t="s">
        <v>144</v>
      </c>
      <c r="K966" s="42" t="s">
        <v>160</v>
      </c>
      <c r="L966" s="44" t="n">
        <v>1522.88</v>
      </c>
      <c r="M966" s="42" t="n">
        <v>4</v>
      </c>
      <c r="N966" s="42" t="s">
        <v>146</v>
      </c>
      <c r="O966" s="42" t="s">
        <v>147</v>
      </c>
      <c r="P966" s="39" t="n">
        <f aca="false">C966-B966</f>
        <v>1</v>
      </c>
      <c r="Q966" s="40" t="str">
        <f aca="false">CHOOSE(MONTH(B966),"يناير","فبراير","مارس","أبريل","مايو","يونيو","يوليو","أغسطس","سبتمبر","أكتوبر","نوفمبر","ديسمبر")</f>
        <v>يونيو</v>
      </c>
      <c r="R966" s="40" t="str">
        <f aca="false">"الربع "&amp;ROUNDUP(MONTH(B966)/3,0)</f>
        <v>الربع 2</v>
      </c>
      <c r="S966" s="40" t="str">
        <f aca="false">IF(D966&lt;=12,"أطفال (0-12)",IF(D966&lt;=24,"شباب (13-24)",IF(D966&lt;=44,"بالغون (25-44)",IF(D966&lt;=64,"متوسطو العمر (45-64)","كبار السن (+65)"))))</f>
        <v>أطفال (0-12)</v>
      </c>
      <c r="T966" s="41" t="n">
        <f aca="false">IFERROR(L966/P966,0)</f>
        <v>1522.88</v>
      </c>
    </row>
    <row r="967" customFormat="false" ht="15" hidden="false" customHeight="false" outlineLevel="0" collapsed="false">
      <c r="A967" s="33" t="s">
        <v>2081</v>
      </c>
      <c r="B967" s="34" t="n">
        <v>45460</v>
      </c>
      <c r="C967" s="34" t="n">
        <v>45470</v>
      </c>
      <c r="D967" s="33" t="n">
        <v>61</v>
      </c>
      <c r="E967" s="33" t="s">
        <v>139</v>
      </c>
      <c r="F967" s="33" t="s">
        <v>169</v>
      </c>
      <c r="G967" s="33" t="s">
        <v>213</v>
      </c>
      <c r="H967" s="33" t="s">
        <v>171</v>
      </c>
      <c r="I967" s="33" t="s">
        <v>143</v>
      </c>
      <c r="J967" s="33" t="s">
        <v>159</v>
      </c>
      <c r="K967" s="33" t="s">
        <v>145</v>
      </c>
      <c r="L967" s="35" t="n">
        <v>10988.96</v>
      </c>
      <c r="M967" s="33" t="n">
        <v>4</v>
      </c>
      <c r="N967" s="33" t="s">
        <v>146</v>
      </c>
      <c r="O967" s="33" t="s">
        <v>147</v>
      </c>
      <c r="P967" s="39" t="n">
        <f aca="false">C967-B967</f>
        <v>10</v>
      </c>
      <c r="Q967" s="40" t="str">
        <f aca="false">CHOOSE(MONTH(B967),"يناير","فبراير","مارس","أبريل","مايو","يونيو","يوليو","أغسطس","سبتمبر","أكتوبر","نوفمبر","ديسمبر")</f>
        <v>يونيو</v>
      </c>
      <c r="R967" s="40" t="str">
        <f aca="false">"الربع "&amp;ROUNDUP(MONTH(B967)/3,0)</f>
        <v>الربع 2</v>
      </c>
      <c r="S967" s="40" t="str">
        <f aca="false">IF(D967&lt;=12,"أطفال (0-12)",IF(D967&lt;=24,"شباب (13-24)",IF(D967&lt;=44,"بالغون (25-44)",IF(D967&lt;=64,"متوسطو العمر (45-64)","كبار السن (+65)"))))</f>
        <v>متوسطو العمر (45-64)</v>
      </c>
      <c r="T967" s="41" t="n">
        <f aca="false">IFERROR(L967/P967,0)</f>
        <v>1098.896</v>
      </c>
    </row>
    <row r="968" customFormat="false" ht="15" hidden="false" customHeight="false" outlineLevel="0" collapsed="false">
      <c r="A968" s="42" t="s">
        <v>961</v>
      </c>
      <c r="B968" s="43" t="n">
        <v>45460</v>
      </c>
      <c r="C968" s="43" t="n">
        <v>45462</v>
      </c>
      <c r="D968" s="42" t="n">
        <v>38</v>
      </c>
      <c r="E968" s="42" t="s">
        <v>139</v>
      </c>
      <c r="F968" s="42" t="s">
        <v>203</v>
      </c>
      <c r="G968" s="42" t="s">
        <v>241</v>
      </c>
      <c r="H968" s="42" t="s">
        <v>205</v>
      </c>
      <c r="I968" s="42" t="s">
        <v>143</v>
      </c>
      <c r="J968" s="42" t="s">
        <v>159</v>
      </c>
      <c r="K968" s="42" t="s">
        <v>184</v>
      </c>
      <c r="L968" s="44" t="n">
        <v>1732.18</v>
      </c>
      <c r="M968" s="42" t="n">
        <v>4</v>
      </c>
      <c r="N968" s="42" t="s">
        <v>146</v>
      </c>
      <c r="O968" s="42" t="s">
        <v>247</v>
      </c>
      <c r="P968" s="39" t="n">
        <f aca="false">C968-B968</f>
        <v>2</v>
      </c>
      <c r="Q968" s="40" t="str">
        <f aca="false">CHOOSE(MONTH(B968),"يناير","فبراير","مارس","أبريل","مايو","يونيو","يوليو","أغسطس","سبتمبر","أكتوبر","نوفمبر","ديسمبر")</f>
        <v>يونيو</v>
      </c>
      <c r="R968" s="40" t="str">
        <f aca="false">"الربع "&amp;ROUNDUP(MONTH(B968)/3,0)</f>
        <v>الربع 2</v>
      </c>
      <c r="S968" s="40" t="str">
        <f aca="false">IF(D968&lt;=12,"أطفال (0-12)",IF(D968&lt;=24,"شباب (13-24)",IF(D968&lt;=44,"بالغون (25-44)",IF(D968&lt;=64,"متوسطو العمر (45-64)","كبار السن (+65)"))))</f>
        <v>بالغون (25-44)</v>
      </c>
      <c r="T968" s="41" t="n">
        <f aca="false">IFERROR(L968/P968,0)</f>
        <v>866.09</v>
      </c>
    </row>
    <row r="969" customFormat="false" ht="15" hidden="false" customHeight="false" outlineLevel="0" collapsed="false">
      <c r="A969" s="33" t="s">
        <v>2020</v>
      </c>
      <c r="B969" s="34" t="n">
        <v>45460</v>
      </c>
      <c r="C969" s="34" t="n">
        <v>45464</v>
      </c>
      <c r="D969" s="33" t="n">
        <v>49</v>
      </c>
      <c r="E969" s="33" t="s">
        <v>139</v>
      </c>
      <c r="F969" s="33" t="s">
        <v>181</v>
      </c>
      <c r="G969" s="33" t="s">
        <v>188</v>
      </c>
      <c r="H969" s="33" t="s">
        <v>183</v>
      </c>
      <c r="I969" s="33" t="s">
        <v>158</v>
      </c>
      <c r="J969" s="33" t="s">
        <v>159</v>
      </c>
      <c r="K969" s="33" t="s">
        <v>145</v>
      </c>
      <c r="L969" s="35" t="n">
        <v>11381.74</v>
      </c>
      <c r="M969" s="33" t="n">
        <v>4</v>
      </c>
      <c r="N969" s="33" t="s">
        <v>146</v>
      </c>
      <c r="O969" s="33" t="s">
        <v>147</v>
      </c>
      <c r="P969" s="39" t="n">
        <f aca="false">C969-B969</f>
        <v>4</v>
      </c>
      <c r="Q969" s="40" t="str">
        <f aca="false">CHOOSE(MONTH(B969),"يناير","فبراير","مارس","أبريل","مايو","يونيو","يوليو","أغسطس","سبتمبر","أكتوبر","نوفمبر","ديسمبر")</f>
        <v>يونيو</v>
      </c>
      <c r="R969" s="40" t="str">
        <f aca="false">"الربع "&amp;ROUNDUP(MONTH(B969)/3,0)</f>
        <v>الربع 2</v>
      </c>
      <c r="S969" s="40" t="str">
        <f aca="false">IF(D969&lt;=12,"أطفال (0-12)",IF(D969&lt;=24,"شباب (13-24)",IF(D969&lt;=44,"بالغون (25-44)",IF(D969&lt;=64,"متوسطو العمر (45-64)","كبار السن (+65)"))))</f>
        <v>متوسطو العمر (45-64)</v>
      </c>
      <c r="T969" s="41" t="n">
        <f aca="false">IFERROR(L969/P969,0)</f>
        <v>2845.435</v>
      </c>
    </row>
    <row r="970" customFormat="false" ht="15" hidden="false" customHeight="false" outlineLevel="0" collapsed="false">
      <c r="A970" s="42" t="s">
        <v>1297</v>
      </c>
      <c r="B970" s="43" t="n">
        <v>45461</v>
      </c>
      <c r="C970" s="43" t="n">
        <v>45463</v>
      </c>
      <c r="D970" s="42" t="n">
        <v>24</v>
      </c>
      <c r="E970" s="42" t="s">
        <v>139</v>
      </c>
      <c r="F970" s="42" t="s">
        <v>149</v>
      </c>
      <c r="G970" s="42" t="s">
        <v>243</v>
      </c>
      <c r="H970" s="42" t="s">
        <v>186</v>
      </c>
      <c r="I970" s="42" t="s">
        <v>158</v>
      </c>
      <c r="J970" s="42" t="s">
        <v>176</v>
      </c>
      <c r="K970" s="42" t="s">
        <v>145</v>
      </c>
      <c r="L970" s="44" t="n">
        <v>9735.28</v>
      </c>
      <c r="M970" s="42" t="n">
        <v>3</v>
      </c>
      <c r="N970" s="42" t="s">
        <v>146</v>
      </c>
      <c r="O970" s="42" t="s">
        <v>147</v>
      </c>
      <c r="P970" s="39" t="n">
        <f aca="false">C970-B970</f>
        <v>2</v>
      </c>
      <c r="Q970" s="40" t="str">
        <f aca="false">CHOOSE(MONTH(B970),"يناير","فبراير","مارس","أبريل","مايو","يونيو","يوليو","أغسطس","سبتمبر","أكتوبر","نوفمبر","ديسمبر")</f>
        <v>يونيو</v>
      </c>
      <c r="R970" s="40" t="str">
        <f aca="false">"الربع "&amp;ROUNDUP(MONTH(B970)/3,0)</f>
        <v>الربع 2</v>
      </c>
      <c r="S970" s="40" t="str">
        <f aca="false">IF(D970&lt;=12,"أطفال (0-12)",IF(D970&lt;=24,"شباب (13-24)",IF(D970&lt;=44,"بالغون (25-44)",IF(D970&lt;=64,"متوسطو العمر (45-64)","كبار السن (+65)"))))</f>
        <v>شباب (13-24)</v>
      </c>
      <c r="T970" s="41" t="n">
        <f aca="false">IFERROR(L970/P970,0)</f>
        <v>4867.64</v>
      </c>
    </row>
    <row r="971" customFormat="false" ht="15" hidden="false" customHeight="false" outlineLevel="0" collapsed="false">
      <c r="A971" s="33" t="s">
        <v>1355</v>
      </c>
      <c r="B971" s="34" t="n">
        <v>45461</v>
      </c>
      <c r="C971" s="34" t="n">
        <v>45465</v>
      </c>
      <c r="D971" s="33" t="n">
        <v>63</v>
      </c>
      <c r="E971" s="33" t="s">
        <v>139</v>
      </c>
      <c r="F971" s="33" t="s">
        <v>181</v>
      </c>
      <c r="G971" s="33" t="s">
        <v>182</v>
      </c>
      <c r="H971" s="33" t="s">
        <v>183</v>
      </c>
      <c r="I971" s="33" t="s">
        <v>143</v>
      </c>
      <c r="J971" s="33" t="s">
        <v>159</v>
      </c>
      <c r="K971" s="33" t="s">
        <v>145</v>
      </c>
      <c r="L971" s="35" t="n">
        <v>9685.65</v>
      </c>
      <c r="M971" s="33" t="n">
        <v>3</v>
      </c>
      <c r="N971" s="33" t="s">
        <v>210</v>
      </c>
      <c r="O971" s="33" t="s">
        <v>147</v>
      </c>
      <c r="P971" s="39" t="n">
        <f aca="false">C971-B971</f>
        <v>4</v>
      </c>
      <c r="Q971" s="40" t="str">
        <f aca="false">CHOOSE(MONTH(B971),"يناير","فبراير","مارس","أبريل","مايو","يونيو","يوليو","أغسطس","سبتمبر","أكتوبر","نوفمبر","ديسمبر")</f>
        <v>يونيو</v>
      </c>
      <c r="R971" s="40" t="str">
        <f aca="false">"الربع "&amp;ROUNDUP(MONTH(B971)/3,0)</f>
        <v>الربع 2</v>
      </c>
      <c r="S971" s="40" t="str">
        <f aca="false">IF(D971&lt;=12,"أطفال (0-12)",IF(D971&lt;=24,"شباب (13-24)",IF(D971&lt;=44,"بالغون (25-44)",IF(D971&lt;=64,"متوسطو العمر (45-64)","كبار السن (+65)"))))</f>
        <v>متوسطو العمر (45-64)</v>
      </c>
      <c r="T971" s="41" t="n">
        <f aca="false">IFERROR(L971/P971,0)</f>
        <v>2421.4125</v>
      </c>
    </row>
    <row r="972" customFormat="false" ht="15" hidden="false" customHeight="false" outlineLevel="0" collapsed="false">
      <c r="A972" s="42" t="s">
        <v>2146</v>
      </c>
      <c r="B972" s="43" t="n">
        <v>45461</v>
      </c>
      <c r="C972" s="43" t="n">
        <v>45462</v>
      </c>
      <c r="D972" s="42" t="n">
        <v>8</v>
      </c>
      <c r="E972" s="42" t="s">
        <v>154</v>
      </c>
      <c r="F972" s="42" t="s">
        <v>155</v>
      </c>
      <c r="G972" s="42" t="s">
        <v>302</v>
      </c>
      <c r="H972" s="42" t="s">
        <v>157</v>
      </c>
      <c r="I972" s="42" t="s">
        <v>143</v>
      </c>
      <c r="J972" s="42" t="s">
        <v>144</v>
      </c>
      <c r="K972" s="42" t="s">
        <v>160</v>
      </c>
      <c r="L972" s="44" t="n">
        <v>1416.53</v>
      </c>
      <c r="M972" s="42" t="n">
        <v>3</v>
      </c>
      <c r="N972" s="42" t="s">
        <v>146</v>
      </c>
      <c r="O972" s="42" t="s">
        <v>147</v>
      </c>
      <c r="P972" s="39" t="n">
        <f aca="false">C972-B972</f>
        <v>1</v>
      </c>
      <c r="Q972" s="40" t="str">
        <f aca="false">CHOOSE(MONTH(B972),"يناير","فبراير","مارس","أبريل","مايو","يونيو","يوليو","أغسطس","سبتمبر","أكتوبر","نوفمبر","ديسمبر")</f>
        <v>يونيو</v>
      </c>
      <c r="R972" s="40" t="str">
        <f aca="false">"الربع "&amp;ROUNDUP(MONTH(B972)/3,0)</f>
        <v>الربع 2</v>
      </c>
      <c r="S972" s="40" t="str">
        <f aca="false">IF(D972&lt;=12,"أطفال (0-12)",IF(D972&lt;=24,"شباب (13-24)",IF(D972&lt;=44,"بالغون (25-44)",IF(D972&lt;=64,"متوسطو العمر (45-64)","كبار السن (+65)"))))</f>
        <v>أطفال (0-12)</v>
      </c>
      <c r="T972" s="41" t="n">
        <f aca="false">IFERROR(L972/P972,0)</f>
        <v>1416.53</v>
      </c>
    </row>
    <row r="973" customFormat="false" ht="15" hidden="false" customHeight="false" outlineLevel="0" collapsed="false">
      <c r="A973" s="33" t="s">
        <v>2320</v>
      </c>
      <c r="B973" s="34" t="n">
        <v>45461</v>
      </c>
      <c r="C973" s="34" t="n">
        <v>45476</v>
      </c>
      <c r="D973" s="33" t="n">
        <v>62</v>
      </c>
      <c r="E973" s="33" t="s">
        <v>154</v>
      </c>
      <c r="F973" s="33" t="s">
        <v>226</v>
      </c>
      <c r="G973" s="33" t="s">
        <v>386</v>
      </c>
      <c r="H973" s="33" t="s">
        <v>263</v>
      </c>
      <c r="I973" s="33" t="s">
        <v>143</v>
      </c>
      <c r="J973" s="33" t="s">
        <v>144</v>
      </c>
      <c r="K973" s="33" t="s">
        <v>145</v>
      </c>
      <c r="L973" s="35" t="n">
        <v>87514.03</v>
      </c>
      <c r="M973" s="33" t="n">
        <v>4</v>
      </c>
      <c r="N973" s="33" t="s">
        <v>146</v>
      </c>
      <c r="O973" s="33" t="s">
        <v>147</v>
      </c>
      <c r="P973" s="39" t="n">
        <f aca="false">C973-B973</f>
        <v>15</v>
      </c>
      <c r="Q973" s="40" t="str">
        <f aca="false">CHOOSE(MONTH(B973),"يناير","فبراير","مارس","أبريل","مايو","يونيو","يوليو","أغسطس","سبتمبر","أكتوبر","نوفمبر","ديسمبر")</f>
        <v>يونيو</v>
      </c>
      <c r="R973" s="40" t="str">
        <f aca="false">"الربع "&amp;ROUNDUP(MONTH(B973)/3,0)</f>
        <v>الربع 2</v>
      </c>
      <c r="S973" s="40" t="str">
        <f aca="false">IF(D973&lt;=12,"أطفال (0-12)",IF(D973&lt;=24,"شباب (13-24)",IF(D973&lt;=44,"بالغون (25-44)",IF(D973&lt;=64,"متوسطو العمر (45-64)","كبار السن (+65)"))))</f>
        <v>متوسطو العمر (45-64)</v>
      </c>
      <c r="T973" s="41" t="n">
        <f aca="false">IFERROR(L973/P973,0)</f>
        <v>5834.26866666667</v>
      </c>
    </row>
    <row r="974" customFormat="false" ht="15" hidden="false" customHeight="false" outlineLevel="0" collapsed="false">
      <c r="A974" s="42" t="s">
        <v>214</v>
      </c>
      <c r="B974" s="43" t="n">
        <v>45461</v>
      </c>
      <c r="C974" s="43" t="n">
        <v>45464</v>
      </c>
      <c r="D974" s="42" t="n">
        <v>43</v>
      </c>
      <c r="E974" s="42" t="s">
        <v>139</v>
      </c>
      <c r="F974" s="42" t="s">
        <v>173</v>
      </c>
      <c r="G974" s="42" t="s">
        <v>174</v>
      </c>
      <c r="H974" s="42" t="s">
        <v>199</v>
      </c>
      <c r="I974" s="42" t="s">
        <v>152</v>
      </c>
      <c r="J974" s="42" t="s">
        <v>159</v>
      </c>
      <c r="K974" s="42" t="s">
        <v>145</v>
      </c>
      <c r="L974" s="44" t="n">
        <v>8193.12</v>
      </c>
      <c r="M974" s="42" t="n">
        <v>4</v>
      </c>
      <c r="N974" s="42" t="s">
        <v>146</v>
      </c>
      <c r="O974" s="42" t="s">
        <v>147</v>
      </c>
      <c r="P974" s="39" t="n">
        <f aca="false">C974-B974</f>
        <v>3</v>
      </c>
      <c r="Q974" s="40" t="str">
        <f aca="false">CHOOSE(MONTH(B974),"يناير","فبراير","مارس","أبريل","مايو","يونيو","يوليو","أغسطس","سبتمبر","أكتوبر","نوفمبر","ديسمبر")</f>
        <v>يونيو</v>
      </c>
      <c r="R974" s="40" t="str">
        <f aca="false">"الربع "&amp;ROUNDUP(MONTH(B974)/3,0)</f>
        <v>الربع 2</v>
      </c>
      <c r="S974" s="40" t="str">
        <f aca="false">IF(D974&lt;=12,"أطفال (0-12)",IF(D974&lt;=24,"شباب (13-24)",IF(D974&lt;=44,"بالغون (25-44)",IF(D974&lt;=64,"متوسطو العمر (45-64)","كبار السن (+65)"))))</f>
        <v>بالغون (25-44)</v>
      </c>
      <c r="T974" s="41" t="n">
        <f aca="false">IFERROR(L974/P974,0)</f>
        <v>2731.04</v>
      </c>
    </row>
    <row r="975" customFormat="false" ht="15" hidden="false" customHeight="false" outlineLevel="0" collapsed="false">
      <c r="A975" s="33" t="s">
        <v>952</v>
      </c>
      <c r="B975" s="34" t="n">
        <v>45461</v>
      </c>
      <c r="C975" s="34" t="n">
        <v>45463</v>
      </c>
      <c r="D975" s="33" t="n">
        <v>50</v>
      </c>
      <c r="E975" s="33" t="s">
        <v>139</v>
      </c>
      <c r="F975" s="33" t="s">
        <v>140</v>
      </c>
      <c r="G975" s="33" t="s">
        <v>167</v>
      </c>
      <c r="H975" s="33" t="s">
        <v>290</v>
      </c>
      <c r="I975" s="33" t="s">
        <v>152</v>
      </c>
      <c r="J975" s="33" t="s">
        <v>159</v>
      </c>
      <c r="K975" s="33" t="s">
        <v>209</v>
      </c>
      <c r="L975" s="35" t="n">
        <v>4097.68</v>
      </c>
      <c r="M975" s="33" t="n">
        <v>3</v>
      </c>
      <c r="N975" s="33" t="s">
        <v>146</v>
      </c>
      <c r="O975" s="33" t="s">
        <v>147</v>
      </c>
      <c r="P975" s="39" t="n">
        <f aca="false">C975-B975</f>
        <v>2</v>
      </c>
      <c r="Q975" s="40" t="str">
        <f aca="false">CHOOSE(MONTH(B975),"يناير","فبراير","مارس","أبريل","مايو","يونيو","يوليو","أغسطس","سبتمبر","أكتوبر","نوفمبر","ديسمبر")</f>
        <v>يونيو</v>
      </c>
      <c r="R975" s="40" t="str">
        <f aca="false">"الربع "&amp;ROUNDUP(MONTH(B975)/3,0)</f>
        <v>الربع 2</v>
      </c>
      <c r="S975" s="40" t="str">
        <f aca="false">IF(D975&lt;=12,"أطفال (0-12)",IF(D975&lt;=24,"شباب (13-24)",IF(D975&lt;=44,"بالغون (25-44)",IF(D975&lt;=64,"متوسطو العمر (45-64)","كبار السن (+65)"))))</f>
        <v>متوسطو العمر (45-64)</v>
      </c>
      <c r="T975" s="41" t="n">
        <f aca="false">IFERROR(L975/P975,0)</f>
        <v>2048.84</v>
      </c>
    </row>
    <row r="976" customFormat="false" ht="15" hidden="false" customHeight="false" outlineLevel="0" collapsed="false">
      <c r="A976" s="42" t="s">
        <v>945</v>
      </c>
      <c r="B976" s="43" t="n">
        <v>45462</v>
      </c>
      <c r="C976" s="43" t="n">
        <v>45463</v>
      </c>
      <c r="D976" s="42" t="n">
        <v>52</v>
      </c>
      <c r="E976" s="42" t="s">
        <v>154</v>
      </c>
      <c r="F976" s="42" t="s">
        <v>203</v>
      </c>
      <c r="G976" s="42" t="s">
        <v>217</v>
      </c>
      <c r="H976" s="42" t="s">
        <v>205</v>
      </c>
      <c r="I976" s="42" t="s">
        <v>143</v>
      </c>
      <c r="J976" s="42" t="s">
        <v>159</v>
      </c>
      <c r="K976" s="42" t="s">
        <v>160</v>
      </c>
      <c r="L976" s="44" t="n">
        <v>1133.17</v>
      </c>
      <c r="M976" s="42" t="n">
        <v>4</v>
      </c>
      <c r="N976" s="42" t="s">
        <v>146</v>
      </c>
      <c r="O976" s="42" t="s">
        <v>147</v>
      </c>
      <c r="P976" s="39" t="n">
        <f aca="false">C976-B976</f>
        <v>1</v>
      </c>
      <c r="Q976" s="40" t="str">
        <f aca="false">CHOOSE(MONTH(B976),"يناير","فبراير","مارس","أبريل","مايو","يونيو","يوليو","أغسطس","سبتمبر","أكتوبر","نوفمبر","ديسمبر")</f>
        <v>يونيو</v>
      </c>
      <c r="R976" s="40" t="str">
        <f aca="false">"الربع "&amp;ROUNDUP(MONTH(B976)/3,0)</f>
        <v>الربع 2</v>
      </c>
      <c r="S976" s="40" t="str">
        <f aca="false">IF(D976&lt;=12,"أطفال (0-12)",IF(D976&lt;=24,"شباب (13-24)",IF(D976&lt;=44,"بالغون (25-44)",IF(D976&lt;=64,"متوسطو العمر (45-64)","كبار السن (+65)"))))</f>
        <v>متوسطو العمر (45-64)</v>
      </c>
      <c r="T976" s="41" t="n">
        <f aca="false">IFERROR(L976/P976,0)</f>
        <v>1133.17</v>
      </c>
    </row>
    <row r="977" customFormat="false" ht="15" hidden="false" customHeight="false" outlineLevel="0" collapsed="false">
      <c r="A977" s="33" t="s">
        <v>1174</v>
      </c>
      <c r="B977" s="34" t="n">
        <v>45462</v>
      </c>
      <c r="C977" s="34" t="n">
        <v>45463</v>
      </c>
      <c r="D977" s="33" t="n">
        <v>21</v>
      </c>
      <c r="E977" s="33" t="s">
        <v>139</v>
      </c>
      <c r="F977" s="33" t="s">
        <v>149</v>
      </c>
      <c r="G977" s="33" t="s">
        <v>150</v>
      </c>
      <c r="H977" s="33" t="s">
        <v>186</v>
      </c>
      <c r="I977" s="33" t="s">
        <v>143</v>
      </c>
      <c r="J977" s="33" t="s">
        <v>159</v>
      </c>
      <c r="K977" s="33" t="s">
        <v>209</v>
      </c>
      <c r="L977" s="35" t="n">
        <v>1536.65</v>
      </c>
      <c r="M977" s="33" t="n">
        <v>3</v>
      </c>
      <c r="N977" s="33" t="s">
        <v>146</v>
      </c>
      <c r="O977" s="33" t="s">
        <v>147</v>
      </c>
      <c r="P977" s="39" t="n">
        <f aca="false">C977-B977</f>
        <v>1</v>
      </c>
      <c r="Q977" s="40" t="str">
        <f aca="false">CHOOSE(MONTH(B977),"يناير","فبراير","مارس","أبريل","مايو","يونيو","يوليو","أغسطس","سبتمبر","أكتوبر","نوفمبر","ديسمبر")</f>
        <v>يونيو</v>
      </c>
      <c r="R977" s="40" t="str">
        <f aca="false">"الربع "&amp;ROUNDUP(MONTH(B977)/3,0)</f>
        <v>الربع 2</v>
      </c>
      <c r="S977" s="40" t="str">
        <f aca="false">IF(D977&lt;=12,"أطفال (0-12)",IF(D977&lt;=24,"شباب (13-24)",IF(D977&lt;=44,"بالغون (25-44)",IF(D977&lt;=64,"متوسطو العمر (45-64)","كبار السن (+65)"))))</f>
        <v>شباب (13-24)</v>
      </c>
      <c r="T977" s="41" t="n">
        <f aca="false">IFERROR(L977/P977,0)</f>
        <v>1536.65</v>
      </c>
    </row>
    <row r="978" customFormat="false" ht="15" hidden="false" customHeight="false" outlineLevel="0" collapsed="false">
      <c r="A978" s="42" t="s">
        <v>1764</v>
      </c>
      <c r="B978" s="43" t="n">
        <v>45462</v>
      </c>
      <c r="C978" s="43" t="n">
        <v>45463</v>
      </c>
      <c r="D978" s="42" t="n">
        <v>6</v>
      </c>
      <c r="E978" s="42" t="s">
        <v>139</v>
      </c>
      <c r="F978" s="42" t="s">
        <v>155</v>
      </c>
      <c r="G978" s="42" t="s">
        <v>156</v>
      </c>
      <c r="H978" s="42" t="s">
        <v>222</v>
      </c>
      <c r="I978" s="42" t="s">
        <v>152</v>
      </c>
      <c r="J978" s="42" t="s">
        <v>144</v>
      </c>
      <c r="K978" s="42" t="s">
        <v>145</v>
      </c>
      <c r="L978" s="44" t="n">
        <v>1421.01</v>
      </c>
      <c r="M978" s="42" t="n">
        <v>4</v>
      </c>
      <c r="N978" s="42" t="s">
        <v>146</v>
      </c>
      <c r="O978" s="42" t="s">
        <v>147</v>
      </c>
      <c r="P978" s="39" t="n">
        <f aca="false">C978-B978</f>
        <v>1</v>
      </c>
      <c r="Q978" s="40" t="str">
        <f aca="false">CHOOSE(MONTH(B978),"يناير","فبراير","مارس","أبريل","مايو","يونيو","يوليو","أغسطس","سبتمبر","أكتوبر","نوفمبر","ديسمبر")</f>
        <v>يونيو</v>
      </c>
      <c r="R978" s="40" t="str">
        <f aca="false">"الربع "&amp;ROUNDUP(MONTH(B978)/3,0)</f>
        <v>الربع 2</v>
      </c>
      <c r="S978" s="40" t="str">
        <f aca="false">IF(D978&lt;=12,"أطفال (0-12)",IF(D978&lt;=24,"شباب (13-24)",IF(D978&lt;=44,"بالغون (25-44)",IF(D978&lt;=64,"متوسطو العمر (45-64)","كبار السن (+65)"))))</f>
        <v>أطفال (0-12)</v>
      </c>
      <c r="T978" s="41" t="n">
        <f aca="false">IFERROR(L978/P978,0)</f>
        <v>1421.01</v>
      </c>
    </row>
    <row r="979" customFormat="false" ht="15" hidden="false" customHeight="false" outlineLevel="0" collapsed="false">
      <c r="A979" s="33" t="s">
        <v>1251</v>
      </c>
      <c r="B979" s="34" t="n">
        <v>45462</v>
      </c>
      <c r="C979" s="34" t="n">
        <v>45466</v>
      </c>
      <c r="D979" s="33" t="n">
        <v>53</v>
      </c>
      <c r="E979" s="33" t="s">
        <v>139</v>
      </c>
      <c r="F979" s="33" t="s">
        <v>203</v>
      </c>
      <c r="G979" s="33" t="s">
        <v>204</v>
      </c>
      <c r="H979" s="33" t="s">
        <v>205</v>
      </c>
      <c r="I979" s="33" t="s">
        <v>143</v>
      </c>
      <c r="J979" s="33" t="s">
        <v>159</v>
      </c>
      <c r="K979" s="33" t="s">
        <v>145</v>
      </c>
      <c r="L979" s="35" t="n">
        <v>3255.43</v>
      </c>
      <c r="M979" s="33" t="n">
        <v>3</v>
      </c>
      <c r="N979" s="33" t="s">
        <v>146</v>
      </c>
      <c r="O979" s="33" t="s">
        <v>147</v>
      </c>
      <c r="P979" s="39" t="n">
        <f aca="false">C979-B979</f>
        <v>4</v>
      </c>
      <c r="Q979" s="40" t="str">
        <f aca="false">CHOOSE(MONTH(B979),"يناير","فبراير","مارس","أبريل","مايو","يونيو","يوليو","أغسطس","سبتمبر","أكتوبر","نوفمبر","ديسمبر")</f>
        <v>يونيو</v>
      </c>
      <c r="R979" s="40" t="str">
        <f aca="false">"الربع "&amp;ROUNDUP(MONTH(B979)/3,0)</f>
        <v>الربع 2</v>
      </c>
      <c r="S979" s="40" t="str">
        <f aca="false">IF(D979&lt;=12,"أطفال (0-12)",IF(D979&lt;=24,"شباب (13-24)",IF(D979&lt;=44,"بالغون (25-44)",IF(D979&lt;=64,"متوسطو العمر (45-64)","كبار السن (+65)"))))</f>
        <v>متوسطو العمر (45-64)</v>
      </c>
      <c r="T979" s="41" t="n">
        <f aca="false">IFERROR(L979/P979,0)</f>
        <v>813.8575</v>
      </c>
    </row>
    <row r="980" customFormat="false" ht="15" hidden="false" customHeight="false" outlineLevel="0" collapsed="false">
      <c r="A980" s="42" t="s">
        <v>1902</v>
      </c>
      <c r="B980" s="43" t="n">
        <v>45462</v>
      </c>
      <c r="C980" s="43" t="n">
        <v>45466</v>
      </c>
      <c r="D980" s="42" t="n">
        <v>28</v>
      </c>
      <c r="E980" s="42" t="s">
        <v>139</v>
      </c>
      <c r="F980" s="42" t="s">
        <v>173</v>
      </c>
      <c r="G980" s="42" t="s">
        <v>174</v>
      </c>
      <c r="H980" s="42" t="s">
        <v>175</v>
      </c>
      <c r="I980" s="42" t="s">
        <v>152</v>
      </c>
      <c r="J980" s="42" t="s">
        <v>144</v>
      </c>
      <c r="K980" s="42" t="s">
        <v>145</v>
      </c>
      <c r="L980" s="44" t="n">
        <v>19026</v>
      </c>
      <c r="M980" s="42" t="n">
        <v>3</v>
      </c>
      <c r="N980" s="42" t="s">
        <v>146</v>
      </c>
      <c r="O980" s="42" t="s">
        <v>295</v>
      </c>
      <c r="P980" s="39" t="n">
        <f aca="false">C980-B980</f>
        <v>4</v>
      </c>
      <c r="Q980" s="40" t="str">
        <f aca="false">CHOOSE(MONTH(B980),"يناير","فبراير","مارس","أبريل","مايو","يونيو","يوليو","أغسطس","سبتمبر","أكتوبر","نوفمبر","ديسمبر")</f>
        <v>يونيو</v>
      </c>
      <c r="R980" s="40" t="str">
        <f aca="false">"الربع "&amp;ROUNDUP(MONTH(B980)/3,0)</f>
        <v>الربع 2</v>
      </c>
      <c r="S980" s="40" t="str">
        <f aca="false">IF(D980&lt;=12,"أطفال (0-12)",IF(D980&lt;=24,"شباب (13-24)",IF(D980&lt;=44,"بالغون (25-44)",IF(D980&lt;=64,"متوسطو العمر (45-64)","كبار السن (+65)"))))</f>
        <v>بالغون (25-44)</v>
      </c>
      <c r="T980" s="41" t="n">
        <f aca="false">IFERROR(L980/P980,0)</f>
        <v>4756.5</v>
      </c>
    </row>
    <row r="981" customFormat="false" ht="15" hidden="false" customHeight="false" outlineLevel="0" collapsed="false">
      <c r="A981" s="33" t="s">
        <v>2253</v>
      </c>
      <c r="B981" s="34" t="n">
        <v>45462</v>
      </c>
      <c r="C981" s="34" t="n">
        <v>45463</v>
      </c>
      <c r="D981" s="33" t="n">
        <v>0</v>
      </c>
      <c r="E981" s="33" t="s">
        <v>139</v>
      </c>
      <c r="F981" s="33" t="s">
        <v>155</v>
      </c>
      <c r="G981" s="33" t="s">
        <v>156</v>
      </c>
      <c r="H981" s="33" t="s">
        <v>157</v>
      </c>
      <c r="I981" s="33" t="s">
        <v>152</v>
      </c>
      <c r="J981" s="33" t="s">
        <v>159</v>
      </c>
      <c r="K981" s="33" t="s">
        <v>209</v>
      </c>
      <c r="L981" s="35" t="n">
        <v>779.78</v>
      </c>
      <c r="M981" s="33" t="n">
        <v>5</v>
      </c>
      <c r="N981" s="33" t="s">
        <v>210</v>
      </c>
      <c r="O981" s="33" t="s">
        <v>147</v>
      </c>
      <c r="P981" s="39" t="n">
        <f aca="false">C981-B981</f>
        <v>1</v>
      </c>
      <c r="Q981" s="40" t="str">
        <f aca="false">CHOOSE(MONTH(B981),"يناير","فبراير","مارس","أبريل","مايو","يونيو","يوليو","أغسطس","سبتمبر","أكتوبر","نوفمبر","ديسمبر")</f>
        <v>يونيو</v>
      </c>
      <c r="R981" s="40" t="str">
        <f aca="false">"الربع "&amp;ROUNDUP(MONTH(B981)/3,0)</f>
        <v>الربع 2</v>
      </c>
      <c r="S981" s="40" t="str">
        <f aca="false">IF(D981&lt;=12,"أطفال (0-12)",IF(D981&lt;=24,"شباب (13-24)",IF(D981&lt;=44,"بالغون (25-44)",IF(D981&lt;=64,"متوسطو العمر (45-64)","كبار السن (+65)"))))</f>
        <v>أطفال (0-12)</v>
      </c>
      <c r="T981" s="41" t="n">
        <f aca="false">IFERROR(L981/P981,0)</f>
        <v>779.78</v>
      </c>
    </row>
    <row r="982" customFormat="false" ht="15" hidden="false" customHeight="false" outlineLevel="0" collapsed="false">
      <c r="A982" s="42" t="s">
        <v>2203</v>
      </c>
      <c r="B982" s="43" t="n">
        <v>45463</v>
      </c>
      <c r="C982" s="43" t="n">
        <v>45464</v>
      </c>
      <c r="D982" s="42" t="n">
        <v>56</v>
      </c>
      <c r="E982" s="42" t="s">
        <v>139</v>
      </c>
      <c r="F982" s="42" t="s">
        <v>203</v>
      </c>
      <c r="G982" s="42" t="s">
        <v>204</v>
      </c>
      <c r="H982" s="42" t="s">
        <v>233</v>
      </c>
      <c r="I982" s="42" t="s">
        <v>143</v>
      </c>
      <c r="J982" s="42" t="s">
        <v>159</v>
      </c>
      <c r="K982" s="42" t="s">
        <v>145</v>
      </c>
      <c r="L982" s="44" t="n">
        <v>894.63</v>
      </c>
      <c r="M982" s="42" t="n">
        <v>4</v>
      </c>
      <c r="N982" s="42" t="s">
        <v>146</v>
      </c>
      <c r="O982" s="42" t="s">
        <v>147</v>
      </c>
      <c r="P982" s="39" t="n">
        <f aca="false">C982-B982</f>
        <v>1</v>
      </c>
      <c r="Q982" s="40" t="str">
        <f aca="false">CHOOSE(MONTH(B982),"يناير","فبراير","مارس","أبريل","مايو","يونيو","يوليو","أغسطس","سبتمبر","أكتوبر","نوفمبر","ديسمبر")</f>
        <v>يونيو</v>
      </c>
      <c r="R982" s="40" t="str">
        <f aca="false">"الربع "&amp;ROUNDUP(MONTH(B982)/3,0)</f>
        <v>الربع 2</v>
      </c>
      <c r="S982" s="40" t="str">
        <f aca="false">IF(D982&lt;=12,"أطفال (0-12)",IF(D982&lt;=24,"شباب (13-24)",IF(D982&lt;=44,"بالغون (25-44)",IF(D982&lt;=64,"متوسطو العمر (45-64)","كبار السن (+65)"))))</f>
        <v>متوسطو العمر (45-64)</v>
      </c>
      <c r="T982" s="41" t="n">
        <f aca="false">IFERROR(L982/P982,0)</f>
        <v>894.63</v>
      </c>
    </row>
    <row r="983" customFormat="false" ht="15" hidden="false" customHeight="false" outlineLevel="0" collapsed="false">
      <c r="A983" s="33" t="s">
        <v>2311</v>
      </c>
      <c r="B983" s="34" t="n">
        <v>45463</v>
      </c>
      <c r="C983" s="34" t="n">
        <v>45470</v>
      </c>
      <c r="D983" s="33" t="n">
        <v>5</v>
      </c>
      <c r="E983" s="33" t="s">
        <v>154</v>
      </c>
      <c r="F983" s="33" t="s">
        <v>155</v>
      </c>
      <c r="G983" s="33" t="s">
        <v>156</v>
      </c>
      <c r="H983" s="33" t="s">
        <v>222</v>
      </c>
      <c r="I983" s="33" t="s">
        <v>152</v>
      </c>
      <c r="J983" s="33" t="s">
        <v>144</v>
      </c>
      <c r="K983" s="33" t="s">
        <v>145</v>
      </c>
      <c r="L983" s="35" t="n">
        <v>12557.17</v>
      </c>
      <c r="M983" s="33" t="n">
        <v>5</v>
      </c>
      <c r="N983" s="33" t="s">
        <v>146</v>
      </c>
      <c r="O983" s="33" t="s">
        <v>147</v>
      </c>
      <c r="P983" s="39" t="n">
        <f aca="false">C983-B983</f>
        <v>7</v>
      </c>
      <c r="Q983" s="40" t="str">
        <f aca="false">CHOOSE(MONTH(B983),"يناير","فبراير","مارس","أبريل","مايو","يونيو","يوليو","أغسطس","سبتمبر","أكتوبر","نوفمبر","ديسمبر")</f>
        <v>يونيو</v>
      </c>
      <c r="R983" s="40" t="str">
        <f aca="false">"الربع "&amp;ROUNDUP(MONTH(B983)/3,0)</f>
        <v>الربع 2</v>
      </c>
      <c r="S983" s="40" t="str">
        <f aca="false">IF(D983&lt;=12,"أطفال (0-12)",IF(D983&lt;=24,"شباب (13-24)",IF(D983&lt;=44,"بالغون (25-44)",IF(D983&lt;=64,"متوسطو العمر (45-64)","كبار السن (+65)"))))</f>
        <v>أطفال (0-12)</v>
      </c>
      <c r="T983" s="41" t="n">
        <f aca="false">IFERROR(L983/P983,0)</f>
        <v>1793.88142857143</v>
      </c>
    </row>
    <row r="984" customFormat="false" ht="15" hidden="false" customHeight="false" outlineLevel="0" collapsed="false">
      <c r="A984" s="42" t="s">
        <v>2246</v>
      </c>
      <c r="B984" s="43" t="n">
        <v>45463</v>
      </c>
      <c r="C984" s="43" t="n">
        <v>45469</v>
      </c>
      <c r="D984" s="42" t="n">
        <v>55</v>
      </c>
      <c r="E984" s="42" t="s">
        <v>139</v>
      </c>
      <c r="F984" s="42" t="s">
        <v>140</v>
      </c>
      <c r="G984" s="42" t="s">
        <v>167</v>
      </c>
      <c r="H984" s="42" t="s">
        <v>290</v>
      </c>
      <c r="I984" s="42" t="s">
        <v>143</v>
      </c>
      <c r="J984" s="42" t="s">
        <v>159</v>
      </c>
      <c r="K984" s="42" t="s">
        <v>160</v>
      </c>
      <c r="L984" s="44" t="n">
        <v>11271.65</v>
      </c>
      <c r="M984" s="42" t="n">
        <v>4</v>
      </c>
      <c r="N984" s="42" t="s">
        <v>210</v>
      </c>
      <c r="O984" s="42" t="s">
        <v>247</v>
      </c>
      <c r="P984" s="39" t="n">
        <f aca="false">C984-B984</f>
        <v>6</v>
      </c>
      <c r="Q984" s="40" t="str">
        <f aca="false">CHOOSE(MONTH(B984),"يناير","فبراير","مارس","أبريل","مايو","يونيو","يوليو","أغسطس","سبتمبر","أكتوبر","نوفمبر","ديسمبر")</f>
        <v>يونيو</v>
      </c>
      <c r="R984" s="40" t="str">
        <f aca="false">"الربع "&amp;ROUNDUP(MONTH(B984)/3,0)</f>
        <v>الربع 2</v>
      </c>
      <c r="S984" s="40" t="str">
        <f aca="false">IF(D984&lt;=12,"أطفال (0-12)",IF(D984&lt;=24,"شباب (13-24)",IF(D984&lt;=44,"بالغون (25-44)",IF(D984&lt;=64,"متوسطو العمر (45-64)","كبار السن (+65)"))))</f>
        <v>متوسطو العمر (45-64)</v>
      </c>
      <c r="T984" s="41" t="n">
        <f aca="false">IFERROR(L984/P984,0)</f>
        <v>1878.60833333333</v>
      </c>
    </row>
    <row r="985" customFormat="false" ht="15" hidden="false" customHeight="false" outlineLevel="0" collapsed="false">
      <c r="A985" s="33" t="s">
        <v>2090</v>
      </c>
      <c r="B985" s="34" t="n">
        <v>45463</v>
      </c>
      <c r="C985" s="34" t="n">
        <v>45465</v>
      </c>
      <c r="D985" s="33" t="n">
        <v>10</v>
      </c>
      <c r="E985" s="33" t="s">
        <v>154</v>
      </c>
      <c r="F985" s="33" t="s">
        <v>155</v>
      </c>
      <c r="G985" s="33" t="s">
        <v>220</v>
      </c>
      <c r="H985" s="33" t="s">
        <v>222</v>
      </c>
      <c r="I985" s="33" t="s">
        <v>158</v>
      </c>
      <c r="J985" s="33" t="s">
        <v>176</v>
      </c>
      <c r="K985" s="33" t="s">
        <v>184</v>
      </c>
      <c r="L985" s="35" t="n">
        <v>5802.45</v>
      </c>
      <c r="M985" s="33" t="n">
        <v>4</v>
      </c>
      <c r="N985" s="33" t="s">
        <v>146</v>
      </c>
      <c r="O985" s="33" t="s">
        <v>247</v>
      </c>
      <c r="P985" s="39" t="n">
        <f aca="false">C985-B985</f>
        <v>2</v>
      </c>
      <c r="Q985" s="40" t="str">
        <f aca="false">CHOOSE(MONTH(B985),"يناير","فبراير","مارس","أبريل","مايو","يونيو","يوليو","أغسطس","سبتمبر","أكتوبر","نوفمبر","ديسمبر")</f>
        <v>يونيو</v>
      </c>
      <c r="R985" s="40" t="str">
        <f aca="false">"الربع "&amp;ROUNDUP(MONTH(B985)/3,0)</f>
        <v>الربع 2</v>
      </c>
      <c r="S985" s="40" t="str">
        <f aca="false">IF(D985&lt;=12,"أطفال (0-12)",IF(D985&lt;=24,"شباب (13-24)",IF(D985&lt;=44,"بالغون (25-44)",IF(D985&lt;=64,"متوسطو العمر (45-64)","كبار السن (+65)"))))</f>
        <v>أطفال (0-12)</v>
      </c>
      <c r="T985" s="41" t="n">
        <f aca="false">IFERROR(L985/P985,0)</f>
        <v>2901.225</v>
      </c>
    </row>
    <row r="986" customFormat="false" ht="15" hidden="false" customHeight="false" outlineLevel="0" collapsed="false">
      <c r="A986" s="42" t="s">
        <v>1065</v>
      </c>
      <c r="B986" s="43" t="n">
        <v>45463</v>
      </c>
      <c r="C986" s="43" t="n">
        <v>45465</v>
      </c>
      <c r="D986" s="42" t="n">
        <v>35</v>
      </c>
      <c r="E986" s="42" t="s">
        <v>154</v>
      </c>
      <c r="F986" s="42" t="s">
        <v>203</v>
      </c>
      <c r="G986" s="42" t="s">
        <v>204</v>
      </c>
      <c r="H986" s="42" t="s">
        <v>193</v>
      </c>
      <c r="I986" s="42" t="s">
        <v>143</v>
      </c>
      <c r="J986" s="42" t="s">
        <v>159</v>
      </c>
      <c r="K986" s="42" t="s">
        <v>145</v>
      </c>
      <c r="L986" s="44" t="n">
        <v>2015.44</v>
      </c>
      <c r="M986" s="42" t="n">
        <v>5</v>
      </c>
      <c r="N986" s="42" t="s">
        <v>146</v>
      </c>
      <c r="O986" s="42" t="s">
        <v>147</v>
      </c>
      <c r="P986" s="39" t="n">
        <f aca="false">C986-B986</f>
        <v>2</v>
      </c>
      <c r="Q986" s="40" t="str">
        <f aca="false">CHOOSE(MONTH(B986),"يناير","فبراير","مارس","أبريل","مايو","يونيو","يوليو","أغسطس","سبتمبر","أكتوبر","نوفمبر","ديسمبر")</f>
        <v>يونيو</v>
      </c>
      <c r="R986" s="40" t="str">
        <f aca="false">"الربع "&amp;ROUNDUP(MONTH(B986)/3,0)</f>
        <v>الربع 2</v>
      </c>
      <c r="S986" s="40" t="str">
        <f aca="false">IF(D986&lt;=12,"أطفال (0-12)",IF(D986&lt;=24,"شباب (13-24)",IF(D986&lt;=44,"بالغون (25-44)",IF(D986&lt;=64,"متوسطو العمر (45-64)","كبار السن (+65)"))))</f>
        <v>بالغون (25-44)</v>
      </c>
      <c r="T986" s="41" t="n">
        <f aca="false">IFERROR(L986/P986,0)</f>
        <v>1007.72</v>
      </c>
    </row>
    <row r="987" customFormat="false" ht="15" hidden="false" customHeight="false" outlineLevel="0" collapsed="false">
      <c r="A987" s="33" t="s">
        <v>603</v>
      </c>
      <c r="B987" s="34" t="n">
        <v>45463</v>
      </c>
      <c r="C987" s="34" t="n">
        <v>45468</v>
      </c>
      <c r="D987" s="33" t="n">
        <v>8</v>
      </c>
      <c r="E987" s="33" t="s">
        <v>154</v>
      </c>
      <c r="F987" s="33" t="s">
        <v>155</v>
      </c>
      <c r="G987" s="33" t="s">
        <v>302</v>
      </c>
      <c r="H987" s="33" t="s">
        <v>222</v>
      </c>
      <c r="I987" s="33" t="s">
        <v>152</v>
      </c>
      <c r="J987" s="33" t="s">
        <v>159</v>
      </c>
      <c r="K987" s="33" t="s">
        <v>145</v>
      </c>
      <c r="L987" s="35" t="n">
        <v>3751.92</v>
      </c>
      <c r="M987" s="33" t="n">
        <v>5</v>
      </c>
      <c r="N987" s="33" t="s">
        <v>146</v>
      </c>
      <c r="O987" s="33" t="s">
        <v>206</v>
      </c>
      <c r="P987" s="39" t="n">
        <f aca="false">C987-B987</f>
        <v>5</v>
      </c>
      <c r="Q987" s="40" t="str">
        <f aca="false">CHOOSE(MONTH(B987),"يناير","فبراير","مارس","أبريل","مايو","يونيو","يوليو","أغسطس","سبتمبر","أكتوبر","نوفمبر","ديسمبر")</f>
        <v>يونيو</v>
      </c>
      <c r="R987" s="40" t="str">
        <f aca="false">"الربع "&amp;ROUNDUP(MONTH(B987)/3,0)</f>
        <v>الربع 2</v>
      </c>
      <c r="S987" s="40" t="str">
        <f aca="false">IF(D987&lt;=12,"أطفال (0-12)",IF(D987&lt;=24,"شباب (13-24)",IF(D987&lt;=44,"بالغون (25-44)",IF(D987&lt;=64,"متوسطو العمر (45-64)","كبار السن (+65)"))))</f>
        <v>أطفال (0-12)</v>
      </c>
      <c r="T987" s="41" t="n">
        <f aca="false">IFERROR(L987/P987,0)</f>
        <v>750.384</v>
      </c>
    </row>
    <row r="988" customFormat="false" ht="15" hidden="false" customHeight="false" outlineLevel="0" collapsed="false">
      <c r="A988" s="42" t="s">
        <v>2070</v>
      </c>
      <c r="B988" s="43" t="n">
        <v>45463</v>
      </c>
      <c r="C988" s="43" t="n">
        <v>45467</v>
      </c>
      <c r="D988" s="42" t="n">
        <v>28</v>
      </c>
      <c r="E988" s="42" t="s">
        <v>139</v>
      </c>
      <c r="F988" s="42" t="s">
        <v>149</v>
      </c>
      <c r="G988" s="42" t="s">
        <v>150</v>
      </c>
      <c r="H988" s="42" t="s">
        <v>151</v>
      </c>
      <c r="I988" s="42" t="s">
        <v>143</v>
      </c>
      <c r="J988" s="42" t="s">
        <v>159</v>
      </c>
      <c r="K988" s="42" t="s">
        <v>184</v>
      </c>
      <c r="L988" s="44" t="n">
        <v>6174.94</v>
      </c>
      <c r="M988" s="42" t="n">
        <v>3</v>
      </c>
      <c r="N988" s="42" t="s">
        <v>146</v>
      </c>
      <c r="O988" s="42" t="s">
        <v>247</v>
      </c>
      <c r="P988" s="39" t="n">
        <f aca="false">C988-B988</f>
        <v>4</v>
      </c>
      <c r="Q988" s="40" t="str">
        <f aca="false">CHOOSE(MONTH(B988),"يناير","فبراير","مارس","أبريل","مايو","يونيو","يوليو","أغسطس","سبتمبر","أكتوبر","نوفمبر","ديسمبر")</f>
        <v>يونيو</v>
      </c>
      <c r="R988" s="40" t="str">
        <f aca="false">"الربع "&amp;ROUNDUP(MONTH(B988)/3,0)</f>
        <v>الربع 2</v>
      </c>
      <c r="S988" s="40" t="str">
        <f aca="false">IF(D988&lt;=12,"أطفال (0-12)",IF(D988&lt;=24,"شباب (13-24)",IF(D988&lt;=44,"بالغون (25-44)",IF(D988&lt;=64,"متوسطو العمر (45-64)","كبار السن (+65)"))))</f>
        <v>بالغون (25-44)</v>
      </c>
      <c r="T988" s="41" t="n">
        <f aca="false">IFERROR(L988/P988,0)</f>
        <v>1543.735</v>
      </c>
    </row>
    <row r="989" customFormat="false" ht="15" hidden="false" customHeight="false" outlineLevel="0" collapsed="false">
      <c r="A989" s="33" t="s">
        <v>1984</v>
      </c>
      <c r="B989" s="34" t="n">
        <v>45463</v>
      </c>
      <c r="C989" s="34" t="n">
        <v>45469</v>
      </c>
      <c r="D989" s="33" t="n">
        <v>72</v>
      </c>
      <c r="E989" s="33" t="s">
        <v>154</v>
      </c>
      <c r="F989" s="33" t="s">
        <v>140</v>
      </c>
      <c r="G989" s="33" t="s">
        <v>141</v>
      </c>
      <c r="H989" s="33" t="s">
        <v>142</v>
      </c>
      <c r="I989" s="33" t="s">
        <v>143</v>
      </c>
      <c r="J989" s="33" t="s">
        <v>159</v>
      </c>
      <c r="K989" s="33" t="s">
        <v>160</v>
      </c>
      <c r="L989" s="35" t="n">
        <v>10975.11</v>
      </c>
      <c r="M989" s="33" t="n">
        <v>4</v>
      </c>
      <c r="N989" s="33" t="s">
        <v>146</v>
      </c>
      <c r="O989" s="33" t="s">
        <v>147</v>
      </c>
      <c r="P989" s="39" t="n">
        <f aca="false">C989-B989</f>
        <v>6</v>
      </c>
      <c r="Q989" s="40" t="str">
        <f aca="false">CHOOSE(MONTH(B989),"يناير","فبراير","مارس","أبريل","مايو","يونيو","يوليو","أغسطس","سبتمبر","أكتوبر","نوفمبر","ديسمبر")</f>
        <v>يونيو</v>
      </c>
      <c r="R989" s="40" t="str">
        <f aca="false">"الربع "&amp;ROUNDUP(MONTH(B989)/3,0)</f>
        <v>الربع 2</v>
      </c>
      <c r="S989" s="40" t="str">
        <f aca="false">IF(D989&lt;=12,"أطفال (0-12)",IF(D989&lt;=24,"شباب (13-24)",IF(D989&lt;=44,"بالغون (25-44)",IF(D989&lt;=64,"متوسطو العمر (45-64)","كبار السن (+65)"))))</f>
        <v>كبار السن (+65)</v>
      </c>
      <c r="T989" s="41" t="n">
        <f aca="false">IFERROR(L989/P989,0)</f>
        <v>1829.185</v>
      </c>
    </row>
    <row r="990" customFormat="false" ht="15" hidden="false" customHeight="false" outlineLevel="0" collapsed="false">
      <c r="A990" s="42" t="s">
        <v>618</v>
      </c>
      <c r="B990" s="43" t="n">
        <v>45463</v>
      </c>
      <c r="C990" s="43" t="n">
        <v>45465</v>
      </c>
      <c r="D990" s="42" t="n">
        <v>66</v>
      </c>
      <c r="E990" s="42" t="s">
        <v>139</v>
      </c>
      <c r="F990" s="42" t="s">
        <v>203</v>
      </c>
      <c r="G990" s="42" t="s">
        <v>204</v>
      </c>
      <c r="H990" s="42" t="s">
        <v>233</v>
      </c>
      <c r="I990" s="42" t="s">
        <v>143</v>
      </c>
      <c r="J990" s="42" t="s">
        <v>159</v>
      </c>
      <c r="K990" s="42" t="s">
        <v>145</v>
      </c>
      <c r="L990" s="44" t="n">
        <v>1944.8</v>
      </c>
      <c r="M990" s="42" t="n">
        <v>4</v>
      </c>
      <c r="N990" s="42" t="s">
        <v>146</v>
      </c>
      <c r="O990" s="42" t="s">
        <v>247</v>
      </c>
      <c r="P990" s="39" t="n">
        <f aca="false">C990-B990</f>
        <v>2</v>
      </c>
      <c r="Q990" s="40" t="str">
        <f aca="false">CHOOSE(MONTH(B990),"يناير","فبراير","مارس","أبريل","مايو","يونيو","يوليو","أغسطس","سبتمبر","أكتوبر","نوفمبر","ديسمبر")</f>
        <v>يونيو</v>
      </c>
      <c r="R990" s="40" t="str">
        <f aca="false">"الربع "&amp;ROUNDUP(MONTH(B990)/3,0)</f>
        <v>الربع 2</v>
      </c>
      <c r="S990" s="40" t="str">
        <f aca="false">IF(D990&lt;=12,"أطفال (0-12)",IF(D990&lt;=24,"شباب (13-24)",IF(D990&lt;=44,"بالغون (25-44)",IF(D990&lt;=64,"متوسطو العمر (45-64)","كبار السن (+65)"))))</f>
        <v>كبار السن (+65)</v>
      </c>
      <c r="T990" s="41" t="n">
        <f aca="false">IFERROR(L990/P990,0)</f>
        <v>972.4</v>
      </c>
    </row>
    <row r="991" customFormat="false" ht="15" hidden="false" customHeight="false" outlineLevel="0" collapsed="false">
      <c r="A991" s="33" t="s">
        <v>1741</v>
      </c>
      <c r="B991" s="34" t="n">
        <v>45463</v>
      </c>
      <c r="C991" s="34" t="n">
        <v>45466</v>
      </c>
      <c r="D991" s="33" t="n">
        <v>65</v>
      </c>
      <c r="E991" s="33" t="s">
        <v>154</v>
      </c>
      <c r="F991" s="33" t="s">
        <v>226</v>
      </c>
      <c r="G991" s="33" t="s">
        <v>258</v>
      </c>
      <c r="H991" s="33" t="s">
        <v>228</v>
      </c>
      <c r="I991" s="33" t="s">
        <v>143</v>
      </c>
      <c r="J991" s="33" t="s">
        <v>144</v>
      </c>
      <c r="K991" s="33" t="s">
        <v>160</v>
      </c>
      <c r="L991" s="35" t="n">
        <v>15230.02</v>
      </c>
      <c r="M991" s="33" t="n">
        <v>3</v>
      </c>
      <c r="N991" s="33" t="s">
        <v>146</v>
      </c>
      <c r="O991" s="33" t="s">
        <v>147</v>
      </c>
      <c r="P991" s="39" t="n">
        <f aca="false">C991-B991</f>
        <v>3</v>
      </c>
      <c r="Q991" s="40" t="str">
        <f aca="false">CHOOSE(MONTH(B991),"يناير","فبراير","مارس","أبريل","مايو","يونيو","يوليو","أغسطس","سبتمبر","أكتوبر","نوفمبر","ديسمبر")</f>
        <v>يونيو</v>
      </c>
      <c r="R991" s="40" t="str">
        <f aca="false">"الربع "&amp;ROUNDUP(MONTH(B991)/3,0)</f>
        <v>الربع 2</v>
      </c>
      <c r="S991" s="40" t="str">
        <f aca="false">IF(D991&lt;=12,"أطفال (0-12)",IF(D991&lt;=24,"شباب (13-24)",IF(D991&lt;=44,"بالغون (25-44)",IF(D991&lt;=64,"متوسطو العمر (45-64)","كبار السن (+65)"))))</f>
        <v>كبار السن (+65)</v>
      </c>
      <c r="T991" s="41" t="n">
        <f aca="false">IFERROR(L991/P991,0)</f>
        <v>5076.67333333333</v>
      </c>
    </row>
    <row r="992" customFormat="false" ht="15" hidden="false" customHeight="false" outlineLevel="0" collapsed="false">
      <c r="A992" s="42" t="s">
        <v>1213</v>
      </c>
      <c r="B992" s="43" t="n">
        <v>45464</v>
      </c>
      <c r="C992" s="43" t="n">
        <v>45465</v>
      </c>
      <c r="D992" s="42" t="n">
        <v>33</v>
      </c>
      <c r="E992" s="42" t="s">
        <v>139</v>
      </c>
      <c r="F992" s="42" t="s">
        <v>203</v>
      </c>
      <c r="G992" s="42" t="s">
        <v>241</v>
      </c>
      <c r="H992" s="42" t="s">
        <v>205</v>
      </c>
      <c r="I992" s="42" t="s">
        <v>143</v>
      </c>
      <c r="J992" s="42" t="s">
        <v>159</v>
      </c>
      <c r="K992" s="42" t="s">
        <v>184</v>
      </c>
      <c r="L992" s="44" t="n">
        <v>803.07</v>
      </c>
      <c r="M992" s="42" t="n">
        <v>3</v>
      </c>
      <c r="N992" s="42" t="s">
        <v>210</v>
      </c>
      <c r="O992" s="42" t="s">
        <v>147</v>
      </c>
      <c r="P992" s="39" t="n">
        <f aca="false">C992-B992</f>
        <v>1</v>
      </c>
      <c r="Q992" s="40" t="str">
        <f aca="false">CHOOSE(MONTH(B992),"يناير","فبراير","مارس","أبريل","مايو","يونيو","يوليو","أغسطس","سبتمبر","أكتوبر","نوفمبر","ديسمبر")</f>
        <v>يونيو</v>
      </c>
      <c r="R992" s="40" t="str">
        <f aca="false">"الربع "&amp;ROUNDUP(MONTH(B992)/3,0)</f>
        <v>الربع 2</v>
      </c>
      <c r="S992" s="40" t="str">
        <f aca="false">IF(D992&lt;=12,"أطفال (0-12)",IF(D992&lt;=24,"شباب (13-24)",IF(D992&lt;=44,"بالغون (25-44)",IF(D992&lt;=64,"متوسطو العمر (45-64)","كبار السن (+65)"))))</f>
        <v>بالغون (25-44)</v>
      </c>
      <c r="T992" s="41" t="n">
        <f aca="false">IFERROR(L992/P992,0)</f>
        <v>803.07</v>
      </c>
    </row>
    <row r="993" customFormat="false" ht="15" hidden="false" customHeight="false" outlineLevel="0" collapsed="false">
      <c r="A993" s="33" t="s">
        <v>417</v>
      </c>
      <c r="B993" s="34" t="n">
        <v>45464</v>
      </c>
      <c r="C993" s="34" t="n">
        <v>45465</v>
      </c>
      <c r="D993" s="33" t="n">
        <v>51</v>
      </c>
      <c r="E993" s="33" t="s">
        <v>139</v>
      </c>
      <c r="F993" s="33" t="s">
        <v>203</v>
      </c>
      <c r="G993" s="33" t="s">
        <v>241</v>
      </c>
      <c r="H993" s="33" t="s">
        <v>193</v>
      </c>
      <c r="I993" s="33" t="s">
        <v>143</v>
      </c>
      <c r="J993" s="33" t="s">
        <v>159</v>
      </c>
      <c r="K993" s="33" t="s">
        <v>145</v>
      </c>
      <c r="L993" s="35" t="n">
        <v>1070.17</v>
      </c>
      <c r="M993" s="33" t="n">
        <v>2</v>
      </c>
      <c r="N993" s="33" t="s">
        <v>146</v>
      </c>
      <c r="O993" s="33" t="s">
        <v>147</v>
      </c>
      <c r="P993" s="39" t="n">
        <f aca="false">C993-B993</f>
        <v>1</v>
      </c>
      <c r="Q993" s="40" t="str">
        <f aca="false">CHOOSE(MONTH(B993),"يناير","فبراير","مارس","أبريل","مايو","يونيو","يوليو","أغسطس","سبتمبر","أكتوبر","نوفمبر","ديسمبر")</f>
        <v>يونيو</v>
      </c>
      <c r="R993" s="40" t="str">
        <f aca="false">"الربع "&amp;ROUNDUP(MONTH(B993)/3,0)</f>
        <v>الربع 2</v>
      </c>
      <c r="S993" s="40" t="str">
        <f aca="false">IF(D993&lt;=12,"أطفال (0-12)",IF(D993&lt;=24,"شباب (13-24)",IF(D993&lt;=44,"بالغون (25-44)",IF(D993&lt;=64,"متوسطو العمر (45-64)","كبار السن (+65)"))))</f>
        <v>متوسطو العمر (45-64)</v>
      </c>
      <c r="T993" s="41" t="n">
        <f aca="false">IFERROR(L993/P993,0)</f>
        <v>1070.17</v>
      </c>
    </row>
    <row r="994" customFormat="false" ht="15" hidden="false" customHeight="false" outlineLevel="0" collapsed="false">
      <c r="A994" s="42" t="s">
        <v>2029</v>
      </c>
      <c r="B994" s="43" t="n">
        <v>45464</v>
      </c>
      <c r="C994" s="43" t="n">
        <v>45465</v>
      </c>
      <c r="D994" s="42" t="n">
        <v>34</v>
      </c>
      <c r="E994" s="42" t="s">
        <v>154</v>
      </c>
      <c r="F994" s="42" t="s">
        <v>140</v>
      </c>
      <c r="G994" s="42" t="s">
        <v>316</v>
      </c>
      <c r="H994" s="42" t="s">
        <v>142</v>
      </c>
      <c r="I994" s="42" t="s">
        <v>143</v>
      </c>
      <c r="J994" s="42" t="s">
        <v>159</v>
      </c>
      <c r="K994" s="42" t="s">
        <v>145</v>
      </c>
      <c r="L994" s="44" t="n">
        <v>2428.83</v>
      </c>
      <c r="M994" s="42" t="n">
        <v>3</v>
      </c>
      <c r="N994" s="42" t="s">
        <v>146</v>
      </c>
      <c r="O994" s="42" t="s">
        <v>147</v>
      </c>
      <c r="P994" s="39" t="n">
        <f aca="false">C994-B994</f>
        <v>1</v>
      </c>
      <c r="Q994" s="40" t="str">
        <f aca="false">CHOOSE(MONTH(B994),"يناير","فبراير","مارس","أبريل","مايو","يونيو","يوليو","أغسطس","سبتمبر","أكتوبر","نوفمبر","ديسمبر")</f>
        <v>يونيو</v>
      </c>
      <c r="R994" s="40" t="str">
        <f aca="false">"الربع "&amp;ROUNDUP(MONTH(B994)/3,0)</f>
        <v>الربع 2</v>
      </c>
      <c r="S994" s="40" t="str">
        <f aca="false">IF(D994&lt;=12,"أطفال (0-12)",IF(D994&lt;=24,"شباب (13-24)",IF(D994&lt;=44,"بالغون (25-44)",IF(D994&lt;=64,"متوسطو العمر (45-64)","كبار السن (+65)"))))</f>
        <v>بالغون (25-44)</v>
      </c>
      <c r="T994" s="41" t="n">
        <f aca="false">IFERROR(L994/P994,0)</f>
        <v>2428.83</v>
      </c>
    </row>
    <row r="995" customFormat="false" ht="15" hidden="false" customHeight="false" outlineLevel="0" collapsed="false">
      <c r="A995" s="33" t="s">
        <v>2244</v>
      </c>
      <c r="B995" s="34" t="n">
        <v>45465</v>
      </c>
      <c r="C995" s="34" t="n">
        <v>45468</v>
      </c>
      <c r="D995" s="33" t="n">
        <v>32</v>
      </c>
      <c r="E995" s="33" t="s">
        <v>139</v>
      </c>
      <c r="F995" s="33" t="s">
        <v>149</v>
      </c>
      <c r="G995" s="33" t="s">
        <v>243</v>
      </c>
      <c r="H995" s="33" t="s">
        <v>186</v>
      </c>
      <c r="I995" s="33" t="s">
        <v>152</v>
      </c>
      <c r="J995" s="33" t="s">
        <v>159</v>
      </c>
      <c r="K995" s="33" t="s">
        <v>160</v>
      </c>
      <c r="L995" s="35" t="n">
        <v>4720.42</v>
      </c>
      <c r="M995" s="33" t="n">
        <v>4</v>
      </c>
      <c r="N995" s="33" t="s">
        <v>146</v>
      </c>
      <c r="O995" s="33" t="s">
        <v>147</v>
      </c>
      <c r="P995" s="39" t="n">
        <f aca="false">C995-B995</f>
        <v>3</v>
      </c>
      <c r="Q995" s="40" t="str">
        <f aca="false">CHOOSE(MONTH(B995),"يناير","فبراير","مارس","أبريل","مايو","يونيو","يوليو","أغسطس","سبتمبر","أكتوبر","نوفمبر","ديسمبر")</f>
        <v>يونيو</v>
      </c>
      <c r="R995" s="40" t="str">
        <f aca="false">"الربع "&amp;ROUNDUP(MONTH(B995)/3,0)</f>
        <v>الربع 2</v>
      </c>
      <c r="S995" s="40" t="str">
        <f aca="false">IF(D995&lt;=12,"أطفال (0-12)",IF(D995&lt;=24,"شباب (13-24)",IF(D995&lt;=44,"بالغون (25-44)",IF(D995&lt;=64,"متوسطو العمر (45-64)","كبار السن (+65)"))))</f>
        <v>بالغون (25-44)</v>
      </c>
      <c r="T995" s="41" t="n">
        <f aca="false">IFERROR(L995/P995,0)</f>
        <v>1573.47333333333</v>
      </c>
    </row>
    <row r="996" customFormat="false" ht="15" hidden="false" customHeight="false" outlineLevel="0" collapsed="false">
      <c r="A996" s="42" t="s">
        <v>1170</v>
      </c>
      <c r="B996" s="43" t="n">
        <v>45465</v>
      </c>
      <c r="C996" s="43" t="n">
        <v>45472</v>
      </c>
      <c r="D996" s="42" t="n">
        <v>66</v>
      </c>
      <c r="E996" s="42" t="s">
        <v>154</v>
      </c>
      <c r="F996" s="42" t="s">
        <v>181</v>
      </c>
      <c r="G996" s="42" t="s">
        <v>188</v>
      </c>
      <c r="H996" s="42" t="s">
        <v>245</v>
      </c>
      <c r="I996" s="42" t="s">
        <v>143</v>
      </c>
      <c r="J996" s="42" t="s">
        <v>176</v>
      </c>
      <c r="K996" s="42" t="s">
        <v>145</v>
      </c>
      <c r="L996" s="44" t="n">
        <v>64724.44</v>
      </c>
      <c r="M996" s="42" t="n">
        <v>4</v>
      </c>
      <c r="N996" s="42" t="s">
        <v>146</v>
      </c>
      <c r="O996" s="42" t="s">
        <v>147</v>
      </c>
      <c r="P996" s="39" t="n">
        <f aca="false">C996-B996</f>
        <v>7</v>
      </c>
      <c r="Q996" s="40" t="str">
        <f aca="false">CHOOSE(MONTH(B996),"يناير","فبراير","مارس","أبريل","مايو","يونيو","يوليو","أغسطس","سبتمبر","أكتوبر","نوفمبر","ديسمبر")</f>
        <v>يونيو</v>
      </c>
      <c r="R996" s="40" t="str">
        <f aca="false">"الربع "&amp;ROUNDUP(MONTH(B996)/3,0)</f>
        <v>الربع 2</v>
      </c>
      <c r="S996" s="40" t="str">
        <f aca="false">IF(D996&lt;=12,"أطفال (0-12)",IF(D996&lt;=24,"شباب (13-24)",IF(D996&lt;=44,"بالغون (25-44)",IF(D996&lt;=64,"متوسطو العمر (45-64)","كبار السن (+65)"))))</f>
        <v>كبار السن (+65)</v>
      </c>
      <c r="T996" s="41" t="n">
        <f aca="false">IFERROR(L996/P996,0)</f>
        <v>9246.34857142857</v>
      </c>
    </row>
    <row r="997" customFormat="false" ht="15" hidden="false" customHeight="false" outlineLevel="0" collapsed="false">
      <c r="A997" s="33" t="s">
        <v>2227</v>
      </c>
      <c r="B997" s="34" t="n">
        <v>45465</v>
      </c>
      <c r="C997" s="34" t="n">
        <v>45467</v>
      </c>
      <c r="D997" s="33" t="n">
        <v>20</v>
      </c>
      <c r="E997" s="33" t="s">
        <v>139</v>
      </c>
      <c r="F997" s="33" t="s">
        <v>203</v>
      </c>
      <c r="G997" s="33" t="s">
        <v>232</v>
      </c>
      <c r="H997" s="33" t="s">
        <v>205</v>
      </c>
      <c r="I997" s="33" t="s">
        <v>143</v>
      </c>
      <c r="J997" s="33" t="s">
        <v>159</v>
      </c>
      <c r="K997" s="33" t="s">
        <v>209</v>
      </c>
      <c r="L997" s="35" t="n">
        <v>1734.89</v>
      </c>
      <c r="M997" s="33" t="n">
        <v>4</v>
      </c>
      <c r="N997" s="33" t="s">
        <v>146</v>
      </c>
      <c r="O997" s="33" t="s">
        <v>147</v>
      </c>
      <c r="P997" s="39" t="n">
        <f aca="false">C997-B997</f>
        <v>2</v>
      </c>
      <c r="Q997" s="40" t="str">
        <f aca="false">CHOOSE(MONTH(B997),"يناير","فبراير","مارس","أبريل","مايو","يونيو","يوليو","أغسطس","سبتمبر","أكتوبر","نوفمبر","ديسمبر")</f>
        <v>يونيو</v>
      </c>
      <c r="R997" s="40" t="str">
        <f aca="false">"الربع "&amp;ROUNDUP(MONTH(B997)/3,0)</f>
        <v>الربع 2</v>
      </c>
      <c r="S997" s="40" t="str">
        <f aca="false">IF(D997&lt;=12,"أطفال (0-12)",IF(D997&lt;=24,"شباب (13-24)",IF(D997&lt;=44,"بالغون (25-44)",IF(D997&lt;=64,"متوسطو العمر (45-64)","كبار السن (+65)"))))</f>
        <v>شباب (13-24)</v>
      </c>
      <c r="T997" s="41" t="n">
        <f aca="false">IFERROR(L997/P997,0)</f>
        <v>867.445</v>
      </c>
    </row>
    <row r="998" customFormat="false" ht="15" hidden="false" customHeight="false" outlineLevel="0" collapsed="false">
      <c r="A998" s="42" t="s">
        <v>1298</v>
      </c>
      <c r="B998" s="43" t="n">
        <v>45465</v>
      </c>
      <c r="C998" s="43" t="n">
        <v>45468</v>
      </c>
      <c r="D998" s="42" t="n">
        <v>24</v>
      </c>
      <c r="E998" s="42" t="s">
        <v>139</v>
      </c>
      <c r="F998" s="42" t="s">
        <v>140</v>
      </c>
      <c r="G998" s="42" t="s">
        <v>141</v>
      </c>
      <c r="H998" s="42" t="s">
        <v>142</v>
      </c>
      <c r="I998" s="42" t="s">
        <v>143</v>
      </c>
      <c r="J998" s="42" t="s">
        <v>144</v>
      </c>
      <c r="K998" s="42" t="s">
        <v>160</v>
      </c>
      <c r="L998" s="44" t="n">
        <v>11531.06</v>
      </c>
      <c r="M998" s="42" t="n">
        <v>5</v>
      </c>
      <c r="N998" s="42" t="s">
        <v>146</v>
      </c>
      <c r="O998" s="42" t="s">
        <v>147</v>
      </c>
      <c r="P998" s="39" t="n">
        <f aca="false">C998-B998</f>
        <v>3</v>
      </c>
      <c r="Q998" s="40" t="str">
        <f aca="false">CHOOSE(MONTH(B998),"يناير","فبراير","مارس","أبريل","مايو","يونيو","يوليو","أغسطس","سبتمبر","أكتوبر","نوفمبر","ديسمبر")</f>
        <v>يونيو</v>
      </c>
      <c r="R998" s="40" t="str">
        <f aca="false">"الربع "&amp;ROUNDUP(MONTH(B998)/3,0)</f>
        <v>الربع 2</v>
      </c>
      <c r="S998" s="40" t="str">
        <f aca="false">IF(D998&lt;=12,"أطفال (0-12)",IF(D998&lt;=24,"شباب (13-24)",IF(D998&lt;=44,"بالغون (25-44)",IF(D998&lt;=64,"متوسطو العمر (45-64)","كبار السن (+65)"))))</f>
        <v>شباب (13-24)</v>
      </c>
      <c r="T998" s="41" t="n">
        <f aca="false">IFERROR(L998/P998,0)</f>
        <v>3843.68666666667</v>
      </c>
    </row>
    <row r="999" customFormat="false" ht="15" hidden="false" customHeight="false" outlineLevel="0" collapsed="false">
      <c r="A999" s="33" t="s">
        <v>1215</v>
      </c>
      <c r="B999" s="34" t="n">
        <v>45465</v>
      </c>
      <c r="C999" s="34" t="n">
        <v>45466</v>
      </c>
      <c r="D999" s="33" t="n">
        <v>14</v>
      </c>
      <c r="E999" s="33" t="s">
        <v>139</v>
      </c>
      <c r="F999" s="33" t="s">
        <v>155</v>
      </c>
      <c r="G999" s="33" t="s">
        <v>220</v>
      </c>
      <c r="H999" s="33" t="s">
        <v>157</v>
      </c>
      <c r="I999" s="33" t="s">
        <v>152</v>
      </c>
      <c r="J999" s="33" t="s">
        <v>159</v>
      </c>
      <c r="K999" s="33" t="s">
        <v>145</v>
      </c>
      <c r="L999" s="35" t="n">
        <v>770.09</v>
      </c>
      <c r="M999" s="33" t="n">
        <v>4</v>
      </c>
      <c r="N999" s="33" t="s">
        <v>210</v>
      </c>
      <c r="O999" s="33" t="s">
        <v>147</v>
      </c>
      <c r="P999" s="39" t="n">
        <f aca="false">C999-B999</f>
        <v>1</v>
      </c>
      <c r="Q999" s="40" t="str">
        <f aca="false">CHOOSE(MONTH(B999),"يناير","فبراير","مارس","أبريل","مايو","يونيو","يوليو","أغسطس","سبتمبر","أكتوبر","نوفمبر","ديسمبر")</f>
        <v>يونيو</v>
      </c>
      <c r="R999" s="40" t="str">
        <f aca="false">"الربع "&amp;ROUNDUP(MONTH(B999)/3,0)</f>
        <v>الربع 2</v>
      </c>
      <c r="S999" s="40" t="str">
        <f aca="false">IF(D999&lt;=12,"أطفال (0-12)",IF(D999&lt;=24,"شباب (13-24)",IF(D999&lt;=44,"بالغون (25-44)",IF(D999&lt;=64,"متوسطو العمر (45-64)","كبار السن (+65)"))))</f>
        <v>شباب (13-24)</v>
      </c>
      <c r="T999" s="41" t="n">
        <f aca="false">IFERROR(L999/P999,0)</f>
        <v>770.09</v>
      </c>
    </row>
    <row r="1000" customFormat="false" ht="15" hidden="false" customHeight="false" outlineLevel="0" collapsed="false">
      <c r="A1000" s="42" t="s">
        <v>1156</v>
      </c>
      <c r="B1000" s="43" t="n">
        <v>45466</v>
      </c>
      <c r="C1000" s="43" t="n">
        <v>45485</v>
      </c>
      <c r="D1000" s="42" t="n">
        <v>47</v>
      </c>
      <c r="E1000" s="42" t="s">
        <v>139</v>
      </c>
      <c r="F1000" s="42" t="s">
        <v>181</v>
      </c>
      <c r="G1000" s="42" t="s">
        <v>182</v>
      </c>
      <c r="H1000" s="42" t="s">
        <v>183</v>
      </c>
      <c r="I1000" s="42" t="s">
        <v>152</v>
      </c>
      <c r="J1000" s="42" t="s">
        <v>144</v>
      </c>
      <c r="K1000" s="42" t="s">
        <v>160</v>
      </c>
      <c r="L1000" s="44" t="n">
        <v>69156.97</v>
      </c>
      <c r="M1000" s="42" t="n">
        <v>4</v>
      </c>
      <c r="N1000" s="42" t="s">
        <v>146</v>
      </c>
      <c r="O1000" s="42" t="s">
        <v>147</v>
      </c>
      <c r="P1000" s="39" t="n">
        <f aca="false">C1000-B1000</f>
        <v>19</v>
      </c>
      <c r="Q1000" s="40" t="str">
        <f aca="false">CHOOSE(MONTH(B1000),"يناير","فبراير","مارس","أبريل","مايو","يونيو","يوليو","أغسطس","سبتمبر","أكتوبر","نوفمبر","ديسمبر")</f>
        <v>يونيو</v>
      </c>
      <c r="R1000" s="40" t="str">
        <f aca="false">"الربع "&amp;ROUNDUP(MONTH(B1000)/3,0)</f>
        <v>الربع 2</v>
      </c>
      <c r="S1000" s="40" t="str">
        <f aca="false">IF(D1000&lt;=12,"أطفال (0-12)",IF(D1000&lt;=24,"شباب (13-24)",IF(D1000&lt;=44,"بالغون (25-44)",IF(D1000&lt;=64,"متوسطو العمر (45-64)","كبار السن (+65)"))))</f>
        <v>متوسطو العمر (45-64)</v>
      </c>
      <c r="T1000" s="41" t="n">
        <f aca="false">IFERROR(L1000/P1000,0)</f>
        <v>3639.84052631579</v>
      </c>
    </row>
    <row r="1001" customFormat="false" ht="15" hidden="false" customHeight="false" outlineLevel="0" collapsed="false">
      <c r="A1001" s="33" t="s">
        <v>255</v>
      </c>
      <c r="B1001" s="34" t="n">
        <v>45466</v>
      </c>
      <c r="C1001" s="34" t="n">
        <v>45468</v>
      </c>
      <c r="D1001" s="33" t="n">
        <v>7</v>
      </c>
      <c r="E1001" s="33" t="s">
        <v>139</v>
      </c>
      <c r="F1001" s="33" t="s">
        <v>155</v>
      </c>
      <c r="G1001" s="33" t="s">
        <v>220</v>
      </c>
      <c r="H1001" s="33" t="s">
        <v>222</v>
      </c>
      <c r="I1001" s="33" t="s">
        <v>143</v>
      </c>
      <c r="J1001" s="33" t="s">
        <v>159</v>
      </c>
      <c r="K1001" s="33" t="s">
        <v>160</v>
      </c>
      <c r="L1001" s="35" t="n">
        <v>1626.47</v>
      </c>
      <c r="M1001" s="33" t="n">
        <v>4</v>
      </c>
      <c r="N1001" s="33" t="s">
        <v>146</v>
      </c>
      <c r="O1001" s="33" t="s">
        <v>147</v>
      </c>
      <c r="P1001" s="39" t="n">
        <f aca="false">C1001-B1001</f>
        <v>2</v>
      </c>
      <c r="Q1001" s="40" t="str">
        <f aca="false">CHOOSE(MONTH(B1001),"يناير","فبراير","مارس","أبريل","مايو","يونيو","يوليو","أغسطس","سبتمبر","أكتوبر","نوفمبر","ديسمبر")</f>
        <v>يونيو</v>
      </c>
      <c r="R1001" s="40" t="str">
        <f aca="false">"الربع "&amp;ROUNDUP(MONTH(B1001)/3,0)</f>
        <v>الربع 2</v>
      </c>
      <c r="S1001" s="40" t="str">
        <f aca="false">IF(D1001&lt;=12,"أطفال (0-12)",IF(D1001&lt;=24,"شباب (13-24)",IF(D1001&lt;=44,"بالغون (25-44)",IF(D1001&lt;=64,"متوسطو العمر (45-64)","كبار السن (+65)"))))</f>
        <v>أطفال (0-12)</v>
      </c>
      <c r="T1001" s="41" t="n">
        <f aca="false">IFERROR(L1001/P1001,0)</f>
        <v>813.235</v>
      </c>
    </row>
    <row r="1002" customFormat="false" ht="15" hidden="false" customHeight="false" outlineLevel="0" collapsed="false">
      <c r="A1002" s="42" t="s">
        <v>1128</v>
      </c>
      <c r="B1002" s="43" t="n">
        <v>45466</v>
      </c>
      <c r="C1002" s="43" t="n">
        <v>45475</v>
      </c>
      <c r="D1002" s="42" t="n">
        <v>63</v>
      </c>
      <c r="E1002" s="42" t="s">
        <v>154</v>
      </c>
      <c r="F1002" s="42" t="s">
        <v>169</v>
      </c>
      <c r="G1002" s="42" t="s">
        <v>230</v>
      </c>
      <c r="H1002" s="42" t="s">
        <v>195</v>
      </c>
      <c r="I1002" s="42" t="s">
        <v>152</v>
      </c>
      <c r="J1002" s="42" t="s">
        <v>159</v>
      </c>
      <c r="K1002" s="42" t="s">
        <v>160</v>
      </c>
      <c r="L1002" s="44" t="n">
        <v>9702.9</v>
      </c>
      <c r="M1002" s="42" t="n">
        <v>3</v>
      </c>
      <c r="N1002" s="42" t="s">
        <v>146</v>
      </c>
      <c r="O1002" s="42" t="s">
        <v>147</v>
      </c>
      <c r="P1002" s="39" t="n">
        <f aca="false">C1002-B1002</f>
        <v>9</v>
      </c>
      <c r="Q1002" s="40" t="str">
        <f aca="false">CHOOSE(MONTH(B1002),"يناير","فبراير","مارس","أبريل","مايو","يونيو","يوليو","أغسطس","سبتمبر","أكتوبر","نوفمبر","ديسمبر")</f>
        <v>يونيو</v>
      </c>
      <c r="R1002" s="40" t="str">
        <f aca="false">"الربع "&amp;ROUNDUP(MONTH(B1002)/3,0)</f>
        <v>الربع 2</v>
      </c>
      <c r="S1002" s="40" t="str">
        <f aca="false">IF(D1002&lt;=12,"أطفال (0-12)",IF(D1002&lt;=24,"شباب (13-24)",IF(D1002&lt;=44,"بالغون (25-44)",IF(D1002&lt;=64,"متوسطو العمر (45-64)","كبار السن (+65)"))))</f>
        <v>متوسطو العمر (45-64)</v>
      </c>
      <c r="T1002" s="41" t="n">
        <f aca="false">IFERROR(L1002/P1002,0)</f>
        <v>1078.1</v>
      </c>
    </row>
    <row r="1003" customFormat="false" ht="15" hidden="false" customHeight="false" outlineLevel="0" collapsed="false">
      <c r="A1003" s="33" t="s">
        <v>645</v>
      </c>
      <c r="B1003" s="34" t="n">
        <v>45466</v>
      </c>
      <c r="C1003" s="34" t="n">
        <v>45468</v>
      </c>
      <c r="D1003" s="33" t="n">
        <v>31</v>
      </c>
      <c r="E1003" s="33" t="s">
        <v>154</v>
      </c>
      <c r="F1003" s="33" t="s">
        <v>140</v>
      </c>
      <c r="G1003" s="33" t="s">
        <v>316</v>
      </c>
      <c r="H1003" s="33" t="s">
        <v>142</v>
      </c>
      <c r="I1003" s="33" t="s">
        <v>143</v>
      </c>
      <c r="J1003" s="33" t="s">
        <v>159</v>
      </c>
      <c r="K1003" s="33" t="s">
        <v>145</v>
      </c>
      <c r="L1003" s="35" t="n">
        <v>4910.05</v>
      </c>
      <c r="M1003" s="33" t="n">
        <v>5</v>
      </c>
      <c r="N1003" s="33" t="s">
        <v>146</v>
      </c>
      <c r="O1003" s="33" t="s">
        <v>147</v>
      </c>
      <c r="P1003" s="39" t="n">
        <f aca="false">C1003-B1003</f>
        <v>2</v>
      </c>
      <c r="Q1003" s="40" t="str">
        <f aca="false">CHOOSE(MONTH(B1003),"يناير","فبراير","مارس","أبريل","مايو","يونيو","يوليو","أغسطس","سبتمبر","أكتوبر","نوفمبر","ديسمبر")</f>
        <v>يونيو</v>
      </c>
      <c r="R1003" s="40" t="str">
        <f aca="false">"الربع "&amp;ROUNDUP(MONTH(B1003)/3,0)</f>
        <v>الربع 2</v>
      </c>
      <c r="S1003" s="40" t="str">
        <f aca="false">IF(D1003&lt;=12,"أطفال (0-12)",IF(D1003&lt;=24,"شباب (13-24)",IF(D1003&lt;=44,"بالغون (25-44)",IF(D1003&lt;=64,"متوسطو العمر (45-64)","كبار السن (+65)"))))</f>
        <v>بالغون (25-44)</v>
      </c>
      <c r="T1003" s="41" t="n">
        <f aca="false">IFERROR(L1003/P1003,0)</f>
        <v>2455.025</v>
      </c>
    </row>
    <row r="1004" customFormat="false" ht="15" hidden="false" customHeight="false" outlineLevel="0" collapsed="false">
      <c r="A1004" s="42" t="s">
        <v>1368</v>
      </c>
      <c r="B1004" s="43" t="n">
        <v>45466</v>
      </c>
      <c r="C1004" s="43" t="n">
        <v>45467</v>
      </c>
      <c r="D1004" s="42" t="n">
        <v>67</v>
      </c>
      <c r="E1004" s="42" t="s">
        <v>154</v>
      </c>
      <c r="F1004" s="42" t="s">
        <v>203</v>
      </c>
      <c r="G1004" s="42" t="s">
        <v>241</v>
      </c>
      <c r="H1004" s="42" t="s">
        <v>193</v>
      </c>
      <c r="I1004" s="42" t="s">
        <v>143</v>
      </c>
      <c r="J1004" s="42" t="s">
        <v>159</v>
      </c>
      <c r="K1004" s="42" t="s">
        <v>160</v>
      </c>
      <c r="L1004" s="44" t="n">
        <v>937.11</v>
      </c>
      <c r="M1004" s="42" t="n">
        <v>2</v>
      </c>
      <c r="N1004" s="42" t="s">
        <v>146</v>
      </c>
      <c r="O1004" s="42" t="s">
        <v>147</v>
      </c>
      <c r="P1004" s="39" t="n">
        <f aca="false">C1004-B1004</f>
        <v>1</v>
      </c>
      <c r="Q1004" s="40" t="str">
        <f aca="false">CHOOSE(MONTH(B1004),"يناير","فبراير","مارس","أبريل","مايو","يونيو","يوليو","أغسطس","سبتمبر","أكتوبر","نوفمبر","ديسمبر")</f>
        <v>يونيو</v>
      </c>
      <c r="R1004" s="40" t="str">
        <f aca="false">"الربع "&amp;ROUNDUP(MONTH(B1004)/3,0)</f>
        <v>الربع 2</v>
      </c>
      <c r="S1004" s="40" t="str">
        <f aca="false">IF(D1004&lt;=12,"أطفال (0-12)",IF(D1004&lt;=24,"شباب (13-24)",IF(D1004&lt;=44,"بالغون (25-44)",IF(D1004&lt;=64,"متوسطو العمر (45-64)","كبار السن (+65)"))))</f>
        <v>كبار السن (+65)</v>
      </c>
      <c r="T1004" s="41" t="n">
        <f aca="false">IFERROR(L1004/P1004,0)</f>
        <v>937.11</v>
      </c>
    </row>
    <row r="1005" customFormat="false" ht="15" hidden="false" customHeight="false" outlineLevel="0" collapsed="false">
      <c r="A1005" s="33" t="s">
        <v>1110</v>
      </c>
      <c r="B1005" s="34" t="n">
        <v>45466</v>
      </c>
      <c r="C1005" s="34" t="n">
        <v>45468</v>
      </c>
      <c r="D1005" s="33" t="n">
        <v>69</v>
      </c>
      <c r="E1005" s="33" t="s">
        <v>154</v>
      </c>
      <c r="F1005" s="33" t="s">
        <v>173</v>
      </c>
      <c r="G1005" s="33" t="s">
        <v>198</v>
      </c>
      <c r="H1005" s="33" t="s">
        <v>199</v>
      </c>
      <c r="I1005" s="33" t="s">
        <v>143</v>
      </c>
      <c r="J1005" s="33" t="s">
        <v>159</v>
      </c>
      <c r="K1005" s="33" t="s">
        <v>145</v>
      </c>
      <c r="L1005" s="35" t="n">
        <v>4970.34</v>
      </c>
      <c r="M1005" s="33" t="n">
        <v>5</v>
      </c>
      <c r="N1005" s="33" t="s">
        <v>146</v>
      </c>
      <c r="O1005" s="33" t="s">
        <v>147</v>
      </c>
      <c r="P1005" s="39" t="n">
        <f aca="false">C1005-B1005</f>
        <v>2</v>
      </c>
      <c r="Q1005" s="40" t="str">
        <f aca="false">CHOOSE(MONTH(B1005),"يناير","فبراير","مارس","أبريل","مايو","يونيو","يوليو","أغسطس","سبتمبر","أكتوبر","نوفمبر","ديسمبر")</f>
        <v>يونيو</v>
      </c>
      <c r="R1005" s="40" t="str">
        <f aca="false">"الربع "&amp;ROUNDUP(MONTH(B1005)/3,0)</f>
        <v>الربع 2</v>
      </c>
      <c r="S1005" s="40" t="str">
        <f aca="false">IF(D1005&lt;=12,"أطفال (0-12)",IF(D1005&lt;=24,"شباب (13-24)",IF(D1005&lt;=44,"بالغون (25-44)",IF(D1005&lt;=64,"متوسطو العمر (45-64)","كبار السن (+65)"))))</f>
        <v>كبار السن (+65)</v>
      </c>
      <c r="T1005" s="41" t="n">
        <f aca="false">IFERROR(L1005/P1005,0)</f>
        <v>2485.17</v>
      </c>
    </row>
    <row r="1006" customFormat="false" ht="15" hidden="false" customHeight="false" outlineLevel="0" collapsed="false">
      <c r="A1006" s="42" t="s">
        <v>1465</v>
      </c>
      <c r="B1006" s="43" t="n">
        <v>45466</v>
      </c>
      <c r="C1006" s="43" t="n">
        <v>45468</v>
      </c>
      <c r="D1006" s="42" t="n">
        <v>45</v>
      </c>
      <c r="E1006" s="42" t="s">
        <v>139</v>
      </c>
      <c r="F1006" s="42" t="s">
        <v>203</v>
      </c>
      <c r="G1006" s="42" t="s">
        <v>241</v>
      </c>
      <c r="H1006" s="42" t="s">
        <v>233</v>
      </c>
      <c r="I1006" s="42" t="s">
        <v>143</v>
      </c>
      <c r="J1006" s="42" t="s">
        <v>159</v>
      </c>
      <c r="K1006" s="42" t="s">
        <v>160</v>
      </c>
      <c r="L1006" s="44" t="n">
        <v>1549.7</v>
      </c>
      <c r="M1006" s="42" t="n">
        <v>4</v>
      </c>
      <c r="N1006" s="42" t="s">
        <v>146</v>
      </c>
      <c r="O1006" s="42" t="s">
        <v>147</v>
      </c>
      <c r="P1006" s="39" t="n">
        <f aca="false">C1006-B1006</f>
        <v>2</v>
      </c>
      <c r="Q1006" s="40" t="str">
        <f aca="false">CHOOSE(MONTH(B1006),"يناير","فبراير","مارس","أبريل","مايو","يونيو","يوليو","أغسطس","سبتمبر","أكتوبر","نوفمبر","ديسمبر")</f>
        <v>يونيو</v>
      </c>
      <c r="R1006" s="40" t="str">
        <f aca="false">"الربع "&amp;ROUNDUP(MONTH(B1006)/3,0)</f>
        <v>الربع 2</v>
      </c>
      <c r="S1006" s="40" t="str">
        <f aca="false">IF(D1006&lt;=12,"أطفال (0-12)",IF(D1006&lt;=24,"شباب (13-24)",IF(D1006&lt;=44,"بالغون (25-44)",IF(D1006&lt;=64,"متوسطو العمر (45-64)","كبار السن (+65)"))))</f>
        <v>متوسطو العمر (45-64)</v>
      </c>
      <c r="T1006" s="41" t="n">
        <f aca="false">IFERROR(L1006/P1006,0)</f>
        <v>774.85</v>
      </c>
    </row>
    <row r="1007" customFormat="false" ht="15" hidden="false" customHeight="false" outlineLevel="0" collapsed="false">
      <c r="A1007" s="33" t="s">
        <v>1876</v>
      </c>
      <c r="B1007" s="34" t="n">
        <v>45466</v>
      </c>
      <c r="C1007" s="34" t="n">
        <v>45467</v>
      </c>
      <c r="D1007" s="33" t="n">
        <v>26</v>
      </c>
      <c r="E1007" s="33" t="s">
        <v>139</v>
      </c>
      <c r="F1007" s="33" t="s">
        <v>149</v>
      </c>
      <c r="G1007" s="33" t="s">
        <v>243</v>
      </c>
      <c r="H1007" s="33" t="s">
        <v>186</v>
      </c>
      <c r="I1007" s="33" t="s">
        <v>143</v>
      </c>
      <c r="J1007" s="33" t="s">
        <v>176</v>
      </c>
      <c r="K1007" s="33" t="s">
        <v>209</v>
      </c>
      <c r="L1007" s="35" t="n">
        <v>4845.71</v>
      </c>
      <c r="M1007" s="33" t="n">
        <v>3</v>
      </c>
      <c r="N1007" s="33" t="s">
        <v>146</v>
      </c>
      <c r="O1007" s="33" t="s">
        <v>147</v>
      </c>
      <c r="P1007" s="39" t="n">
        <f aca="false">C1007-B1007</f>
        <v>1</v>
      </c>
      <c r="Q1007" s="40" t="str">
        <f aca="false">CHOOSE(MONTH(B1007),"يناير","فبراير","مارس","أبريل","مايو","يونيو","يوليو","أغسطس","سبتمبر","أكتوبر","نوفمبر","ديسمبر")</f>
        <v>يونيو</v>
      </c>
      <c r="R1007" s="40" t="str">
        <f aca="false">"الربع "&amp;ROUNDUP(MONTH(B1007)/3,0)</f>
        <v>الربع 2</v>
      </c>
      <c r="S1007" s="40" t="str">
        <f aca="false">IF(D1007&lt;=12,"أطفال (0-12)",IF(D1007&lt;=24,"شباب (13-24)",IF(D1007&lt;=44,"بالغون (25-44)",IF(D1007&lt;=64,"متوسطو العمر (45-64)","كبار السن (+65)"))))</f>
        <v>بالغون (25-44)</v>
      </c>
      <c r="T1007" s="41" t="n">
        <f aca="false">IFERROR(L1007/P1007,0)</f>
        <v>4845.71</v>
      </c>
    </row>
    <row r="1008" customFormat="false" ht="15" hidden="false" customHeight="false" outlineLevel="0" collapsed="false">
      <c r="A1008" s="42" t="s">
        <v>850</v>
      </c>
      <c r="B1008" s="43" t="n">
        <v>45466</v>
      </c>
      <c r="C1008" s="43" t="n">
        <v>45467</v>
      </c>
      <c r="D1008" s="42" t="n">
        <v>79</v>
      </c>
      <c r="E1008" s="42" t="s">
        <v>154</v>
      </c>
      <c r="F1008" s="42" t="s">
        <v>203</v>
      </c>
      <c r="G1008" s="42" t="s">
        <v>232</v>
      </c>
      <c r="H1008" s="42" t="s">
        <v>205</v>
      </c>
      <c r="I1008" s="42" t="s">
        <v>143</v>
      </c>
      <c r="J1008" s="42" t="s">
        <v>159</v>
      </c>
      <c r="K1008" s="42" t="s">
        <v>145</v>
      </c>
      <c r="L1008" s="44" t="n">
        <v>815.11</v>
      </c>
      <c r="M1008" s="42" t="n">
        <v>4</v>
      </c>
      <c r="N1008" s="42" t="s">
        <v>146</v>
      </c>
      <c r="O1008" s="42" t="s">
        <v>147</v>
      </c>
      <c r="P1008" s="39" t="n">
        <f aca="false">C1008-B1008</f>
        <v>1</v>
      </c>
      <c r="Q1008" s="40" t="str">
        <f aca="false">CHOOSE(MONTH(B1008),"يناير","فبراير","مارس","أبريل","مايو","يونيو","يوليو","أغسطس","سبتمبر","أكتوبر","نوفمبر","ديسمبر")</f>
        <v>يونيو</v>
      </c>
      <c r="R1008" s="40" t="str">
        <f aca="false">"الربع "&amp;ROUNDUP(MONTH(B1008)/3,0)</f>
        <v>الربع 2</v>
      </c>
      <c r="S1008" s="40" t="str">
        <f aca="false">IF(D1008&lt;=12,"أطفال (0-12)",IF(D1008&lt;=24,"شباب (13-24)",IF(D1008&lt;=44,"بالغون (25-44)",IF(D1008&lt;=64,"متوسطو العمر (45-64)","كبار السن (+65)"))))</f>
        <v>كبار السن (+65)</v>
      </c>
      <c r="T1008" s="41" t="n">
        <f aca="false">IFERROR(L1008/P1008,0)</f>
        <v>815.11</v>
      </c>
    </row>
    <row r="1009" customFormat="false" ht="15" hidden="false" customHeight="false" outlineLevel="0" collapsed="false">
      <c r="A1009" s="33" t="s">
        <v>1725</v>
      </c>
      <c r="B1009" s="34" t="n">
        <v>45467</v>
      </c>
      <c r="C1009" s="34" t="n">
        <v>45469</v>
      </c>
      <c r="D1009" s="33" t="n">
        <v>2</v>
      </c>
      <c r="E1009" s="33" t="s">
        <v>139</v>
      </c>
      <c r="F1009" s="33" t="s">
        <v>155</v>
      </c>
      <c r="G1009" s="33" t="s">
        <v>220</v>
      </c>
      <c r="H1009" s="33" t="s">
        <v>157</v>
      </c>
      <c r="I1009" s="33" t="s">
        <v>152</v>
      </c>
      <c r="J1009" s="33" t="s">
        <v>159</v>
      </c>
      <c r="K1009" s="33" t="s">
        <v>184</v>
      </c>
      <c r="L1009" s="35" t="n">
        <v>1847.06</v>
      </c>
      <c r="M1009" s="33" t="n">
        <v>4</v>
      </c>
      <c r="N1009" s="33" t="s">
        <v>146</v>
      </c>
      <c r="O1009" s="33" t="s">
        <v>147</v>
      </c>
      <c r="P1009" s="39" t="n">
        <f aca="false">C1009-B1009</f>
        <v>2</v>
      </c>
      <c r="Q1009" s="40" t="str">
        <f aca="false">CHOOSE(MONTH(B1009),"يناير","فبراير","مارس","أبريل","مايو","يونيو","يوليو","أغسطس","سبتمبر","أكتوبر","نوفمبر","ديسمبر")</f>
        <v>يونيو</v>
      </c>
      <c r="R1009" s="40" t="str">
        <f aca="false">"الربع "&amp;ROUNDUP(MONTH(B1009)/3,0)</f>
        <v>الربع 2</v>
      </c>
      <c r="S1009" s="40" t="str">
        <f aca="false">IF(D1009&lt;=12,"أطفال (0-12)",IF(D1009&lt;=24,"شباب (13-24)",IF(D1009&lt;=44,"بالغون (25-44)",IF(D1009&lt;=64,"متوسطو العمر (45-64)","كبار السن (+65)"))))</f>
        <v>أطفال (0-12)</v>
      </c>
      <c r="T1009" s="41" t="n">
        <f aca="false">IFERROR(L1009/P1009,0)</f>
        <v>923.53</v>
      </c>
    </row>
    <row r="1010" customFormat="false" ht="15" hidden="false" customHeight="false" outlineLevel="0" collapsed="false">
      <c r="A1010" s="42" t="s">
        <v>2180</v>
      </c>
      <c r="B1010" s="43" t="n">
        <v>45467</v>
      </c>
      <c r="C1010" s="43" t="n">
        <v>45472</v>
      </c>
      <c r="D1010" s="42" t="n">
        <v>69</v>
      </c>
      <c r="E1010" s="42" t="s">
        <v>139</v>
      </c>
      <c r="F1010" s="42" t="s">
        <v>181</v>
      </c>
      <c r="G1010" s="42" t="s">
        <v>237</v>
      </c>
      <c r="H1010" s="42" t="s">
        <v>245</v>
      </c>
      <c r="I1010" s="42" t="s">
        <v>143</v>
      </c>
      <c r="J1010" s="42" t="s">
        <v>159</v>
      </c>
      <c r="K1010" s="42" t="s">
        <v>160</v>
      </c>
      <c r="L1010" s="44" t="n">
        <v>10693.15</v>
      </c>
      <c r="M1010" s="42" t="n">
        <v>5</v>
      </c>
      <c r="N1010" s="42" t="s">
        <v>146</v>
      </c>
      <c r="O1010" s="42" t="s">
        <v>147</v>
      </c>
      <c r="P1010" s="39" t="n">
        <f aca="false">C1010-B1010</f>
        <v>5</v>
      </c>
      <c r="Q1010" s="40" t="str">
        <f aca="false">CHOOSE(MONTH(B1010),"يناير","فبراير","مارس","أبريل","مايو","يونيو","يوليو","أغسطس","سبتمبر","أكتوبر","نوفمبر","ديسمبر")</f>
        <v>يونيو</v>
      </c>
      <c r="R1010" s="40" t="str">
        <f aca="false">"الربع "&amp;ROUNDUP(MONTH(B1010)/3,0)</f>
        <v>الربع 2</v>
      </c>
      <c r="S1010" s="40" t="str">
        <f aca="false">IF(D1010&lt;=12,"أطفال (0-12)",IF(D1010&lt;=24,"شباب (13-24)",IF(D1010&lt;=44,"بالغون (25-44)",IF(D1010&lt;=64,"متوسطو العمر (45-64)","كبار السن (+65)"))))</f>
        <v>كبار السن (+65)</v>
      </c>
      <c r="T1010" s="41" t="n">
        <f aca="false">IFERROR(L1010/P1010,0)</f>
        <v>2138.63</v>
      </c>
    </row>
    <row r="1011" customFormat="false" ht="15" hidden="false" customHeight="false" outlineLevel="0" collapsed="false">
      <c r="A1011" s="33" t="s">
        <v>515</v>
      </c>
      <c r="B1011" s="34" t="n">
        <v>45467</v>
      </c>
      <c r="C1011" s="34" t="n">
        <v>45475</v>
      </c>
      <c r="D1011" s="33" t="n">
        <v>48</v>
      </c>
      <c r="E1011" s="33" t="s">
        <v>139</v>
      </c>
      <c r="F1011" s="33" t="s">
        <v>169</v>
      </c>
      <c r="G1011" s="33" t="s">
        <v>163</v>
      </c>
      <c r="H1011" s="33" t="s">
        <v>195</v>
      </c>
      <c r="I1011" s="33" t="s">
        <v>152</v>
      </c>
      <c r="J1011" s="33" t="s">
        <v>159</v>
      </c>
      <c r="K1011" s="33" t="s">
        <v>209</v>
      </c>
      <c r="L1011" s="35" t="n">
        <v>10204.82</v>
      </c>
      <c r="M1011" s="33" t="n">
        <v>4</v>
      </c>
      <c r="N1011" s="33" t="s">
        <v>146</v>
      </c>
      <c r="O1011" s="33" t="s">
        <v>147</v>
      </c>
      <c r="P1011" s="39" t="n">
        <f aca="false">C1011-B1011</f>
        <v>8</v>
      </c>
      <c r="Q1011" s="40" t="str">
        <f aca="false">CHOOSE(MONTH(B1011),"يناير","فبراير","مارس","أبريل","مايو","يونيو","يوليو","أغسطس","سبتمبر","أكتوبر","نوفمبر","ديسمبر")</f>
        <v>يونيو</v>
      </c>
      <c r="R1011" s="40" t="str">
        <f aca="false">"الربع "&amp;ROUNDUP(MONTH(B1011)/3,0)</f>
        <v>الربع 2</v>
      </c>
      <c r="S1011" s="40" t="str">
        <f aca="false">IF(D1011&lt;=12,"أطفال (0-12)",IF(D1011&lt;=24,"شباب (13-24)",IF(D1011&lt;=44,"بالغون (25-44)",IF(D1011&lt;=64,"متوسطو العمر (45-64)","كبار السن (+65)"))))</f>
        <v>متوسطو العمر (45-64)</v>
      </c>
      <c r="T1011" s="41" t="n">
        <f aca="false">IFERROR(L1011/P1011,0)</f>
        <v>1275.6025</v>
      </c>
    </row>
    <row r="1012" customFormat="false" ht="15" hidden="false" customHeight="false" outlineLevel="0" collapsed="false">
      <c r="A1012" s="42" t="s">
        <v>2260</v>
      </c>
      <c r="B1012" s="43" t="n">
        <v>45467</v>
      </c>
      <c r="C1012" s="43" t="n">
        <v>45477</v>
      </c>
      <c r="D1012" s="42" t="n">
        <v>8</v>
      </c>
      <c r="E1012" s="42" t="s">
        <v>154</v>
      </c>
      <c r="F1012" s="42" t="s">
        <v>155</v>
      </c>
      <c r="G1012" s="42" t="s">
        <v>302</v>
      </c>
      <c r="H1012" s="42" t="s">
        <v>157</v>
      </c>
      <c r="I1012" s="42" t="s">
        <v>152</v>
      </c>
      <c r="J1012" s="42" t="s">
        <v>144</v>
      </c>
      <c r="K1012" s="42" t="s">
        <v>184</v>
      </c>
      <c r="L1012" s="44" t="n">
        <v>15331.85</v>
      </c>
      <c r="M1012" s="42" t="n">
        <v>4</v>
      </c>
      <c r="N1012" s="42" t="s">
        <v>146</v>
      </c>
      <c r="O1012" s="42" t="s">
        <v>147</v>
      </c>
      <c r="P1012" s="39" t="n">
        <f aca="false">C1012-B1012</f>
        <v>10</v>
      </c>
      <c r="Q1012" s="40" t="str">
        <f aca="false">CHOOSE(MONTH(B1012),"يناير","فبراير","مارس","أبريل","مايو","يونيو","يوليو","أغسطس","سبتمبر","أكتوبر","نوفمبر","ديسمبر")</f>
        <v>يونيو</v>
      </c>
      <c r="R1012" s="40" t="str">
        <f aca="false">"الربع "&amp;ROUNDUP(MONTH(B1012)/3,0)</f>
        <v>الربع 2</v>
      </c>
      <c r="S1012" s="40" t="str">
        <f aca="false">IF(D1012&lt;=12,"أطفال (0-12)",IF(D1012&lt;=24,"شباب (13-24)",IF(D1012&lt;=44,"بالغون (25-44)",IF(D1012&lt;=64,"متوسطو العمر (45-64)","كبار السن (+65)"))))</f>
        <v>أطفال (0-12)</v>
      </c>
      <c r="T1012" s="41" t="n">
        <f aca="false">IFERROR(L1012/P1012,0)</f>
        <v>1533.185</v>
      </c>
    </row>
    <row r="1013" customFormat="false" ht="15" hidden="false" customHeight="false" outlineLevel="0" collapsed="false">
      <c r="A1013" s="33" t="s">
        <v>1585</v>
      </c>
      <c r="B1013" s="34" t="n">
        <v>45467</v>
      </c>
      <c r="C1013" s="34" t="n">
        <v>45474</v>
      </c>
      <c r="D1013" s="33" t="n">
        <v>25</v>
      </c>
      <c r="E1013" s="33" t="s">
        <v>139</v>
      </c>
      <c r="F1013" s="33" t="s">
        <v>149</v>
      </c>
      <c r="G1013" s="33" t="s">
        <v>224</v>
      </c>
      <c r="H1013" s="33" t="s">
        <v>186</v>
      </c>
      <c r="I1013" s="33" t="s">
        <v>143</v>
      </c>
      <c r="J1013" s="33" t="s">
        <v>144</v>
      </c>
      <c r="K1013" s="33" t="s">
        <v>209</v>
      </c>
      <c r="L1013" s="35" t="n">
        <v>16826.03</v>
      </c>
      <c r="M1013" s="33" t="n">
        <v>4</v>
      </c>
      <c r="N1013" s="33" t="s">
        <v>210</v>
      </c>
      <c r="O1013" s="33" t="s">
        <v>147</v>
      </c>
      <c r="P1013" s="39" t="n">
        <f aca="false">C1013-B1013</f>
        <v>7</v>
      </c>
      <c r="Q1013" s="40" t="str">
        <f aca="false">CHOOSE(MONTH(B1013),"يناير","فبراير","مارس","أبريل","مايو","يونيو","يوليو","أغسطس","سبتمبر","أكتوبر","نوفمبر","ديسمبر")</f>
        <v>يونيو</v>
      </c>
      <c r="R1013" s="40" t="str">
        <f aca="false">"الربع "&amp;ROUNDUP(MONTH(B1013)/3,0)</f>
        <v>الربع 2</v>
      </c>
      <c r="S1013" s="40" t="str">
        <f aca="false">IF(D1013&lt;=12,"أطفال (0-12)",IF(D1013&lt;=24,"شباب (13-24)",IF(D1013&lt;=44,"بالغون (25-44)",IF(D1013&lt;=64,"متوسطو العمر (45-64)","كبار السن (+65)"))))</f>
        <v>بالغون (25-44)</v>
      </c>
      <c r="T1013" s="41" t="n">
        <f aca="false">IFERROR(L1013/P1013,0)</f>
        <v>2403.71857142857</v>
      </c>
    </row>
    <row r="1014" customFormat="false" ht="15" hidden="false" customHeight="false" outlineLevel="0" collapsed="false">
      <c r="A1014" s="42" t="s">
        <v>1498</v>
      </c>
      <c r="B1014" s="43" t="n">
        <v>45468</v>
      </c>
      <c r="C1014" s="43" t="n">
        <v>45470</v>
      </c>
      <c r="D1014" s="42" t="n">
        <v>32</v>
      </c>
      <c r="E1014" s="42" t="s">
        <v>154</v>
      </c>
      <c r="F1014" s="42" t="s">
        <v>173</v>
      </c>
      <c r="G1014" s="42" t="s">
        <v>174</v>
      </c>
      <c r="H1014" s="42" t="s">
        <v>199</v>
      </c>
      <c r="I1014" s="42" t="s">
        <v>143</v>
      </c>
      <c r="J1014" s="42" t="s">
        <v>144</v>
      </c>
      <c r="K1014" s="42" t="s">
        <v>145</v>
      </c>
      <c r="L1014" s="44" t="n">
        <v>7273.28</v>
      </c>
      <c r="M1014" s="42" t="n">
        <v>4</v>
      </c>
      <c r="N1014" s="42" t="s">
        <v>146</v>
      </c>
      <c r="O1014" s="42" t="s">
        <v>147</v>
      </c>
      <c r="P1014" s="39" t="n">
        <f aca="false">C1014-B1014</f>
        <v>2</v>
      </c>
      <c r="Q1014" s="40" t="str">
        <f aca="false">CHOOSE(MONTH(B1014),"يناير","فبراير","مارس","أبريل","مايو","يونيو","يوليو","أغسطس","سبتمبر","أكتوبر","نوفمبر","ديسمبر")</f>
        <v>يونيو</v>
      </c>
      <c r="R1014" s="40" t="str">
        <f aca="false">"الربع "&amp;ROUNDUP(MONTH(B1014)/3,0)</f>
        <v>الربع 2</v>
      </c>
      <c r="S1014" s="40" t="str">
        <f aca="false">IF(D1014&lt;=12,"أطفال (0-12)",IF(D1014&lt;=24,"شباب (13-24)",IF(D1014&lt;=44,"بالغون (25-44)",IF(D1014&lt;=64,"متوسطو العمر (45-64)","كبار السن (+65)"))))</f>
        <v>بالغون (25-44)</v>
      </c>
      <c r="T1014" s="41" t="n">
        <f aca="false">IFERROR(L1014/P1014,0)</f>
        <v>3636.64</v>
      </c>
    </row>
    <row r="1015" customFormat="false" ht="15" hidden="false" customHeight="false" outlineLevel="0" collapsed="false">
      <c r="A1015" s="33" t="s">
        <v>1557</v>
      </c>
      <c r="B1015" s="34" t="n">
        <v>45468</v>
      </c>
      <c r="C1015" s="34" t="n">
        <v>45471</v>
      </c>
      <c r="D1015" s="33" t="n">
        <v>46</v>
      </c>
      <c r="E1015" s="33" t="s">
        <v>139</v>
      </c>
      <c r="F1015" s="33" t="s">
        <v>203</v>
      </c>
      <c r="G1015" s="33" t="s">
        <v>192</v>
      </c>
      <c r="H1015" s="33" t="s">
        <v>193</v>
      </c>
      <c r="I1015" s="33" t="s">
        <v>143</v>
      </c>
      <c r="J1015" s="33" t="s">
        <v>144</v>
      </c>
      <c r="K1015" s="33" t="s">
        <v>160</v>
      </c>
      <c r="L1015" s="35" t="n">
        <v>5957.76</v>
      </c>
      <c r="M1015" s="33" t="n">
        <v>2</v>
      </c>
      <c r="N1015" s="33" t="s">
        <v>146</v>
      </c>
      <c r="O1015" s="33" t="s">
        <v>147</v>
      </c>
      <c r="P1015" s="39" t="n">
        <f aca="false">C1015-B1015</f>
        <v>3</v>
      </c>
      <c r="Q1015" s="40" t="str">
        <f aca="false">CHOOSE(MONTH(B1015),"يناير","فبراير","مارس","أبريل","مايو","يونيو","يوليو","أغسطس","سبتمبر","أكتوبر","نوفمبر","ديسمبر")</f>
        <v>يونيو</v>
      </c>
      <c r="R1015" s="40" t="str">
        <f aca="false">"الربع "&amp;ROUNDUP(MONTH(B1015)/3,0)</f>
        <v>الربع 2</v>
      </c>
      <c r="S1015" s="40" t="str">
        <f aca="false">IF(D1015&lt;=12,"أطفال (0-12)",IF(D1015&lt;=24,"شباب (13-24)",IF(D1015&lt;=44,"بالغون (25-44)",IF(D1015&lt;=64,"متوسطو العمر (45-64)","كبار السن (+65)"))))</f>
        <v>متوسطو العمر (45-64)</v>
      </c>
      <c r="T1015" s="41" t="n">
        <f aca="false">IFERROR(L1015/P1015,0)</f>
        <v>1985.92</v>
      </c>
    </row>
    <row r="1016" customFormat="false" ht="15" hidden="false" customHeight="false" outlineLevel="0" collapsed="false">
      <c r="A1016" s="42" t="s">
        <v>875</v>
      </c>
      <c r="B1016" s="43" t="n">
        <v>45468</v>
      </c>
      <c r="C1016" s="43" t="n">
        <v>45469</v>
      </c>
      <c r="D1016" s="42" t="n">
        <v>2</v>
      </c>
      <c r="E1016" s="42" t="s">
        <v>154</v>
      </c>
      <c r="F1016" s="42" t="s">
        <v>155</v>
      </c>
      <c r="G1016" s="42" t="s">
        <v>220</v>
      </c>
      <c r="H1016" s="42" t="s">
        <v>222</v>
      </c>
      <c r="I1016" s="42" t="s">
        <v>152</v>
      </c>
      <c r="J1016" s="42" t="s">
        <v>159</v>
      </c>
      <c r="K1016" s="42" t="s">
        <v>145</v>
      </c>
      <c r="L1016" s="44" t="n">
        <v>732.7</v>
      </c>
      <c r="M1016" s="42" t="n">
        <v>4</v>
      </c>
      <c r="N1016" s="42" t="s">
        <v>146</v>
      </c>
      <c r="O1016" s="42" t="s">
        <v>147</v>
      </c>
      <c r="P1016" s="39" t="n">
        <f aca="false">C1016-B1016</f>
        <v>1</v>
      </c>
      <c r="Q1016" s="40" t="str">
        <f aca="false">CHOOSE(MONTH(B1016),"يناير","فبراير","مارس","أبريل","مايو","يونيو","يوليو","أغسطس","سبتمبر","أكتوبر","نوفمبر","ديسمبر")</f>
        <v>يونيو</v>
      </c>
      <c r="R1016" s="40" t="str">
        <f aca="false">"الربع "&amp;ROUNDUP(MONTH(B1016)/3,0)</f>
        <v>الربع 2</v>
      </c>
      <c r="S1016" s="40" t="str">
        <f aca="false">IF(D1016&lt;=12,"أطفال (0-12)",IF(D1016&lt;=24,"شباب (13-24)",IF(D1016&lt;=44,"بالغون (25-44)",IF(D1016&lt;=64,"متوسطو العمر (45-64)","كبار السن (+65)"))))</f>
        <v>أطفال (0-12)</v>
      </c>
      <c r="T1016" s="41" t="n">
        <f aca="false">IFERROR(L1016/P1016,0)</f>
        <v>732.7</v>
      </c>
    </row>
    <row r="1017" customFormat="false" ht="15" hidden="false" customHeight="false" outlineLevel="0" collapsed="false">
      <c r="A1017" s="33" t="s">
        <v>519</v>
      </c>
      <c r="B1017" s="34" t="n">
        <v>45468</v>
      </c>
      <c r="C1017" s="34" t="n">
        <v>45469</v>
      </c>
      <c r="D1017" s="33" t="n">
        <v>44</v>
      </c>
      <c r="E1017" s="33" t="s">
        <v>154</v>
      </c>
      <c r="F1017" s="33" t="s">
        <v>203</v>
      </c>
      <c r="G1017" s="33" t="s">
        <v>204</v>
      </c>
      <c r="H1017" s="33" t="s">
        <v>233</v>
      </c>
      <c r="I1017" s="33" t="s">
        <v>143</v>
      </c>
      <c r="J1017" s="33" t="s">
        <v>159</v>
      </c>
      <c r="K1017" s="33" t="s">
        <v>145</v>
      </c>
      <c r="L1017" s="35" t="n">
        <v>869.85</v>
      </c>
      <c r="M1017" s="33" t="n">
        <v>3</v>
      </c>
      <c r="N1017" s="33" t="s">
        <v>146</v>
      </c>
      <c r="O1017" s="33" t="s">
        <v>247</v>
      </c>
      <c r="P1017" s="39" t="n">
        <f aca="false">C1017-B1017</f>
        <v>1</v>
      </c>
      <c r="Q1017" s="40" t="str">
        <f aca="false">CHOOSE(MONTH(B1017),"يناير","فبراير","مارس","أبريل","مايو","يونيو","يوليو","أغسطس","سبتمبر","أكتوبر","نوفمبر","ديسمبر")</f>
        <v>يونيو</v>
      </c>
      <c r="R1017" s="40" t="str">
        <f aca="false">"الربع "&amp;ROUNDUP(MONTH(B1017)/3,0)</f>
        <v>الربع 2</v>
      </c>
      <c r="S1017" s="40" t="str">
        <f aca="false">IF(D1017&lt;=12,"أطفال (0-12)",IF(D1017&lt;=24,"شباب (13-24)",IF(D1017&lt;=44,"بالغون (25-44)",IF(D1017&lt;=64,"متوسطو العمر (45-64)","كبار السن (+65)"))))</f>
        <v>بالغون (25-44)</v>
      </c>
      <c r="T1017" s="41" t="n">
        <f aca="false">IFERROR(L1017/P1017,0)</f>
        <v>869.85</v>
      </c>
    </row>
    <row r="1018" customFormat="false" ht="15" hidden="false" customHeight="false" outlineLevel="0" collapsed="false">
      <c r="A1018" s="42" t="s">
        <v>528</v>
      </c>
      <c r="B1018" s="43" t="n">
        <v>45468</v>
      </c>
      <c r="C1018" s="43" t="n">
        <v>45470</v>
      </c>
      <c r="D1018" s="42" t="n">
        <v>61</v>
      </c>
      <c r="E1018" s="42" t="s">
        <v>139</v>
      </c>
      <c r="F1018" s="42" t="s">
        <v>181</v>
      </c>
      <c r="G1018" s="42" t="s">
        <v>237</v>
      </c>
      <c r="H1018" s="42" t="s">
        <v>183</v>
      </c>
      <c r="I1018" s="42" t="s">
        <v>143</v>
      </c>
      <c r="J1018" s="42" t="s">
        <v>159</v>
      </c>
      <c r="K1018" s="42" t="s">
        <v>184</v>
      </c>
      <c r="L1018" s="44" t="n">
        <v>5436.81</v>
      </c>
      <c r="M1018" s="42" t="n">
        <v>5</v>
      </c>
      <c r="N1018" s="42" t="s">
        <v>210</v>
      </c>
      <c r="O1018" s="42" t="s">
        <v>147</v>
      </c>
      <c r="P1018" s="39" t="n">
        <f aca="false">C1018-B1018</f>
        <v>2</v>
      </c>
      <c r="Q1018" s="40" t="str">
        <f aca="false">CHOOSE(MONTH(B1018),"يناير","فبراير","مارس","أبريل","مايو","يونيو","يوليو","أغسطس","سبتمبر","أكتوبر","نوفمبر","ديسمبر")</f>
        <v>يونيو</v>
      </c>
      <c r="R1018" s="40" t="str">
        <f aca="false">"الربع "&amp;ROUNDUP(MONTH(B1018)/3,0)</f>
        <v>الربع 2</v>
      </c>
      <c r="S1018" s="40" t="str">
        <f aca="false">IF(D1018&lt;=12,"أطفال (0-12)",IF(D1018&lt;=24,"شباب (13-24)",IF(D1018&lt;=44,"بالغون (25-44)",IF(D1018&lt;=64,"متوسطو العمر (45-64)","كبار السن (+65)"))))</f>
        <v>متوسطو العمر (45-64)</v>
      </c>
      <c r="T1018" s="41" t="n">
        <f aca="false">IFERROR(L1018/P1018,0)</f>
        <v>2718.405</v>
      </c>
    </row>
    <row r="1019" customFormat="false" ht="15" hidden="false" customHeight="false" outlineLevel="0" collapsed="false">
      <c r="A1019" s="33" t="s">
        <v>705</v>
      </c>
      <c r="B1019" s="34" t="n">
        <v>45468</v>
      </c>
      <c r="C1019" s="34" t="n">
        <v>45473</v>
      </c>
      <c r="D1019" s="33" t="n">
        <v>12</v>
      </c>
      <c r="E1019" s="33" t="s">
        <v>154</v>
      </c>
      <c r="F1019" s="33" t="s">
        <v>169</v>
      </c>
      <c r="G1019" s="33" t="s">
        <v>163</v>
      </c>
      <c r="H1019" s="33" t="s">
        <v>164</v>
      </c>
      <c r="I1019" s="33" t="s">
        <v>143</v>
      </c>
      <c r="J1019" s="33" t="s">
        <v>159</v>
      </c>
      <c r="K1019" s="33" t="s">
        <v>209</v>
      </c>
      <c r="L1019" s="35" t="n">
        <v>4769.66</v>
      </c>
      <c r="M1019" s="33" t="n">
        <v>4</v>
      </c>
      <c r="N1019" s="33" t="s">
        <v>146</v>
      </c>
      <c r="O1019" s="33" t="s">
        <v>147</v>
      </c>
      <c r="P1019" s="39" t="n">
        <f aca="false">C1019-B1019</f>
        <v>5</v>
      </c>
      <c r="Q1019" s="40" t="str">
        <f aca="false">CHOOSE(MONTH(B1019),"يناير","فبراير","مارس","أبريل","مايو","يونيو","يوليو","أغسطس","سبتمبر","أكتوبر","نوفمبر","ديسمبر")</f>
        <v>يونيو</v>
      </c>
      <c r="R1019" s="40" t="str">
        <f aca="false">"الربع "&amp;ROUNDUP(MONTH(B1019)/3,0)</f>
        <v>الربع 2</v>
      </c>
      <c r="S1019" s="40" t="str">
        <f aca="false">IF(D1019&lt;=12,"أطفال (0-12)",IF(D1019&lt;=24,"شباب (13-24)",IF(D1019&lt;=44,"بالغون (25-44)",IF(D1019&lt;=64,"متوسطو العمر (45-64)","كبار السن (+65)"))))</f>
        <v>أطفال (0-12)</v>
      </c>
      <c r="T1019" s="41" t="n">
        <f aca="false">IFERROR(L1019/P1019,0)</f>
        <v>953.932</v>
      </c>
    </row>
    <row r="1020" customFormat="false" ht="15" hidden="false" customHeight="false" outlineLevel="0" collapsed="false">
      <c r="A1020" s="42" t="s">
        <v>1411</v>
      </c>
      <c r="B1020" s="43" t="n">
        <v>45470</v>
      </c>
      <c r="C1020" s="43" t="n">
        <v>45474</v>
      </c>
      <c r="D1020" s="42" t="n">
        <v>73</v>
      </c>
      <c r="E1020" s="42" t="s">
        <v>154</v>
      </c>
      <c r="F1020" s="42" t="s">
        <v>181</v>
      </c>
      <c r="G1020" s="42" t="s">
        <v>182</v>
      </c>
      <c r="H1020" s="42" t="s">
        <v>183</v>
      </c>
      <c r="I1020" s="42" t="s">
        <v>152</v>
      </c>
      <c r="J1020" s="42" t="s">
        <v>159</v>
      </c>
      <c r="K1020" s="42" t="s">
        <v>145</v>
      </c>
      <c r="L1020" s="44" t="n">
        <v>9212.4</v>
      </c>
      <c r="M1020" s="42" t="n">
        <v>3</v>
      </c>
      <c r="N1020" s="42" t="s">
        <v>146</v>
      </c>
      <c r="O1020" s="42" t="s">
        <v>147</v>
      </c>
      <c r="P1020" s="39" t="n">
        <f aca="false">C1020-B1020</f>
        <v>4</v>
      </c>
      <c r="Q1020" s="40" t="str">
        <f aca="false">CHOOSE(MONTH(B1020),"يناير","فبراير","مارس","أبريل","مايو","يونيو","يوليو","أغسطس","سبتمبر","أكتوبر","نوفمبر","ديسمبر")</f>
        <v>يونيو</v>
      </c>
      <c r="R1020" s="40" t="str">
        <f aca="false">"الربع "&amp;ROUNDUP(MONTH(B1020)/3,0)</f>
        <v>الربع 2</v>
      </c>
      <c r="S1020" s="40" t="str">
        <f aca="false">IF(D1020&lt;=12,"أطفال (0-12)",IF(D1020&lt;=24,"شباب (13-24)",IF(D1020&lt;=44,"بالغون (25-44)",IF(D1020&lt;=64,"متوسطو العمر (45-64)","كبار السن (+65)"))))</f>
        <v>كبار السن (+65)</v>
      </c>
      <c r="T1020" s="41" t="n">
        <f aca="false">IFERROR(L1020/P1020,0)</f>
        <v>2303.1</v>
      </c>
    </row>
    <row r="1021" customFormat="false" ht="15" hidden="false" customHeight="false" outlineLevel="0" collapsed="false">
      <c r="A1021" s="33" t="s">
        <v>2219</v>
      </c>
      <c r="B1021" s="34" t="n">
        <v>45470</v>
      </c>
      <c r="C1021" s="34" t="n">
        <v>45477</v>
      </c>
      <c r="D1021" s="33" t="n">
        <v>29</v>
      </c>
      <c r="E1021" s="33" t="s">
        <v>154</v>
      </c>
      <c r="F1021" s="33" t="s">
        <v>169</v>
      </c>
      <c r="G1021" s="33" t="s">
        <v>230</v>
      </c>
      <c r="H1021" s="33" t="s">
        <v>195</v>
      </c>
      <c r="I1021" s="33" t="s">
        <v>143</v>
      </c>
      <c r="J1021" s="33" t="s">
        <v>176</v>
      </c>
      <c r="K1021" s="33" t="s">
        <v>184</v>
      </c>
      <c r="L1021" s="35" t="n">
        <v>25639.06</v>
      </c>
      <c r="M1021" s="33" t="n">
        <v>3</v>
      </c>
      <c r="N1021" s="33" t="s">
        <v>146</v>
      </c>
      <c r="O1021" s="33" t="s">
        <v>147</v>
      </c>
      <c r="P1021" s="39" t="n">
        <f aca="false">C1021-B1021</f>
        <v>7</v>
      </c>
      <c r="Q1021" s="40" t="str">
        <f aca="false">CHOOSE(MONTH(B1021),"يناير","فبراير","مارس","أبريل","مايو","يونيو","يوليو","أغسطس","سبتمبر","أكتوبر","نوفمبر","ديسمبر")</f>
        <v>يونيو</v>
      </c>
      <c r="R1021" s="40" t="str">
        <f aca="false">"الربع "&amp;ROUNDUP(MONTH(B1021)/3,0)</f>
        <v>الربع 2</v>
      </c>
      <c r="S1021" s="40" t="str">
        <f aca="false">IF(D1021&lt;=12,"أطفال (0-12)",IF(D1021&lt;=24,"شباب (13-24)",IF(D1021&lt;=44,"بالغون (25-44)",IF(D1021&lt;=64,"متوسطو العمر (45-64)","كبار السن (+65)"))))</f>
        <v>بالغون (25-44)</v>
      </c>
      <c r="T1021" s="41" t="n">
        <f aca="false">IFERROR(L1021/P1021,0)</f>
        <v>3662.72285714286</v>
      </c>
    </row>
    <row r="1022" customFormat="false" ht="15" hidden="false" customHeight="false" outlineLevel="0" collapsed="false">
      <c r="A1022" s="42" t="s">
        <v>693</v>
      </c>
      <c r="B1022" s="43" t="n">
        <v>45470</v>
      </c>
      <c r="C1022" s="43" t="n">
        <v>45471</v>
      </c>
      <c r="D1022" s="42" t="n">
        <v>57</v>
      </c>
      <c r="E1022" s="42" t="s">
        <v>139</v>
      </c>
      <c r="F1022" s="42" t="s">
        <v>203</v>
      </c>
      <c r="G1022" s="42" t="s">
        <v>192</v>
      </c>
      <c r="H1022" s="42" t="s">
        <v>233</v>
      </c>
      <c r="I1022" s="42" t="s">
        <v>143</v>
      </c>
      <c r="J1022" s="42" t="s">
        <v>159</v>
      </c>
      <c r="K1022" s="42" t="s">
        <v>184</v>
      </c>
      <c r="L1022" s="44" t="n">
        <v>776.86</v>
      </c>
      <c r="M1022" s="42" t="n">
        <v>3</v>
      </c>
      <c r="N1022" s="42" t="s">
        <v>146</v>
      </c>
      <c r="O1022" s="42" t="s">
        <v>147</v>
      </c>
      <c r="P1022" s="39" t="n">
        <f aca="false">C1022-B1022</f>
        <v>1</v>
      </c>
      <c r="Q1022" s="40" t="str">
        <f aca="false">CHOOSE(MONTH(B1022),"يناير","فبراير","مارس","أبريل","مايو","يونيو","يوليو","أغسطس","سبتمبر","أكتوبر","نوفمبر","ديسمبر")</f>
        <v>يونيو</v>
      </c>
      <c r="R1022" s="40" t="str">
        <f aca="false">"الربع "&amp;ROUNDUP(MONTH(B1022)/3,0)</f>
        <v>الربع 2</v>
      </c>
      <c r="S1022" s="40" t="str">
        <f aca="false">IF(D1022&lt;=12,"أطفال (0-12)",IF(D1022&lt;=24,"شباب (13-24)",IF(D1022&lt;=44,"بالغون (25-44)",IF(D1022&lt;=64,"متوسطو العمر (45-64)","كبار السن (+65)"))))</f>
        <v>متوسطو العمر (45-64)</v>
      </c>
      <c r="T1022" s="41" t="n">
        <f aca="false">IFERROR(L1022/P1022,0)</f>
        <v>776.86</v>
      </c>
    </row>
    <row r="1023" customFormat="false" ht="15" hidden="false" customHeight="false" outlineLevel="0" collapsed="false">
      <c r="A1023" s="33" t="s">
        <v>1048</v>
      </c>
      <c r="B1023" s="34" t="n">
        <v>45470</v>
      </c>
      <c r="C1023" s="34" t="n">
        <v>45471</v>
      </c>
      <c r="D1023" s="33" t="n">
        <v>41</v>
      </c>
      <c r="E1023" s="33" t="s">
        <v>139</v>
      </c>
      <c r="F1023" s="33" t="s">
        <v>203</v>
      </c>
      <c r="G1023" s="33" t="s">
        <v>232</v>
      </c>
      <c r="H1023" s="33" t="s">
        <v>193</v>
      </c>
      <c r="I1023" s="33" t="s">
        <v>143</v>
      </c>
      <c r="J1023" s="33" t="s">
        <v>144</v>
      </c>
      <c r="K1023" s="33" t="s">
        <v>145</v>
      </c>
      <c r="L1023" s="35" t="n">
        <v>1456.38</v>
      </c>
      <c r="M1023" s="33" t="n">
        <v>3</v>
      </c>
      <c r="N1023" s="33" t="s">
        <v>146</v>
      </c>
      <c r="O1023" s="33" t="s">
        <v>147</v>
      </c>
      <c r="P1023" s="39" t="n">
        <f aca="false">C1023-B1023</f>
        <v>1</v>
      </c>
      <c r="Q1023" s="40" t="str">
        <f aca="false">CHOOSE(MONTH(B1023),"يناير","فبراير","مارس","أبريل","مايو","يونيو","يوليو","أغسطس","سبتمبر","أكتوبر","نوفمبر","ديسمبر")</f>
        <v>يونيو</v>
      </c>
      <c r="R1023" s="40" t="str">
        <f aca="false">"الربع "&amp;ROUNDUP(MONTH(B1023)/3,0)</f>
        <v>الربع 2</v>
      </c>
      <c r="S1023" s="40" t="str">
        <f aca="false">IF(D1023&lt;=12,"أطفال (0-12)",IF(D1023&lt;=24,"شباب (13-24)",IF(D1023&lt;=44,"بالغون (25-44)",IF(D1023&lt;=64,"متوسطو العمر (45-64)","كبار السن (+65)"))))</f>
        <v>بالغون (25-44)</v>
      </c>
      <c r="T1023" s="41" t="n">
        <f aca="false">IFERROR(L1023/P1023,0)</f>
        <v>1456.38</v>
      </c>
    </row>
    <row r="1024" customFormat="false" ht="15" hidden="false" customHeight="false" outlineLevel="0" collapsed="false">
      <c r="A1024" s="42" t="s">
        <v>1102</v>
      </c>
      <c r="B1024" s="43" t="n">
        <v>45471</v>
      </c>
      <c r="C1024" s="43" t="n">
        <v>45472</v>
      </c>
      <c r="D1024" s="42" t="n">
        <v>29</v>
      </c>
      <c r="E1024" s="42" t="s">
        <v>139</v>
      </c>
      <c r="F1024" s="42" t="s">
        <v>203</v>
      </c>
      <c r="G1024" s="42" t="s">
        <v>241</v>
      </c>
      <c r="H1024" s="42" t="s">
        <v>205</v>
      </c>
      <c r="I1024" s="42" t="s">
        <v>143</v>
      </c>
      <c r="J1024" s="42" t="s">
        <v>159</v>
      </c>
      <c r="K1024" s="42" t="s">
        <v>145</v>
      </c>
      <c r="L1024" s="44" t="n">
        <v>933.83</v>
      </c>
      <c r="M1024" s="42" t="n">
        <v>1</v>
      </c>
      <c r="N1024" s="42" t="s">
        <v>146</v>
      </c>
      <c r="O1024" s="42" t="s">
        <v>147</v>
      </c>
      <c r="P1024" s="39" t="n">
        <f aca="false">C1024-B1024</f>
        <v>1</v>
      </c>
      <c r="Q1024" s="40" t="str">
        <f aca="false">CHOOSE(MONTH(B1024),"يناير","فبراير","مارس","أبريل","مايو","يونيو","يوليو","أغسطس","سبتمبر","أكتوبر","نوفمبر","ديسمبر")</f>
        <v>يونيو</v>
      </c>
      <c r="R1024" s="40" t="str">
        <f aca="false">"الربع "&amp;ROUNDUP(MONTH(B1024)/3,0)</f>
        <v>الربع 2</v>
      </c>
      <c r="S1024" s="40" t="str">
        <f aca="false">IF(D1024&lt;=12,"أطفال (0-12)",IF(D1024&lt;=24,"شباب (13-24)",IF(D1024&lt;=44,"بالغون (25-44)",IF(D1024&lt;=64,"متوسطو العمر (45-64)","كبار السن (+65)"))))</f>
        <v>بالغون (25-44)</v>
      </c>
      <c r="T1024" s="41" t="n">
        <f aca="false">IFERROR(L1024/P1024,0)</f>
        <v>933.83</v>
      </c>
    </row>
    <row r="1025" customFormat="false" ht="15" hidden="false" customHeight="false" outlineLevel="0" collapsed="false">
      <c r="A1025" s="33" t="s">
        <v>767</v>
      </c>
      <c r="B1025" s="34" t="n">
        <v>45471</v>
      </c>
      <c r="C1025" s="34" t="n">
        <v>45472</v>
      </c>
      <c r="D1025" s="33" t="n">
        <v>54</v>
      </c>
      <c r="E1025" s="33" t="s">
        <v>154</v>
      </c>
      <c r="F1025" s="33" t="s">
        <v>173</v>
      </c>
      <c r="G1025" s="33" t="s">
        <v>174</v>
      </c>
      <c r="H1025" s="33" t="s">
        <v>199</v>
      </c>
      <c r="I1025" s="33" t="s">
        <v>143</v>
      </c>
      <c r="J1025" s="33" t="s">
        <v>159</v>
      </c>
      <c r="K1025" s="33" t="s">
        <v>160</v>
      </c>
      <c r="L1025" s="35" t="n">
        <v>3034.21</v>
      </c>
      <c r="M1025" s="33" t="n">
        <v>4</v>
      </c>
      <c r="N1025" s="33" t="s">
        <v>146</v>
      </c>
      <c r="O1025" s="33" t="s">
        <v>147</v>
      </c>
      <c r="P1025" s="39" t="n">
        <f aca="false">C1025-B1025</f>
        <v>1</v>
      </c>
      <c r="Q1025" s="40" t="str">
        <f aca="false">CHOOSE(MONTH(B1025),"يناير","فبراير","مارس","أبريل","مايو","يونيو","يوليو","أغسطس","سبتمبر","أكتوبر","نوفمبر","ديسمبر")</f>
        <v>يونيو</v>
      </c>
      <c r="R1025" s="40" t="str">
        <f aca="false">"الربع "&amp;ROUNDUP(MONTH(B1025)/3,0)</f>
        <v>الربع 2</v>
      </c>
      <c r="S1025" s="40" t="str">
        <f aca="false">IF(D1025&lt;=12,"أطفال (0-12)",IF(D1025&lt;=24,"شباب (13-24)",IF(D1025&lt;=44,"بالغون (25-44)",IF(D1025&lt;=64,"متوسطو العمر (45-64)","كبار السن (+65)"))))</f>
        <v>متوسطو العمر (45-64)</v>
      </c>
      <c r="T1025" s="41" t="n">
        <f aca="false">IFERROR(L1025/P1025,0)</f>
        <v>3034.21</v>
      </c>
    </row>
    <row r="1026" customFormat="false" ht="15" hidden="false" customHeight="false" outlineLevel="0" collapsed="false">
      <c r="A1026" s="42" t="s">
        <v>2277</v>
      </c>
      <c r="B1026" s="43" t="n">
        <v>45471</v>
      </c>
      <c r="C1026" s="43" t="n">
        <v>45475</v>
      </c>
      <c r="D1026" s="42" t="n">
        <v>64</v>
      </c>
      <c r="E1026" s="42" t="s">
        <v>154</v>
      </c>
      <c r="F1026" s="42" t="s">
        <v>226</v>
      </c>
      <c r="G1026" s="42" t="s">
        <v>258</v>
      </c>
      <c r="H1026" s="42" t="s">
        <v>263</v>
      </c>
      <c r="I1026" s="42" t="s">
        <v>143</v>
      </c>
      <c r="J1026" s="42" t="s">
        <v>144</v>
      </c>
      <c r="K1026" s="42" t="s">
        <v>184</v>
      </c>
      <c r="L1026" s="44" t="n">
        <v>26112.94</v>
      </c>
      <c r="M1026" s="42" t="n">
        <v>4</v>
      </c>
      <c r="N1026" s="42" t="s">
        <v>146</v>
      </c>
      <c r="O1026" s="42" t="s">
        <v>247</v>
      </c>
      <c r="P1026" s="39" t="n">
        <f aca="false">C1026-B1026</f>
        <v>4</v>
      </c>
      <c r="Q1026" s="40" t="str">
        <f aca="false">CHOOSE(MONTH(B1026),"يناير","فبراير","مارس","أبريل","مايو","يونيو","يوليو","أغسطس","سبتمبر","أكتوبر","نوفمبر","ديسمبر")</f>
        <v>يونيو</v>
      </c>
      <c r="R1026" s="40" t="str">
        <f aca="false">"الربع "&amp;ROUNDUP(MONTH(B1026)/3,0)</f>
        <v>الربع 2</v>
      </c>
      <c r="S1026" s="40" t="str">
        <f aca="false">IF(D1026&lt;=12,"أطفال (0-12)",IF(D1026&lt;=24,"شباب (13-24)",IF(D1026&lt;=44,"بالغون (25-44)",IF(D1026&lt;=64,"متوسطو العمر (45-64)","كبار السن (+65)"))))</f>
        <v>متوسطو العمر (45-64)</v>
      </c>
      <c r="T1026" s="41" t="n">
        <f aca="false">IFERROR(L1026/P1026,0)</f>
        <v>6528.235</v>
      </c>
    </row>
    <row r="1027" customFormat="false" ht="15" hidden="false" customHeight="false" outlineLevel="0" collapsed="false">
      <c r="A1027" s="33" t="s">
        <v>876</v>
      </c>
      <c r="B1027" s="34" t="n">
        <v>45471</v>
      </c>
      <c r="C1027" s="34" t="n">
        <v>45472</v>
      </c>
      <c r="D1027" s="33" t="n">
        <v>4</v>
      </c>
      <c r="E1027" s="33" t="s">
        <v>154</v>
      </c>
      <c r="F1027" s="33" t="s">
        <v>155</v>
      </c>
      <c r="G1027" s="33" t="s">
        <v>156</v>
      </c>
      <c r="H1027" s="33" t="s">
        <v>157</v>
      </c>
      <c r="I1027" s="33" t="s">
        <v>143</v>
      </c>
      <c r="J1027" s="33" t="s">
        <v>159</v>
      </c>
      <c r="K1027" s="33" t="s">
        <v>145</v>
      </c>
      <c r="L1027" s="35" t="n">
        <v>944.86</v>
      </c>
      <c r="M1027" s="33" t="n">
        <v>3</v>
      </c>
      <c r="N1027" s="33" t="s">
        <v>146</v>
      </c>
      <c r="O1027" s="33" t="s">
        <v>147</v>
      </c>
      <c r="P1027" s="39" t="n">
        <f aca="false">C1027-B1027</f>
        <v>1</v>
      </c>
      <c r="Q1027" s="40" t="str">
        <f aca="false">CHOOSE(MONTH(B1027),"يناير","فبراير","مارس","أبريل","مايو","يونيو","يوليو","أغسطس","سبتمبر","أكتوبر","نوفمبر","ديسمبر")</f>
        <v>يونيو</v>
      </c>
      <c r="R1027" s="40" t="str">
        <f aca="false">"الربع "&amp;ROUNDUP(MONTH(B1027)/3,0)</f>
        <v>الربع 2</v>
      </c>
      <c r="S1027" s="40" t="str">
        <f aca="false">IF(D1027&lt;=12,"أطفال (0-12)",IF(D1027&lt;=24,"شباب (13-24)",IF(D1027&lt;=44,"بالغون (25-44)",IF(D1027&lt;=64,"متوسطو العمر (45-64)","كبار السن (+65)"))))</f>
        <v>أطفال (0-12)</v>
      </c>
      <c r="T1027" s="41" t="n">
        <f aca="false">IFERROR(L1027/P1027,0)</f>
        <v>944.86</v>
      </c>
    </row>
    <row r="1028" customFormat="false" ht="15" hidden="false" customHeight="false" outlineLevel="0" collapsed="false">
      <c r="A1028" s="42" t="s">
        <v>1285</v>
      </c>
      <c r="B1028" s="43" t="n">
        <v>45471</v>
      </c>
      <c r="C1028" s="43" t="n">
        <v>45473</v>
      </c>
      <c r="D1028" s="42" t="n">
        <v>61</v>
      </c>
      <c r="E1028" s="42" t="s">
        <v>154</v>
      </c>
      <c r="F1028" s="42" t="s">
        <v>169</v>
      </c>
      <c r="G1028" s="42" t="s">
        <v>163</v>
      </c>
      <c r="H1028" s="42" t="s">
        <v>195</v>
      </c>
      <c r="I1028" s="42" t="s">
        <v>158</v>
      </c>
      <c r="J1028" s="42" t="s">
        <v>159</v>
      </c>
      <c r="K1028" s="42" t="s">
        <v>145</v>
      </c>
      <c r="L1028" s="44" t="n">
        <v>2410.5</v>
      </c>
      <c r="M1028" s="42" t="n">
        <v>3</v>
      </c>
      <c r="N1028" s="42" t="s">
        <v>146</v>
      </c>
      <c r="O1028" s="42" t="s">
        <v>247</v>
      </c>
      <c r="P1028" s="39" t="n">
        <f aca="false">C1028-B1028</f>
        <v>2</v>
      </c>
      <c r="Q1028" s="40" t="str">
        <f aca="false">CHOOSE(MONTH(B1028),"يناير","فبراير","مارس","أبريل","مايو","يونيو","يوليو","أغسطس","سبتمبر","أكتوبر","نوفمبر","ديسمبر")</f>
        <v>يونيو</v>
      </c>
      <c r="R1028" s="40" t="str">
        <f aca="false">"الربع "&amp;ROUNDUP(MONTH(B1028)/3,0)</f>
        <v>الربع 2</v>
      </c>
      <c r="S1028" s="40" t="str">
        <f aca="false">IF(D1028&lt;=12,"أطفال (0-12)",IF(D1028&lt;=24,"شباب (13-24)",IF(D1028&lt;=44,"بالغون (25-44)",IF(D1028&lt;=64,"متوسطو العمر (45-64)","كبار السن (+65)"))))</f>
        <v>متوسطو العمر (45-64)</v>
      </c>
      <c r="T1028" s="41" t="n">
        <f aca="false">IFERROR(L1028/P1028,0)</f>
        <v>1205.25</v>
      </c>
    </row>
    <row r="1029" customFormat="false" ht="15" hidden="false" customHeight="false" outlineLevel="0" collapsed="false">
      <c r="A1029" s="33" t="s">
        <v>1680</v>
      </c>
      <c r="B1029" s="34" t="n">
        <v>45471</v>
      </c>
      <c r="C1029" s="34" t="n">
        <v>45473</v>
      </c>
      <c r="D1029" s="33" t="n">
        <v>76</v>
      </c>
      <c r="E1029" s="33" t="s">
        <v>154</v>
      </c>
      <c r="F1029" s="33" t="s">
        <v>173</v>
      </c>
      <c r="G1029" s="33" t="s">
        <v>174</v>
      </c>
      <c r="H1029" s="33" t="s">
        <v>175</v>
      </c>
      <c r="I1029" s="33" t="s">
        <v>152</v>
      </c>
      <c r="J1029" s="33" t="s">
        <v>159</v>
      </c>
      <c r="K1029" s="33" t="s">
        <v>145</v>
      </c>
      <c r="L1029" s="35" t="n">
        <v>5354.63</v>
      </c>
      <c r="M1029" s="33" t="n">
        <v>4</v>
      </c>
      <c r="N1029" s="33" t="s">
        <v>146</v>
      </c>
      <c r="O1029" s="33" t="s">
        <v>147</v>
      </c>
      <c r="P1029" s="39" t="n">
        <f aca="false">C1029-B1029</f>
        <v>2</v>
      </c>
      <c r="Q1029" s="40" t="str">
        <f aca="false">CHOOSE(MONTH(B1029),"يناير","فبراير","مارس","أبريل","مايو","يونيو","يوليو","أغسطس","سبتمبر","أكتوبر","نوفمبر","ديسمبر")</f>
        <v>يونيو</v>
      </c>
      <c r="R1029" s="40" t="str">
        <f aca="false">"الربع "&amp;ROUNDUP(MONTH(B1029)/3,0)</f>
        <v>الربع 2</v>
      </c>
      <c r="S1029" s="40" t="str">
        <f aca="false">IF(D1029&lt;=12,"أطفال (0-12)",IF(D1029&lt;=24,"شباب (13-24)",IF(D1029&lt;=44,"بالغون (25-44)",IF(D1029&lt;=64,"متوسطو العمر (45-64)","كبار السن (+65)"))))</f>
        <v>كبار السن (+65)</v>
      </c>
      <c r="T1029" s="41" t="n">
        <f aca="false">IFERROR(L1029/P1029,0)</f>
        <v>2677.315</v>
      </c>
    </row>
    <row r="1030" customFormat="false" ht="15" hidden="false" customHeight="false" outlineLevel="0" collapsed="false">
      <c r="A1030" s="42" t="s">
        <v>1294</v>
      </c>
      <c r="B1030" s="43" t="n">
        <v>45471</v>
      </c>
      <c r="C1030" s="43" t="n">
        <v>45472</v>
      </c>
      <c r="D1030" s="42" t="n">
        <v>5</v>
      </c>
      <c r="E1030" s="42" t="s">
        <v>139</v>
      </c>
      <c r="F1030" s="42" t="s">
        <v>155</v>
      </c>
      <c r="G1030" s="42" t="s">
        <v>302</v>
      </c>
      <c r="H1030" s="42" t="s">
        <v>222</v>
      </c>
      <c r="I1030" s="42" t="s">
        <v>158</v>
      </c>
      <c r="J1030" s="42" t="s">
        <v>159</v>
      </c>
      <c r="K1030" s="42" t="s">
        <v>160</v>
      </c>
      <c r="L1030" s="44" t="n">
        <v>983.07</v>
      </c>
      <c r="M1030" s="42" t="n">
        <v>5</v>
      </c>
      <c r="N1030" s="42" t="s">
        <v>146</v>
      </c>
      <c r="O1030" s="42" t="s">
        <v>147</v>
      </c>
      <c r="P1030" s="39" t="n">
        <f aca="false">C1030-B1030</f>
        <v>1</v>
      </c>
      <c r="Q1030" s="40" t="str">
        <f aca="false">CHOOSE(MONTH(B1030),"يناير","فبراير","مارس","أبريل","مايو","يونيو","يوليو","أغسطس","سبتمبر","أكتوبر","نوفمبر","ديسمبر")</f>
        <v>يونيو</v>
      </c>
      <c r="R1030" s="40" t="str">
        <f aca="false">"الربع "&amp;ROUNDUP(MONTH(B1030)/3,0)</f>
        <v>الربع 2</v>
      </c>
      <c r="S1030" s="40" t="str">
        <f aca="false">IF(D1030&lt;=12,"أطفال (0-12)",IF(D1030&lt;=24,"شباب (13-24)",IF(D1030&lt;=44,"بالغون (25-44)",IF(D1030&lt;=64,"متوسطو العمر (45-64)","كبار السن (+65)"))))</f>
        <v>أطفال (0-12)</v>
      </c>
      <c r="T1030" s="41" t="n">
        <f aca="false">IFERROR(L1030/P1030,0)</f>
        <v>983.07</v>
      </c>
    </row>
    <row r="1031" customFormat="false" ht="15" hidden="false" customHeight="false" outlineLevel="0" collapsed="false">
      <c r="A1031" s="33" t="s">
        <v>1873</v>
      </c>
      <c r="B1031" s="34" t="n">
        <v>45472</v>
      </c>
      <c r="C1031" s="34" t="n">
        <v>45476</v>
      </c>
      <c r="D1031" s="33" t="n">
        <v>5</v>
      </c>
      <c r="E1031" s="33" t="s">
        <v>139</v>
      </c>
      <c r="F1031" s="33" t="s">
        <v>155</v>
      </c>
      <c r="G1031" s="33" t="s">
        <v>220</v>
      </c>
      <c r="H1031" s="33" t="s">
        <v>157</v>
      </c>
      <c r="I1031" s="33" t="s">
        <v>143</v>
      </c>
      <c r="J1031" s="33" t="s">
        <v>159</v>
      </c>
      <c r="K1031" s="33" t="s">
        <v>145</v>
      </c>
      <c r="L1031" s="35" t="n">
        <v>3479.72</v>
      </c>
      <c r="M1031" s="33" t="n">
        <v>3</v>
      </c>
      <c r="N1031" s="33" t="s">
        <v>146</v>
      </c>
      <c r="O1031" s="33" t="s">
        <v>147</v>
      </c>
      <c r="P1031" s="39" t="n">
        <f aca="false">C1031-B1031</f>
        <v>4</v>
      </c>
      <c r="Q1031" s="40" t="str">
        <f aca="false">CHOOSE(MONTH(B1031),"يناير","فبراير","مارس","أبريل","مايو","يونيو","يوليو","أغسطس","سبتمبر","أكتوبر","نوفمبر","ديسمبر")</f>
        <v>يونيو</v>
      </c>
      <c r="R1031" s="40" t="str">
        <f aca="false">"الربع "&amp;ROUNDUP(MONTH(B1031)/3,0)</f>
        <v>الربع 2</v>
      </c>
      <c r="S1031" s="40" t="str">
        <f aca="false">IF(D1031&lt;=12,"أطفال (0-12)",IF(D1031&lt;=24,"شباب (13-24)",IF(D1031&lt;=44,"بالغون (25-44)",IF(D1031&lt;=64,"متوسطو العمر (45-64)","كبار السن (+65)"))))</f>
        <v>أطفال (0-12)</v>
      </c>
      <c r="T1031" s="41" t="n">
        <f aca="false">IFERROR(L1031/P1031,0)</f>
        <v>869.93</v>
      </c>
    </row>
    <row r="1032" customFormat="false" ht="15" hidden="false" customHeight="false" outlineLevel="0" collapsed="false">
      <c r="A1032" s="42" t="s">
        <v>2148</v>
      </c>
      <c r="B1032" s="43" t="n">
        <v>45472</v>
      </c>
      <c r="C1032" s="43" t="n">
        <v>45473</v>
      </c>
      <c r="D1032" s="42" t="n">
        <v>0</v>
      </c>
      <c r="E1032" s="42" t="s">
        <v>139</v>
      </c>
      <c r="F1032" s="42" t="s">
        <v>203</v>
      </c>
      <c r="G1032" s="42" t="s">
        <v>192</v>
      </c>
      <c r="H1032" s="42" t="s">
        <v>193</v>
      </c>
      <c r="I1032" s="42" t="s">
        <v>143</v>
      </c>
      <c r="J1032" s="42" t="s">
        <v>159</v>
      </c>
      <c r="K1032" s="42" t="s">
        <v>145</v>
      </c>
      <c r="L1032" s="44" t="n">
        <v>959.38</v>
      </c>
      <c r="M1032" s="42" t="n">
        <v>4</v>
      </c>
      <c r="N1032" s="42" t="s">
        <v>146</v>
      </c>
      <c r="O1032" s="42" t="s">
        <v>147</v>
      </c>
      <c r="P1032" s="39" t="n">
        <f aca="false">C1032-B1032</f>
        <v>1</v>
      </c>
      <c r="Q1032" s="40" t="str">
        <f aca="false">CHOOSE(MONTH(B1032),"يناير","فبراير","مارس","أبريل","مايو","يونيو","يوليو","أغسطس","سبتمبر","أكتوبر","نوفمبر","ديسمبر")</f>
        <v>يونيو</v>
      </c>
      <c r="R1032" s="40" t="str">
        <f aca="false">"الربع "&amp;ROUNDUP(MONTH(B1032)/3,0)</f>
        <v>الربع 2</v>
      </c>
      <c r="S1032" s="40" t="str">
        <f aca="false">IF(D1032&lt;=12,"أطفال (0-12)",IF(D1032&lt;=24,"شباب (13-24)",IF(D1032&lt;=44,"بالغون (25-44)",IF(D1032&lt;=64,"متوسطو العمر (45-64)","كبار السن (+65)"))))</f>
        <v>أطفال (0-12)</v>
      </c>
      <c r="T1032" s="41" t="n">
        <f aca="false">IFERROR(L1032/P1032,0)</f>
        <v>959.38</v>
      </c>
    </row>
    <row r="1033" customFormat="false" ht="15" hidden="false" customHeight="false" outlineLevel="0" collapsed="false">
      <c r="A1033" s="33" t="s">
        <v>215</v>
      </c>
      <c r="B1033" s="34" t="n">
        <v>45472</v>
      </c>
      <c r="C1033" s="34" t="n">
        <v>45473</v>
      </c>
      <c r="D1033" s="33" t="n">
        <v>23</v>
      </c>
      <c r="E1033" s="33" t="s">
        <v>139</v>
      </c>
      <c r="F1033" s="33" t="s">
        <v>203</v>
      </c>
      <c r="G1033" s="33" t="s">
        <v>217</v>
      </c>
      <c r="H1033" s="33" t="s">
        <v>205</v>
      </c>
      <c r="I1033" s="33" t="s">
        <v>143</v>
      </c>
      <c r="J1033" s="33" t="s">
        <v>159</v>
      </c>
      <c r="K1033" s="33" t="s">
        <v>145</v>
      </c>
      <c r="L1033" s="35" t="n">
        <v>893.56</v>
      </c>
      <c r="M1033" s="33" t="n">
        <v>3</v>
      </c>
      <c r="N1033" s="33" t="s">
        <v>146</v>
      </c>
      <c r="O1033" s="33" t="s">
        <v>147</v>
      </c>
      <c r="P1033" s="39" t="n">
        <f aca="false">C1033-B1033</f>
        <v>1</v>
      </c>
      <c r="Q1033" s="40" t="str">
        <f aca="false">CHOOSE(MONTH(B1033),"يناير","فبراير","مارس","أبريل","مايو","يونيو","يوليو","أغسطس","سبتمبر","أكتوبر","نوفمبر","ديسمبر")</f>
        <v>يونيو</v>
      </c>
      <c r="R1033" s="40" t="str">
        <f aca="false">"الربع "&amp;ROUNDUP(MONTH(B1033)/3,0)</f>
        <v>الربع 2</v>
      </c>
      <c r="S1033" s="40" t="str">
        <f aca="false">IF(D1033&lt;=12,"أطفال (0-12)",IF(D1033&lt;=24,"شباب (13-24)",IF(D1033&lt;=44,"بالغون (25-44)",IF(D1033&lt;=64,"متوسطو العمر (45-64)","كبار السن (+65)"))))</f>
        <v>شباب (13-24)</v>
      </c>
      <c r="T1033" s="41" t="n">
        <f aca="false">IFERROR(L1033/P1033,0)</f>
        <v>893.56</v>
      </c>
    </row>
    <row r="1034" customFormat="false" ht="15" hidden="false" customHeight="false" outlineLevel="0" collapsed="false">
      <c r="A1034" s="42" t="s">
        <v>1626</v>
      </c>
      <c r="B1034" s="43" t="n">
        <v>45472</v>
      </c>
      <c r="C1034" s="43" t="n">
        <v>45483</v>
      </c>
      <c r="D1034" s="42" t="n">
        <v>46</v>
      </c>
      <c r="E1034" s="42" t="s">
        <v>139</v>
      </c>
      <c r="F1034" s="42" t="s">
        <v>226</v>
      </c>
      <c r="G1034" s="42" t="s">
        <v>258</v>
      </c>
      <c r="H1034" s="42" t="s">
        <v>263</v>
      </c>
      <c r="I1034" s="42" t="s">
        <v>152</v>
      </c>
      <c r="J1034" s="42" t="s">
        <v>144</v>
      </c>
      <c r="K1034" s="42" t="s">
        <v>160</v>
      </c>
      <c r="L1034" s="44" t="n">
        <v>56667.68</v>
      </c>
      <c r="M1034" s="42" t="n">
        <v>3</v>
      </c>
      <c r="N1034" s="42" t="s">
        <v>146</v>
      </c>
      <c r="O1034" s="42" t="s">
        <v>147</v>
      </c>
      <c r="P1034" s="39" t="n">
        <f aca="false">C1034-B1034</f>
        <v>11</v>
      </c>
      <c r="Q1034" s="40" t="str">
        <f aca="false">CHOOSE(MONTH(B1034),"يناير","فبراير","مارس","أبريل","مايو","يونيو","يوليو","أغسطس","سبتمبر","أكتوبر","نوفمبر","ديسمبر")</f>
        <v>يونيو</v>
      </c>
      <c r="R1034" s="40" t="str">
        <f aca="false">"الربع "&amp;ROUNDUP(MONTH(B1034)/3,0)</f>
        <v>الربع 2</v>
      </c>
      <c r="S1034" s="40" t="str">
        <f aca="false">IF(D1034&lt;=12,"أطفال (0-12)",IF(D1034&lt;=24,"شباب (13-24)",IF(D1034&lt;=44,"بالغون (25-44)",IF(D1034&lt;=64,"متوسطو العمر (45-64)","كبار السن (+65)"))))</f>
        <v>متوسطو العمر (45-64)</v>
      </c>
      <c r="T1034" s="41" t="n">
        <f aca="false">IFERROR(L1034/P1034,0)</f>
        <v>5151.60727272727</v>
      </c>
    </row>
    <row r="1035" customFormat="false" ht="15" hidden="false" customHeight="false" outlineLevel="0" collapsed="false">
      <c r="A1035" s="33" t="s">
        <v>1596</v>
      </c>
      <c r="B1035" s="34" t="n">
        <v>45472</v>
      </c>
      <c r="C1035" s="34" t="n">
        <v>45477</v>
      </c>
      <c r="D1035" s="33" t="n">
        <v>33</v>
      </c>
      <c r="E1035" s="33" t="s">
        <v>139</v>
      </c>
      <c r="F1035" s="33" t="s">
        <v>149</v>
      </c>
      <c r="G1035" s="33" t="s">
        <v>224</v>
      </c>
      <c r="H1035" s="33" t="s">
        <v>151</v>
      </c>
      <c r="I1035" s="33" t="s">
        <v>143</v>
      </c>
      <c r="J1035" s="33" t="s">
        <v>159</v>
      </c>
      <c r="K1035" s="33" t="s">
        <v>145</v>
      </c>
      <c r="L1035" s="35" t="n">
        <v>7683.91</v>
      </c>
      <c r="M1035" s="33" t="n">
        <v>4</v>
      </c>
      <c r="N1035" s="33" t="s">
        <v>146</v>
      </c>
      <c r="O1035" s="33" t="s">
        <v>147</v>
      </c>
      <c r="P1035" s="39" t="n">
        <f aca="false">C1035-B1035</f>
        <v>5</v>
      </c>
      <c r="Q1035" s="40" t="str">
        <f aca="false">CHOOSE(MONTH(B1035),"يناير","فبراير","مارس","أبريل","مايو","يونيو","يوليو","أغسطس","سبتمبر","أكتوبر","نوفمبر","ديسمبر")</f>
        <v>يونيو</v>
      </c>
      <c r="R1035" s="40" t="str">
        <f aca="false">"الربع "&amp;ROUNDUP(MONTH(B1035)/3,0)</f>
        <v>الربع 2</v>
      </c>
      <c r="S1035" s="40" t="str">
        <f aca="false">IF(D1035&lt;=12,"أطفال (0-12)",IF(D1035&lt;=24,"شباب (13-24)",IF(D1035&lt;=44,"بالغون (25-44)",IF(D1035&lt;=64,"متوسطو العمر (45-64)","كبار السن (+65)"))))</f>
        <v>بالغون (25-44)</v>
      </c>
      <c r="T1035" s="41" t="n">
        <f aca="false">IFERROR(L1035/P1035,0)</f>
        <v>1536.782</v>
      </c>
    </row>
    <row r="1036" customFormat="false" ht="15" hidden="false" customHeight="false" outlineLevel="0" collapsed="false">
      <c r="A1036" s="42" t="s">
        <v>177</v>
      </c>
      <c r="B1036" s="43" t="n">
        <v>45472</v>
      </c>
      <c r="C1036" s="43" t="n">
        <v>45475</v>
      </c>
      <c r="D1036" s="42" t="n">
        <v>9</v>
      </c>
      <c r="E1036" s="42" t="s">
        <v>139</v>
      </c>
      <c r="F1036" s="42" t="s">
        <v>173</v>
      </c>
      <c r="G1036" s="42" t="s">
        <v>178</v>
      </c>
      <c r="H1036" s="42" t="s">
        <v>175</v>
      </c>
      <c r="I1036" s="42" t="s">
        <v>143</v>
      </c>
      <c r="J1036" s="42" t="s">
        <v>159</v>
      </c>
      <c r="K1036" s="42" t="s">
        <v>160</v>
      </c>
      <c r="L1036" s="44" t="n">
        <v>6798.59</v>
      </c>
      <c r="M1036" s="42" t="n">
        <v>4</v>
      </c>
      <c r="N1036" s="42" t="s">
        <v>146</v>
      </c>
      <c r="O1036" s="42" t="s">
        <v>147</v>
      </c>
      <c r="P1036" s="39" t="n">
        <f aca="false">C1036-B1036</f>
        <v>3</v>
      </c>
      <c r="Q1036" s="40" t="str">
        <f aca="false">CHOOSE(MONTH(B1036),"يناير","فبراير","مارس","أبريل","مايو","يونيو","يوليو","أغسطس","سبتمبر","أكتوبر","نوفمبر","ديسمبر")</f>
        <v>يونيو</v>
      </c>
      <c r="R1036" s="40" t="str">
        <f aca="false">"الربع "&amp;ROUNDUP(MONTH(B1036)/3,0)</f>
        <v>الربع 2</v>
      </c>
      <c r="S1036" s="40" t="str">
        <f aca="false">IF(D1036&lt;=12,"أطفال (0-12)",IF(D1036&lt;=24,"شباب (13-24)",IF(D1036&lt;=44,"بالغون (25-44)",IF(D1036&lt;=64,"متوسطو العمر (45-64)","كبار السن (+65)"))))</f>
        <v>أطفال (0-12)</v>
      </c>
      <c r="T1036" s="41" t="n">
        <f aca="false">IFERROR(L1036/P1036,0)</f>
        <v>2266.19666666667</v>
      </c>
    </row>
    <row r="1037" customFormat="false" ht="15" hidden="false" customHeight="false" outlineLevel="0" collapsed="false">
      <c r="A1037" s="33" t="s">
        <v>1528</v>
      </c>
      <c r="B1037" s="34" t="n">
        <v>45472</v>
      </c>
      <c r="C1037" s="34" t="n">
        <v>45473</v>
      </c>
      <c r="D1037" s="33" t="n">
        <v>58</v>
      </c>
      <c r="E1037" s="33" t="s">
        <v>139</v>
      </c>
      <c r="F1037" s="33" t="s">
        <v>140</v>
      </c>
      <c r="G1037" s="33" t="s">
        <v>167</v>
      </c>
      <c r="H1037" s="33" t="s">
        <v>2322</v>
      </c>
      <c r="I1037" s="33" t="s">
        <v>143</v>
      </c>
      <c r="J1037" s="33" t="s">
        <v>159</v>
      </c>
      <c r="K1037" s="33" t="s">
        <v>145</v>
      </c>
      <c r="L1037" s="35" t="n">
        <v>2263.46</v>
      </c>
      <c r="M1037" s="33" t="n">
        <v>4</v>
      </c>
      <c r="N1037" s="33" t="s">
        <v>210</v>
      </c>
      <c r="O1037" s="33" t="s">
        <v>147</v>
      </c>
      <c r="P1037" s="39" t="n">
        <f aca="false">C1037-B1037</f>
        <v>1</v>
      </c>
      <c r="Q1037" s="40" t="str">
        <f aca="false">CHOOSE(MONTH(B1037),"يناير","فبراير","مارس","أبريل","مايو","يونيو","يوليو","أغسطس","سبتمبر","أكتوبر","نوفمبر","ديسمبر")</f>
        <v>يونيو</v>
      </c>
      <c r="R1037" s="40" t="str">
        <f aca="false">"الربع "&amp;ROUNDUP(MONTH(B1037)/3,0)</f>
        <v>الربع 2</v>
      </c>
      <c r="S1037" s="40" t="str">
        <f aca="false">IF(D1037&lt;=12,"أطفال (0-12)",IF(D1037&lt;=24,"شباب (13-24)",IF(D1037&lt;=44,"بالغون (25-44)",IF(D1037&lt;=64,"متوسطو العمر (45-64)","كبار السن (+65)"))))</f>
        <v>متوسطو العمر (45-64)</v>
      </c>
      <c r="T1037" s="41" t="n">
        <f aca="false">IFERROR(L1037/P1037,0)</f>
        <v>2263.46</v>
      </c>
    </row>
    <row r="1038" customFormat="false" ht="15" hidden="false" customHeight="false" outlineLevel="0" collapsed="false">
      <c r="A1038" s="42" t="s">
        <v>1325</v>
      </c>
      <c r="B1038" s="43" t="n">
        <v>45473</v>
      </c>
      <c r="C1038" s="43" t="n">
        <v>45474</v>
      </c>
      <c r="D1038" s="42" t="n">
        <v>9</v>
      </c>
      <c r="E1038" s="42" t="s">
        <v>154</v>
      </c>
      <c r="F1038" s="42" t="s">
        <v>203</v>
      </c>
      <c r="G1038" s="42" t="s">
        <v>204</v>
      </c>
      <c r="H1038" s="42" t="s">
        <v>205</v>
      </c>
      <c r="I1038" s="42" t="s">
        <v>143</v>
      </c>
      <c r="J1038" s="42" t="s">
        <v>159</v>
      </c>
      <c r="K1038" s="42" t="s">
        <v>145</v>
      </c>
      <c r="L1038" s="44" t="n">
        <v>864.58</v>
      </c>
      <c r="M1038" s="42" t="n">
        <v>3</v>
      </c>
      <c r="N1038" s="42" t="s">
        <v>146</v>
      </c>
      <c r="O1038" s="42" t="s">
        <v>147</v>
      </c>
      <c r="P1038" s="39" t="n">
        <f aca="false">C1038-B1038</f>
        <v>1</v>
      </c>
      <c r="Q1038" s="40" t="str">
        <f aca="false">CHOOSE(MONTH(B1038),"يناير","فبراير","مارس","أبريل","مايو","يونيو","يوليو","أغسطس","سبتمبر","أكتوبر","نوفمبر","ديسمبر")</f>
        <v>يونيو</v>
      </c>
      <c r="R1038" s="40" t="str">
        <f aca="false">"الربع "&amp;ROUNDUP(MONTH(B1038)/3,0)</f>
        <v>الربع 2</v>
      </c>
      <c r="S1038" s="40" t="str">
        <f aca="false">IF(D1038&lt;=12,"أطفال (0-12)",IF(D1038&lt;=24,"شباب (13-24)",IF(D1038&lt;=44,"بالغون (25-44)",IF(D1038&lt;=64,"متوسطو العمر (45-64)","كبار السن (+65)"))))</f>
        <v>أطفال (0-12)</v>
      </c>
      <c r="T1038" s="41" t="n">
        <f aca="false">IFERROR(L1038/P1038,0)</f>
        <v>864.58</v>
      </c>
    </row>
    <row r="1039" customFormat="false" ht="15" hidden="false" customHeight="false" outlineLevel="0" collapsed="false">
      <c r="A1039" s="33" t="s">
        <v>2063</v>
      </c>
      <c r="B1039" s="34" t="n">
        <v>45473</v>
      </c>
      <c r="C1039" s="34" t="n">
        <v>45475</v>
      </c>
      <c r="D1039" s="33" t="n">
        <v>28</v>
      </c>
      <c r="E1039" s="33" t="s">
        <v>139</v>
      </c>
      <c r="F1039" s="33" t="s">
        <v>169</v>
      </c>
      <c r="G1039" s="33" t="s">
        <v>230</v>
      </c>
      <c r="H1039" s="33" t="s">
        <v>195</v>
      </c>
      <c r="I1039" s="33" t="s">
        <v>143</v>
      </c>
      <c r="J1039" s="33" t="s">
        <v>159</v>
      </c>
      <c r="K1039" s="33" t="s">
        <v>160</v>
      </c>
      <c r="L1039" s="35" t="n">
        <v>2389.05</v>
      </c>
      <c r="M1039" s="33" t="n">
        <v>5</v>
      </c>
      <c r="N1039" s="33" t="s">
        <v>146</v>
      </c>
      <c r="O1039" s="33" t="s">
        <v>147</v>
      </c>
      <c r="P1039" s="39" t="n">
        <f aca="false">C1039-B1039</f>
        <v>2</v>
      </c>
      <c r="Q1039" s="40" t="str">
        <f aca="false">CHOOSE(MONTH(B1039),"يناير","فبراير","مارس","أبريل","مايو","يونيو","يوليو","أغسطس","سبتمبر","أكتوبر","نوفمبر","ديسمبر")</f>
        <v>يونيو</v>
      </c>
      <c r="R1039" s="40" t="str">
        <f aca="false">"الربع "&amp;ROUNDUP(MONTH(B1039)/3,0)</f>
        <v>الربع 2</v>
      </c>
      <c r="S1039" s="40" t="str">
        <f aca="false">IF(D1039&lt;=12,"أطفال (0-12)",IF(D1039&lt;=24,"شباب (13-24)",IF(D1039&lt;=44,"بالغون (25-44)",IF(D1039&lt;=64,"متوسطو العمر (45-64)","كبار السن (+65)"))))</f>
        <v>بالغون (25-44)</v>
      </c>
      <c r="T1039" s="41" t="n">
        <f aca="false">IFERROR(L1039/P1039,0)</f>
        <v>1194.525</v>
      </c>
    </row>
    <row r="1040" customFormat="false" ht="15" hidden="false" customHeight="false" outlineLevel="0" collapsed="false">
      <c r="A1040" s="42" t="s">
        <v>477</v>
      </c>
      <c r="B1040" s="43" t="n">
        <v>45473</v>
      </c>
      <c r="C1040" s="43" t="n">
        <v>45474</v>
      </c>
      <c r="D1040" s="42" t="n">
        <v>72</v>
      </c>
      <c r="E1040" s="42" t="s">
        <v>139</v>
      </c>
      <c r="F1040" s="42" t="s">
        <v>203</v>
      </c>
      <c r="G1040" s="42" t="s">
        <v>241</v>
      </c>
      <c r="H1040" s="42" t="s">
        <v>233</v>
      </c>
      <c r="I1040" s="42" t="s">
        <v>143</v>
      </c>
      <c r="J1040" s="42" t="s">
        <v>159</v>
      </c>
      <c r="K1040" s="42" t="s">
        <v>160</v>
      </c>
      <c r="L1040" s="44" t="n">
        <v>1040.67</v>
      </c>
      <c r="M1040" s="42" t="n">
        <v>2</v>
      </c>
      <c r="N1040" s="42" t="s">
        <v>146</v>
      </c>
      <c r="O1040" s="42" t="s">
        <v>147</v>
      </c>
      <c r="P1040" s="39" t="n">
        <f aca="false">C1040-B1040</f>
        <v>1</v>
      </c>
      <c r="Q1040" s="40" t="str">
        <f aca="false">CHOOSE(MONTH(B1040),"يناير","فبراير","مارس","أبريل","مايو","يونيو","يوليو","أغسطس","سبتمبر","أكتوبر","نوفمبر","ديسمبر")</f>
        <v>يونيو</v>
      </c>
      <c r="R1040" s="40" t="str">
        <f aca="false">"الربع "&amp;ROUNDUP(MONTH(B1040)/3,0)</f>
        <v>الربع 2</v>
      </c>
      <c r="S1040" s="40" t="str">
        <f aca="false">IF(D1040&lt;=12,"أطفال (0-12)",IF(D1040&lt;=24,"شباب (13-24)",IF(D1040&lt;=44,"بالغون (25-44)",IF(D1040&lt;=64,"متوسطو العمر (45-64)","كبار السن (+65)"))))</f>
        <v>كبار السن (+65)</v>
      </c>
      <c r="T1040" s="41" t="n">
        <f aca="false">IFERROR(L1040/P1040,0)</f>
        <v>1040.67</v>
      </c>
    </row>
    <row r="1041" customFormat="false" ht="15" hidden="false" customHeight="false" outlineLevel="0" collapsed="false">
      <c r="A1041" s="33" t="s">
        <v>2042</v>
      </c>
      <c r="B1041" s="34" t="n">
        <v>45473</v>
      </c>
      <c r="C1041" s="34" t="n">
        <v>45474</v>
      </c>
      <c r="D1041" s="33" t="n">
        <v>57</v>
      </c>
      <c r="E1041" s="33" t="s">
        <v>154</v>
      </c>
      <c r="F1041" s="33" t="s">
        <v>181</v>
      </c>
      <c r="G1041" s="33" t="s">
        <v>237</v>
      </c>
      <c r="H1041" s="33" t="s">
        <v>245</v>
      </c>
      <c r="I1041" s="33" t="s">
        <v>152</v>
      </c>
      <c r="J1041" s="33" t="s">
        <v>159</v>
      </c>
      <c r="K1041" s="33" t="s">
        <v>209</v>
      </c>
      <c r="L1041" s="35" t="n">
        <v>2224.82</v>
      </c>
      <c r="M1041" s="33" t="n">
        <v>3</v>
      </c>
      <c r="N1041" s="33" t="s">
        <v>146</v>
      </c>
      <c r="O1041" s="33" t="s">
        <v>147</v>
      </c>
      <c r="P1041" s="39" t="n">
        <f aca="false">C1041-B1041</f>
        <v>1</v>
      </c>
      <c r="Q1041" s="40" t="str">
        <f aca="false">CHOOSE(MONTH(B1041),"يناير","فبراير","مارس","أبريل","مايو","يونيو","يوليو","أغسطس","سبتمبر","أكتوبر","نوفمبر","ديسمبر")</f>
        <v>يونيو</v>
      </c>
      <c r="R1041" s="40" t="str">
        <f aca="false">"الربع "&amp;ROUNDUP(MONTH(B1041)/3,0)</f>
        <v>الربع 2</v>
      </c>
      <c r="S1041" s="40" t="str">
        <f aca="false">IF(D1041&lt;=12,"أطفال (0-12)",IF(D1041&lt;=24,"شباب (13-24)",IF(D1041&lt;=44,"بالغون (25-44)",IF(D1041&lt;=64,"متوسطو العمر (45-64)","كبار السن (+65)"))))</f>
        <v>متوسطو العمر (45-64)</v>
      </c>
      <c r="T1041" s="41" t="n">
        <f aca="false">IFERROR(L1041/P1041,0)</f>
        <v>2224.82</v>
      </c>
    </row>
    <row r="1042" customFormat="false" ht="15" hidden="false" customHeight="false" outlineLevel="0" collapsed="false">
      <c r="A1042" s="42" t="s">
        <v>864</v>
      </c>
      <c r="B1042" s="43" t="n">
        <v>45473</v>
      </c>
      <c r="C1042" s="43" t="n">
        <v>45474</v>
      </c>
      <c r="D1042" s="42" t="n">
        <v>22</v>
      </c>
      <c r="E1042" s="42" t="s">
        <v>139</v>
      </c>
      <c r="F1042" s="42" t="s">
        <v>149</v>
      </c>
      <c r="G1042" s="42" t="s">
        <v>150</v>
      </c>
      <c r="H1042" s="42" t="s">
        <v>186</v>
      </c>
      <c r="I1042" s="42" t="s">
        <v>152</v>
      </c>
      <c r="J1042" s="42" t="s">
        <v>159</v>
      </c>
      <c r="K1042" s="42" t="s">
        <v>145</v>
      </c>
      <c r="L1042" s="44" t="n">
        <v>1773.4</v>
      </c>
      <c r="M1042" s="42" t="n">
        <v>4</v>
      </c>
      <c r="N1042" s="42" t="s">
        <v>146</v>
      </c>
      <c r="O1042" s="42" t="s">
        <v>147</v>
      </c>
      <c r="P1042" s="39" t="n">
        <f aca="false">C1042-B1042</f>
        <v>1</v>
      </c>
      <c r="Q1042" s="40" t="str">
        <f aca="false">CHOOSE(MONTH(B1042),"يناير","فبراير","مارس","أبريل","مايو","يونيو","يوليو","أغسطس","سبتمبر","أكتوبر","نوفمبر","ديسمبر")</f>
        <v>يونيو</v>
      </c>
      <c r="R1042" s="40" t="str">
        <f aca="false">"الربع "&amp;ROUNDUP(MONTH(B1042)/3,0)</f>
        <v>الربع 2</v>
      </c>
      <c r="S1042" s="40" t="str">
        <f aca="false">IF(D1042&lt;=12,"أطفال (0-12)",IF(D1042&lt;=24,"شباب (13-24)",IF(D1042&lt;=44,"بالغون (25-44)",IF(D1042&lt;=64,"متوسطو العمر (45-64)","كبار السن (+65)"))))</f>
        <v>شباب (13-24)</v>
      </c>
      <c r="T1042" s="41" t="n">
        <f aca="false">IFERROR(L1042/P1042,0)</f>
        <v>1773.4</v>
      </c>
    </row>
    <row r="1043" customFormat="false" ht="15" hidden="false" customHeight="false" outlineLevel="0" collapsed="false">
      <c r="A1043" s="33" t="s">
        <v>1486</v>
      </c>
      <c r="B1043" s="34" t="n">
        <v>45473</v>
      </c>
      <c r="C1043" s="34" t="n">
        <v>45478</v>
      </c>
      <c r="D1043" s="33" t="n">
        <v>59</v>
      </c>
      <c r="E1043" s="33" t="s">
        <v>139</v>
      </c>
      <c r="F1043" s="33" t="s">
        <v>140</v>
      </c>
      <c r="G1043" s="33" t="s">
        <v>141</v>
      </c>
      <c r="H1043" s="33" t="s">
        <v>290</v>
      </c>
      <c r="I1043" s="33" t="s">
        <v>143</v>
      </c>
      <c r="J1043" s="33" t="s">
        <v>144</v>
      </c>
      <c r="K1043" s="33" t="s">
        <v>184</v>
      </c>
      <c r="L1043" s="35" t="n">
        <v>21118.42</v>
      </c>
      <c r="M1043" s="33" t="n">
        <v>5</v>
      </c>
      <c r="N1043" s="33" t="s">
        <v>146</v>
      </c>
      <c r="O1043" s="33" t="s">
        <v>147</v>
      </c>
      <c r="P1043" s="39" t="n">
        <f aca="false">C1043-B1043</f>
        <v>5</v>
      </c>
      <c r="Q1043" s="40" t="str">
        <f aca="false">CHOOSE(MONTH(B1043),"يناير","فبراير","مارس","أبريل","مايو","يونيو","يوليو","أغسطس","سبتمبر","أكتوبر","نوفمبر","ديسمبر")</f>
        <v>يونيو</v>
      </c>
      <c r="R1043" s="40" t="str">
        <f aca="false">"الربع "&amp;ROUNDUP(MONTH(B1043)/3,0)</f>
        <v>الربع 2</v>
      </c>
      <c r="S1043" s="40" t="str">
        <f aca="false">IF(D1043&lt;=12,"أطفال (0-12)",IF(D1043&lt;=24,"شباب (13-24)",IF(D1043&lt;=44,"بالغون (25-44)",IF(D1043&lt;=64,"متوسطو العمر (45-64)","كبار السن (+65)"))))</f>
        <v>متوسطو العمر (45-64)</v>
      </c>
      <c r="T1043" s="41" t="n">
        <f aca="false">IFERROR(L1043/P1043,0)</f>
        <v>4223.684</v>
      </c>
    </row>
    <row r="1044" customFormat="false" ht="15" hidden="false" customHeight="false" outlineLevel="0" collapsed="false">
      <c r="A1044" s="42" t="s">
        <v>1480</v>
      </c>
      <c r="B1044" s="43" t="n">
        <v>45473</v>
      </c>
      <c r="C1044" s="43" t="n">
        <v>45476</v>
      </c>
      <c r="D1044" s="42" t="n">
        <v>96</v>
      </c>
      <c r="E1044" s="42" t="s">
        <v>154</v>
      </c>
      <c r="F1044" s="42" t="s">
        <v>203</v>
      </c>
      <c r="G1044" s="42" t="s">
        <v>192</v>
      </c>
      <c r="H1044" s="42" t="s">
        <v>233</v>
      </c>
      <c r="I1044" s="42" t="s">
        <v>158</v>
      </c>
      <c r="J1044" s="42" t="s">
        <v>159</v>
      </c>
      <c r="K1044" s="42" t="s">
        <v>145</v>
      </c>
      <c r="L1044" s="44" t="n">
        <v>2166.12</v>
      </c>
      <c r="M1044" s="42" t="n">
        <v>4</v>
      </c>
      <c r="N1044" s="42" t="s">
        <v>146</v>
      </c>
      <c r="O1044" s="42" t="s">
        <v>147</v>
      </c>
      <c r="P1044" s="39" t="n">
        <f aca="false">C1044-B1044</f>
        <v>3</v>
      </c>
      <c r="Q1044" s="40" t="str">
        <f aca="false">CHOOSE(MONTH(B1044),"يناير","فبراير","مارس","أبريل","مايو","يونيو","يوليو","أغسطس","سبتمبر","أكتوبر","نوفمبر","ديسمبر")</f>
        <v>يونيو</v>
      </c>
      <c r="R1044" s="40" t="str">
        <f aca="false">"الربع "&amp;ROUNDUP(MONTH(B1044)/3,0)</f>
        <v>الربع 2</v>
      </c>
      <c r="S1044" s="40" t="str">
        <f aca="false">IF(D1044&lt;=12,"أطفال (0-12)",IF(D1044&lt;=24,"شباب (13-24)",IF(D1044&lt;=44,"بالغون (25-44)",IF(D1044&lt;=64,"متوسطو العمر (45-64)","كبار السن (+65)"))))</f>
        <v>كبار السن (+65)</v>
      </c>
      <c r="T1044" s="41" t="n">
        <f aca="false">IFERROR(L1044/P1044,0)</f>
        <v>722.04</v>
      </c>
    </row>
    <row r="1045" customFormat="false" ht="15" hidden="false" customHeight="false" outlineLevel="0" collapsed="false">
      <c r="A1045" s="33" t="s">
        <v>702</v>
      </c>
      <c r="B1045" s="34" t="n">
        <v>45474</v>
      </c>
      <c r="C1045" s="34" t="n">
        <v>45480</v>
      </c>
      <c r="D1045" s="33" t="n">
        <v>35</v>
      </c>
      <c r="E1045" s="33" t="s">
        <v>139</v>
      </c>
      <c r="F1045" s="33" t="s">
        <v>140</v>
      </c>
      <c r="G1045" s="33" t="s">
        <v>167</v>
      </c>
      <c r="H1045" s="33" t="s">
        <v>290</v>
      </c>
      <c r="I1045" s="33" t="s">
        <v>152</v>
      </c>
      <c r="J1045" s="33" t="s">
        <v>144</v>
      </c>
      <c r="K1045" s="33" t="s">
        <v>160</v>
      </c>
      <c r="L1045" s="35" t="n">
        <v>14135.4</v>
      </c>
      <c r="M1045" s="33" t="n">
        <v>4</v>
      </c>
      <c r="N1045" s="33" t="s">
        <v>146</v>
      </c>
      <c r="O1045" s="33" t="s">
        <v>147</v>
      </c>
      <c r="P1045" s="39" t="n">
        <f aca="false">C1045-B1045</f>
        <v>6</v>
      </c>
      <c r="Q1045" s="40" t="str">
        <f aca="false">CHOOSE(MONTH(B1045),"يناير","فبراير","مارس","أبريل","مايو","يونيو","يوليو","أغسطس","سبتمبر","أكتوبر","نوفمبر","ديسمبر")</f>
        <v>يوليو</v>
      </c>
      <c r="R1045" s="40" t="str">
        <f aca="false">"الربع "&amp;ROUNDUP(MONTH(B1045)/3,0)</f>
        <v>الربع 3</v>
      </c>
      <c r="S1045" s="40" t="str">
        <f aca="false">IF(D1045&lt;=12,"أطفال (0-12)",IF(D1045&lt;=24,"شباب (13-24)",IF(D1045&lt;=44,"بالغون (25-44)",IF(D1045&lt;=64,"متوسطو العمر (45-64)","كبار السن (+65)"))))</f>
        <v>بالغون (25-44)</v>
      </c>
      <c r="T1045" s="41" t="n">
        <f aca="false">IFERROR(L1045/P1045,0)</f>
        <v>2355.9</v>
      </c>
    </row>
    <row r="1046" customFormat="false" ht="15" hidden="false" customHeight="false" outlineLevel="0" collapsed="false">
      <c r="A1046" s="42" t="s">
        <v>496</v>
      </c>
      <c r="B1046" s="43" t="n">
        <v>45474</v>
      </c>
      <c r="C1046" s="43" t="n">
        <v>45477</v>
      </c>
      <c r="D1046" s="42" t="n">
        <v>79</v>
      </c>
      <c r="E1046" s="42" t="s">
        <v>139</v>
      </c>
      <c r="F1046" s="42" t="s">
        <v>173</v>
      </c>
      <c r="G1046" s="42" t="s">
        <v>178</v>
      </c>
      <c r="H1046" s="42" t="s">
        <v>175</v>
      </c>
      <c r="I1046" s="42" t="s">
        <v>143</v>
      </c>
      <c r="J1046" s="42" t="s">
        <v>159</v>
      </c>
      <c r="K1046" s="42" t="s">
        <v>160</v>
      </c>
      <c r="L1046" s="44" t="n">
        <v>7457.49</v>
      </c>
      <c r="M1046" s="42" t="n">
        <v>3</v>
      </c>
      <c r="N1046" s="42" t="s">
        <v>146</v>
      </c>
      <c r="O1046" s="42" t="s">
        <v>147</v>
      </c>
      <c r="P1046" s="39" t="n">
        <f aca="false">C1046-B1046</f>
        <v>3</v>
      </c>
      <c r="Q1046" s="40" t="str">
        <f aca="false">CHOOSE(MONTH(B1046),"يناير","فبراير","مارس","أبريل","مايو","يونيو","يوليو","أغسطس","سبتمبر","أكتوبر","نوفمبر","ديسمبر")</f>
        <v>يوليو</v>
      </c>
      <c r="R1046" s="40" t="str">
        <f aca="false">"الربع "&amp;ROUNDUP(MONTH(B1046)/3,0)</f>
        <v>الربع 3</v>
      </c>
      <c r="S1046" s="40" t="str">
        <f aca="false">IF(D1046&lt;=12,"أطفال (0-12)",IF(D1046&lt;=24,"شباب (13-24)",IF(D1046&lt;=44,"بالغون (25-44)",IF(D1046&lt;=64,"متوسطو العمر (45-64)","كبار السن (+65)"))))</f>
        <v>كبار السن (+65)</v>
      </c>
      <c r="T1046" s="41" t="n">
        <f aca="false">IFERROR(L1046/P1046,0)</f>
        <v>2485.83</v>
      </c>
    </row>
    <row r="1047" customFormat="false" ht="15" hidden="false" customHeight="false" outlineLevel="0" collapsed="false">
      <c r="A1047" s="33" t="s">
        <v>1455</v>
      </c>
      <c r="B1047" s="34" t="n">
        <v>45474</v>
      </c>
      <c r="C1047" s="34" t="n">
        <v>45475</v>
      </c>
      <c r="D1047" s="33" t="n">
        <v>4</v>
      </c>
      <c r="E1047" s="33" t="s">
        <v>139</v>
      </c>
      <c r="F1047" s="33" t="s">
        <v>203</v>
      </c>
      <c r="G1047" s="33" t="s">
        <v>241</v>
      </c>
      <c r="H1047" s="33" t="s">
        <v>233</v>
      </c>
      <c r="I1047" s="33" t="s">
        <v>143</v>
      </c>
      <c r="J1047" s="33" t="s">
        <v>159</v>
      </c>
      <c r="K1047" s="33" t="s">
        <v>160</v>
      </c>
      <c r="L1047" s="35" t="n">
        <v>817.08</v>
      </c>
      <c r="M1047" s="33" t="n">
        <v>1</v>
      </c>
      <c r="N1047" s="33" t="s">
        <v>146</v>
      </c>
      <c r="O1047" s="33" t="s">
        <v>147</v>
      </c>
      <c r="P1047" s="39" t="n">
        <f aca="false">C1047-B1047</f>
        <v>1</v>
      </c>
      <c r="Q1047" s="40" t="str">
        <f aca="false">CHOOSE(MONTH(B1047),"يناير","فبراير","مارس","أبريل","مايو","يونيو","يوليو","أغسطس","سبتمبر","أكتوبر","نوفمبر","ديسمبر")</f>
        <v>يوليو</v>
      </c>
      <c r="R1047" s="40" t="str">
        <f aca="false">"الربع "&amp;ROUNDUP(MONTH(B1047)/3,0)</f>
        <v>الربع 3</v>
      </c>
      <c r="S1047" s="40" t="str">
        <f aca="false">IF(D1047&lt;=12,"أطفال (0-12)",IF(D1047&lt;=24,"شباب (13-24)",IF(D1047&lt;=44,"بالغون (25-44)",IF(D1047&lt;=64,"متوسطو العمر (45-64)","كبار السن (+65)"))))</f>
        <v>أطفال (0-12)</v>
      </c>
      <c r="T1047" s="41" t="n">
        <f aca="false">IFERROR(L1047/P1047,0)</f>
        <v>817.08</v>
      </c>
    </row>
    <row r="1048" customFormat="false" ht="15" hidden="false" customHeight="false" outlineLevel="0" collapsed="false">
      <c r="A1048" s="42" t="s">
        <v>2295</v>
      </c>
      <c r="B1048" s="43" t="n">
        <v>45474</v>
      </c>
      <c r="C1048" s="43" t="n">
        <v>45477</v>
      </c>
      <c r="D1048" s="42" t="n">
        <v>60</v>
      </c>
      <c r="E1048" s="42" t="s">
        <v>139</v>
      </c>
      <c r="F1048" s="42" t="s">
        <v>140</v>
      </c>
      <c r="G1048" s="42" t="s">
        <v>141</v>
      </c>
      <c r="H1048" s="42" t="s">
        <v>290</v>
      </c>
      <c r="I1048" s="42" t="s">
        <v>158</v>
      </c>
      <c r="J1048" s="42" t="s">
        <v>176</v>
      </c>
      <c r="K1048" s="42" t="s">
        <v>184</v>
      </c>
      <c r="L1048" s="44" t="n">
        <v>21812.23</v>
      </c>
      <c r="M1048" s="42" t="n">
        <v>5</v>
      </c>
      <c r="N1048" s="42" t="s">
        <v>146</v>
      </c>
      <c r="O1048" s="42" t="s">
        <v>247</v>
      </c>
      <c r="P1048" s="39" t="n">
        <f aca="false">C1048-B1048</f>
        <v>3</v>
      </c>
      <c r="Q1048" s="40" t="str">
        <f aca="false">CHOOSE(MONTH(B1048),"يناير","فبراير","مارس","أبريل","مايو","يونيو","يوليو","أغسطس","سبتمبر","أكتوبر","نوفمبر","ديسمبر")</f>
        <v>يوليو</v>
      </c>
      <c r="R1048" s="40" t="str">
        <f aca="false">"الربع "&amp;ROUNDUP(MONTH(B1048)/3,0)</f>
        <v>الربع 3</v>
      </c>
      <c r="S1048" s="40" t="str">
        <f aca="false">IF(D1048&lt;=12,"أطفال (0-12)",IF(D1048&lt;=24,"شباب (13-24)",IF(D1048&lt;=44,"بالغون (25-44)",IF(D1048&lt;=64,"متوسطو العمر (45-64)","كبار السن (+65)"))))</f>
        <v>متوسطو العمر (45-64)</v>
      </c>
      <c r="T1048" s="41" t="n">
        <f aca="false">IFERROR(L1048/P1048,0)</f>
        <v>7270.74333333333</v>
      </c>
    </row>
    <row r="1049" customFormat="false" ht="15" hidden="false" customHeight="false" outlineLevel="0" collapsed="false">
      <c r="A1049" s="33" t="s">
        <v>2204</v>
      </c>
      <c r="B1049" s="34" t="n">
        <v>45474</v>
      </c>
      <c r="C1049" s="34" t="n">
        <v>45478</v>
      </c>
      <c r="D1049" s="33" t="n">
        <v>39</v>
      </c>
      <c r="E1049" s="33" t="s">
        <v>139</v>
      </c>
      <c r="F1049" s="33" t="s">
        <v>169</v>
      </c>
      <c r="G1049" s="33" t="s">
        <v>163</v>
      </c>
      <c r="H1049" s="33" t="s">
        <v>171</v>
      </c>
      <c r="I1049" s="33" t="s">
        <v>143</v>
      </c>
      <c r="J1049" s="33" t="s">
        <v>159</v>
      </c>
      <c r="K1049" s="33" t="s">
        <v>209</v>
      </c>
      <c r="L1049" s="35" t="n">
        <v>4434.29</v>
      </c>
      <c r="M1049" s="33" t="n">
        <v>4</v>
      </c>
      <c r="N1049" s="33" t="s">
        <v>146</v>
      </c>
      <c r="O1049" s="33" t="s">
        <v>147</v>
      </c>
      <c r="P1049" s="39" t="n">
        <f aca="false">C1049-B1049</f>
        <v>4</v>
      </c>
      <c r="Q1049" s="40" t="str">
        <f aca="false">CHOOSE(MONTH(B1049),"يناير","فبراير","مارس","أبريل","مايو","يونيو","يوليو","أغسطس","سبتمبر","أكتوبر","نوفمبر","ديسمبر")</f>
        <v>يوليو</v>
      </c>
      <c r="R1049" s="40" t="str">
        <f aca="false">"الربع "&amp;ROUNDUP(MONTH(B1049)/3,0)</f>
        <v>الربع 3</v>
      </c>
      <c r="S1049" s="40" t="str">
        <f aca="false">IF(D1049&lt;=12,"أطفال (0-12)",IF(D1049&lt;=24,"شباب (13-24)",IF(D1049&lt;=44,"بالغون (25-44)",IF(D1049&lt;=64,"متوسطو العمر (45-64)","كبار السن (+65)"))))</f>
        <v>بالغون (25-44)</v>
      </c>
      <c r="T1049" s="41" t="n">
        <f aca="false">IFERROR(L1049/P1049,0)</f>
        <v>1108.5725</v>
      </c>
    </row>
    <row r="1050" customFormat="false" ht="15" hidden="false" customHeight="false" outlineLevel="0" collapsed="false">
      <c r="A1050" s="42" t="s">
        <v>353</v>
      </c>
      <c r="B1050" s="43" t="n">
        <v>45475</v>
      </c>
      <c r="C1050" s="43" t="n">
        <v>45476</v>
      </c>
      <c r="D1050" s="42" t="n">
        <v>31</v>
      </c>
      <c r="E1050" s="42" t="s">
        <v>139</v>
      </c>
      <c r="F1050" s="42" t="s">
        <v>149</v>
      </c>
      <c r="G1050" s="42" t="s">
        <v>243</v>
      </c>
      <c r="H1050" s="42" t="s">
        <v>186</v>
      </c>
      <c r="I1050" s="42" t="s">
        <v>143</v>
      </c>
      <c r="J1050" s="42" t="s">
        <v>176</v>
      </c>
      <c r="K1050" s="42" t="s">
        <v>145</v>
      </c>
      <c r="L1050" s="44" t="n">
        <v>5496.34</v>
      </c>
      <c r="M1050" s="42" t="n">
        <v>4</v>
      </c>
      <c r="N1050" s="42" t="s">
        <v>146</v>
      </c>
      <c r="O1050" s="42" t="s">
        <v>247</v>
      </c>
      <c r="P1050" s="39" t="n">
        <f aca="false">C1050-B1050</f>
        <v>1</v>
      </c>
      <c r="Q1050" s="40" t="str">
        <f aca="false">CHOOSE(MONTH(B1050),"يناير","فبراير","مارس","أبريل","مايو","يونيو","يوليو","أغسطس","سبتمبر","أكتوبر","نوفمبر","ديسمبر")</f>
        <v>يوليو</v>
      </c>
      <c r="R1050" s="40" t="str">
        <f aca="false">"الربع "&amp;ROUNDUP(MONTH(B1050)/3,0)</f>
        <v>الربع 3</v>
      </c>
      <c r="S1050" s="40" t="str">
        <f aca="false">IF(D1050&lt;=12,"أطفال (0-12)",IF(D1050&lt;=24,"شباب (13-24)",IF(D1050&lt;=44,"بالغون (25-44)",IF(D1050&lt;=64,"متوسطو العمر (45-64)","كبار السن (+65)"))))</f>
        <v>بالغون (25-44)</v>
      </c>
      <c r="T1050" s="41" t="n">
        <f aca="false">IFERROR(L1050/P1050,0)</f>
        <v>5496.34</v>
      </c>
    </row>
    <row r="1051" customFormat="false" ht="15" hidden="false" customHeight="false" outlineLevel="0" collapsed="false">
      <c r="A1051" s="33" t="s">
        <v>1967</v>
      </c>
      <c r="B1051" s="34" t="n">
        <v>45475</v>
      </c>
      <c r="C1051" s="34" t="n">
        <v>45479</v>
      </c>
      <c r="D1051" s="33" t="n">
        <v>36</v>
      </c>
      <c r="E1051" s="33" t="s">
        <v>139</v>
      </c>
      <c r="F1051" s="33" t="s">
        <v>169</v>
      </c>
      <c r="G1051" s="33" t="s">
        <v>213</v>
      </c>
      <c r="H1051" s="33" t="s">
        <v>171</v>
      </c>
      <c r="I1051" s="33" t="s">
        <v>152</v>
      </c>
      <c r="J1051" s="33" t="s">
        <v>159</v>
      </c>
      <c r="K1051" s="33" t="s">
        <v>160</v>
      </c>
      <c r="L1051" s="35" t="n">
        <v>4278.49</v>
      </c>
      <c r="M1051" s="33" t="n">
        <v>5</v>
      </c>
      <c r="N1051" s="33" t="s">
        <v>146</v>
      </c>
      <c r="O1051" s="33" t="s">
        <v>147</v>
      </c>
      <c r="P1051" s="39" t="n">
        <f aca="false">C1051-B1051</f>
        <v>4</v>
      </c>
      <c r="Q1051" s="40" t="str">
        <f aca="false">CHOOSE(MONTH(B1051),"يناير","فبراير","مارس","أبريل","مايو","يونيو","يوليو","أغسطس","سبتمبر","أكتوبر","نوفمبر","ديسمبر")</f>
        <v>يوليو</v>
      </c>
      <c r="R1051" s="40" t="str">
        <f aca="false">"الربع "&amp;ROUNDUP(MONTH(B1051)/3,0)</f>
        <v>الربع 3</v>
      </c>
      <c r="S1051" s="40" t="str">
        <f aca="false">IF(D1051&lt;=12,"أطفال (0-12)",IF(D1051&lt;=24,"شباب (13-24)",IF(D1051&lt;=44,"بالغون (25-44)",IF(D1051&lt;=64,"متوسطو العمر (45-64)","كبار السن (+65)"))))</f>
        <v>بالغون (25-44)</v>
      </c>
      <c r="T1051" s="41" t="n">
        <f aca="false">IFERROR(L1051/P1051,0)</f>
        <v>1069.6225</v>
      </c>
    </row>
    <row r="1052" customFormat="false" ht="15" hidden="false" customHeight="false" outlineLevel="0" collapsed="false">
      <c r="A1052" s="42" t="s">
        <v>434</v>
      </c>
      <c r="B1052" s="43" t="n">
        <v>45475</v>
      </c>
      <c r="C1052" s="43" t="n">
        <v>45478</v>
      </c>
      <c r="D1052" s="42" t="n">
        <v>79</v>
      </c>
      <c r="E1052" s="42" t="s">
        <v>139</v>
      </c>
      <c r="F1052" s="42" t="s">
        <v>181</v>
      </c>
      <c r="G1052" s="42" t="s">
        <v>237</v>
      </c>
      <c r="H1052" s="42" t="s">
        <v>245</v>
      </c>
      <c r="I1052" s="42" t="s">
        <v>158</v>
      </c>
      <c r="J1052" s="42" t="s">
        <v>159</v>
      </c>
      <c r="K1052" s="42" t="s">
        <v>160</v>
      </c>
      <c r="L1052" s="44" t="n">
        <v>8599.74</v>
      </c>
      <c r="M1052" s="42" t="n">
        <v>4</v>
      </c>
      <c r="N1052" s="42" t="s">
        <v>146</v>
      </c>
      <c r="O1052" s="42" t="s">
        <v>147</v>
      </c>
      <c r="P1052" s="39" t="n">
        <f aca="false">C1052-B1052</f>
        <v>3</v>
      </c>
      <c r="Q1052" s="40" t="str">
        <f aca="false">CHOOSE(MONTH(B1052),"يناير","فبراير","مارس","أبريل","مايو","يونيو","يوليو","أغسطس","سبتمبر","أكتوبر","نوفمبر","ديسمبر")</f>
        <v>يوليو</v>
      </c>
      <c r="R1052" s="40" t="str">
        <f aca="false">"الربع "&amp;ROUNDUP(MONTH(B1052)/3,0)</f>
        <v>الربع 3</v>
      </c>
      <c r="S1052" s="40" t="str">
        <f aca="false">IF(D1052&lt;=12,"أطفال (0-12)",IF(D1052&lt;=24,"شباب (13-24)",IF(D1052&lt;=44,"بالغون (25-44)",IF(D1052&lt;=64,"متوسطو العمر (45-64)","كبار السن (+65)"))))</f>
        <v>كبار السن (+65)</v>
      </c>
      <c r="T1052" s="41" t="n">
        <f aca="false">IFERROR(L1052/P1052,0)</f>
        <v>2866.58</v>
      </c>
    </row>
    <row r="1053" customFormat="false" ht="15" hidden="false" customHeight="false" outlineLevel="0" collapsed="false">
      <c r="A1053" s="33" t="s">
        <v>1916</v>
      </c>
      <c r="B1053" s="34" t="n">
        <v>45475</v>
      </c>
      <c r="C1053" s="34" t="n">
        <v>45476</v>
      </c>
      <c r="D1053" s="33" t="n">
        <v>11</v>
      </c>
      <c r="E1053" s="33" t="s">
        <v>154</v>
      </c>
      <c r="F1053" s="33" t="s">
        <v>155</v>
      </c>
      <c r="G1053" s="33" t="s">
        <v>302</v>
      </c>
      <c r="H1053" s="33" t="s">
        <v>157</v>
      </c>
      <c r="I1053" s="33" t="s">
        <v>152</v>
      </c>
      <c r="J1053" s="33" t="s">
        <v>159</v>
      </c>
      <c r="K1053" s="33" t="s">
        <v>145</v>
      </c>
      <c r="L1053" s="35" t="n">
        <v>993.96</v>
      </c>
      <c r="M1053" s="33" t="n">
        <v>4</v>
      </c>
      <c r="N1053" s="33" t="s">
        <v>146</v>
      </c>
      <c r="O1053" s="33" t="s">
        <v>147</v>
      </c>
      <c r="P1053" s="39" t="n">
        <f aca="false">C1053-B1053</f>
        <v>1</v>
      </c>
      <c r="Q1053" s="40" t="str">
        <f aca="false">CHOOSE(MONTH(B1053),"يناير","فبراير","مارس","أبريل","مايو","يونيو","يوليو","أغسطس","سبتمبر","أكتوبر","نوفمبر","ديسمبر")</f>
        <v>يوليو</v>
      </c>
      <c r="R1053" s="40" t="str">
        <f aca="false">"الربع "&amp;ROUNDUP(MONTH(B1053)/3,0)</f>
        <v>الربع 3</v>
      </c>
      <c r="S1053" s="40" t="str">
        <f aca="false">IF(D1053&lt;=12,"أطفال (0-12)",IF(D1053&lt;=24,"شباب (13-24)",IF(D1053&lt;=44,"بالغون (25-44)",IF(D1053&lt;=64,"متوسطو العمر (45-64)","كبار السن (+65)"))))</f>
        <v>أطفال (0-12)</v>
      </c>
      <c r="T1053" s="41" t="n">
        <f aca="false">IFERROR(L1053/P1053,0)</f>
        <v>993.96</v>
      </c>
    </row>
    <row r="1054" customFormat="false" ht="15" hidden="false" customHeight="false" outlineLevel="0" collapsed="false">
      <c r="A1054" s="42" t="s">
        <v>1336</v>
      </c>
      <c r="B1054" s="43" t="n">
        <v>45476</v>
      </c>
      <c r="C1054" s="43" t="n">
        <v>45477</v>
      </c>
      <c r="D1054" s="42" t="n">
        <v>58</v>
      </c>
      <c r="E1054" s="42" t="s">
        <v>139</v>
      </c>
      <c r="F1054" s="42" t="s">
        <v>226</v>
      </c>
      <c r="G1054" s="42" t="s">
        <v>258</v>
      </c>
      <c r="H1054" s="42" t="s">
        <v>263</v>
      </c>
      <c r="I1054" s="42" t="s">
        <v>158</v>
      </c>
      <c r="J1054" s="42" t="s">
        <v>159</v>
      </c>
      <c r="K1054" s="42" t="s">
        <v>160</v>
      </c>
      <c r="L1054" s="44" t="n">
        <v>3902.74</v>
      </c>
      <c r="M1054" s="42" t="n">
        <v>4</v>
      </c>
      <c r="N1054" s="42" t="s">
        <v>210</v>
      </c>
      <c r="O1054" s="42" t="s">
        <v>147</v>
      </c>
      <c r="P1054" s="39" t="n">
        <f aca="false">C1054-B1054</f>
        <v>1</v>
      </c>
      <c r="Q1054" s="40" t="str">
        <f aca="false">CHOOSE(MONTH(B1054),"يناير","فبراير","مارس","أبريل","مايو","يونيو","يوليو","أغسطس","سبتمبر","أكتوبر","نوفمبر","ديسمبر")</f>
        <v>يوليو</v>
      </c>
      <c r="R1054" s="40" t="str">
        <f aca="false">"الربع "&amp;ROUNDUP(MONTH(B1054)/3,0)</f>
        <v>الربع 3</v>
      </c>
      <c r="S1054" s="40" t="str">
        <f aca="false">IF(D1054&lt;=12,"أطفال (0-12)",IF(D1054&lt;=24,"شباب (13-24)",IF(D1054&lt;=44,"بالغون (25-44)",IF(D1054&lt;=64,"متوسطو العمر (45-64)","كبار السن (+65)"))))</f>
        <v>متوسطو العمر (45-64)</v>
      </c>
      <c r="T1054" s="41" t="n">
        <f aca="false">IFERROR(L1054/P1054,0)</f>
        <v>3902.74</v>
      </c>
    </row>
    <row r="1055" customFormat="false" ht="15" hidden="false" customHeight="false" outlineLevel="0" collapsed="false">
      <c r="A1055" s="33" t="s">
        <v>299</v>
      </c>
      <c r="B1055" s="34" t="n">
        <v>45476</v>
      </c>
      <c r="C1055" s="34" t="n">
        <v>45478</v>
      </c>
      <c r="D1055" s="33" t="n">
        <v>58</v>
      </c>
      <c r="E1055" s="33" t="s">
        <v>154</v>
      </c>
      <c r="F1055" s="33" t="s">
        <v>173</v>
      </c>
      <c r="G1055" s="33" t="s">
        <v>198</v>
      </c>
      <c r="H1055" s="33" t="s">
        <v>199</v>
      </c>
      <c r="I1055" s="33" t="s">
        <v>152</v>
      </c>
      <c r="J1055" s="33" t="s">
        <v>159</v>
      </c>
      <c r="K1055" s="33" t="s">
        <v>160</v>
      </c>
      <c r="L1055" s="35" t="n">
        <v>6014.47</v>
      </c>
      <c r="M1055" s="33" t="n">
        <v>3</v>
      </c>
      <c r="N1055" s="33" t="s">
        <v>146</v>
      </c>
      <c r="O1055" s="33" t="s">
        <v>147</v>
      </c>
      <c r="P1055" s="39" t="n">
        <f aca="false">C1055-B1055</f>
        <v>2</v>
      </c>
      <c r="Q1055" s="40" t="str">
        <f aca="false">CHOOSE(MONTH(B1055),"يناير","فبراير","مارس","أبريل","مايو","يونيو","يوليو","أغسطس","سبتمبر","أكتوبر","نوفمبر","ديسمبر")</f>
        <v>يوليو</v>
      </c>
      <c r="R1055" s="40" t="str">
        <f aca="false">"الربع "&amp;ROUNDUP(MONTH(B1055)/3,0)</f>
        <v>الربع 3</v>
      </c>
      <c r="S1055" s="40" t="str">
        <f aca="false">IF(D1055&lt;=12,"أطفال (0-12)",IF(D1055&lt;=24,"شباب (13-24)",IF(D1055&lt;=44,"بالغون (25-44)",IF(D1055&lt;=64,"متوسطو العمر (45-64)","كبار السن (+65)"))))</f>
        <v>متوسطو العمر (45-64)</v>
      </c>
      <c r="T1055" s="41" t="n">
        <f aca="false">IFERROR(L1055/P1055,0)</f>
        <v>3007.235</v>
      </c>
    </row>
    <row r="1056" customFormat="false" ht="15" hidden="false" customHeight="false" outlineLevel="0" collapsed="false">
      <c r="A1056" s="42" t="s">
        <v>517</v>
      </c>
      <c r="B1056" s="43" t="n">
        <v>45476</v>
      </c>
      <c r="C1056" s="43" t="n">
        <v>45479</v>
      </c>
      <c r="D1056" s="42" t="n">
        <v>36</v>
      </c>
      <c r="E1056" s="42" t="s">
        <v>139</v>
      </c>
      <c r="F1056" s="42" t="s">
        <v>169</v>
      </c>
      <c r="G1056" s="42" t="s">
        <v>230</v>
      </c>
      <c r="H1056" s="42" t="s">
        <v>195</v>
      </c>
      <c r="I1056" s="42" t="s">
        <v>152</v>
      </c>
      <c r="J1056" s="42" t="s">
        <v>159</v>
      </c>
      <c r="K1056" s="42" t="s">
        <v>184</v>
      </c>
      <c r="L1056" s="44" t="n">
        <v>3208.51</v>
      </c>
      <c r="M1056" s="42" t="n">
        <v>4</v>
      </c>
      <c r="N1056" s="42" t="s">
        <v>146</v>
      </c>
      <c r="O1056" s="42" t="s">
        <v>147</v>
      </c>
      <c r="P1056" s="39" t="n">
        <f aca="false">C1056-B1056</f>
        <v>3</v>
      </c>
      <c r="Q1056" s="40" t="str">
        <f aca="false">CHOOSE(MONTH(B1056),"يناير","فبراير","مارس","أبريل","مايو","يونيو","يوليو","أغسطس","سبتمبر","أكتوبر","نوفمبر","ديسمبر")</f>
        <v>يوليو</v>
      </c>
      <c r="R1056" s="40" t="str">
        <f aca="false">"الربع "&amp;ROUNDUP(MONTH(B1056)/3,0)</f>
        <v>الربع 3</v>
      </c>
      <c r="S1056" s="40" t="str">
        <f aca="false">IF(D1056&lt;=12,"أطفال (0-12)",IF(D1056&lt;=24,"شباب (13-24)",IF(D1056&lt;=44,"بالغون (25-44)",IF(D1056&lt;=64,"متوسطو العمر (45-64)","كبار السن (+65)"))))</f>
        <v>بالغون (25-44)</v>
      </c>
      <c r="T1056" s="41" t="n">
        <f aca="false">IFERROR(L1056/P1056,0)</f>
        <v>1069.50333333333</v>
      </c>
    </row>
    <row r="1057" customFormat="false" ht="15" hidden="false" customHeight="false" outlineLevel="0" collapsed="false">
      <c r="A1057" s="33" t="s">
        <v>1520</v>
      </c>
      <c r="B1057" s="34" t="n">
        <v>45476</v>
      </c>
      <c r="C1057" s="34" t="n">
        <v>45478</v>
      </c>
      <c r="D1057" s="33" t="n">
        <v>46</v>
      </c>
      <c r="E1057" s="33" t="s">
        <v>139</v>
      </c>
      <c r="F1057" s="33" t="s">
        <v>203</v>
      </c>
      <c r="G1057" s="33" t="s">
        <v>217</v>
      </c>
      <c r="H1057" s="33" t="s">
        <v>205</v>
      </c>
      <c r="I1057" s="33" t="s">
        <v>158</v>
      </c>
      <c r="J1057" s="33" t="s">
        <v>144</v>
      </c>
      <c r="K1057" s="33" t="s">
        <v>145</v>
      </c>
      <c r="L1057" s="35" t="n">
        <v>3090.61</v>
      </c>
      <c r="M1057" s="33" t="n">
        <v>4</v>
      </c>
      <c r="N1057" s="33" t="s">
        <v>146</v>
      </c>
      <c r="O1057" s="33" t="s">
        <v>147</v>
      </c>
      <c r="P1057" s="39" t="n">
        <f aca="false">C1057-B1057</f>
        <v>2</v>
      </c>
      <c r="Q1057" s="40" t="str">
        <f aca="false">CHOOSE(MONTH(B1057),"يناير","فبراير","مارس","أبريل","مايو","يونيو","يوليو","أغسطس","سبتمبر","أكتوبر","نوفمبر","ديسمبر")</f>
        <v>يوليو</v>
      </c>
      <c r="R1057" s="40" t="str">
        <f aca="false">"الربع "&amp;ROUNDUP(MONTH(B1057)/3,0)</f>
        <v>الربع 3</v>
      </c>
      <c r="S1057" s="40" t="str">
        <f aca="false">IF(D1057&lt;=12,"أطفال (0-12)",IF(D1057&lt;=24,"شباب (13-24)",IF(D1057&lt;=44,"بالغون (25-44)",IF(D1057&lt;=64,"متوسطو العمر (45-64)","كبار السن (+65)"))))</f>
        <v>متوسطو العمر (45-64)</v>
      </c>
      <c r="T1057" s="41" t="n">
        <f aca="false">IFERROR(L1057/P1057,0)</f>
        <v>1545.305</v>
      </c>
    </row>
    <row r="1058" customFormat="false" ht="15" hidden="false" customHeight="false" outlineLevel="0" collapsed="false">
      <c r="A1058" s="42" t="s">
        <v>1343</v>
      </c>
      <c r="B1058" s="43" t="n">
        <v>45476</v>
      </c>
      <c r="C1058" s="43" t="n">
        <v>45477</v>
      </c>
      <c r="D1058" s="42" t="n">
        <v>3</v>
      </c>
      <c r="E1058" s="42" t="s">
        <v>154</v>
      </c>
      <c r="F1058" s="42" t="s">
        <v>155</v>
      </c>
      <c r="G1058" s="42" t="s">
        <v>302</v>
      </c>
      <c r="H1058" s="42" t="s">
        <v>222</v>
      </c>
      <c r="I1058" s="42" t="s">
        <v>143</v>
      </c>
      <c r="J1058" s="42" t="s">
        <v>159</v>
      </c>
      <c r="K1058" s="42" t="s">
        <v>145</v>
      </c>
      <c r="L1058" s="44" t="n">
        <v>1002.79</v>
      </c>
      <c r="M1058" s="42" t="n">
        <v>4</v>
      </c>
      <c r="N1058" s="42" t="s">
        <v>210</v>
      </c>
      <c r="O1058" s="42" t="s">
        <v>147</v>
      </c>
      <c r="P1058" s="39" t="n">
        <f aca="false">C1058-B1058</f>
        <v>1</v>
      </c>
      <c r="Q1058" s="40" t="str">
        <f aca="false">CHOOSE(MONTH(B1058),"يناير","فبراير","مارس","أبريل","مايو","يونيو","يوليو","أغسطس","سبتمبر","أكتوبر","نوفمبر","ديسمبر")</f>
        <v>يوليو</v>
      </c>
      <c r="R1058" s="40" t="str">
        <f aca="false">"الربع "&amp;ROUNDUP(MONTH(B1058)/3,0)</f>
        <v>الربع 3</v>
      </c>
      <c r="S1058" s="40" t="str">
        <f aca="false">IF(D1058&lt;=12,"أطفال (0-12)",IF(D1058&lt;=24,"شباب (13-24)",IF(D1058&lt;=44,"بالغون (25-44)",IF(D1058&lt;=64,"متوسطو العمر (45-64)","كبار السن (+65)"))))</f>
        <v>أطفال (0-12)</v>
      </c>
      <c r="T1058" s="41" t="n">
        <f aca="false">IFERROR(L1058/P1058,0)</f>
        <v>1002.79</v>
      </c>
    </row>
    <row r="1059" customFormat="false" ht="15" hidden="false" customHeight="false" outlineLevel="0" collapsed="false">
      <c r="A1059" s="33" t="s">
        <v>621</v>
      </c>
      <c r="B1059" s="34" t="n">
        <v>45476</v>
      </c>
      <c r="C1059" s="34" t="n">
        <v>45485</v>
      </c>
      <c r="D1059" s="33" t="n">
        <v>26</v>
      </c>
      <c r="E1059" s="33" t="s">
        <v>154</v>
      </c>
      <c r="F1059" s="33" t="s">
        <v>169</v>
      </c>
      <c r="G1059" s="33" t="s">
        <v>230</v>
      </c>
      <c r="H1059" s="33" t="s">
        <v>171</v>
      </c>
      <c r="I1059" s="33" t="s">
        <v>152</v>
      </c>
      <c r="J1059" s="33" t="s">
        <v>159</v>
      </c>
      <c r="K1059" s="33" t="s">
        <v>145</v>
      </c>
      <c r="L1059" s="35" t="n">
        <v>9315.21</v>
      </c>
      <c r="M1059" s="33" t="n">
        <v>4</v>
      </c>
      <c r="N1059" s="33" t="s">
        <v>146</v>
      </c>
      <c r="O1059" s="33" t="s">
        <v>147</v>
      </c>
      <c r="P1059" s="39" t="n">
        <f aca="false">C1059-B1059</f>
        <v>9</v>
      </c>
      <c r="Q1059" s="40" t="str">
        <f aca="false">CHOOSE(MONTH(B1059),"يناير","فبراير","مارس","أبريل","مايو","يونيو","يوليو","أغسطس","سبتمبر","أكتوبر","نوفمبر","ديسمبر")</f>
        <v>يوليو</v>
      </c>
      <c r="R1059" s="40" t="str">
        <f aca="false">"الربع "&amp;ROUNDUP(MONTH(B1059)/3,0)</f>
        <v>الربع 3</v>
      </c>
      <c r="S1059" s="40" t="str">
        <f aca="false">IF(D1059&lt;=12,"أطفال (0-12)",IF(D1059&lt;=24,"شباب (13-24)",IF(D1059&lt;=44,"بالغون (25-44)",IF(D1059&lt;=64,"متوسطو العمر (45-64)","كبار السن (+65)"))))</f>
        <v>بالغون (25-44)</v>
      </c>
      <c r="T1059" s="41" t="n">
        <f aca="false">IFERROR(L1059/P1059,0)</f>
        <v>1035.02333333333</v>
      </c>
    </row>
    <row r="1060" customFormat="false" ht="15" hidden="false" customHeight="false" outlineLevel="0" collapsed="false">
      <c r="A1060" s="42" t="s">
        <v>1904</v>
      </c>
      <c r="B1060" s="43" t="n">
        <v>45476</v>
      </c>
      <c r="C1060" s="43" t="n">
        <v>45483</v>
      </c>
      <c r="D1060" s="42" t="n">
        <v>64</v>
      </c>
      <c r="E1060" s="42" t="s">
        <v>154</v>
      </c>
      <c r="F1060" s="42" t="s">
        <v>173</v>
      </c>
      <c r="G1060" s="42" t="s">
        <v>198</v>
      </c>
      <c r="H1060" s="42" t="s">
        <v>175</v>
      </c>
      <c r="I1060" s="42" t="s">
        <v>143</v>
      </c>
      <c r="J1060" s="42" t="s">
        <v>159</v>
      </c>
      <c r="K1060" s="42" t="s">
        <v>160</v>
      </c>
      <c r="L1060" s="44" t="n">
        <v>18541.36</v>
      </c>
      <c r="M1060" s="42" t="n">
        <v>5</v>
      </c>
      <c r="N1060" s="42" t="s">
        <v>146</v>
      </c>
      <c r="O1060" s="42" t="s">
        <v>147</v>
      </c>
      <c r="P1060" s="39" t="n">
        <f aca="false">C1060-B1060</f>
        <v>7</v>
      </c>
      <c r="Q1060" s="40" t="str">
        <f aca="false">CHOOSE(MONTH(B1060),"يناير","فبراير","مارس","أبريل","مايو","يونيو","يوليو","أغسطس","سبتمبر","أكتوبر","نوفمبر","ديسمبر")</f>
        <v>يوليو</v>
      </c>
      <c r="R1060" s="40" t="str">
        <f aca="false">"الربع "&amp;ROUNDUP(MONTH(B1060)/3,0)</f>
        <v>الربع 3</v>
      </c>
      <c r="S1060" s="40" t="str">
        <f aca="false">IF(D1060&lt;=12,"أطفال (0-12)",IF(D1060&lt;=24,"شباب (13-24)",IF(D1060&lt;=44,"بالغون (25-44)",IF(D1060&lt;=64,"متوسطو العمر (45-64)","كبار السن (+65)"))))</f>
        <v>متوسطو العمر (45-64)</v>
      </c>
      <c r="T1060" s="41" t="n">
        <f aca="false">IFERROR(L1060/P1060,0)</f>
        <v>2648.76571428571</v>
      </c>
    </row>
    <row r="1061" customFormat="false" ht="15" hidden="false" customHeight="false" outlineLevel="0" collapsed="false">
      <c r="A1061" s="33" t="s">
        <v>812</v>
      </c>
      <c r="B1061" s="34" t="n">
        <v>45476</v>
      </c>
      <c r="C1061" s="34" t="n">
        <v>45477</v>
      </c>
      <c r="D1061" s="33" t="n">
        <v>59</v>
      </c>
      <c r="E1061" s="33" t="s">
        <v>139</v>
      </c>
      <c r="F1061" s="33" t="s">
        <v>203</v>
      </c>
      <c r="G1061" s="33" t="s">
        <v>232</v>
      </c>
      <c r="H1061" s="33" t="s">
        <v>193</v>
      </c>
      <c r="I1061" s="33" t="s">
        <v>143</v>
      </c>
      <c r="J1061" s="33" t="s">
        <v>176</v>
      </c>
      <c r="K1061" s="33" t="s">
        <v>145</v>
      </c>
      <c r="L1061" s="35" t="n">
        <v>3188.14</v>
      </c>
      <c r="M1061" s="33" t="n">
        <v>3</v>
      </c>
      <c r="N1061" s="33" t="s">
        <v>146</v>
      </c>
      <c r="O1061" s="33" t="s">
        <v>147</v>
      </c>
      <c r="P1061" s="39" t="n">
        <f aca="false">C1061-B1061</f>
        <v>1</v>
      </c>
      <c r="Q1061" s="40" t="str">
        <f aca="false">CHOOSE(MONTH(B1061),"يناير","فبراير","مارس","أبريل","مايو","يونيو","يوليو","أغسطس","سبتمبر","أكتوبر","نوفمبر","ديسمبر")</f>
        <v>يوليو</v>
      </c>
      <c r="R1061" s="40" t="str">
        <f aca="false">"الربع "&amp;ROUNDUP(MONTH(B1061)/3,0)</f>
        <v>الربع 3</v>
      </c>
      <c r="S1061" s="40" t="str">
        <f aca="false">IF(D1061&lt;=12,"أطفال (0-12)",IF(D1061&lt;=24,"شباب (13-24)",IF(D1061&lt;=44,"بالغون (25-44)",IF(D1061&lt;=64,"متوسطو العمر (45-64)","كبار السن (+65)"))))</f>
        <v>متوسطو العمر (45-64)</v>
      </c>
      <c r="T1061" s="41" t="n">
        <f aca="false">IFERROR(L1061/P1061,0)</f>
        <v>3188.14</v>
      </c>
    </row>
    <row r="1062" customFormat="false" ht="15" hidden="false" customHeight="false" outlineLevel="0" collapsed="false">
      <c r="A1062" s="42" t="s">
        <v>1739</v>
      </c>
      <c r="B1062" s="43" t="n">
        <v>45476</v>
      </c>
      <c r="C1062" s="43" t="n">
        <v>45483</v>
      </c>
      <c r="D1062" s="42" t="n">
        <v>46</v>
      </c>
      <c r="E1062" s="42" t="s">
        <v>139</v>
      </c>
      <c r="F1062" s="42" t="s">
        <v>140</v>
      </c>
      <c r="G1062" s="42" t="s">
        <v>141</v>
      </c>
      <c r="H1062" s="42" t="s">
        <v>142</v>
      </c>
      <c r="I1062" s="42" t="s">
        <v>152</v>
      </c>
      <c r="J1062" s="42" t="s">
        <v>159</v>
      </c>
      <c r="K1062" s="42" t="s">
        <v>145</v>
      </c>
      <c r="L1062" s="44" t="n">
        <v>12744.48</v>
      </c>
      <c r="M1062" s="42" t="n">
        <v>3</v>
      </c>
      <c r="N1062" s="42" t="s">
        <v>146</v>
      </c>
      <c r="O1062" s="42" t="s">
        <v>147</v>
      </c>
      <c r="P1062" s="39" t="n">
        <f aca="false">C1062-B1062</f>
        <v>7</v>
      </c>
      <c r="Q1062" s="40" t="str">
        <f aca="false">CHOOSE(MONTH(B1062),"يناير","فبراير","مارس","أبريل","مايو","يونيو","يوليو","أغسطس","سبتمبر","أكتوبر","نوفمبر","ديسمبر")</f>
        <v>يوليو</v>
      </c>
      <c r="R1062" s="40" t="str">
        <f aca="false">"الربع "&amp;ROUNDUP(MONTH(B1062)/3,0)</f>
        <v>الربع 3</v>
      </c>
      <c r="S1062" s="40" t="str">
        <f aca="false">IF(D1062&lt;=12,"أطفال (0-12)",IF(D1062&lt;=24,"شباب (13-24)",IF(D1062&lt;=44,"بالغون (25-44)",IF(D1062&lt;=64,"متوسطو العمر (45-64)","كبار السن (+65)"))))</f>
        <v>متوسطو العمر (45-64)</v>
      </c>
      <c r="T1062" s="41" t="n">
        <f aca="false">IFERROR(L1062/P1062,0)</f>
        <v>1820.64</v>
      </c>
    </row>
    <row r="1063" customFormat="false" ht="15" hidden="false" customHeight="false" outlineLevel="0" collapsed="false">
      <c r="A1063" s="33" t="s">
        <v>775</v>
      </c>
      <c r="B1063" s="34" t="n">
        <v>45476</v>
      </c>
      <c r="C1063" s="34" t="n">
        <v>45478</v>
      </c>
      <c r="D1063" s="33" t="n">
        <v>80</v>
      </c>
      <c r="E1063" s="33" t="s">
        <v>139</v>
      </c>
      <c r="F1063" s="33" t="s">
        <v>169</v>
      </c>
      <c r="G1063" s="33" t="s">
        <v>163</v>
      </c>
      <c r="H1063" s="33" t="s">
        <v>171</v>
      </c>
      <c r="I1063" s="33" t="s">
        <v>143</v>
      </c>
      <c r="J1063" s="33" t="s">
        <v>159</v>
      </c>
      <c r="K1063" s="33" t="s">
        <v>184</v>
      </c>
      <c r="L1063" s="35" t="n">
        <v>2451.92</v>
      </c>
      <c r="M1063" s="33" t="n">
        <v>2</v>
      </c>
      <c r="N1063" s="33" t="s">
        <v>146</v>
      </c>
      <c r="O1063" s="33" t="s">
        <v>147</v>
      </c>
      <c r="P1063" s="39" t="n">
        <f aca="false">C1063-B1063</f>
        <v>2</v>
      </c>
      <c r="Q1063" s="40" t="str">
        <f aca="false">CHOOSE(MONTH(B1063),"يناير","فبراير","مارس","أبريل","مايو","يونيو","يوليو","أغسطس","سبتمبر","أكتوبر","نوفمبر","ديسمبر")</f>
        <v>يوليو</v>
      </c>
      <c r="R1063" s="40" t="str">
        <f aca="false">"الربع "&amp;ROUNDUP(MONTH(B1063)/3,0)</f>
        <v>الربع 3</v>
      </c>
      <c r="S1063" s="40" t="str">
        <f aca="false">IF(D1063&lt;=12,"أطفال (0-12)",IF(D1063&lt;=24,"شباب (13-24)",IF(D1063&lt;=44,"بالغون (25-44)",IF(D1063&lt;=64,"متوسطو العمر (45-64)","كبار السن (+65)"))))</f>
        <v>كبار السن (+65)</v>
      </c>
      <c r="T1063" s="41" t="n">
        <f aca="false">IFERROR(L1063/P1063,0)</f>
        <v>1225.96</v>
      </c>
    </row>
    <row r="1064" customFormat="false" ht="15" hidden="false" customHeight="false" outlineLevel="0" collapsed="false">
      <c r="A1064" s="42" t="s">
        <v>1799</v>
      </c>
      <c r="B1064" s="43" t="n">
        <v>45476</v>
      </c>
      <c r="C1064" s="43" t="n">
        <v>45478</v>
      </c>
      <c r="D1064" s="42" t="n">
        <v>47</v>
      </c>
      <c r="E1064" s="42" t="s">
        <v>139</v>
      </c>
      <c r="F1064" s="42" t="s">
        <v>140</v>
      </c>
      <c r="G1064" s="42" t="s">
        <v>316</v>
      </c>
      <c r="H1064" s="42" t="s">
        <v>290</v>
      </c>
      <c r="I1064" s="42" t="s">
        <v>152</v>
      </c>
      <c r="J1064" s="42" t="s">
        <v>159</v>
      </c>
      <c r="K1064" s="42" t="s">
        <v>145</v>
      </c>
      <c r="L1064" s="44" t="n">
        <v>4391.51</v>
      </c>
      <c r="M1064" s="42" t="n">
        <v>5</v>
      </c>
      <c r="N1064" s="42" t="s">
        <v>146</v>
      </c>
      <c r="O1064" s="42" t="s">
        <v>147</v>
      </c>
      <c r="P1064" s="39" t="n">
        <f aca="false">C1064-B1064</f>
        <v>2</v>
      </c>
      <c r="Q1064" s="40" t="str">
        <f aca="false">CHOOSE(MONTH(B1064),"يناير","فبراير","مارس","أبريل","مايو","يونيو","يوليو","أغسطس","سبتمبر","أكتوبر","نوفمبر","ديسمبر")</f>
        <v>يوليو</v>
      </c>
      <c r="R1064" s="40" t="str">
        <f aca="false">"الربع "&amp;ROUNDUP(MONTH(B1064)/3,0)</f>
        <v>الربع 3</v>
      </c>
      <c r="S1064" s="40" t="str">
        <f aca="false">IF(D1064&lt;=12,"أطفال (0-12)",IF(D1064&lt;=24,"شباب (13-24)",IF(D1064&lt;=44,"بالغون (25-44)",IF(D1064&lt;=64,"متوسطو العمر (45-64)","كبار السن (+65)"))))</f>
        <v>متوسطو العمر (45-64)</v>
      </c>
      <c r="T1064" s="41" t="n">
        <f aca="false">IFERROR(L1064/P1064,0)</f>
        <v>2195.755</v>
      </c>
    </row>
    <row r="1065" customFormat="false" ht="15" hidden="false" customHeight="false" outlineLevel="0" collapsed="false">
      <c r="A1065" s="33" t="s">
        <v>464</v>
      </c>
      <c r="B1065" s="34" t="n">
        <v>45477</v>
      </c>
      <c r="C1065" s="34" t="n">
        <v>45481</v>
      </c>
      <c r="D1065" s="33" t="n">
        <v>12</v>
      </c>
      <c r="E1065" s="33" t="s">
        <v>154</v>
      </c>
      <c r="F1065" s="33" t="s">
        <v>155</v>
      </c>
      <c r="G1065" s="33" t="s">
        <v>156</v>
      </c>
      <c r="H1065" s="33" t="s">
        <v>222</v>
      </c>
      <c r="I1065" s="33" t="s">
        <v>143</v>
      </c>
      <c r="J1065" s="33" t="s">
        <v>159</v>
      </c>
      <c r="K1065" s="33" t="s">
        <v>145</v>
      </c>
      <c r="L1065" s="35" t="n">
        <v>3057.03</v>
      </c>
      <c r="M1065" s="33" t="n">
        <v>5</v>
      </c>
      <c r="N1065" s="33" t="s">
        <v>210</v>
      </c>
      <c r="O1065" s="33" t="s">
        <v>147</v>
      </c>
      <c r="P1065" s="39" t="n">
        <f aca="false">C1065-B1065</f>
        <v>4</v>
      </c>
      <c r="Q1065" s="40" t="str">
        <f aca="false">CHOOSE(MONTH(B1065),"يناير","فبراير","مارس","أبريل","مايو","يونيو","يوليو","أغسطس","سبتمبر","أكتوبر","نوفمبر","ديسمبر")</f>
        <v>يوليو</v>
      </c>
      <c r="R1065" s="40" t="str">
        <f aca="false">"الربع "&amp;ROUNDUP(MONTH(B1065)/3,0)</f>
        <v>الربع 3</v>
      </c>
      <c r="S1065" s="40" t="str">
        <f aca="false">IF(D1065&lt;=12,"أطفال (0-12)",IF(D1065&lt;=24,"شباب (13-24)",IF(D1065&lt;=44,"بالغون (25-44)",IF(D1065&lt;=64,"متوسطو العمر (45-64)","كبار السن (+65)"))))</f>
        <v>أطفال (0-12)</v>
      </c>
      <c r="T1065" s="41" t="n">
        <f aca="false">IFERROR(L1065/P1065,0)</f>
        <v>764.2575</v>
      </c>
    </row>
    <row r="1066" customFormat="false" ht="15" hidden="false" customHeight="false" outlineLevel="0" collapsed="false">
      <c r="A1066" s="42" t="s">
        <v>1852</v>
      </c>
      <c r="B1066" s="43" t="n">
        <v>45477</v>
      </c>
      <c r="C1066" s="43" t="n">
        <v>45480</v>
      </c>
      <c r="D1066" s="42" t="n">
        <v>49</v>
      </c>
      <c r="E1066" s="42" t="s">
        <v>139</v>
      </c>
      <c r="F1066" s="42" t="s">
        <v>173</v>
      </c>
      <c r="G1066" s="42" t="s">
        <v>178</v>
      </c>
      <c r="H1066" s="42" t="s">
        <v>199</v>
      </c>
      <c r="I1066" s="42" t="s">
        <v>143</v>
      </c>
      <c r="J1066" s="42" t="s">
        <v>159</v>
      </c>
      <c r="K1066" s="42" t="s">
        <v>145</v>
      </c>
      <c r="L1066" s="44" t="n">
        <v>8593.69</v>
      </c>
      <c r="M1066" s="42" t="n">
        <v>4</v>
      </c>
      <c r="N1066" s="42" t="s">
        <v>146</v>
      </c>
      <c r="O1066" s="42" t="s">
        <v>147</v>
      </c>
      <c r="P1066" s="39" t="n">
        <f aca="false">C1066-B1066</f>
        <v>3</v>
      </c>
      <c r="Q1066" s="40" t="str">
        <f aca="false">CHOOSE(MONTH(B1066),"يناير","فبراير","مارس","أبريل","مايو","يونيو","يوليو","أغسطس","سبتمبر","أكتوبر","نوفمبر","ديسمبر")</f>
        <v>يوليو</v>
      </c>
      <c r="R1066" s="40" t="str">
        <f aca="false">"الربع "&amp;ROUNDUP(MONTH(B1066)/3,0)</f>
        <v>الربع 3</v>
      </c>
      <c r="S1066" s="40" t="str">
        <f aca="false">IF(D1066&lt;=12,"أطفال (0-12)",IF(D1066&lt;=24,"شباب (13-24)",IF(D1066&lt;=44,"بالغون (25-44)",IF(D1066&lt;=64,"متوسطو العمر (45-64)","كبار السن (+65)"))))</f>
        <v>متوسطو العمر (45-64)</v>
      </c>
      <c r="T1066" s="41" t="n">
        <f aca="false">IFERROR(L1066/P1066,0)</f>
        <v>2864.56333333333</v>
      </c>
    </row>
    <row r="1067" customFormat="false" ht="15" hidden="false" customHeight="false" outlineLevel="0" collapsed="false">
      <c r="A1067" s="33" t="s">
        <v>1621</v>
      </c>
      <c r="B1067" s="34" t="n">
        <v>45477</v>
      </c>
      <c r="C1067" s="34" t="n">
        <v>45479</v>
      </c>
      <c r="D1067" s="33" t="n">
        <v>11</v>
      </c>
      <c r="E1067" s="33" t="s">
        <v>139</v>
      </c>
      <c r="F1067" s="33" t="s">
        <v>173</v>
      </c>
      <c r="G1067" s="33" t="s">
        <v>174</v>
      </c>
      <c r="H1067" s="33" t="s">
        <v>199</v>
      </c>
      <c r="I1067" s="33" t="s">
        <v>158</v>
      </c>
      <c r="J1067" s="33" t="s">
        <v>176</v>
      </c>
      <c r="K1067" s="33" t="s">
        <v>145</v>
      </c>
      <c r="L1067" s="35" t="n">
        <v>17746.57</v>
      </c>
      <c r="M1067" s="33" t="n">
        <v>5</v>
      </c>
      <c r="N1067" s="33" t="s">
        <v>146</v>
      </c>
      <c r="O1067" s="33" t="s">
        <v>147</v>
      </c>
      <c r="P1067" s="39" t="n">
        <f aca="false">C1067-B1067</f>
        <v>2</v>
      </c>
      <c r="Q1067" s="40" t="str">
        <f aca="false">CHOOSE(MONTH(B1067),"يناير","فبراير","مارس","أبريل","مايو","يونيو","يوليو","أغسطس","سبتمبر","أكتوبر","نوفمبر","ديسمبر")</f>
        <v>يوليو</v>
      </c>
      <c r="R1067" s="40" t="str">
        <f aca="false">"الربع "&amp;ROUNDUP(MONTH(B1067)/3,0)</f>
        <v>الربع 3</v>
      </c>
      <c r="S1067" s="40" t="str">
        <f aca="false">IF(D1067&lt;=12,"أطفال (0-12)",IF(D1067&lt;=24,"شباب (13-24)",IF(D1067&lt;=44,"بالغون (25-44)",IF(D1067&lt;=64,"متوسطو العمر (45-64)","كبار السن (+65)"))))</f>
        <v>أطفال (0-12)</v>
      </c>
      <c r="T1067" s="41" t="n">
        <f aca="false">IFERROR(L1067/P1067,0)</f>
        <v>8873.285</v>
      </c>
    </row>
    <row r="1068" customFormat="false" ht="15" hidden="false" customHeight="false" outlineLevel="0" collapsed="false">
      <c r="A1068" s="42" t="s">
        <v>1953</v>
      </c>
      <c r="B1068" s="43" t="n">
        <v>45477</v>
      </c>
      <c r="C1068" s="43" t="n">
        <v>45488</v>
      </c>
      <c r="D1068" s="42" t="n">
        <v>30</v>
      </c>
      <c r="E1068" s="42" t="s">
        <v>154</v>
      </c>
      <c r="F1068" s="42" t="s">
        <v>169</v>
      </c>
      <c r="G1068" s="42" t="s">
        <v>230</v>
      </c>
      <c r="H1068" s="42" t="s">
        <v>195</v>
      </c>
      <c r="I1068" s="42" t="s">
        <v>158</v>
      </c>
      <c r="J1068" s="42" t="s">
        <v>176</v>
      </c>
      <c r="K1068" s="42" t="s">
        <v>209</v>
      </c>
      <c r="L1068" s="44" t="n">
        <v>35371.5</v>
      </c>
      <c r="M1068" s="42" t="n">
        <v>3</v>
      </c>
      <c r="N1068" s="42" t="s">
        <v>210</v>
      </c>
      <c r="O1068" s="42" t="s">
        <v>147</v>
      </c>
      <c r="P1068" s="39" t="n">
        <f aca="false">C1068-B1068</f>
        <v>11</v>
      </c>
      <c r="Q1068" s="40" t="str">
        <f aca="false">CHOOSE(MONTH(B1068),"يناير","فبراير","مارس","أبريل","مايو","يونيو","يوليو","أغسطس","سبتمبر","أكتوبر","نوفمبر","ديسمبر")</f>
        <v>يوليو</v>
      </c>
      <c r="R1068" s="40" t="str">
        <f aca="false">"الربع "&amp;ROUNDUP(MONTH(B1068)/3,0)</f>
        <v>الربع 3</v>
      </c>
      <c r="S1068" s="40" t="str">
        <f aca="false">IF(D1068&lt;=12,"أطفال (0-12)",IF(D1068&lt;=24,"شباب (13-24)",IF(D1068&lt;=44,"بالغون (25-44)",IF(D1068&lt;=64,"متوسطو العمر (45-64)","كبار السن (+65)"))))</f>
        <v>بالغون (25-44)</v>
      </c>
      <c r="T1068" s="41" t="n">
        <f aca="false">IFERROR(L1068/P1068,0)</f>
        <v>3215.59090909091</v>
      </c>
    </row>
    <row r="1069" customFormat="false" ht="15" hidden="false" customHeight="false" outlineLevel="0" collapsed="false">
      <c r="A1069" s="33" t="s">
        <v>1719</v>
      </c>
      <c r="B1069" s="34" t="n">
        <v>45477</v>
      </c>
      <c r="C1069" s="34" t="n">
        <v>45478</v>
      </c>
      <c r="D1069" s="33" t="n">
        <v>19</v>
      </c>
      <c r="E1069" s="33" t="s">
        <v>154</v>
      </c>
      <c r="F1069" s="33" t="s">
        <v>169</v>
      </c>
      <c r="G1069" s="33" t="s">
        <v>163</v>
      </c>
      <c r="H1069" s="33" t="s">
        <v>164</v>
      </c>
      <c r="I1069" s="33" t="s">
        <v>143</v>
      </c>
      <c r="J1069" s="33" t="s">
        <v>144</v>
      </c>
      <c r="K1069" s="33" t="s">
        <v>160</v>
      </c>
      <c r="L1069" s="35" t="n">
        <v>2089.19</v>
      </c>
      <c r="M1069" s="33" t="n">
        <v>3</v>
      </c>
      <c r="N1069" s="33" t="s">
        <v>146</v>
      </c>
      <c r="O1069" s="33" t="s">
        <v>147</v>
      </c>
      <c r="P1069" s="39" t="n">
        <f aca="false">C1069-B1069</f>
        <v>1</v>
      </c>
      <c r="Q1069" s="40" t="str">
        <f aca="false">CHOOSE(MONTH(B1069),"يناير","فبراير","مارس","أبريل","مايو","يونيو","يوليو","أغسطس","سبتمبر","أكتوبر","نوفمبر","ديسمبر")</f>
        <v>يوليو</v>
      </c>
      <c r="R1069" s="40" t="str">
        <f aca="false">"الربع "&amp;ROUNDUP(MONTH(B1069)/3,0)</f>
        <v>الربع 3</v>
      </c>
      <c r="S1069" s="40" t="str">
        <f aca="false">IF(D1069&lt;=12,"أطفال (0-12)",IF(D1069&lt;=24,"شباب (13-24)",IF(D1069&lt;=44,"بالغون (25-44)",IF(D1069&lt;=64,"متوسطو العمر (45-64)","كبار السن (+65)"))))</f>
        <v>شباب (13-24)</v>
      </c>
      <c r="T1069" s="41" t="n">
        <f aca="false">IFERROR(L1069/P1069,0)</f>
        <v>2089.19</v>
      </c>
    </row>
    <row r="1070" customFormat="false" ht="15" hidden="false" customHeight="false" outlineLevel="0" collapsed="false">
      <c r="A1070" s="42" t="s">
        <v>1013</v>
      </c>
      <c r="B1070" s="43" t="n">
        <v>45477</v>
      </c>
      <c r="C1070" s="43" t="n">
        <v>45486</v>
      </c>
      <c r="D1070" s="42" t="n">
        <v>89</v>
      </c>
      <c r="E1070" s="42" t="s">
        <v>139</v>
      </c>
      <c r="F1070" s="42" t="s">
        <v>140</v>
      </c>
      <c r="G1070" s="42" t="s">
        <v>141</v>
      </c>
      <c r="H1070" s="42" t="s">
        <v>142</v>
      </c>
      <c r="I1070" s="42" t="s">
        <v>143</v>
      </c>
      <c r="J1070" s="42" t="s">
        <v>159</v>
      </c>
      <c r="K1070" s="42" t="s">
        <v>145</v>
      </c>
      <c r="L1070" s="44" t="n">
        <v>15857.4</v>
      </c>
      <c r="M1070" s="42" t="n">
        <v>3</v>
      </c>
      <c r="N1070" s="42" t="s">
        <v>146</v>
      </c>
      <c r="O1070" s="42" t="s">
        <v>147</v>
      </c>
      <c r="P1070" s="39" t="n">
        <f aca="false">C1070-B1070</f>
        <v>9</v>
      </c>
      <c r="Q1070" s="40" t="str">
        <f aca="false">CHOOSE(MONTH(B1070),"يناير","فبراير","مارس","أبريل","مايو","يونيو","يوليو","أغسطس","سبتمبر","أكتوبر","نوفمبر","ديسمبر")</f>
        <v>يوليو</v>
      </c>
      <c r="R1070" s="40" t="str">
        <f aca="false">"الربع "&amp;ROUNDUP(MONTH(B1070)/3,0)</f>
        <v>الربع 3</v>
      </c>
      <c r="S1070" s="40" t="str">
        <f aca="false">IF(D1070&lt;=12,"أطفال (0-12)",IF(D1070&lt;=24,"شباب (13-24)",IF(D1070&lt;=44,"بالغون (25-44)",IF(D1070&lt;=64,"متوسطو العمر (45-64)","كبار السن (+65)"))))</f>
        <v>كبار السن (+65)</v>
      </c>
      <c r="T1070" s="41" t="n">
        <f aca="false">IFERROR(L1070/P1070,0)</f>
        <v>1761.93333333333</v>
      </c>
    </row>
    <row r="1071" customFormat="false" ht="15" hidden="false" customHeight="false" outlineLevel="0" collapsed="false">
      <c r="A1071" s="33" t="s">
        <v>1249</v>
      </c>
      <c r="B1071" s="34" t="n">
        <v>45478</v>
      </c>
      <c r="C1071" s="34" t="n">
        <v>45485</v>
      </c>
      <c r="D1071" s="33" t="n">
        <v>48</v>
      </c>
      <c r="E1071" s="33" t="s">
        <v>154</v>
      </c>
      <c r="F1071" s="33" t="s">
        <v>181</v>
      </c>
      <c r="G1071" s="33" t="s">
        <v>188</v>
      </c>
      <c r="H1071" s="33" t="s">
        <v>183</v>
      </c>
      <c r="I1071" s="33" t="s">
        <v>152</v>
      </c>
      <c r="J1071" s="33" t="s">
        <v>159</v>
      </c>
      <c r="K1071" s="33" t="s">
        <v>145</v>
      </c>
      <c r="L1071" s="35" t="n">
        <v>14863.62</v>
      </c>
      <c r="M1071" s="33" t="n">
        <v>4</v>
      </c>
      <c r="N1071" s="33" t="s">
        <v>146</v>
      </c>
      <c r="O1071" s="33" t="s">
        <v>147</v>
      </c>
      <c r="P1071" s="39" t="n">
        <f aca="false">C1071-B1071</f>
        <v>7</v>
      </c>
      <c r="Q1071" s="40" t="str">
        <f aca="false">CHOOSE(MONTH(B1071),"يناير","فبراير","مارس","أبريل","مايو","يونيو","يوليو","أغسطس","سبتمبر","أكتوبر","نوفمبر","ديسمبر")</f>
        <v>يوليو</v>
      </c>
      <c r="R1071" s="40" t="str">
        <f aca="false">"الربع "&amp;ROUNDUP(MONTH(B1071)/3,0)</f>
        <v>الربع 3</v>
      </c>
      <c r="S1071" s="40" t="str">
        <f aca="false">IF(D1071&lt;=12,"أطفال (0-12)",IF(D1071&lt;=24,"شباب (13-24)",IF(D1071&lt;=44,"بالغون (25-44)",IF(D1071&lt;=64,"متوسطو العمر (45-64)","كبار السن (+65)"))))</f>
        <v>متوسطو العمر (45-64)</v>
      </c>
      <c r="T1071" s="41" t="n">
        <f aca="false">IFERROR(L1071/P1071,0)</f>
        <v>2123.37428571429</v>
      </c>
    </row>
    <row r="1072" customFormat="false" ht="15" hidden="false" customHeight="false" outlineLevel="0" collapsed="false">
      <c r="A1072" s="42" t="s">
        <v>1644</v>
      </c>
      <c r="B1072" s="43" t="n">
        <v>45478</v>
      </c>
      <c r="C1072" s="43" t="n">
        <v>45483</v>
      </c>
      <c r="D1072" s="42" t="n">
        <v>65</v>
      </c>
      <c r="E1072" s="42" t="s">
        <v>139</v>
      </c>
      <c r="F1072" s="42" t="s">
        <v>181</v>
      </c>
      <c r="G1072" s="42" t="s">
        <v>188</v>
      </c>
      <c r="H1072" s="42" t="s">
        <v>245</v>
      </c>
      <c r="I1072" s="42" t="s">
        <v>158</v>
      </c>
      <c r="J1072" s="42" t="s">
        <v>159</v>
      </c>
      <c r="K1072" s="42" t="s">
        <v>145</v>
      </c>
      <c r="L1072" s="44" t="n">
        <v>13561.47</v>
      </c>
      <c r="M1072" s="42" t="n">
        <v>4</v>
      </c>
      <c r="N1072" s="42" t="s">
        <v>146</v>
      </c>
      <c r="O1072" s="42" t="s">
        <v>147</v>
      </c>
      <c r="P1072" s="39" t="n">
        <f aca="false">C1072-B1072</f>
        <v>5</v>
      </c>
      <c r="Q1072" s="40" t="str">
        <f aca="false">CHOOSE(MONTH(B1072),"يناير","فبراير","مارس","أبريل","مايو","يونيو","يوليو","أغسطس","سبتمبر","أكتوبر","نوفمبر","ديسمبر")</f>
        <v>يوليو</v>
      </c>
      <c r="R1072" s="40" t="str">
        <f aca="false">"الربع "&amp;ROUNDUP(MONTH(B1072)/3,0)</f>
        <v>الربع 3</v>
      </c>
      <c r="S1072" s="40" t="str">
        <f aca="false">IF(D1072&lt;=12,"أطفال (0-12)",IF(D1072&lt;=24,"شباب (13-24)",IF(D1072&lt;=44,"بالغون (25-44)",IF(D1072&lt;=64,"متوسطو العمر (45-64)","كبار السن (+65)"))))</f>
        <v>كبار السن (+65)</v>
      </c>
      <c r="T1072" s="41" t="n">
        <f aca="false">IFERROR(L1072/P1072,0)</f>
        <v>2712.294</v>
      </c>
    </row>
    <row r="1073" customFormat="false" ht="15" hidden="false" customHeight="false" outlineLevel="0" collapsed="false">
      <c r="A1073" s="33" t="s">
        <v>1981</v>
      </c>
      <c r="B1073" s="34" t="n">
        <v>45478</v>
      </c>
      <c r="C1073" s="34" t="n">
        <v>45480</v>
      </c>
      <c r="D1073" s="33" t="n">
        <v>27</v>
      </c>
      <c r="E1073" s="33" t="s">
        <v>139</v>
      </c>
      <c r="F1073" s="33" t="s">
        <v>173</v>
      </c>
      <c r="G1073" s="33" t="s">
        <v>178</v>
      </c>
      <c r="H1073" s="33" t="s">
        <v>175</v>
      </c>
      <c r="I1073" s="33" t="s">
        <v>152</v>
      </c>
      <c r="J1073" s="33" t="s">
        <v>159</v>
      </c>
      <c r="K1073" s="33" t="s">
        <v>145</v>
      </c>
      <c r="L1073" s="35" t="n">
        <v>5596.58</v>
      </c>
      <c r="M1073" s="33" t="n">
        <v>3</v>
      </c>
      <c r="N1073" s="33" t="s">
        <v>146</v>
      </c>
      <c r="O1073" s="33" t="s">
        <v>206</v>
      </c>
      <c r="P1073" s="39" t="n">
        <f aca="false">C1073-B1073</f>
        <v>2</v>
      </c>
      <c r="Q1073" s="40" t="str">
        <f aca="false">CHOOSE(MONTH(B1073),"يناير","فبراير","مارس","أبريل","مايو","يونيو","يوليو","أغسطس","سبتمبر","أكتوبر","نوفمبر","ديسمبر")</f>
        <v>يوليو</v>
      </c>
      <c r="R1073" s="40" t="str">
        <f aca="false">"الربع "&amp;ROUNDUP(MONTH(B1073)/3,0)</f>
        <v>الربع 3</v>
      </c>
      <c r="S1073" s="40" t="str">
        <f aca="false">IF(D1073&lt;=12,"أطفال (0-12)",IF(D1073&lt;=24,"شباب (13-24)",IF(D1073&lt;=44,"بالغون (25-44)",IF(D1073&lt;=64,"متوسطو العمر (45-64)","كبار السن (+65)"))))</f>
        <v>بالغون (25-44)</v>
      </c>
      <c r="T1073" s="41" t="n">
        <f aca="false">IFERROR(L1073/P1073,0)</f>
        <v>2798.29</v>
      </c>
    </row>
    <row r="1074" customFormat="false" ht="15" hidden="false" customHeight="false" outlineLevel="0" collapsed="false">
      <c r="A1074" s="42" t="s">
        <v>1536</v>
      </c>
      <c r="B1074" s="43" t="n">
        <v>45478</v>
      </c>
      <c r="C1074" s="43" t="n">
        <v>45483</v>
      </c>
      <c r="D1074" s="42" t="n">
        <v>69</v>
      </c>
      <c r="E1074" s="42" t="s">
        <v>154</v>
      </c>
      <c r="F1074" s="42" t="s">
        <v>226</v>
      </c>
      <c r="G1074" s="42" t="s">
        <v>258</v>
      </c>
      <c r="H1074" s="42" t="s">
        <v>228</v>
      </c>
      <c r="I1074" s="42" t="s">
        <v>152</v>
      </c>
      <c r="J1074" s="42" t="s">
        <v>159</v>
      </c>
      <c r="K1074" s="42" t="s">
        <v>184</v>
      </c>
      <c r="L1074" s="44" t="n">
        <v>17884.66</v>
      </c>
      <c r="M1074" s="42" t="n">
        <v>4</v>
      </c>
      <c r="N1074" s="42" t="s">
        <v>210</v>
      </c>
      <c r="O1074" s="42" t="s">
        <v>147</v>
      </c>
      <c r="P1074" s="39" t="n">
        <f aca="false">C1074-B1074</f>
        <v>5</v>
      </c>
      <c r="Q1074" s="40" t="str">
        <f aca="false">CHOOSE(MONTH(B1074),"يناير","فبراير","مارس","أبريل","مايو","يونيو","يوليو","أغسطس","سبتمبر","أكتوبر","نوفمبر","ديسمبر")</f>
        <v>يوليو</v>
      </c>
      <c r="R1074" s="40" t="str">
        <f aca="false">"الربع "&amp;ROUNDUP(MONTH(B1074)/3,0)</f>
        <v>الربع 3</v>
      </c>
      <c r="S1074" s="40" t="str">
        <f aca="false">IF(D1074&lt;=12,"أطفال (0-12)",IF(D1074&lt;=24,"شباب (13-24)",IF(D1074&lt;=44,"بالغون (25-44)",IF(D1074&lt;=64,"متوسطو العمر (45-64)","كبار السن (+65)"))))</f>
        <v>كبار السن (+65)</v>
      </c>
      <c r="T1074" s="41" t="n">
        <f aca="false">IFERROR(L1074/P1074,0)</f>
        <v>3576.932</v>
      </c>
    </row>
    <row r="1075" customFormat="false" ht="15" hidden="false" customHeight="false" outlineLevel="0" collapsed="false">
      <c r="A1075" s="33" t="s">
        <v>1359</v>
      </c>
      <c r="B1075" s="34" t="n">
        <v>45478</v>
      </c>
      <c r="C1075" s="34" t="n">
        <v>45479</v>
      </c>
      <c r="D1075" s="33" t="n">
        <v>96</v>
      </c>
      <c r="E1075" s="33" t="s">
        <v>139</v>
      </c>
      <c r="F1075" s="33" t="s">
        <v>203</v>
      </c>
      <c r="G1075" s="33" t="s">
        <v>192</v>
      </c>
      <c r="H1075" s="33" t="s">
        <v>2322</v>
      </c>
      <c r="I1075" s="33" t="s">
        <v>143</v>
      </c>
      <c r="J1075" s="33" t="s">
        <v>176</v>
      </c>
      <c r="K1075" s="33" t="s">
        <v>184</v>
      </c>
      <c r="L1075" s="35" t="n">
        <v>2502.46</v>
      </c>
      <c r="M1075" s="33" t="n">
        <v>3</v>
      </c>
      <c r="N1075" s="33" t="s">
        <v>146</v>
      </c>
      <c r="O1075" s="33" t="s">
        <v>147</v>
      </c>
      <c r="P1075" s="39" t="n">
        <f aca="false">C1075-B1075</f>
        <v>1</v>
      </c>
      <c r="Q1075" s="40" t="str">
        <f aca="false">CHOOSE(MONTH(B1075),"يناير","فبراير","مارس","أبريل","مايو","يونيو","يوليو","أغسطس","سبتمبر","أكتوبر","نوفمبر","ديسمبر")</f>
        <v>يوليو</v>
      </c>
      <c r="R1075" s="40" t="str">
        <f aca="false">"الربع "&amp;ROUNDUP(MONTH(B1075)/3,0)</f>
        <v>الربع 3</v>
      </c>
      <c r="S1075" s="40" t="str">
        <f aca="false">IF(D1075&lt;=12,"أطفال (0-12)",IF(D1075&lt;=24,"شباب (13-24)",IF(D1075&lt;=44,"بالغون (25-44)",IF(D1075&lt;=64,"متوسطو العمر (45-64)","كبار السن (+65)"))))</f>
        <v>كبار السن (+65)</v>
      </c>
      <c r="T1075" s="41" t="n">
        <f aca="false">IFERROR(L1075/P1075,0)</f>
        <v>2502.46</v>
      </c>
    </row>
    <row r="1076" customFormat="false" ht="15" hidden="false" customHeight="false" outlineLevel="0" collapsed="false">
      <c r="A1076" s="42" t="s">
        <v>861</v>
      </c>
      <c r="B1076" s="43" t="n">
        <v>45479</v>
      </c>
      <c r="C1076" s="43" t="n">
        <v>45480</v>
      </c>
      <c r="D1076" s="42" t="n">
        <v>37</v>
      </c>
      <c r="E1076" s="42" t="s">
        <v>154</v>
      </c>
      <c r="F1076" s="42" t="s">
        <v>203</v>
      </c>
      <c r="G1076" s="42" t="s">
        <v>241</v>
      </c>
      <c r="H1076" s="42" t="s">
        <v>205</v>
      </c>
      <c r="I1076" s="42" t="s">
        <v>143</v>
      </c>
      <c r="J1076" s="42" t="s">
        <v>159</v>
      </c>
      <c r="K1076" s="42" t="s">
        <v>184</v>
      </c>
      <c r="L1076" s="44" t="n">
        <v>749.49</v>
      </c>
      <c r="M1076" s="42" t="n">
        <v>3</v>
      </c>
      <c r="N1076" s="42" t="s">
        <v>146</v>
      </c>
      <c r="O1076" s="42" t="s">
        <v>147</v>
      </c>
      <c r="P1076" s="39" t="n">
        <f aca="false">C1076-B1076</f>
        <v>1</v>
      </c>
      <c r="Q1076" s="40" t="str">
        <f aca="false">CHOOSE(MONTH(B1076),"يناير","فبراير","مارس","أبريل","مايو","يونيو","يوليو","أغسطس","سبتمبر","أكتوبر","نوفمبر","ديسمبر")</f>
        <v>يوليو</v>
      </c>
      <c r="R1076" s="40" t="str">
        <f aca="false">"الربع "&amp;ROUNDUP(MONTH(B1076)/3,0)</f>
        <v>الربع 3</v>
      </c>
      <c r="S1076" s="40" t="str">
        <f aca="false">IF(D1076&lt;=12,"أطفال (0-12)",IF(D1076&lt;=24,"شباب (13-24)",IF(D1076&lt;=44,"بالغون (25-44)",IF(D1076&lt;=64,"متوسطو العمر (45-64)","كبار السن (+65)"))))</f>
        <v>بالغون (25-44)</v>
      </c>
      <c r="T1076" s="41" t="n">
        <f aca="false">IFERROR(L1076/P1076,0)</f>
        <v>749.49</v>
      </c>
    </row>
    <row r="1077" customFormat="false" ht="15" hidden="false" customHeight="false" outlineLevel="0" collapsed="false">
      <c r="A1077" s="33" t="s">
        <v>1477</v>
      </c>
      <c r="B1077" s="34" t="n">
        <v>45479</v>
      </c>
      <c r="C1077" s="34" t="n">
        <v>45482</v>
      </c>
      <c r="D1077" s="33" t="n">
        <v>37</v>
      </c>
      <c r="E1077" s="33" t="s">
        <v>139</v>
      </c>
      <c r="F1077" s="33" t="s">
        <v>149</v>
      </c>
      <c r="G1077" s="33" t="s">
        <v>150</v>
      </c>
      <c r="H1077" s="33" t="s">
        <v>151</v>
      </c>
      <c r="I1077" s="33" t="s">
        <v>143</v>
      </c>
      <c r="J1077" s="33" t="s">
        <v>144</v>
      </c>
      <c r="K1077" s="33" t="s">
        <v>184</v>
      </c>
      <c r="L1077" s="35" t="n">
        <v>9093.08</v>
      </c>
      <c r="M1077" s="33" t="n">
        <v>5</v>
      </c>
      <c r="N1077" s="33" t="s">
        <v>146</v>
      </c>
      <c r="O1077" s="33" t="s">
        <v>147</v>
      </c>
      <c r="P1077" s="39" t="n">
        <f aca="false">C1077-B1077</f>
        <v>3</v>
      </c>
      <c r="Q1077" s="40" t="str">
        <f aca="false">CHOOSE(MONTH(B1077),"يناير","فبراير","مارس","أبريل","مايو","يونيو","يوليو","أغسطس","سبتمبر","أكتوبر","نوفمبر","ديسمبر")</f>
        <v>يوليو</v>
      </c>
      <c r="R1077" s="40" t="str">
        <f aca="false">"الربع "&amp;ROUNDUP(MONTH(B1077)/3,0)</f>
        <v>الربع 3</v>
      </c>
      <c r="S1077" s="40" t="str">
        <f aca="false">IF(D1077&lt;=12,"أطفال (0-12)",IF(D1077&lt;=24,"شباب (13-24)",IF(D1077&lt;=44,"بالغون (25-44)",IF(D1077&lt;=64,"متوسطو العمر (45-64)","كبار السن (+65)"))))</f>
        <v>بالغون (25-44)</v>
      </c>
      <c r="T1077" s="41" t="n">
        <f aca="false">IFERROR(L1077/P1077,0)</f>
        <v>3031.02666666667</v>
      </c>
    </row>
    <row r="1078" customFormat="false" ht="15" hidden="false" customHeight="false" outlineLevel="0" collapsed="false">
      <c r="A1078" s="42" t="s">
        <v>1427</v>
      </c>
      <c r="B1078" s="43" t="n">
        <v>45479</v>
      </c>
      <c r="C1078" s="43" t="n">
        <v>45482</v>
      </c>
      <c r="D1078" s="42" t="n">
        <v>36</v>
      </c>
      <c r="E1078" s="42" t="s">
        <v>139</v>
      </c>
      <c r="F1078" s="42" t="s">
        <v>149</v>
      </c>
      <c r="G1078" s="42" t="s">
        <v>150</v>
      </c>
      <c r="H1078" s="42" t="s">
        <v>186</v>
      </c>
      <c r="I1078" s="42" t="s">
        <v>143</v>
      </c>
      <c r="J1078" s="42" t="s">
        <v>159</v>
      </c>
      <c r="K1078" s="42" t="s">
        <v>209</v>
      </c>
      <c r="L1078" s="44" t="n">
        <v>4893.51</v>
      </c>
      <c r="M1078" s="42" t="n">
        <v>4</v>
      </c>
      <c r="N1078" s="42" t="s">
        <v>146</v>
      </c>
      <c r="O1078" s="42" t="s">
        <v>147</v>
      </c>
      <c r="P1078" s="39" t="n">
        <f aca="false">C1078-B1078</f>
        <v>3</v>
      </c>
      <c r="Q1078" s="40" t="str">
        <f aca="false">CHOOSE(MONTH(B1078),"يناير","فبراير","مارس","أبريل","مايو","يونيو","يوليو","أغسطس","سبتمبر","أكتوبر","نوفمبر","ديسمبر")</f>
        <v>يوليو</v>
      </c>
      <c r="R1078" s="40" t="str">
        <f aca="false">"الربع "&amp;ROUNDUP(MONTH(B1078)/3,0)</f>
        <v>الربع 3</v>
      </c>
      <c r="S1078" s="40" t="str">
        <f aca="false">IF(D1078&lt;=12,"أطفال (0-12)",IF(D1078&lt;=24,"شباب (13-24)",IF(D1078&lt;=44,"بالغون (25-44)",IF(D1078&lt;=64,"متوسطو العمر (45-64)","كبار السن (+65)"))))</f>
        <v>بالغون (25-44)</v>
      </c>
      <c r="T1078" s="41" t="n">
        <f aca="false">IFERROR(L1078/P1078,0)</f>
        <v>1631.17</v>
      </c>
    </row>
    <row r="1079" customFormat="false" ht="15" hidden="false" customHeight="false" outlineLevel="0" collapsed="false">
      <c r="A1079" s="33" t="s">
        <v>1338</v>
      </c>
      <c r="B1079" s="34" t="n">
        <v>45480</v>
      </c>
      <c r="C1079" s="34" t="n">
        <v>45481</v>
      </c>
      <c r="D1079" s="33" t="n">
        <v>49</v>
      </c>
      <c r="E1079" s="33" t="s">
        <v>154</v>
      </c>
      <c r="F1079" s="33" t="s">
        <v>203</v>
      </c>
      <c r="G1079" s="33" t="s">
        <v>204</v>
      </c>
      <c r="H1079" s="33" t="s">
        <v>193</v>
      </c>
      <c r="I1079" s="33" t="s">
        <v>143</v>
      </c>
      <c r="J1079" s="33" t="s">
        <v>159</v>
      </c>
      <c r="K1079" s="33" t="s">
        <v>145</v>
      </c>
      <c r="L1079" s="35" t="n">
        <v>943.73</v>
      </c>
      <c r="M1079" s="33" t="n">
        <v>4</v>
      </c>
      <c r="N1079" s="33" t="s">
        <v>146</v>
      </c>
      <c r="O1079" s="33" t="s">
        <v>147</v>
      </c>
      <c r="P1079" s="39" t="n">
        <f aca="false">C1079-B1079</f>
        <v>1</v>
      </c>
      <c r="Q1079" s="40" t="str">
        <f aca="false">CHOOSE(MONTH(B1079),"يناير","فبراير","مارس","أبريل","مايو","يونيو","يوليو","أغسطس","سبتمبر","أكتوبر","نوفمبر","ديسمبر")</f>
        <v>يوليو</v>
      </c>
      <c r="R1079" s="40" t="str">
        <f aca="false">"الربع "&amp;ROUNDUP(MONTH(B1079)/3,0)</f>
        <v>الربع 3</v>
      </c>
      <c r="S1079" s="40" t="str">
        <f aca="false">IF(D1079&lt;=12,"أطفال (0-12)",IF(D1079&lt;=24,"شباب (13-24)",IF(D1079&lt;=44,"بالغون (25-44)",IF(D1079&lt;=64,"متوسطو العمر (45-64)","كبار السن (+65)"))))</f>
        <v>متوسطو العمر (45-64)</v>
      </c>
      <c r="T1079" s="41" t="n">
        <f aca="false">IFERROR(L1079/P1079,0)</f>
        <v>943.73</v>
      </c>
    </row>
    <row r="1080" customFormat="false" ht="15" hidden="false" customHeight="false" outlineLevel="0" collapsed="false">
      <c r="A1080" s="42" t="s">
        <v>1014</v>
      </c>
      <c r="B1080" s="43" t="n">
        <v>45480</v>
      </c>
      <c r="C1080" s="43" t="n">
        <v>45484</v>
      </c>
      <c r="D1080" s="42" t="n">
        <v>14</v>
      </c>
      <c r="E1080" s="42" t="s">
        <v>139</v>
      </c>
      <c r="F1080" s="42" t="s">
        <v>173</v>
      </c>
      <c r="G1080" s="42" t="s">
        <v>198</v>
      </c>
      <c r="H1080" s="42" t="s">
        <v>199</v>
      </c>
      <c r="I1080" s="42" t="s">
        <v>143</v>
      </c>
      <c r="J1080" s="42" t="s">
        <v>159</v>
      </c>
      <c r="K1080" s="42" t="s">
        <v>145</v>
      </c>
      <c r="L1080" s="44" t="n">
        <v>10466.85</v>
      </c>
      <c r="M1080" s="42" t="n">
        <v>4</v>
      </c>
      <c r="N1080" s="42" t="s">
        <v>146</v>
      </c>
      <c r="O1080" s="42" t="s">
        <v>247</v>
      </c>
      <c r="P1080" s="39" t="n">
        <f aca="false">C1080-B1080</f>
        <v>4</v>
      </c>
      <c r="Q1080" s="40" t="str">
        <f aca="false">CHOOSE(MONTH(B1080),"يناير","فبراير","مارس","أبريل","مايو","يونيو","يوليو","أغسطس","سبتمبر","أكتوبر","نوفمبر","ديسمبر")</f>
        <v>يوليو</v>
      </c>
      <c r="R1080" s="40" t="str">
        <f aca="false">"الربع "&amp;ROUNDUP(MONTH(B1080)/3,0)</f>
        <v>الربع 3</v>
      </c>
      <c r="S1080" s="40" t="str">
        <f aca="false">IF(D1080&lt;=12,"أطفال (0-12)",IF(D1080&lt;=24,"شباب (13-24)",IF(D1080&lt;=44,"بالغون (25-44)",IF(D1080&lt;=64,"متوسطو العمر (45-64)","كبار السن (+65)"))))</f>
        <v>شباب (13-24)</v>
      </c>
      <c r="T1080" s="41" t="n">
        <f aca="false">IFERROR(L1080/P1080,0)</f>
        <v>2616.7125</v>
      </c>
    </row>
    <row r="1081" customFormat="false" ht="15" hidden="false" customHeight="false" outlineLevel="0" collapsed="false">
      <c r="A1081" s="33" t="s">
        <v>309</v>
      </c>
      <c r="B1081" s="34" t="n">
        <v>45480</v>
      </c>
      <c r="C1081" s="34" t="n">
        <v>45482</v>
      </c>
      <c r="D1081" s="33" t="n">
        <v>7</v>
      </c>
      <c r="E1081" s="33" t="s">
        <v>139</v>
      </c>
      <c r="F1081" s="33" t="s">
        <v>155</v>
      </c>
      <c r="G1081" s="33" t="s">
        <v>302</v>
      </c>
      <c r="H1081" s="33" t="s">
        <v>157</v>
      </c>
      <c r="I1081" s="33" t="s">
        <v>152</v>
      </c>
      <c r="J1081" s="33" t="s">
        <v>144</v>
      </c>
      <c r="K1081" s="33" t="s">
        <v>145</v>
      </c>
      <c r="L1081" s="35" t="n">
        <v>2467.33</v>
      </c>
      <c r="M1081" s="33" t="n">
        <v>5</v>
      </c>
      <c r="N1081" s="33" t="s">
        <v>146</v>
      </c>
      <c r="O1081" s="33" t="s">
        <v>147</v>
      </c>
      <c r="P1081" s="39" t="n">
        <f aca="false">C1081-B1081</f>
        <v>2</v>
      </c>
      <c r="Q1081" s="40" t="str">
        <f aca="false">CHOOSE(MONTH(B1081),"يناير","فبراير","مارس","أبريل","مايو","يونيو","يوليو","أغسطس","سبتمبر","أكتوبر","نوفمبر","ديسمبر")</f>
        <v>يوليو</v>
      </c>
      <c r="R1081" s="40" t="str">
        <f aca="false">"الربع "&amp;ROUNDUP(MONTH(B1081)/3,0)</f>
        <v>الربع 3</v>
      </c>
      <c r="S1081" s="40" t="str">
        <f aca="false">IF(D1081&lt;=12,"أطفال (0-12)",IF(D1081&lt;=24,"شباب (13-24)",IF(D1081&lt;=44,"بالغون (25-44)",IF(D1081&lt;=64,"متوسطو العمر (45-64)","كبار السن (+65)"))))</f>
        <v>أطفال (0-12)</v>
      </c>
      <c r="T1081" s="41" t="n">
        <f aca="false">IFERROR(L1081/P1081,0)</f>
        <v>1233.665</v>
      </c>
    </row>
    <row r="1082" customFormat="false" ht="15" hidden="false" customHeight="false" outlineLevel="0" collapsed="false">
      <c r="A1082" s="42" t="s">
        <v>487</v>
      </c>
      <c r="B1082" s="43" t="n">
        <v>45480</v>
      </c>
      <c r="C1082" s="43" t="n">
        <v>45484</v>
      </c>
      <c r="D1082" s="42" t="n">
        <v>69</v>
      </c>
      <c r="E1082" s="42" t="s">
        <v>139</v>
      </c>
      <c r="F1082" s="42" t="s">
        <v>181</v>
      </c>
      <c r="G1082" s="42" t="s">
        <v>182</v>
      </c>
      <c r="H1082" s="42" t="s">
        <v>245</v>
      </c>
      <c r="I1082" s="42" t="s">
        <v>152</v>
      </c>
      <c r="J1082" s="42" t="s">
        <v>176</v>
      </c>
      <c r="K1082" s="42" t="s">
        <v>145</v>
      </c>
      <c r="L1082" s="44" t="n">
        <v>26505.08</v>
      </c>
      <c r="M1082" s="42" t="n">
        <v>4</v>
      </c>
      <c r="N1082" s="42" t="s">
        <v>146</v>
      </c>
      <c r="O1082" s="42" t="s">
        <v>147</v>
      </c>
      <c r="P1082" s="39" t="n">
        <f aca="false">C1082-B1082</f>
        <v>4</v>
      </c>
      <c r="Q1082" s="40" t="str">
        <f aca="false">CHOOSE(MONTH(B1082),"يناير","فبراير","مارس","أبريل","مايو","يونيو","يوليو","أغسطس","سبتمبر","أكتوبر","نوفمبر","ديسمبر")</f>
        <v>يوليو</v>
      </c>
      <c r="R1082" s="40" t="str">
        <f aca="false">"الربع "&amp;ROUNDUP(MONTH(B1082)/3,0)</f>
        <v>الربع 3</v>
      </c>
      <c r="S1082" s="40" t="str">
        <f aca="false">IF(D1082&lt;=12,"أطفال (0-12)",IF(D1082&lt;=24,"شباب (13-24)",IF(D1082&lt;=44,"بالغون (25-44)",IF(D1082&lt;=64,"متوسطو العمر (45-64)","كبار السن (+65)"))))</f>
        <v>كبار السن (+65)</v>
      </c>
      <c r="T1082" s="41" t="n">
        <f aca="false">IFERROR(L1082/P1082,0)</f>
        <v>6626.27</v>
      </c>
    </row>
    <row r="1083" customFormat="false" ht="15" hidden="false" customHeight="false" outlineLevel="0" collapsed="false">
      <c r="A1083" s="33" t="s">
        <v>2061</v>
      </c>
      <c r="B1083" s="34" t="n">
        <v>45480</v>
      </c>
      <c r="C1083" s="34" t="n">
        <v>45485</v>
      </c>
      <c r="D1083" s="33" t="n">
        <v>35</v>
      </c>
      <c r="E1083" s="33" t="s">
        <v>139</v>
      </c>
      <c r="F1083" s="33" t="s">
        <v>149</v>
      </c>
      <c r="G1083" s="33" t="s">
        <v>243</v>
      </c>
      <c r="H1083" s="33" t="s">
        <v>186</v>
      </c>
      <c r="I1083" s="33" t="s">
        <v>143</v>
      </c>
      <c r="J1083" s="33" t="s">
        <v>159</v>
      </c>
      <c r="K1083" s="33" t="s">
        <v>184</v>
      </c>
      <c r="L1083" s="35" t="n">
        <v>7618.47</v>
      </c>
      <c r="M1083" s="33" t="n">
        <v>4</v>
      </c>
      <c r="N1083" s="33" t="s">
        <v>146</v>
      </c>
      <c r="O1083" s="33" t="s">
        <v>147</v>
      </c>
      <c r="P1083" s="39" t="n">
        <f aca="false">C1083-B1083</f>
        <v>5</v>
      </c>
      <c r="Q1083" s="40" t="str">
        <f aca="false">CHOOSE(MONTH(B1083),"يناير","فبراير","مارس","أبريل","مايو","يونيو","يوليو","أغسطس","سبتمبر","أكتوبر","نوفمبر","ديسمبر")</f>
        <v>يوليو</v>
      </c>
      <c r="R1083" s="40" t="str">
        <f aca="false">"الربع "&amp;ROUNDUP(MONTH(B1083)/3,0)</f>
        <v>الربع 3</v>
      </c>
      <c r="S1083" s="40" t="str">
        <f aca="false">IF(D1083&lt;=12,"أطفال (0-12)",IF(D1083&lt;=24,"شباب (13-24)",IF(D1083&lt;=44,"بالغون (25-44)",IF(D1083&lt;=64,"متوسطو العمر (45-64)","كبار السن (+65)"))))</f>
        <v>بالغون (25-44)</v>
      </c>
      <c r="T1083" s="41" t="n">
        <f aca="false">IFERROR(L1083/P1083,0)</f>
        <v>1523.694</v>
      </c>
    </row>
    <row r="1084" customFormat="false" ht="15" hidden="false" customHeight="false" outlineLevel="0" collapsed="false">
      <c r="A1084" s="42" t="s">
        <v>1522</v>
      </c>
      <c r="B1084" s="43" t="n">
        <v>45480</v>
      </c>
      <c r="C1084" s="43" t="n">
        <v>45481</v>
      </c>
      <c r="D1084" s="42" t="n">
        <v>71</v>
      </c>
      <c r="E1084" s="42" t="s">
        <v>154</v>
      </c>
      <c r="F1084" s="42" t="s">
        <v>173</v>
      </c>
      <c r="G1084" s="42" t="s">
        <v>174</v>
      </c>
      <c r="H1084" s="42" t="s">
        <v>199</v>
      </c>
      <c r="I1084" s="42" t="s">
        <v>143</v>
      </c>
      <c r="J1084" s="42" t="s">
        <v>176</v>
      </c>
      <c r="K1084" s="42" t="s">
        <v>160</v>
      </c>
      <c r="L1084" s="44" t="n">
        <v>8925.17</v>
      </c>
      <c r="M1084" s="42" t="n">
        <v>4</v>
      </c>
      <c r="N1084" s="42" t="s">
        <v>210</v>
      </c>
      <c r="O1084" s="42" t="s">
        <v>147</v>
      </c>
      <c r="P1084" s="39" t="n">
        <f aca="false">C1084-B1084</f>
        <v>1</v>
      </c>
      <c r="Q1084" s="40" t="str">
        <f aca="false">CHOOSE(MONTH(B1084),"يناير","فبراير","مارس","أبريل","مايو","يونيو","يوليو","أغسطس","سبتمبر","أكتوبر","نوفمبر","ديسمبر")</f>
        <v>يوليو</v>
      </c>
      <c r="R1084" s="40" t="str">
        <f aca="false">"الربع "&amp;ROUNDUP(MONTH(B1084)/3,0)</f>
        <v>الربع 3</v>
      </c>
      <c r="S1084" s="40" t="str">
        <f aca="false">IF(D1084&lt;=12,"أطفال (0-12)",IF(D1084&lt;=24,"شباب (13-24)",IF(D1084&lt;=44,"بالغون (25-44)",IF(D1084&lt;=64,"متوسطو العمر (45-64)","كبار السن (+65)"))))</f>
        <v>كبار السن (+65)</v>
      </c>
      <c r="T1084" s="41" t="n">
        <f aca="false">IFERROR(L1084/P1084,0)</f>
        <v>8925.17</v>
      </c>
    </row>
    <row r="1085" customFormat="false" ht="15" hidden="false" customHeight="false" outlineLevel="0" collapsed="false">
      <c r="A1085" s="33" t="s">
        <v>1887</v>
      </c>
      <c r="B1085" s="34" t="n">
        <v>45480</v>
      </c>
      <c r="C1085" s="34" t="n">
        <v>45485</v>
      </c>
      <c r="D1085" s="33" t="n">
        <v>26</v>
      </c>
      <c r="E1085" s="33" t="s">
        <v>154</v>
      </c>
      <c r="F1085" s="33" t="s">
        <v>140</v>
      </c>
      <c r="G1085" s="33" t="s">
        <v>316</v>
      </c>
      <c r="H1085" s="33" t="s">
        <v>290</v>
      </c>
      <c r="I1085" s="33" t="s">
        <v>143</v>
      </c>
      <c r="J1085" s="33" t="s">
        <v>159</v>
      </c>
      <c r="K1085" s="33" t="s">
        <v>184</v>
      </c>
      <c r="L1085" s="35" t="n">
        <v>11772.09</v>
      </c>
      <c r="M1085" s="33" t="n">
        <v>3</v>
      </c>
      <c r="N1085" s="33" t="s">
        <v>146</v>
      </c>
      <c r="O1085" s="33" t="s">
        <v>147</v>
      </c>
      <c r="P1085" s="39" t="n">
        <f aca="false">C1085-B1085</f>
        <v>5</v>
      </c>
      <c r="Q1085" s="40" t="str">
        <f aca="false">CHOOSE(MONTH(B1085),"يناير","فبراير","مارس","أبريل","مايو","يونيو","يوليو","أغسطس","سبتمبر","أكتوبر","نوفمبر","ديسمبر")</f>
        <v>يوليو</v>
      </c>
      <c r="R1085" s="40" t="str">
        <f aca="false">"الربع "&amp;ROUNDUP(MONTH(B1085)/3,0)</f>
        <v>الربع 3</v>
      </c>
      <c r="S1085" s="40" t="str">
        <f aca="false">IF(D1085&lt;=12,"أطفال (0-12)",IF(D1085&lt;=24,"شباب (13-24)",IF(D1085&lt;=44,"بالغون (25-44)",IF(D1085&lt;=64,"متوسطو العمر (45-64)","كبار السن (+65)"))))</f>
        <v>بالغون (25-44)</v>
      </c>
      <c r="T1085" s="41" t="n">
        <f aca="false">IFERROR(L1085/P1085,0)</f>
        <v>2354.418</v>
      </c>
    </row>
    <row r="1086" customFormat="false" ht="15" hidden="false" customHeight="false" outlineLevel="0" collapsed="false">
      <c r="A1086" s="42" t="s">
        <v>765</v>
      </c>
      <c r="B1086" s="43" t="n">
        <v>45480</v>
      </c>
      <c r="C1086" s="43" t="n">
        <v>45488</v>
      </c>
      <c r="D1086" s="42" t="n">
        <v>49</v>
      </c>
      <c r="E1086" s="42" t="s">
        <v>154</v>
      </c>
      <c r="F1086" s="42" t="s">
        <v>181</v>
      </c>
      <c r="G1086" s="42" t="s">
        <v>188</v>
      </c>
      <c r="H1086" s="42" t="s">
        <v>183</v>
      </c>
      <c r="I1086" s="42" t="s">
        <v>152</v>
      </c>
      <c r="J1086" s="42" t="s">
        <v>159</v>
      </c>
      <c r="K1086" s="42" t="s">
        <v>145</v>
      </c>
      <c r="L1086" s="44" t="n">
        <v>19196.2</v>
      </c>
      <c r="M1086" s="42" t="n">
        <v>4</v>
      </c>
      <c r="N1086" s="42" t="s">
        <v>146</v>
      </c>
      <c r="O1086" s="42" t="s">
        <v>147</v>
      </c>
      <c r="P1086" s="39" t="n">
        <f aca="false">C1086-B1086</f>
        <v>8</v>
      </c>
      <c r="Q1086" s="40" t="str">
        <f aca="false">CHOOSE(MONTH(B1086),"يناير","فبراير","مارس","أبريل","مايو","يونيو","يوليو","أغسطس","سبتمبر","أكتوبر","نوفمبر","ديسمبر")</f>
        <v>يوليو</v>
      </c>
      <c r="R1086" s="40" t="str">
        <f aca="false">"الربع "&amp;ROUNDUP(MONTH(B1086)/3,0)</f>
        <v>الربع 3</v>
      </c>
      <c r="S1086" s="40" t="str">
        <f aca="false">IF(D1086&lt;=12,"أطفال (0-12)",IF(D1086&lt;=24,"شباب (13-24)",IF(D1086&lt;=44,"بالغون (25-44)",IF(D1086&lt;=64,"متوسطو العمر (45-64)","كبار السن (+65)"))))</f>
        <v>متوسطو العمر (45-64)</v>
      </c>
      <c r="T1086" s="41" t="n">
        <f aca="false">IFERROR(L1086/P1086,0)</f>
        <v>2399.525</v>
      </c>
    </row>
    <row r="1087" customFormat="false" ht="15" hidden="false" customHeight="false" outlineLevel="0" collapsed="false">
      <c r="A1087" s="33" t="s">
        <v>1866</v>
      </c>
      <c r="B1087" s="34" t="n">
        <v>45480</v>
      </c>
      <c r="C1087" s="34" t="n">
        <v>45482</v>
      </c>
      <c r="D1087" s="33" t="n">
        <v>31</v>
      </c>
      <c r="E1087" s="33" t="s">
        <v>139</v>
      </c>
      <c r="F1087" s="33" t="s">
        <v>140</v>
      </c>
      <c r="G1087" s="33" t="s">
        <v>316</v>
      </c>
      <c r="H1087" s="33" t="s">
        <v>142</v>
      </c>
      <c r="I1087" s="33" t="s">
        <v>143</v>
      </c>
      <c r="J1087" s="33" t="s">
        <v>159</v>
      </c>
      <c r="K1087" s="33" t="s">
        <v>209</v>
      </c>
      <c r="L1087" s="35" t="n">
        <v>4401.56</v>
      </c>
      <c r="M1087" s="33" t="n">
        <v>4</v>
      </c>
      <c r="N1087" s="33" t="s">
        <v>146</v>
      </c>
      <c r="O1087" s="33" t="s">
        <v>147</v>
      </c>
      <c r="P1087" s="39" t="n">
        <f aca="false">C1087-B1087</f>
        <v>2</v>
      </c>
      <c r="Q1087" s="40" t="str">
        <f aca="false">CHOOSE(MONTH(B1087),"يناير","فبراير","مارس","أبريل","مايو","يونيو","يوليو","أغسطس","سبتمبر","أكتوبر","نوفمبر","ديسمبر")</f>
        <v>يوليو</v>
      </c>
      <c r="R1087" s="40" t="str">
        <f aca="false">"الربع "&amp;ROUNDUP(MONTH(B1087)/3,0)</f>
        <v>الربع 3</v>
      </c>
      <c r="S1087" s="40" t="str">
        <f aca="false">IF(D1087&lt;=12,"أطفال (0-12)",IF(D1087&lt;=24,"شباب (13-24)",IF(D1087&lt;=44,"بالغون (25-44)",IF(D1087&lt;=64,"متوسطو العمر (45-64)","كبار السن (+65)"))))</f>
        <v>بالغون (25-44)</v>
      </c>
      <c r="T1087" s="41" t="n">
        <f aca="false">IFERROR(L1087/P1087,0)</f>
        <v>2200.78</v>
      </c>
    </row>
    <row r="1088" customFormat="false" ht="15" hidden="false" customHeight="false" outlineLevel="0" collapsed="false">
      <c r="A1088" s="42" t="s">
        <v>1449</v>
      </c>
      <c r="B1088" s="43" t="n">
        <v>45481</v>
      </c>
      <c r="C1088" s="43" t="n">
        <v>45482</v>
      </c>
      <c r="D1088" s="42" t="n">
        <v>4</v>
      </c>
      <c r="E1088" s="42" t="s">
        <v>154</v>
      </c>
      <c r="F1088" s="42" t="s">
        <v>155</v>
      </c>
      <c r="G1088" s="42" t="s">
        <v>302</v>
      </c>
      <c r="H1088" s="42" t="s">
        <v>222</v>
      </c>
      <c r="I1088" s="42" t="s">
        <v>152</v>
      </c>
      <c r="J1088" s="42" t="s">
        <v>144</v>
      </c>
      <c r="K1088" s="42" t="s">
        <v>145</v>
      </c>
      <c r="L1088" s="44" t="n">
        <v>1686</v>
      </c>
      <c r="M1088" s="42" t="n">
        <v>5</v>
      </c>
      <c r="N1088" s="42" t="s">
        <v>146</v>
      </c>
      <c r="O1088" s="42" t="s">
        <v>147</v>
      </c>
      <c r="P1088" s="39" t="n">
        <f aca="false">C1088-B1088</f>
        <v>1</v>
      </c>
      <c r="Q1088" s="40" t="str">
        <f aca="false">CHOOSE(MONTH(B1088),"يناير","فبراير","مارس","أبريل","مايو","يونيو","يوليو","أغسطس","سبتمبر","أكتوبر","نوفمبر","ديسمبر")</f>
        <v>يوليو</v>
      </c>
      <c r="R1088" s="40" t="str">
        <f aca="false">"الربع "&amp;ROUNDUP(MONTH(B1088)/3,0)</f>
        <v>الربع 3</v>
      </c>
      <c r="S1088" s="40" t="str">
        <f aca="false">IF(D1088&lt;=12,"أطفال (0-12)",IF(D1088&lt;=24,"شباب (13-24)",IF(D1088&lt;=44,"بالغون (25-44)",IF(D1088&lt;=64,"متوسطو العمر (45-64)","كبار السن (+65)"))))</f>
        <v>أطفال (0-12)</v>
      </c>
      <c r="T1088" s="41" t="n">
        <f aca="false">IFERROR(L1088/P1088,0)</f>
        <v>1686</v>
      </c>
    </row>
    <row r="1089" customFormat="false" ht="15" hidden="false" customHeight="false" outlineLevel="0" collapsed="false">
      <c r="A1089" s="33" t="s">
        <v>777</v>
      </c>
      <c r="B1089" s="34" t="n">
        <v>45481</v>
      </c>
      <c r="C1089" s="34" t="n">
        <v>45488</v>
      </c>
      <c r="D1089" s="33" t="n">
        <v>61</v>
      </c>
      <c r="E1089" s="33" t="s">
        <v>139</v>
      </c>
      <c r="F1089" s="33" t="s">
        <v>173</v>
      </c>
      <c r="G1089" s="33" t="s">
        <v>198</v>
      </c>
      <c r="H1089" s="33" t="s">
        <v>199</v>
      </c>
      <c r="I1089" s="33" t="s">
        <v>152</v>
      </c>
      <c r="J1089" s="33" t="s">
        <v>159</v>
      </c>
      <c r="K1089" s="33" t="s">
        <v>184</v>
      </c>
      <c r="L1089" s="35" t="n">
        <v>17949.69</v>
      </c>
      <c r="M1089" s="33" t="n">
        <v>3</v>
      </c>
      <c r="N1089" s="33" t="s">
        <v>146</v>
      </c>
      <c r="O1089" s="33" t="s">
        <v>147</v>
      </c>
      <c r="P1089" s="39" t="n">
        <f aca="false">C1089-B1089</f>
        <v>7</v>
      </c>
      <c r="Q1089" s="40" t="str">
        <f aca="false">CHOOSE(MONTH(B1089),"يناير","فبراير","مارس","أبريل","مايو","يونيو","يوليو","أغسطس","سبتمبر","أكتوبر","نوفمبر","ديسمبر")</f>
        <v>يوليو</v>
      </c>
      <c r="R1089" s="40" t="str">
        <f aca="false">"الربع "&amp;ROUNDUP(MONTH(B1089)/3,0)</f>
        <v>الربع 3</v>
      </c>
      <c r="S1089" s="40" t="str">
        <f aca="false">IF(D1089&lt;=12,"أطفال (0-12)",IF(D1089&lt;=24,"شباب (13-24)",IF(D1089&lt;=44,"بالغون (25-44)",IF(D1089&lt;=64,"متوسطو العمر (45-64)","كبار السن (+65)"))))</f>
        <v>متوسطو العمر (45-64)</v>
      </c>
      <c r="T1089" s="41" t="n">
        <f aca="false">IFERROR(L1089/P1089,0)</f>
        <v>2564.24142857143</v>
      </c>
    </row>
    <row r="1090" customFormat="false" ht="15" hidden="false" customHeight="false" outlineLevel="0" collapsed="false">
      <c r="A1090" s="42" t="s">
        <v>458</v>
      </c>
      <c r="B1090" s="43" t="n">
        <v>45481</v>
      </c>
      <c r="C1090" s="43" t="n">
        <v>45482</v>
      </c>
      <c r="D1090" s="42" t="n">
        <v>45</v>
      </c>
      <c r="E1090" s="42" t="s">
        <v>139</v>
      </c>
      <c r="F1090" s="42" t="s">
        <v>203</v>
      </c>
      <c r="G1090" s="42" t="s">
        <v>192</v>
      </c>
      <c r="H1090" s="42" t="s">
        <v>193</v>
      </c>
      <c r="I1090" s="42" t="s">
        <v>143</v>
      </c>
      <c r="J1090" s="42" t="s">
        <v>159</v>
      </c>
      <c r="K1090" s="42" t="s">
        <v>145</v>
      </c>
      <c r="L1090" s="44" t="n">
        <v>931</v>
      </c>
      <c r="M1090" s="42" t="n">
        <v>3</v>
      </c>
      <c r="N1090" s="42" t="s">
        <v>146</v>
      </c>
      <c r="O1090" s="42" t="s">
        <v>147</v>
      </c>
      <c r="P1090" s="39" t="n">
        <f aca="false">C1090-B1090</f>
        <v>1</v>
      </c>
      <c r="Q1090" s="40" t="str">
        <f aca="false">CHOOSE(MONTH(B1090),"يناير","فبراير","مارس","أبريل","مايو","يونيو","يوليو","أغسطس","سبتمبر","أكتوبر","نوفمبر","ديسمبر")</f>
        <v>يوليو</v>
      </c>
      <c r="R1090" s="40" t="str">
        <f aca="false">"الربع "&amp;ROUNDUP(MONTH(B1090)/3,0)</f>
        <v>الربع 3</v>
      </c>
      <c r="S1090" s="40" t="str">
        <f aca="false">IF(D1090&lt;=12,"أطفال (0-12)",IF(D1090&lt;=24,"شباب (13-24)",IF(D1090&lt;=44,"بالغون (25-44)",IF(D1090&lt;=64,"متوسطو العمر (45-64)","كبار السن (+65)"))))</f>
        <v>متوسطو العمر (45-64)</v>
      </c>
      <c r="T1090" s="41" t="n">
        <f aca="false">IFERROR(L1090/P1090,0)</f>
        <v>931</v>
      </c>
    </row>
    <row r="1091" customFormat="false" ht="15" hidden="false" customHeight="false" outlineLevel="0" collapsed="false">
      <c r="A1091" s="33" t="s">
        <v>766</v>
      </c>
      <c r="B1091" s="34" t="n">
        <v>45481</v>
      </c>
      <c r="C1091" s="34" t="n">
        <v>45485</v>
      </c>
      <c r="D1091" s="33" t="n">
        <v>60</v>
      </c>
      <c r="E1091" s="33" t="s">
        <v>154</v>
      </c>
      <c r="F1091" s="33" t="s">
        <v>173</v>
      </c>
      <c r="G1091" s="33" t="s">
        <v>178</v>
      </c>
      <c r="H1091" s="33" t="s">
        <v>199</v>
      </c>
      <c r="I1091" s="33" t="s">
        <v>152</v>
      </c>
      <c r="J1091" s="33" t="s">
        <v>159</v>
      </c>
      <c r="K1091" s="33" t="s">
        <v>145</v>
      </c>
      <c r="L1091" s="35" t="n">
        <v>9576.2</v>
      </c>
      <c r="M1091" s="33" t="n">
        <v>5</v>
      </c>
      <c r="N1091" s="33" t="s">
        <v>146</v>
      </c>
      <c r="O1091" s="33" t="s">
        <v>147</v>
      </c>
      <c r="P1091" s="39" t="n">
        <f aca="false">C1091-B1091</f>
        <v>4</v>
      </c>
      <c r="Q1091" s="40" t="str">
        <f aca="false">CHOOSE(MONTH(B1091),"يناير","فبراير","مارس","أبريل","مايو","يونيو","يوليو","أغسطس","سبتمبر","أكتوبر","نوفمبر","ديسمبر")</f>
        <v>يوليو</v>
      </c>
      <c r="R1091" s="40" t="str">
        <f aca="false">"الربع "&amp;ROUNDUP(MONTH(B1091)/3,0)</f>
        <v>الربع 3</v>
      </c>
      <c r="S1091" s="40" t="str">
        <f aca="false">IF(D1091&lt;=12,"أطفال (0-12)",IF(D1091&lt;=24,"شباب (13-24)",IF(D1091&lt;=44,"بالغون (25-44)",IF(D1091&lt;=64,"متوسطو العمر (45-64)","كبار السن (+65)"))))</f>
        <v>متوسطو العمر (45-64)</v>
      </c>
      <c r="T1091" s="41" t="n">
        <f aca="false">IFERROR(L1091/P1091,0)</f>
        <v>2394.05</v>
      </c>
    </row>
    <row r="1092" customFormat="false" ht="15" hidden="false" customHeight="false" outlineLevel="0" collapsed="false">
      <c r="A1092" s="42" t="s">
        <v>1252</v>
      </c>
      <c r="B1092" s="43" t="n">
        <v>45481</v>
      </c>
      <c r="C1092" s="43" t="n">
        <v>45484</v>
      </c>
      <c r="D1092" s="42" t="n">
        <v>72</v>
      </c>
      <c r="E1092" s="42" t="s">
        <v>139</v>
      </c>
      <c r="F1092" s="42" t="s">
        <v>226</v>
      </c>
      <c r="G1092" s="42" t="s">
        <v>258</v>
      </c>
      <c r="H1092" s="42" t="s">
        <v>263</v>
      </c>
      <c r="I1092" s="42" t="s">
        <v>152</v>
      </c>
      <c r="J1092" s="42" t="s">
        <v>176</v>
      </c>
      <c r="K1092" s="42" t="s">
        <v>209</v>
      </c>
      <c r="L1092" s="44" t="n">
        <v>24254.59</v>
      </c>
      <c r="M1092" s="42" t="n">
        <v>4</v>
      </c>
      <c r="N1092" s="42" t="s">
        <v>146</v>
      </c>
      <c r="O1092" s="42" t="s">
        <v>147</v>
      </c>
      <c r="P1092" s="39" t="n">
        <f aca="false">C1092-B1092</f>
        <v>3</v>
      </c>
      <c r="Q1092" s="40" t="str">
        <f aca="false">CHOOSE(MONTH(B1092),"يناير","فبراير","مارس","أبريل","مايو","يونيو","يوليو","أغسطس","سبتمبر","أكتوبر","نوفمبر","ديسمبر")</f>
        <v>يوليو</v>
      </c>
      <c r="R1092" s="40" t="str">
        <f aca="false">"الربع "&amp;ROUNDUP(MONTH(B1092)/3,0)</f>
        <v>الربع 3</v>
      </c>
      <c r="S1092" s="40" t="str">
        <f aca="false">IF(D1092&lt;=12,"أطفال (0-12)",IF(D1092&lt;=24,"شباب (13-24)",IF(D1092&lt;=44,"بالغون (25-44)",IF(D1092&lt;=64,"متوسطو العمر (45-64)","كبار السن (+65)"))))</f>
        <v>كبار السن (+65)</v>
      </c>
      <c r="T1092" s="41" t="n">
        <f aca="false">IFERROR(L1092/P1092,0)</f>
        <v>8084.86333333333</v>
      </c>
    </row>
    <row r="1093" customFormat="false" ht="15" hidden="false" customHeight="false" outlineLevel="0" collapsed="false">
      <c r="A1093" s="33" t="s">
        <v>1997</v>
      </c>
      <c r="B1093" s="34" t="n">
        <v>45482</v>
      </c>
      <c r="C1093" s="34" t="n">
        <v>45484</v>
      </c>
      <c r="D1093" s="33" t="n">
        <v>2</v>
      </c>
      <c r="E1093" s="33" t="s">
        <v>139</v>
      </c>
      <c r="F1093" s="33" t="s">
        <v>155</v>
      </c>
      <c r="G1093" s="33" t="s">
        <v>220</v>
      </c>
      <c r="H1093" s="33" t="s">
        <v>222</v>
      </c>
      <c r="I1093" s="33" t="s">
        <v>143</v>
      </c>
      <c r="J1093" s="33" t="s">
        <v>159</v>
      </c>
      <c r="K1093" s="33" t="s">
        <v>145</v>
      </c>
      <c r="L1093" s="35" t="n">
        <v>1702.43</v>
      </c>
      <c r="M1093" s="33" t="n">
        <v>5</v>
      </c>
      <c r="N1093" s="33" t="s">
        <v>146</v>
      </c>
      <c r="O1093" s="33" t="s">
        <v>147</v>
      </c>
      <c r="P1093" s="39" t="n">
        <f aca="false">C1093-B1093</f>
        <v>2</v>
      </c>
      <c r="Q1093" s="40" t="str">
        <f aca="false">CHOOSE(MONTH(B1093),"يناير","فبراير","مارس","أبريل","مايو","يونيو","يوليو","أغسطس","سبتمبر","أكتوبر","نوفمبر","ديسمبر")</f>
        <v>يوليو</v>
      </c>
      <c r="R1093" s="40" t="str">
        <f aca="false">"الربع "&amp;ROUNDUP(MONTH(B1093)/3,0)</f>
        <v>الربع 3</v>
      </c>
      <c r="S1093" s="40" t="str">
        <f aca="false">IF(D1093&lt;=12,"أطفال (0-12)",IF(D1093&lt;=24,"شباب (13-24)",IF(D1093&lt;=44,"بالغون (25-44)",IF(D1093&lt;=64,"متوسطو العمر (45-64)","كبار السن (+65)"))))</f>
        <v>أطفال (0-12)</v>
      </c>
      <c r="T1093" s="41" t="n">
        <f aca="false">IFERROR(L1093/P1093,0)</f>
        <v>851.215</v>
      </c>
    </row>
    <row r="1094" customFormat="false" ht="15" hidden="false" customHeight="false" outlineLevel="0" collapsed="false">
      <c r="A1094" s="42" t="s">
        <v>476</v>
      </c>
      <c r="B1094" s="43" t="n">
        <v>45482</v>
      </c>
      <c r="C1094" s="43" t="n">
        <v>45485</v>
      </c>
      <c r="D1094" s="42" t="n">
        <v>62</v>
      </c>
      <c r="E1094" s="42" t="s">
        <v>139</v>
      </c>
      <c r="F1094" s="42" t="s">
        <v>203</v>
      </c>
      <c r="G1094" s="42" t="s">
        <v>241</v>
      </c>
      <c r="H1094" s="42" t="s">
        <v>205</v>
      </c>
      <c r="I1094" s="42" t="s">
        <v>143</v>
      </c>
      <c r="J1094" s="42" t="s">
        <v>159</v>
      </c>
      <c r="K1094" s="42" t="s">
        <v>160</v>
      </c>
      <c r="L1094" s="44" t="n">
        <v>2446.53</v>
      </c>
      <c r="M1094" s="42" t="n">
        <v>3</v>
      </c>
      <c r="N1094" s="42" t="s">
        <v>146</v>
      </c>
      <c r="O1094" s="42" t="s">
        <v>147</v>
      </c>
      <c r="P1094" s="39" t="n">
        <f aca="false">C1094-B1094</f>
        <v>3</v>
      </c>
      <c r="Q1094" s="40" t="str">
        <f aca="false">CHOOSE(MONTH(B1094),"يناير","فبراير","مارس","أبريل","مايو","يونيو","يوليو","أغسطس","سبتمبر","أكتوبر","نوفمبر","ديسمبر")</f>
        <v>يوليو</v>
      </c>
      <c r="R1094" s="40" t="str">
        <f aca="false">"الربع "&amp;ROUNDUP(MONTH(B1094)/3,0)</f>
        <v>الربع 3</v>
      </c>
      <c r="S1094" s="40" t="str">
        <f aca="false">IF(D1094&lt;=12,"أطفال (0-12)",IF(D1094&lt;=24,"شباب (13-24)",IF(D1094&lt;=44,"بالغون (25-44)",IF(D1094&lt;=64,"متوسطو العمر (45-64)","كبار السن (+65)"))))</f>
        <v>متوسطو العمر (45-64)</v>
      </c>
      <c r="T1094" s="41" t="n">
        <f aca="false">IFERROR(L1094/P1094,0)</f>
        <v>815.51</v>
      </c>
    </row>
    <row r="1095" customFormat="false" ht="15" hidden="false" customHeight="false" outlineLevel="0" collapsed="false">
      <c r="A1095" s="33" t="s">
        <v>1436</v>
      </c>
      <c r="B1095" s="34" t="n">
        <v>45482</v>
      </c>
      <c r="C1095" s="34" t="n">
        <v>45485</v>
      </c>
      <c r="D1095" s="33" t="n">
        <v>7</v>
      </c>
      <c r="E1095" s="33" t="s">
        <v>154</v>
      </c>
      <c r="F1095" s="33" t="s">
        <v>173</v>
      </c>
      <c r="G1095" s="33" t="s">
        <v>198</v>
      </c>
      <c r="H1095" s="33" t="s">
        <v>199</v>
      </c>
      <c r="I1095" s="33" t="s">
        <v>143</v>
      </c>
      <c r="J1095" s="33" t="s">
        <v>159</v>
      </c>
      <c r="K1095" s="33" t="s">
        <v>184</v>
      </c>
      <c r="L1095" s="35" t="n">
        <v>8357.62</v>
      </c>
      <c r="M1095" s="33" t="n">
        <v>5</v>
      </c>
      <c r="N1095" s="33" t="s">
        <v>146</v>
      </c>
      <c r="O1095" s="33" t="s">
        <v>247</v>
      </c>
      <c r="P1095" s="39" t="n">
        <f aca="false">C1095-B1095</f>
        <v>3</v>
      </c>
      <c r="Q1095" s="40" t="str">
        <f aca="false">CHOOSE(MONTH(B1095),"يناير","فبراير","مارس","أبريل","مايو","يونيو","يوليو","أغسطس","سبتمبر","أكتوبر","نوفمبر","ديسمبر")</f>
        <v>يوليو</v>
      </c>
      <c r="R1095" s="40" t="str">
        <f aca="false">"الربع "&amp;ROUNDUP(MONTH(B1095)/3,0)</f>
        <v>الربع 3</v>
      </c>
      <c r="S1095" s="40" t="str">
        <f aca="false">IF(D1095&lt;=12,"أطفال (0-12)",IF(D1095&lt;=24,"شباب (13-24)",IF(D1095&lt;=44,"بالغون (25-44)",IF(D1095&lt;=64,"متوسطو العمر (45-64)","كبار السن (+65)"))))</f>
        <v>أطفال (0-12)</v>
      </c>
      <c r="T1095" s="41" t="n">
        <f aca="false">IFERROR(L1095/P1095,0)</f>
        <v>2785.87333333333</v>
      </c>
    </row>
    <row r="1096" customFormat="false" ht="15" hidden="false" customHeight="false" outlineLevel="0" collapsed="false">
      <c r="A1096" s="42" t="s">
        <v>1791</v>
      </c>
      <c r="B1096" s="43" t="n">
        <v>45482</v>
      </c>
      <c r="C1096" s="43" t="n">
        <v>45486</v>
      </c>
      <c r="D1096" s="42" t="n">
        <v>29</v>
      </c>
      <c r="E1096" s="42" t="s">
        <v>154</v>
      </c>
      <c r="F1096" s="42" t="s">
        <v>173</v>
      </c>
      <c r="G1096" s="42" t="s">
        <v>178</v>
      </c>
      <c r="H1096" s="42" t="s">
        <v>199</v>
      </c>
      <c r="I1096" s="42" t="s">
        <v>152</v>
      </c>
      <c r="J1096" s="42" t="s">
        <v>176</v>
      </c>
      <c r="K1096" s="42" t="s">
        <v>145</v>
      </c>
      <c r="L1096" s="44" t="n">
        <v>33390.22</v>
      </c>
      <c r="M1096" s="42" t="n">
        <v>5</v>
      </c>
      <c r="N1096" s="42" t="s">
        <v>146</v>
      </c>
      <c r="O1096" s="42" t="s">
        <v>147</v>
      </c>
      <c r="P1096" s="39" t="n">
        <f aca="false">C1096-B1096</f>
        <v>4</v>
      </c>
      <c r="Q1096" s="40" t="str">
        <f aca="false">CHOOSE(MONTH(B1096),"يناير","فبراير","مارس","أبريل","مايو","يونيو","يوليو","أغسطس","سبتمبر","أكتوبر","نوفمبر","ديسمبر")</f>
        <v>يوليو</v>
      </c>
      <c r="R1096" s="40" t="str">
        <f aca="false">"الربع "&amp;ROUNDUP(MONTH(B1096)/3,0)</f>
        <v>الربع 3</v>
      </c>
      <c r="S1096" s="40" t="str">
        <f aca="false">IF(D1096&lt;=12,"أطفال (0-12)",IF(D1096&lt;=24,"شباب (13-24)",IF(D1096&lt;=44,"بالغون (25-44)",IF(D1096&lt;=64,"متوسطو العمر (45-64)","كبار السن (+65)"))))</f>
        <v>بالغون (25-44)</v>
      </c>
      <c r="T1096" s="41" t="n">
        <f aca="false">IFERROR(L1096/P1096,0)</f>
        <v>8347.555</v>
      </c>
    </row>
    <row r="1097" customFormat="false" ht="15" hidden="false" customHeight="false" outlineLevel="0" collapsed="false">
      <c r="A1097" s="33" t="s">
        <v>2059</v>
      </c>
      <c r="B1097" s="34" t="n">
        <v>45482</v>
      </c>
      <c r="C1097" s="34" t="n">
        <v>45484</v>
      </c>
      <c r="D1097" s="33" t="n">
        <v>38</v>
      </c>
      <c r="E1097" s="33" t="s">
        <v>139</v>
      </c>
      <c r="F1097" s="33" t="s">
        <v>203</v>
      </c>
      <c r="G1097" s="33" t="s">
        <v>217</v>
      </c>
      <c r="H1097" s="33" t="s">
        <v>205</v>
      </c>
      <c r="I1097" s="33" t="s">
        <v>143</v>
      </c>
      <c r="J1097" s="33" t="s">
        <v>176</v>
      </c>
      <c r="K1097" s="33" t="s">
        <v>160</v>
      </c>
      <c r="L1097" s="35" t="n">
        <v>5189.16</v>
      </c>
      <c r="M1097" s="33" t="n">
        <v>3</v>
      </c>
      <c r="N1097" s="33" t="s">
        <v>210</v>
      </c>
      <c r="O1097" s="33" t="s">
        <v>147</v>
      </c>
      <c r="P1097" s="39" t="n">
        <f aca="false">C1097-B1097</f>
        <v>2</v>
      </c>
      <c r="Q1097" s="40" t="str">
        <f aca="false">CHOOSE(MONTH(B1097),"يناير","فبراير","مارس","أبريل","مايو","يونيو","يوليو","أغسطس","سبتمبر","أكتوبر","نوفمبر","ديسمبر")</f>
        <v>يوليو</v>
      </c>
      <c r="R1097" s="40" t="str">
        <f aca="false">"الربع "&amp;ROUNDUP(MONTH(B1097)/3,0)</f>
        <v>الربع 3</v>
      </c>
      <c r="S1097" s="40" t="str">
        <f aca="false">IF(D1097&lt;=12,"أطفال (0-12)",IF(D1097&lt;=24,"شباب (13-24)",IF(D1097&lt;=44,"بالغون (25-44)",IF(D1097&lt;=64,"متوسطو العمر (45-64)","كبار السن (+65)"))))</f>
        <v>بالغون (25-44)</v>
      </c>
      <c r="T1097" s="41" t="n">
        <f aca="false">IFERROR(L1097/P1097,0)</f>
        <v>2594.58</v>
      </c>
    </row>
    <row r="1098" customFormat="false" ht="15" hidden="false" customHeight="false" outlineLevel="0" collapsed="false">
      <c r="A1098" s="42" t="s">
        <v>2186</v>
      </c>
      <c r="B1098" s="43" t="n">
        <v>45482</v>
      </c>
      <c r="C1098" s="43" t="n">
        <v>45483</v>
      </c>
      <c r="D1098" s="42" t="n">
        <v>3</v>
      </c>
      <c r="E1098" s="42" t="s">
        <v>154</v>
      </c>
      <c r="F1098" s="42" t="s">
        <v>155</v>
      </c>
      <c r="G1098" s="42" t="s">
        <v>156</v>
      </c>
      <c r="H1098" s="42" t="s">
        <v>157</v>
      </c>
      <c r="I1098" s="42" t="s">
        <v>143</v>
      </c>
      <c r="J1098" s="42" t="s">
        <v>159</v>
      </c>
      <c r="K1098" s="42" t="s">
        <v>145</v>
      </c>
      <c r="L1098" s="44" t="n">
        <v>743.77</v>
      </c>
      <c r="M1098" s="42" t="n">
        <v>5</v>
      </c>
      <c r="N1098" s="42" t="s">
        <v>146</v>
      </c>
      <c r="O1098" s="42" t="s">
        <v>147</v>
      </c>
      <c r="P1098" s="39" t="n">
        <f aca="false">C1098-B1098</f>
        <v>1</v>
      </c>
      <c r="Q1098" s="40" t="str">
        <f aca="false">CHOOSE(MONTH(B1098),"يناير","فبراير","مارس","أبريل","مايو","يونيو","يوليو","أغسطس","سبتمبر","أكتوبر","نوفمبر","ديسمبر")</f>
        <v>يوليو</v>
      </c>
      <c r="R1098" s="40" t="str">
        <f aca="false">"الربع "&amp;ROUNDUP(MONTH(B1098)/3,0)</f>
        <v>الربع 3</v>
      </c>
      <c r="S1098" s="40" t="str">
        <f aca="false">IF(D1098&lt;=12,"أطفال (0-12)",IF(D1098&lt;=24,"شباب (13-24)",IF(D1098&lt;=44,"بالغون (25-44)",IF(D1098&lt;=64,"متوسطو العمر (45-64)","كبار السن (+65)"))))</f>
        <v>أطفال (0-12)</v>
      </c>
      <c r="T1098" s="41" t="n">
        <f aca="false">IFERROR(L1098/P1098,0)</f>
        <v>743.77</v>
      </c>
    </row>
    <row r="1099" customFormat="false" ht="15" hidden="false" customHeight="false" outlineLevel="0" collapsed="false">
      <c r="A1099" s="33" t="s">
        <v>2279</v>
      </c>
      <c r="B1099" s="34" t="n">
        <v>45482</v>
      </c>
      <c r="C1099" s="34" t="n">
        <v>45484</v>
      </c>
      <c r="D1099" s="33" t="n">
        <v>8</v>
      </c>
      <c r="E1099" s="33" t="s">
        <v>139</v>
      </c>
      <c r="F1099" s="33" t="s">
        <v>155</v>
      </c>
      <c r="G1099" s="33" t="s">
        <v>156</v>
      </c>
      <c r="H1099" s="33" t="s">
        <v>222</v>
      </c>
      <c r="I1099" s="33" t="s">
        <v>152</v>
      </c>
      <c r="J1099" s="33" t="s">
        <v>159</v>
      </c>
      <c r="K1099" s="33" t="s">
        <v>160</v>
      </c>
      <c r="L1099" s="35" t="n">
        <v>1840.68</v>
      </c>
      <c r="M1099" s="33" t="n">
        <v>4</v>
      </c>
      <c r="N1099" s="33" t="s">
        <v>146</v>
      </c>
      <c r="O1099" s="33" t="s">
        <v>147</v>
      </c>
      <c r="P1099" s="39" t="n">
        <f aca="false">C1099-B1099</f>
        <v>2</v>
      </c>
      <c r="Q1099" s="40" t="str">
        <f aca="false">CHOOSE(MONTH(B1099),"يناير","فبراير","مارس","أبريل","مايو","يونيو","يوليو","أغسطس","سبتمبر","أكتوبر","نوفمبر","ديسمبر")</f>
        <v>يوليو</v>
      </c>
      <c r="R1099" s="40" t="str">
        <f aca="false">"الربع "&amp;ROUNDUP(MONTH(B1099)/3,0)</f>
        <v>الربع 3</v>
      </c>
      <c r="S1099" s="40" t="str">
        <f aca="false">IF(D1099&lt;=12,"أطفال (0-12)",IF(D1099&lt;=24,"شباب (13-24)",IF(D1099&lt;=44,"بالغون (25-44)",IF(D1099&lt;=64,"متوسطو العمر (45-64)","كبار السن (+65)"))))</f>
        <v>أطفال (0-12)</v>
      </c>
      <c r="T1099" s="41" t="n">
        <f aca="false">IFERROR(L1099/P1099,0)</f>
        <v>920.34</v>
      </c>
    </row>
    <row r="1100" customFormat="false" ht="15" hidden="false" customHeight="false" outlineLevel="0" collapsed="false">
      <c r="A1100" s="42" t="s">
        <v>2272</v>
      </c>
      <c r="B1100" s="43" t="n">
        <v>45483</v>
      </c>
      <c r="C1100" s="43" t="n">
        <v>45485</v>
      </c>
      <c r="D1100" s="42" t="n">
        <v>5</v>
      </c>
      <c r="E1100" s="42" t="s">
        <v>139</v>
      </c>
      <c r="F1100" s="42" t="s">
        <v>155</v>
      </c>
      <c r="G1100" s="42" t="s">
        <v>302</v>
      </c>
      <c r="H1100" s="42" t="s">
        <v>157</v>
      </c>
      <c r="I1100" s="42" t="s">
        <v>158</v>
      </c>
      <c r="J1100" s="42" t="s">
        <v>159</v>
      </c>
      <c r="K1100" s="42" t="s">
        <v>184</v>
      </c>
      <c r="L1100" s="44" t="n">
        <v>1356.93</v>
      </c>
      <c r="M1100" s="42" t="n">
        <v>3</v>
      </c>
      <c r="N1100" s="42" t="s">
        <v>146</v>
      </c>
      <c r="O1100" s="42" t="s">
        <v>147</v>
      </c>
      <c r="P1100" s="39" t="n">
        <f aca="false">C1100-B1100</f>
        <v>2</v>
      </c>
      <c r="Q1100" s="40" t="str">
        <f aca="false">CHOOSE(MONTH(B1100),"يناير","فبراير","مارس","أبريل","مايو","يونيو","يوليو","أغسطس","سبتمبر","أكتوبر","نوفمبر","ديسمبر")</f>
        <v>يوليو</v>
      </c>
      <c r="R1100" s="40" t="str">
        <f aca="false">"الربع "&amp;ROUNDUP(MONTH(B1100)/3,0)</f>
        <v>الربع 3</v>
      </c>
      <c r="S1100" s="40" t="str">
        <f aca="false">IF(D1100&lt;=12,"أطفال (0-12)",IF(D1100&lt;=24,"شباب (13-24)",IF(D1100&lt;=44,"بالغون (25-44)",IF(D1100&lt;=64,"متوسطو العمر (45-64)","كبار السن (+65)"))))</f>
        <v>أطفال (0-12)</v>
      </c>
      <c r="T1100" s="41" t="n">
        <f aca="false">IFERROR(L1100/P1100,0)</f>
        <v>678.465</v>
      </c>
    </row>
    <row r="1101" customFormat="false" ht="15" hidden="false" customHeight="false" outlineLevel="0" collapsed="false">
      <c r="A1101" s="33" t="s">
        <v>1391</v>
      </c>
      <c r="B1101" s="34" t="n">
        <v>45483</v>
      </c>
      <c r="C1101" s="34" t="n">
        <v>45484</v>
      </c>
      <c r="D1101" s="33" t="n">
        <v>60</v>
      </c>
      <c r="E1101" s="33" t="s">
        <v>154</v>
      </c>
      <c r="F1101" s="33" t="s">
        <v>203</v>
      </c>
      <c r="G1101" s="33" t="s">
        <v>192</v>
      </c>
      <c r="H1101" s="33" t="s">
        <v>233</v>
      </c>
      <c r="I1101" s="33" t="s">
        <v>143</v>
      </c>
      <c r="J1101" s="33" t="s">
        <v>144</v>
      </c>
      <c r="K1101" s="33" t="s">
        <v>145</v>
      </c>
      <c r="L1101" s="35" t="n">
        <v>1678.85</v>
      </c>
      <c r="M1101" s="33" t="n">
        <v>4</v>
      </c>
      <c r="N1101" s="33" t="s">
        <v>146</v>
      </c>
      <c r="O1101" s="33" t="s">
        <v>147</v>
      </c>
      <c r="P1101" s="39" t="n">
        <f aca="false">C1101-B1101</f>
        <v>1</v>
      </c>
      <c r="Q1101" s="40" t="str">
        <f aca="false">CHOOSE(MONTH(B1101),"يناير","فبراير","مارس","أبريل","مايو","يونيو","يوليو","أغسطس","سبتمبر","أكتوبر","نوفمبر","ديسمبر")</f>
        <v>يوليو</v>
      </c>
      <c r="R1101" s="40" t="str">
        <f aca="false">"الربع "&amp;ROUNDUP(MONTH(B1101)/3,0)</f>
        <v>الربع 3</v>
      </c>
      <c r="S1101" s="40" t="str">
        <f aca="false">IF(D1101&lt;=12,"أطفال (0-12)",IF(D1101&lt;=24,"شباب (13-24)",IF(D1101&lt;=44,"بالغون (25-44)",IF(D1101&lt;=64,"متوسطو العمر (45-64)","كبار السن (+65)"))))</f>
        <v>متوسطو العمر (45-64)</v>
      </c>
      <c r="T1101" s="41" t="n">
        <f aca="false">IFERROR(L1101/P1101,0)</f>
        <v>1678.85</v>
      </c>
    </row>
    <row r="1102" customFormat="false" ht="15" hidden="false" customHeight="false" outlineLevel="0" collapsed="false">
      <c r="A1102" s="42" t="s">
        <v>1970</v>
      </c>
      <c r="B1102" s="43" t="n">
        <v>45483</v>
      </c>
      <c r="C1102" s="43" t="n">
        <v>45489</v>
      </c>
      <c r="D1102" s="42" t="n">
        <v>42</v>
      </c>
      <c r="E1102" s="42" t="s">
        <v>139</v>
      </c>
      <c r="F1102" s="42" t="s">
        <v>169</v>
      </c>
      <c r="G1102" s="42" t="s">
        <v>230</v>
      </c>
      <c r="H1102" s="42" t="s">
        <v>195</v>
      </c>
      <c r="I1102" s="42" t="s">
        <v>152</v>
      </c>
      <c r="J1102" s="42" t="s">
        <v>159</v>
      </c>
      <c r="K1102" s="42" t="s">
        <v>160</v>
      </c>
      <c r="L1102" s="44" t="n">
        <v>6317.1</v>
      </c>
      <c r="M1102" s="42" t="n">
        <v>4</v>
      </c>
      <c r="N1102" s="42" t="s">
        <v>146</v>
      </c>
      <c r="O1102" s="42" t="s">
        <v>147</v>
      </c>
      <c r="P1102" s="39" t="n">
        <f aca="false">C1102-B1102</f>
        <v>6</v>
      </c>
      <c r="Q1102" s="40" t="str">
        <f aca="false">CHOOSE(MONTH(B1102),"يناير","فبراير","مارس","أبريل","مايو","يونيو","يوليو","أغسطس","سبتمبر","أكتوبر","نوفمبر","ديسمبر")</f>
        <v>يوليو</v>
      </c>
      <c r="R1102" s="40" t="str">
        <f aca="false">"الربع "&amp;ROUNDUP(MONTH(B1102)/3,0)</f>
        <v>الربع 3</v>
      </c>
      <c r="S1102" s="40" t="str">
        <f aca="false">IF(D1102&lt;=12,"أطفال (0-12)",IF(D1102&lt;=24,"شباب (13-24)",IF(D1102&lt;=44,"بالغون (25-44)",IF(D1102&lt;=64,"متوسطو العمر (45-64)","كبار السن (+65)"))))</f>
        <v>بالغون (25-44)</v>
      </c>
      <c r="T1102" s="41" t="n">
        <f aca="false">IFERROR(L1102/P1102,0)</f>
        <v>1052.85</v>
      </c>
    </row>
    <row r="1103" customFormat="false" ht="15" hidden="false" customHeight="false" outlineLevel="0" collapsed="false">
      <c r="A1103" s="33" t="s">
        <v>2238</v>
      </c>
      <c r="B1103" s="34" t="n">
        <v>45483</v>
      </c>
      <c r="C1103" s="34" t="n">
        <v>45486</v>
      </c>
      <c r="D1103" s="33" t="n">
        <v>95</v>
      </c>
      <c r="E1103" s="33" t="s">
        <v>154</v>
      </c>
      <c r="F1103" s="33" t="s">
        <v>181</v>
      </c>
      <c r="G1103" s="33" t="s">
        <v>237</v>
      </c>
      <c r="H1103" s="33" t="s">
        <v>183</v>
      </c>
      <c r="I1103" s="33" t="s">
        <v>152</v>
      </c>
      <c r="J1103" s="33" t="s">
        <v>159</v>
      </c>
      <c r="K1103" s="33" t="s">
        <v>145</v>
      </c>
      <c r="L1103" s="35" t="n">
        <v>6017.71</v>
      </c>
      <c r="M1103" s="33" t="n">
        <v>4</v>
      </c>
      <c r="N1103" s="33" t="s">
        <v>146</v>
      </c>
      <c r="O1103" s="33" t="s">
        <v>147</v>
      </c>
      <c r="P1103" s="39" t="n">
        <f aca="false">C1103-B1103</f>
        <v>3</v>
      </c>
      <c r="Q1103" s="40" t="str">
        <f aca="false">CHOOSE(MONTH(B1103),"يناير","فبراير","مارس","أبريل","مايو","يونيو","يوليو","أغسطس","سبتمبر","أكتوبر","نوفمبر","ديسمبر")</f>
        <v>يوليو</v>
      </c>
      <c r="R1103" s="40" t="str">
        <f aca="false">"الربع "&amp;ROUNDUP(MONTH(B1103)/3,0)</f>
        <v>الربع 3</v>
      </c>
      <c r="S1103" s="40" t="str">
        <f aca="false">IF(D1103&lt;=12,"أطفال (0-12)",IF(D1103&lt;=24,"شباب (13-24)",IF(D1103&lt;=44,"بالغون (25-44)",IF(D1103&lt;=64,"متوسطو العمر (45-64)","كبار السن (+65)"))))</f>
        <v>كبار السن (+65)</v>
      </c>
      <c r="T1103" s="41" t="n">
        <f aca="false">IFERROR(L1103/P1103,0)</f>
        <v>2005.90333333333</v>
      </c>
    </row>
    <row r="1104" customFormat="false" ht="15" hidden="false" customHeight="false" outlineLevel="0" collapsed="false">
      <c r="A1104" s="42" t="s">
        <v>1446</v>
      </c>
      <c r="B1104" s="43" t="n">
        <v>45483</v>
      </c>
      <c r="C1104" s="43" t="n">
        <v>45490</v>
      </c>
      <c r="D1104" s="42" t="n">
        <v>37</v>
      </c>
      <c r="E1104" s="42" t="s">
        <v>154</v>
      </c>
      <c r="F1104" s="42" t="s">
        <v>173</v>
      </c>
      <c r="G1104" s="42" t="s">
        <v>178</v>
      </c>
      <c r="H1104" s="42" t="s">
        <v>175</v>
      </c>
      <c r="I1104" s="42" t="s">
        <v>152</v>
      </c>
      <c r="J1104" s="42" t="s">
        <v>159</v>
      </c>
      <c r="K1104" s="42" t="s">
        <v>160</v>
      </c>
      <c r="L1104" s="44" t="n">
        <v>19321.64</v>
      </c>
      <c r="M1104" s="42" t="n">
        <v>5</v>
      </c>
      <c r="N1104" s="42" t="s">
        <v>146</v>
      </c>
      <c r="O1104" s="42" t="s">
        <v>147</v>
      </c>
      <c r="P1104" s="39" t="n">
        <f aca="false">C1104-B1104</f>
        <v>7</v>
      </c>
      <c r="Q1104" s="40" t="str">
        <f aca="false">CHOOSE(MONTH(B1104),"يناير","فبراير","مارس","أبريل","مايو","يونيو","يوليو","أغسطس","سبتمبر","أكتوبر","نوفمبر","ديسمبر")</f>
        <v>يوليو</v>
      </c>
      <c r="R1104" s="40" t="str">
        <f aca="false">"الربع "&amp;ROUNDUP(MONTH(B1104)/3,0)</f>
        <v>الربع 3</v>
      </c>
      <c r="S1104" s="40" t="str">
        <f aca="false">IF(D1104&lt;=12,"أطفال (0-12)",IF(D1104&lt;=24,"شباب (13-24)",IF(D1104&lt;=44,"بالغون (25-44)",IF(D1104&lt;=64,"متوسطو العمر (45-64)","كبار السن (+65)"))))</f>
        <v>بالغون (25-44)</v>
      </c>
      <c r="T1104" s="41" t="n">
        <f aca="false">IFERROR(L1104/P1104,0)</f>
        <v>2760.23428571429</v>
      </c>
    </row>
    <row r="1105" customFormat="false" ht="15" hidden="false" customHeight="false" outlineLevel="0" collapsed="false">
      <c r="A1105" s="33" t="s">
        <v>1661</v>
      </c>
      <c r="B1105" s="34" t="n">
        <v>45483</v>
      </c>
      <c r="C1105" s="34" t="n">
        <v>45485</v>
      </c>
      <c r="D1105" s="33" t="n">
        <v>47</v>
      </c>
      <c r="E1105" s="33" t="s">
        <v>154</v>
      </c>
      <c r="F1105" s="33" t="s">
        <v>203</v>
      </c>
      <c r="G1105" s="33" t="s">
        <v>241</v>
      </c>
      <c r="H1105" s="33" t="s">
        <v>205</v>
      </c>
      <c r="I1105" s="33" t="s">
        <v>143</v>
      </c>
      <c r="J1105" s="33" t="s">
        <v>159</v>
      </c>
      <c r="K1105" s="33" t="s">
        <v>184</v>
      </c>
      <c r="L1105" s="35" t="n">
        <v>1805.98</v>
      </c>
      <c r="M1105" s="33" t="n">
        <v>2</v>
      </c>
      <c r="N1105" s="33" t="s">
        <v>146</v>
      </c>
      <c r="O1105" s="33" t="s">
        <v>147</v>
      </c>
      <c r="P1105" s="39" t="n">
        <f aca="false">C1105-B1105</f>
        <v>2</v>
      </c>
      <c r="Q1105" s="40" t="str">
        <f aca="false">CHOOSE(MONTH(B1105),"يناير","فبراير","مارس","أبريل","مايو","يونيو","يوليو","أغسطس","سبتمبر","أكتوبر","نوفمبر","ديسمبر")</f>
        <v>يوليو</v>
      </c>
      <c r="R1105" s="40" t="str">
        <f aca="false">"الربع "&amp;ROUNDUP(MONTH(B1105)/3,0)</f>
        <v>الربع 3</v>
      </c>
      <c r="S1105" s="40" t="str">
        <f aca="false">IF(D1105&lt;=12,"أطفال (0-12)",IF(D1105&lt;=24,"شباب (13-24)",IF(D1105&lt;=44,"بالغون (25-44)",IF(D1105&lt;=64,"متوسطو العمر (45-64)","كبار السن (+65)"))))</f>
        <v>متوسطو العمر (45-64)</v>
      </c>
      <c r="T1105" s="41" t="n">
        <f aca="false">IFERROR(L1105/P1105,0)</f>
        <v>902.99</v>
      </c>
    </row>
    <row r="1106" customFormat="false" ht="15" hidden="false" customHeight="false" outlineLevel="0" collapsed="false">
      <c r="A1106" s="42" t="s">
        <v>963</v>
      </c>
      <c r="B1106" s="43" t="n">
        <v>45483</v>
      </c>
      <c r="C1106" s="43" t="n">
        <v>45487</v>
      </c>
      <c r="D1106" s="42" t="n">
        <v>9</v>
      </c>
      <c r="E1106" s="42" t="s">
        <v>154</v>
      </c>
      <c r="F1106" s="42" t="s">
        <v>173</v>
      </c>
      <c r="G1106" s="42" t="s">
        <v>174</v>
      </c>
      <c r="H1106" s="42" t="s">
        <v>175</v>
      </c>
      <c r="I1106" s="42" t="s">
        <v>143</v>
      </c>
      <c r="J1106" s="42" t="s">
        <v>144</v>
      </c>
      <c r="K1106" s="42" t="s">
        <v>184</v>
      </c>
      <c r="L1106" s="44" t="n">
        <v>18669.01</v>
      </c>
      <c r="M1106" s="42" t="n">
        <v>4</v>
      </c>
      <c r="N1106" s="42" t="s">
        <v>146</v>
      </c>
      <c r="O1106" s="42" t="s">
        <v>147</v>
      </c>
      <c r="P1106" s="39" t="n">
        <f aca="false">C1106-B1106</f>
        <v>4</v>
      </c>
      <c r="Q1106" s="40" t="str">
        <f aca="false">CHOOSE(MONTH(B1106),"يناير","فبراير","مارس","أبريل","مايو","يونيو","يوليو","أغسطس","سبتمبر","أكتوبر","نوفمبر","ديسمبر")</f>
        <v>يوليو</v>
      </c>
      <c r="R1106" s="40" t="str">
        <f aca="false">"الربع "&amp;ROUNDUP(MONTH(B1106)/3,0)</f>
        <v>الربع 3</v>
      </c>
      <c r="S1106" s="40" t="str">
        <f aca="false">IF(D1106&lt;=12,"أطفال (0-12)",IF(D1106&lt;=24,"شباب (13-24)",IF(D1106&lt;=44,"بالغون (25-44)",IF(D1106&lt;=64,"متوسطو العمر (45-64)","كبار السن (+65)"))))</f>
        <v>أطفال (0-12)</v>
      </c>
      <c r="T1106" s="41" t="n">
        <f aca="false">IFERROR(L1106/P1106,0)</f>
        <v>4667.2525</v>
      </c>
    </row>
    <row r="1107" customFormat="false" ht="15" hidden="false" customHeight="false" outlineLevel="0" collapsed="false">
      <c r="A1107" s="33" t="s">
        <v>1777</v>
      </c>
      <c r="B1107" s="34" t="n">
        <v>45484</v>
      </c>
      <c r="C1107" s="34" t="n">
        <v>45485</v>
      </c>
      <c r="D1107" s="33" t="n">
        <v>45</v>
      </c>
      <c r="E1107" s="33" t="s">
        <v>139</v>
      </c>
      <c r="F1107" s="33" t="s">
        <v>203</v>
      </c>
      <c r="G1107" s="33" t="s">
        <v>217</v>
      </c>
      <c r="H1107" s="33" t="s">
        <v>233</v>
      </c>
      <c r="I1107" s="33" t="s">
        <v>143</v>
      </c>
      <c r="J1107" s="33" t="s">
        <v>144</v>
      </c>
      <c r="K1107" s="33" t="s">
        <v>209</v>
      </c>
      <c r="L1107" s="35" t="n">
        <v>1655.78</v>
      </c>
      <c r="M1107" s="33" t="n">
        <v>3</v>
      </c>
      <c r="N1107" s="33" t="s">
        <v>146</v>
      </c>
      <c r="O1107" s="33" t="s">
        <v>147</v>
      </c>
      <c r="P1107" s="39" t="n">
        <f aca="false">C1107-B1107</f>
        <v>1</v>
      </c>
      <c r="Q1107" s="40" t="str">
        <f aca="false">CHOOSE(MONTH(B1107),"يناير","فبراير","مارس","أبريل","مايو","يونيو","يوليو","أغسطس","سبتمبر","أكتوبر","نوفمبر","ديسمبر")</f>
        <v>يوليو</v>
      </c>
      <c r="R1107" s="40" t="str">
        <f aca="false">"الربع "&amp;ROUNDUP(MONTH(B1107)/3,0)</f>
        <v>الربع 3</v>
      </c>
      <c r="S1107" s="40" t="str">
        <f aca="false">IF(D1107&lt;=12,"أطفال (0-12)",IF(D1107&lt;=24,"شباب (13-24)",IF(D1107&lt;=44,"بالغون (25-44)",IF(D1107&lt;=64,"متوسطو العمر (45-64)","كبار السن (+65)"))))</f>
        <v>متوسطو العمر (45-64)</v>
      </c>
      <c r="T1107" s="41" t="n">
        <f aca="false">IFERROR(L1107/P1107,0)</f>
        <v>1655.78</v>
      </c>
    </row>
    <row r="1108" customFormat="false" ht="15" hidden="false" customHeight="false" outlineLevel="0" collapsed="false">
      <c r="A1108" s="42" t="s">
        <v>1894</v>
      </c>
      <c r="B1108" s="43" t="n">
        <v>45484</v>
      </c>
      <c r="C1108" s="43" t="n">
        <v>45485</v>
      </c>
      <c r="D1108" s="42" t="n">
        <v>68</v>
      </c>
      <c r="E1108" s="42" t="s">
        <v>154</v>
      </c>
      <c r="F1108" s="42" t="s">
        <v>203</v>
      </c>
      <c r="G1108" s="42" t="s">
        <v>232</v>
      </c>
      <c r="H1108" s="42" t="s">
        <v>233</v>
      </c>
      <c r="I1108" s="42" t="s">
        <v>143</v>
      </c>
      <c r="J1108" s="42" t="s">
        <v>159</v>
      </c>
      <c r="K1108" s="42" t="s">
        <v>184</v>
      </c>
      <c r="L1108" s="44" t="n">
        <v>1035.21</v>
      </c>
      <c r="M1108" s="42" t="n">
        <v>4</v>
      </c>
      <c r="N1108" s="42" t="s">
        <v>146</v>
      </c>
      <c r="O1108" s="42" t="s">
        <v>147</v>
      </c>
      <c r="P1108" s="39" t="n">
        <f aca="false">C1108-B1108</f>
        <v>1</v>
      </c>
      <c r="Q1108" s="40" t="str">
        <f aca="false">CHOOSE(MONTH(B1108),"يناير","فبراير","مارس","أبريل","مايو","يونيو","يوليو","أغسطس","سبتمبر","أكتوبر","نوفمبر","ديسمبر")</f>
        <v>يوليو</v>
      </c>
      <c r="R1108" s="40" t="str">
        <f aca="false">"الربع "&amp;ROUNDUP(MONTH(B1108)/3,0)</f>
        <v>الربع 3</v>
      </c>
      <c r="S1108" s="40" t="str">
        <f aca="false">IF(D1108&lt;=12,"أطفال (0-12)",IF(D1108&lt;=24,"شباب (13-24)",IF(D1108&lt;=44,"بالغون (25-44)",IF(D1108&lt;=64,"متوسطو العمر (45-64)","كبار السن (+65)"))))</f>
        <v>كبار السن (+65)</v>
      </c>
      <c r="T1108" s="41" t="n">
        <f aca="false">IFERROR(L1108/P1108,0)</f>
        <v>1035.21</v>
      </c>
    </row>
    <row r="1109" customFormat="false" ht="15" hidden="false" customHeight="false" outlineLevel="0" collapsed="false">
      <c r="A1109" s="33" t="s">
        <v>948</v>
      </c>
      <c r="B1109" s="34" t="n">
        <v>45484</v>
      </c>
      <c r="C1109" s="34" t="n">
        <v>45485</v>
      </c>
      <c r="D1109" s="33" t="n">
        <v>39</v>
      </c>
      <c r="E1109" s="33" t="s">
        <v>154</v>
      </c>
      <c r="F1109" s="33" t="s">
        <v>203</v>
      </c>
      <c r="G1109" s="33" t="s">
        <v>241</v>
      </c>
      <c r="H1109" s="33" t="s">
        <v>205</v>
      </c>
      <c r="I1109" s="33" t="s">
        <v>143</v>
      </c>
      <c r="J1109" s="33" t="s">
        <v>159</v>
      </c>
      <c r="K1109" s="33" t="s">
        <v>145</v>
      </c>
      <c r="L1109" s="35" t="n">
        <v>1024</v>
      </c>
      <c r="M1109" s="33" t="n">
        <v>3</v>
      </c>
      <c r="N1109" s="33" t="s">
        <v>146</v>
      </c>
      <c r="O1109" s="33" t="s">
        <v>147</v>
      </c>
      <c r="P1109" s="39" t="n">
        <f aca="false">C1109-B1109</f>
        <v>1</v>
      </c>
      <c r="Q1109" s="40" t="str">
        <f aca="false">CHOOSE(MONTH(B1109),"يناير","فبراير","مارس","أبريل","مايو","يونيو","يوليو","أغسطس","سبتمبر","أكتوبر","نوفمبر","ديسمبر")</f>
        <v>يوليو</v>
      </c>
      <c r="R1109" s="40" t="str">
        <f aca="false">"الربع "&amp;ROUNDUP(MONTH(B1109)/3,0)</f>
        <v>الربع 3</v>
      </c>
      <c r="S1109" s="40" t="str">
        <f aca="false">IF(D1109&lt;=12,"أطفال (0-12)",IF(D1109&lt;=24,"شباب (13-24)",IF(D1109&lt;=44,"بالغون (25-44)",IF(D1109&lt;=64,"متوسطو العمر (45-64)","كبار السن (+65)"))))</f>
        <v>بالغون (25-44)</v>
      </c>
      <c r="T1109" s="41" t="n">
        <f aca="false">IFERROR(L1109/P1109,0)</f>
        <v>1024</v>
      </c>
    </row>
    <row r="1110" customFormat="false" ht="15" hidden="false" customHeight="false" outlineLevel="0" collapsed="false">
      <c r="A1110" s="42" t="s">
        <v>1380</v>
      </c>
      <c r="B1110" s="43" t="n">
        <v>45484</v>
      </c>
      <c r="C1110" s="43" t="n">
        <v>45489</v>
      </c>
      <c r="D1110" s="42" t="n">
        <v>59</v>
      </c>
      <c r="E1110" s="42" t="s">
        <v>139</v>
      </c>
      <c r="F1110" s="42" t="s">
        <v>181</v>
      </c>
      <c r="G1110" s="42" t="s">
        <v>237</v>
      </c>
      <c r="H1110" s="42" t="s">
        <v>183</v>
      </c>
      <c r="I1110" s="42" t="s">
        <v>143</v>
      </c>
      <c r="J1110" s="42" t="s">
        <v>144</v>
      </c>
      <c r="K1110" s="42" t="s">
        <v>184</v>
      </c>
      <c r="L1110" s="44" t="n">
        <v>22103.98</v>
      </c>
      <c r="M1110" s="42" t="n">
        <v>4</v>
      </c>
      <c r="N1110" s="42" t="s">
        <v>146</v>
      </c>
      <c r="O1110" s="42" t="s">
        <v>147</v>
      </c>
      <c r="P1110" s="39" t="n">
        <f aca="false">C1110-B1110</f>
        <v>5</v>
      </c>
      <c r="Q1110" s="40" t="str">
        <f aca="false">CHOOSE(MONTH(B1110),"يناير","فبراير","مارس","أبريل","مايو","يونيو","يوليو","أغسطس","سبتمبر","أكتوبر","نوفمبر","ديسمبر")</f>
        <v>يوليو</v>
      </c>
      <c r="R1110" s="40" t="str">
        <f aca="false">"الربع "&amp;ROUNDUP(MONTH(B1110)/3,0)</f>
        <v>الربع 3</v>
      </c>
      <c r="S1110" s="40" t="str">
        <f aca="false">IF(D1110&lt;=12,"أطفال (0-12)",IF(D1110&lt;=24,"شباب (13-24)",IF(D1110&lt;=44,"بالغون (25-44)",IF(D1110&lt;=64,"متوسطو العمر (45-64)","كبار السن (+65)"))))</f>
        <v>متوسطو العمر (45-64)</v>
      </c>
      <c r="T1110" s="41" t="n">
        <f aca="false">IFERROR(L1110/P1110,0)</f>
        <v>4420.796</v>
      </c>
    </row>
    <row r="1111" customFormat="false" ht="15" hidden="false" customHeight="false" outlineLevel="0" collapsed="false">
      <c r="A1111" s="33" t="s">
        <v>346</v>
      </c>
      <c r="B1111" s="34" t="n">
        <v>45484</v>
      </c>
      <c r="C1111" s="34" t="n">
        <v>45486</v>
      </c>
      <c r="D1111" s="33" t="n">
        <v>32</v>
      </c>
      <c r="E1111" s="33" t="s">
        <v>139</v>
      </c>
      <c r="F1111" s="33" t="s">
        <v>149</v>
      </c>
      <c r="G1111" s="33" t="s">
        <v>243</v>
      </c>
      <c r="H1111" s="33" t="s">
        <v>151</v>
      </c>
      <c r="I1111" s="33" t="s">
        <v>143</v>
      </c>
      <c r="J1111" s="33" t="s">
        <v>159</v>
      </c>
      <c r="K1111" s="33" t="s">
        <v>160</v>
      </c>
      <c r="L1111" s="35" t="n">
        <v>2835.91</v>
      </c>
      <c r="M1111" s="33" t="n">
        <v>4</v>
      </c>
      <c r="N1111" s="33" t="s">
        <v>146</v>
      </c>
      <c r="O1111" s="33" t="s">
        <v>147</v>
      </c>
      <c r="P1111" s="39" t="n">
        <f aca="false">C1111-B1111</f>
        <v>2</v>
      </c>
      <c r="Q1111" s="40" t="str">
        <f aca="false">CHOOSE(MONTH(B1111),"يناير","فبراير","مارس","أبريل","مايو","يونيو","يوليو","أغسطس","سبتمبر","أكتوبر","نوفمبر","ديسمبر")</f>
        <v>يوليو</v>
      </c>
      <c r="R1111" s="40" t="str">
        <f aca="false">"الربع "&amp;ROUNDUP(MONTH(B1111)/3,0)</f>
        <v>الربع 3</v>
      </c>
      <c r="S1111" s="40" t="str">
        <f aca="false">IF(D1111&lt;=12,"أطفال (0-12)",IF(D1111&lt;=24,"شباب (13-24)",IF(D1111&lt;=44,"بالغون (25-44)",IF(D1111&lt;=64,"متوسطو العمر (45-64)","كبار السن (+65)"))))</f>
        <v>بالغون (25-44)</v>
      </c>
      <c r="T1111" s="41" t="n">
        <f aca="false">IFERROR(L1111/P1111,0)</f>
        <v>1417.955</v>
      </c>
    </row>
    <row r="1112" customFormat="false" ht="15" hidden="false" customHeight="false" outlineLevel="0" collapsed="false">
      <c r="A1112" s="42" t="s">
        <v>2112</v>
      </c>
      <c r="B1112" s="43" t="n">
        <v>45484</v>
      </c>
      <c r="C1112" s="43" t="n">
        <v>45495</v>
      </c>
      <c r="D1112" s="42" t="n">
        <v>80</v>
      </c>
      <c r="E1112" s="42" t="s">
        <v>154</v>
      </c>
      <c r="F1112" s="42" t="s">
        <v>140</v>
      </c>
      <c r="G1112" s="42" t="s">
        <v>316</v>
      </c>
      <c r="H1112" s="42" t="s">
        <v>290</v>
      </c>
      <c r="I1112" s="42" t="s">
        <v>152</v>
      </c>
      <c r="J1112" s="42" t="s">
        <v>159</v>
      </c>
      <c r="K1112" s="42" t="s">
        <v>145</v>
      </c>
      <c r="L1112" s="44" t="n">
        <v>22505.5</v>
      </c>
      <c r="M1112" s="42" t="n">
        <v>2</v>
      </c>
      <c r="N1112" s="42" t="s">
        <v>210</v>
      </c>
      <c r="O1112" s="42" t="s">
        <v>147</v>
      </c>
      <c r="P1112" s="39" t="n">
        <f aca="false">C1112-B1112</f>
        <v>11</v>
      </c>
      <c r="Q1112" s="40" t="str">
        <f aca="false">CHOOSE(MONTH(B1112),"يناير","فبراير","مارس","أبريل","مايو","يونيو","يوليو","أغسطس","سبتمبر","أكتوبر","نوفمبر","ديسمبر")</f>
        <v>يوليو</v>
      </c>
      <c r="R1112" s="40" t="str">
        <f aca="false">"الربع "&amp;ROUNDUP(MONTH(B1112)/3,0)</f>
        <v>الربع 3</v>
      </c>
      <c r="S1112" s="40" t="str">
        <f aca="false">IF(D1112&lt;=12,"أطفال (0-12)",IF(D1112&lt;=24,"شباب (13-24)",IF(D1112&lt;=44,"بالغون (25-44)",IF(D1112&lt;=64,"متوسطو العمر (45-64)","كبار السن (+65)"))))</f>
        <v>كبار السن (+65)</v>
      </c>
      <c r="T1112" s="41" t="n">
        <f aca="false">IFERROR(L1112/P1112,0)</f>
        <v>2045.95454545455</v>
      </c>
    </row>
    <row r="1113" customFormat="false" ht="15" hidden="false" customHeight="false" outlineLevel="0" collapsed="false">
      <c r="A1113" s="33" t="s">
        <v>755</v>
      </c>
      <c r="B1113" s="34" t="n">
        <v>45485</v>
      </c>
      <c r="C1113" s="34" t="n">
        <v>45486</v>
      </c>
      <c r="D1113" s="33" t="n">
        <v>20</v>
      </c>
      <c r="E1113" s="33" t="s">
        <v>139</v>
      </c>
      <c r="F1113" s="33" t="s">
        <v>149</v>
      </c>
      <c r="G1113" s="33" t="s">
        <v>150</v>
      </c>
      <c r="H1113" s="33" t="s">
        <v>151</v>
      </c>
      <c r="I1113" s="33" t="s">
        <v>143</v>
      </c>
      <c r="J1113" s="33" t="s">
        <v>159</v>
      </c>
      <c r="K1113" s="33" t="s">
        <v>145</v>
      </c>
      <c r="L1113" s="35" t="n">
        <v>1280.07</v>
      </c>
      <c r="M1113" s="33" t="n">
        <v>5</v>
      </c>
      <c r="N1113" s="33" t="s">
        <v>210</v>
      </c>
      <c r="O1113" s="33" t="s">
        <v>147</v>
      </c>
      <c r="P1113" s="39" t="n">
        <f aca="false">C1113-B1113</f>
        <v>1</v>
      </c>
      <c r="Q1113" s="40" t="str">
        <f aca="false">CHOOSE(MONTH(B1113),"يناير","فبراير","مارس","أبريل","مايو","يونيو","يوليو","أغسطس","سبتمبر","أكتوبر","نوفمبر","ديسمبر")</f>
        <v>يوليو</v>
      </c>
      <c r="R1113" s="40" t="str">
        <f aca="false">"الربع "&amp;ROUNDUP(MONTH(B1113)/3,0)</f>
        <v>الربع 3</v>
      </c>
      <c r="S1113" s="40" t="str">
        <f aca="false">IF(D1113&lt;=12,"أطفال (0-12)",IF(D1113&lt;=24,"شباب (13-24)",IF(D1113&lt;=44,"بالغون (25-44)",IF(D1113&lt;=64,"متوسطو العمر (45-64)","كبار السن (+65)"))))</f>
        <v>شباب (13-24)</v>
      </c>
      <c r="T1113" s="41" t="n">
        <f aca="false">IFERROR(L1113/P1113,0)</f>
        <v>1280.07</v>
      </c>
    </row>
    <row r="1114" customFormat="false" ht="15" hidden="false" customHeight="false" outlineLevel="0" collapsed="false">
      <c r="A1114" s="42" t="s">
        <v>2102</v>
      </c>
      <c r="B1114" s="43" t="n">
        <v>45485</v>
      </c>
      <c r="C1114" s="43" t="n">
        <v>45497</v>
      </c>
      <c r="D1114" s="42" t="n">
        <v>74</v>
      </c>
      <c r="E1114" s="42" t="s">
        <v>139</v>
      </c>
      <c r="F1114" s="42" t="s">
        <v>173</v>
      </c>
      <c r="G1114" s="42" t="s">
        <v>178</v>
      </c>
      <c r="H1114" s="42" t="s">
        <v>199</v>
      </c>
      <c r="I1114" s="42" t="s">
        <v>143</v>
      </c>
      <c r="J1114" s="42" t="s">
        <v>159</v>
      </c>
      <c r="K1114" s="42" t="s">
        <v>184</v>
      </c>
      <c r="L1114" s="44" t="n">
        <v>35182.91</v>
      </c>
      <c r="M1114" s="42" t="n">
        <v>3</v>
      </c>
      <c r="N1114" s="42" t="s">
        <v>146</v>
      </c>
      <c r="O1114" s="42" t="s">
        <v>147</v>
      </c>
      <c r="P1114" s="39" t="n">
        <f aca="false">C1114-B1114</f>
        <v>12</v>
      </c>
      <c r="Q1114" s="40" t="str">
        <f aca="false">CHOOSE(MONTH(B1114),"يناير","فبراير","مارس","أبريل","مايو","يونيو","يوليو","أغسطس","سبتمبر","أكتوبر","نوفمبر","ديسمبر")</f>
        <v>يوليو</v>
      </c>
      <c r="R1114" s="40" t="str">
        <f aca="false">"الربع "&amp;ROUNDUP(MONTH(B1114)/3,0)</f>
        <v>الربع 3</v>
      </c>
      <c r="S1114" s="40" t="str">
        <f aca="false">IF(D1114&lt;=12,"أطفال (0-12)",IF(D1114&lt;=24,"شباب (13-24)",IF(D1114&lt;=44,"بالغون (25-44)",IF(D1114&lt;=64,"متوسطو العمر (45-64)","كبار السن (+65)"))))</f>
        <v>كبار السن (+65)</v>
      </c>
      <c r="T1114" s="41" t="n">
        <f aca="false">IFERROR(L1114/P1114,0)</f>
        <v>2931.90916666667</v>
      </c>
    </row>
    <row r="1115" customFormat="false" ht="15" hidden="false" customHeight="false" outlineLevel="0" collapsed="false">
      <c r="A1115" s="33" t="s">
        <v>890</v>
      </c>
      <c r="B1115" s="34" t="n">
        <v>45485</v>
      </c>
      <c r="C1115" s="34" t="n">
        <v>45487</v>
      </c>
      <c r="D1115" s="33" t="n">
        <v>65</v>
      </c>
      <c r="E1115" s="33" t="s">
        <v>154</v>
      </c>
      <c r="F1115" s="33" t="s">
        <v>169</v>
      </c>
      <c r="G1115" s="33" t="s">
        <v>230</v>
      </c>
      <c r="H1115" s="33" t="s">
        <v>195</v>
      </c>
      <c r="I1115" s="33" t="s">
        <v>143</v>
      </c>
      <c r="J1115" s="33" t="s">
        <v>159</v>
      </c>
      <c r="K1115" s="33" t="s">
        <v>145</v>
      </c>
      <c r="L1115" s="35" t="n">
        <v>2506.1</v>
      </c>
      <c r="M1115" s="33" t="n">
        <v>4</v>
      </c>
      <c r="N1115" s="33" t="s">
        <v>210</v>
      </c>
      <c r="O1115" s="33" t="s">
        <v>147</v>
      </c>
      <c r="P1115" s="39" t="n">
        <f aca="false">C1115-B1115</f>
        <v>2</v>
      </c>
      <c r="Q1115" s="40" t="str">
        <f aca="false">CHOOSE(MONTH(B1115),"يناير","فبراير","مارس","أبريل","مايو","يونيو","يوليو","أغسطس","سبتمبر","أكتوبر","نوفمبر","ديسمبر")</f>
        <v>يوليو</v>
      </c>
      <c r="R1115" s="40" t="str">
        <f aca="false">"الربع "&amp;ROUNDUP(MONTH(B1115)/3,0)</f>
        <v>الربع 3</v>
      </c>
      <c r="S1115" s="40" t="str">
        <f aca="false">IF(D1115&lt;=12,"أطفال (0-12)",IF(D1115&lt;=24,"شباب (13-24)",IF(D1115&lt;=44,"بالغون (25-44)",IF(D1115&lt;=64,"متوسطو العمر (45-64)","كبار السن (+65)"))))</f>
        <v>كبار السن (+65)</v>
      </c>
      <c r="T1115" s="41" t="n">
        <f aca="false">IFERROR(L1115/P1115,0)</f>
        <v>1253.05</v>
      </c>
    </row>
    <row r="1116" customFormat="false" ht="15" hidden="false" customHeight="false" outlineLevel="0" collapsed="false">
      <c r="A1116" s="42" t="s">
        <v>1833</v>
      </c>
      <c r="B1116" s="43" t="n">
        <v>45485</v>
      </c>
      <c r="C1116" s="43" t="n">
        <v>45490</v>
      </c>
      <c r="D1116" s="42" t="n">
        <v>65</v>
      </c>
      <c r="E1116" s="42" t="s">
        <v>154</v>
      </c>
      <c r="F1116" s="42" t="s">
        <v>181</v>
      </c>
      <c r="G1116" s="42" t="s">
        <v>237</v>
      </c>
      <c r="H1116" s="42" t="s">
        <v>245</v>
      </c>
      <c r="I1116" s="42" t="s">
        <v>152</v>
      </c>
      <c r="J1116" s="42" t="s">
        <v>159</v>
      </c>
      <c r="K1116" s="42" t="s">
        <v>145</v>
      </c>
      <c r="L1116" s="44" t="n">
        <v>13251.95</v>
      </c>
      <c r="M1116" s="42" t="n">
        <v>3</v>
      </c>
      <c r="N1116" s="42" t="s">
        <v>146</v>
      </c>
      <c r="O1116" s="42" t="s">
        <v>147</v>
      </c>
      <c r="P1116" s="39" t="n">
        <f aca="false">C1116-B1116</f>
        <v>5</v>
      </c>
      <c r="Q1116" s="40" t="str">
        <f aca="false">CHOOSE(MONTH(B1116),"يناير","فبراير","مارس","أبريل","مايو","يونيو","يوليو","أغسطس","سبتمبر","أكتوبر","نوفمبر","ديسمبر")</f>
        <v>يوليو</v>
      </c>
      <c r="R1116" s="40" t="str">
        <f aca="false">"الربع "&amp;ROUNDUP(MONTH(B1116)/3,0)</f>
        <v>الربع 3</v>
      </c>
      <c r="S1116" s="40" t="str">
        <f aca="false">IF(D1116&lt;=12,"أطفال (0-12)",IF(D1116&lt;=24,"شباب (13-24)",IF(D1116&lt;=44,"بالغون (25-44)",IF(D1116&lt;=64,"متوسطو العمر (45-64)","كبار السن (+65)"))))</f>
        <v>كبار السن (+65)</v>
      </c>
      <c r="T1116" s="41" t="n">
        <f aca="false">IFERROR(L1116/P1116,0)</f>
        <v>2650.39</v>
      </c>
    </row>
    <row r="1117" customFormat="false" ht="15" hidden="false" customHeight="false" outlineLevel="0" collapsed="false">
      <c r="A1117" s="33" t="s">
        <v>2306</v>
      </c>
      <c r="B1117" s="34" t="n">
        <v>45485</v>
      </c>
      <c r="C1117" s="34" t="n">
        <v>45489</v>
      </c>
      <c r="D1117" s="33" t="n">
        <v>75</v>
      </c>
      <c r="E1117" s="33" t="s">
        <v>154</v>
      </c>
      <c r="F1117" s="33" t="s">
        <v>169</v>
      </c>
      <c r="G1117" s="33" t="s">
        <v>163</v>
      </c>
      <c r="H1117" s="33" t="s">
        <v>195</v>
      </c>
      <c r="I1117" s="33" t="s">
        <v>143</v>
      </c>
      <c r="J1117" s="33" t="s">
        <v>159</v>
      </c>
      <c r="K1117" s="33" t="s">
        <v>145</v>
      </c>
      <c r="L1117" s="35" t="n">
        <v>4167.23</v>
      </c>
      <c r="M1117" s="33" t="n">
        <v>3</v>
      </c>
      <c r="N1117" s="33" t="s">
        <v>146</v>
      </c>
      <c r="O1117" s="33" t="s">
        <v>147</v>
      </c>
      <c r="P1117" s="39" t="n">
        <f aca="false">C1117-B1117</f>
        <v>4</v>
      </c>
      <c r="Q1117" s="40" t="str">
        <f aca="false">CHOOSE(MONTH(B1117),"يناير","فبراير","مارس","أبريل","مايو","يونيو","يوليو","أغسطس","سبتمبر","أكتوبر","نوفمبر","ديسمبر")</f>
        <v>يوليو</v>
      </c>
      <c r="R1117" s="40" t="str">
        <f aca="false">"الربع "&amp;ROUNDUP(MONTH(B1117)/3,0)</f>
        <v>الربع 3</v>
      </c>
      <c r="S1117" s="40" t="str">
        <f aca="false">IF(D1117&lt;=12,"أطفال (0-12)",IF(D1117&lt;=24,"شباب (13-24)",IF(D1117&lt;=44,"بالغون (25-44)",IF(D1117&lt;=64,"متوسطو العمر (45-64)","كبار السن (+65)"))))</f>
        <v>كبار السن (+65)</v>
      </c>
      <c r="T1117" s="41" t="n">
        <f aca="false">IFERROR(L1117/P1117,0)</f>
        <v>1041.8075</v>
      </c>
    </row>
    <row r="1118" customFormat="false" ht="15" hidden="false" customHeight="false" outlineLevel="0" collapsed="false">
      <c r="A1118" s="42" t="s">
        <v>432</v>
      </c>
      <c r="B1118" s="43" t="n">
        <v>45486</v>
      </c>
      <c r="C1118" s="43" t="n">
        <v>45488</v>
      </c>
      <c r="D1118" s="42" t="n">
        <v>22</v>
      </c>
      <c r="E1118" s="42" t="s">
        <v>139</v>
      </c>
      <c r="F1118" s="42" t="s">
        <v>203</v>
      </c>
      <c r="G1118" s="42" t="s">
        <v>241</v>
      </c>
      <c r="H1118" s="42" t="s">
        <v>205</v>
      </c>
      <c r="I1118" s="42" t="s">
        <v>143</v>
      </c>
      <c r="J1118" s="42" t="s">
        <v>144</v>
      </c>
      <c r="K1118" s="42" t="s">
        <v>145</v>
      </c>
      <c r="L1118" s="44" t="n">
        <v>2869.89</v>
      </c>
      <c r="M1118" s="42" t="n">
        <v>2</v>
      </c>
      <c r="N1118" s="42" t="s">
        <v>210</v>
      </c>
      <c r="O1118" s="42" t="s">
        <v>147</v>
      </c>
      <c r="P1118" s="39" t="n">
        <f aca="false">C1118-B1118</f>
        <v>2</v>
      </c>
      <c r="Q1118" s="40" t="str">
        <f aca="false">CHOOSE(MONTH(B1118),"يناير","فبراير","مارس","أبريل","مايو","يونيو","يوليو","أغسطس","سبتمبر","أكتوبر","نوفمبر","ديسمبر")</f>
        <v>يوليو</v>
      </c>
      <c r="R1118" s="40" t="str">
        <f aca="false">"الربع "&amp;ROUNDUP(MONTH(B1118)/3,0)</f>
        <v>الربع 3</v>
      </c>
      <c r="S1118" s="40" t="str">
        <f aca="false">IF(D1118&lt;=12,"أطفال (0-12)",IF(D1118&lt;=24,"شباب (13-24)",IF(D1118&lt;=44,"بالغون (25-44)",IF(D1118&lt;=64,"متوسطو العمر (45-64)","كبار السن (+65)"))))</f>
        <v>شباب (13-24)</v>
      </c>
      <c r="T1118" s="41" t="n">
        <f aca="false">IFERROR(L1118/P1118,0)</f>
        <v>1434.945</v>
      </c>
    </row>
    <row r="1119" customFormat="false" ht="15" hidden="false" customHeight="false" outlineLevel="0" collapsed="false">
      <c r="A1119" s="33" t="s">
        <v>682</v>
      </c>
      <c r="B1119" s="34" t="n">
        <v>45486</v>
      </c>
      <c r="C1119" s="34" t="n">
        <v>45494</v>
      </c>
      <c r="D1119" s="33" t="n">
        <v>52</v>
      </c>
      <c r="E1119" s="33" t="s">
        <v>139</v>
      </c>
      <c r="F1119" s="33" t="s">
        <v>181</v>
      </c>
      <c r="G1119" s="33" t="s">
        <v>182</v>
      </c>
      <c r="H1119" s="33" t="s">
        <v>183</v>
      </c>
      <c r="I1119" s="33" t="s">
        <v>143</v>
      </c>
      <c r="J1119" s="33" t="s">
        <v>144</v>
      </c>
      <c r="K1119" s="33" t="s">
        <v>145</v>
      </c>
      <c r="L1119" s="35" t="n">
        <v>37165.31</v>
      </c>
      <c r="M1119" s="33" t="n">
        <v>4</v>
      </c>
      <c r="N1119" s="33" t="s">
        <v>210</v>
      </c>
      <c r="O1119" s="33" t="s">
        <v>247</v>
      </c>
      <c r="P1119" s="39" t="n">
        <f aca="false">C1119-B1119</f>
        <v>8</v>
      </c>
      <c r="Q1119" s="40" t="str">
        <f aca="false">CHOOSE(MONTH(B1119),"يناير","فبراير","مارس","أبريل","مايو","يونيو","يوليو","أغسطس","سبتمبر","أكتوبر","نوفمبر","ديسمبر")</f>
        <v>يوليو</v>
      </c>
      <c r="R1119" s="40" t="str">
        <f aca="false">"الربع "&amp;ROUNDUP(MONTH(B1119)/3,0)</f>
        <v>الربع 3</v>
      </c>
      <c r="S1119" s="40" t="str">
        <f aca="false">IF(D1119&lt;=12,"أطفال (0-12)",IF(D1119&lt;=24,"شباب (13-24)",IF(D1119&lt;=44,"بالغون (25-44)",IF(D1119&lt;=64,"متوسطو العمر (45-64)","كبار السن (+65)"))))</f>
        <v>متوسطو العمر (45-64)</v>
      </c>
      <c r="T1119" s="41" t="n">
        <f aca="false">IFERROR(L1119/P1119,0)</f>
        <v>4645.66375</v>
      </c>
    </row>
    <row r="1120" customFormat="false" ht="15" hidden="false" customHeight="false" outlineLevel="0" collapsed="false">
      <c r="A1120" s="42" t="s">
        <v>1426</v>
      </c>
      <c r="B1120" s="43" t="n">
        <v>45486</v>
      </c>
      <c r="C1120" s="43" t="n">
        <v>45491</v>
      </c>
      <c r="D1120" s="42" t="n">
        <v>46</v>
      </c>
      <c r="E1120" s="42" t="s">
        <v>139</v>
      </c>
      <c r="F1120" s="42" t="s">
        <v>140</v>
      </c>
      <c r="G1120" s="42" t="s">
        <v>316</v>
      </c>
      <c r="H1120" s="42" t="s">
        <v>142</v>
      </c>
      <c r="I1120" s="42" t="s">
        <v>143</v>
      </c>
      <c r="J1120" s="42" t="s">
        <v>159</v>
      </c>
      <c r="K1120" s="42" t="s">
        <v>160</v>
      </c>
      <c r="L1120" s="44" t="n">
        <v>12184.56</v>
      </c>
      <c r="M1120" s="42" t="n">
        <v>4</v>
      </c>
      <c r="N1120" s="42" t="s">
        <v>146</v>
      </c>
      <c r="O1120" s="42" t="s">
        <v>247</v>
      </c>
      <c r="P1120" s="39" t="n">
        <f aca="false">C1120-B1120</f>
        <v>5</v>
      </c>
      <c r="Q1120" s="40" t="str">
        <f aca="false">CHOOSE(MONTH(B1120),"يناير","فبراير","مارس","أبريل","مايو","يونيو","يوليو","أغسطس","سبتمبر","أكتوبر","نوفمبر","ديسمبر")</f>
        <v>يوليو</v>
      </c>
      <c r="R1120" s="40" t="str">
        <f aca="false">"الربع "&amp;ROUNDUP(MONTH(B1120)/3,0)</f>
        <v>الربع 3</v>
      </c>
      <c r="S1120" s="40" t="str">
        <f aca="false">IF(D1120&lt;=12,"أطفال (0-12)",IF(D1120&lt;=24,"شباب (13-24)",IF(D1120&lt;=44,"بالغون (25-44)",IF(D1120&lt;=64,"متوسطو العمر (45-64)","كبار السن (+65)"))))</f>
        <v>متوسطو العمر (45-64)</v>
      </c>
      <c r="T1120" s="41" t="n">
        <f aca="false">IFERROR(L1120/P1120,0)</f>
        <v>2436.912</v>
      </c>
    </row>
    <row r="1121" customFormat="false" ht="15" hidden="false" customHeight="false" outlineLevel="0" collapsed="false">
      <c r="A1121" s="33" t="s">
        <v>718</v>
      </c>
      <c r="B1121" s="34" t="n">
        <v>45486</v>
      </c>
      <c r="C1121" s="34" t="n">
        <v>45491</v>
      </c>
      <c r="D1121" s="33" t="n">
        <v>27</v>
      </c>
      <c r="E1121" s="33" t="s">
        <v>139</v>
      </c>
      <c r="F1121" s="33" t="s">
        <v>169</v>
      </c>
      <c r="G1121" s="33" t="s">
        <v>163</v>
      </c>
      <c r="H1121" s="33" t="s">
        <v>171</v>
      </c>
      <c r="I1121" s="33" t="s">
        <v>143</v>
      </c>
      <c r="J1121" s="33" t="s">
        <v>159</v>
      </c>
      <c r="K1121" s="33" t="s">
        <v>184</v>
      </c>
      <c r="L1121" s="35" t="n">
        <v>5598.31</v>
      </c>
      <c r="M1121" s="33" t="n">
        <v>4</v>
      </c>
      <c r="N1121" s="33" t="s">
        <v>146</v>
      </c>
      <c r="O1121" s="33" t="s">
        <v>147</v>
      </c>
      <c r="P1121" s="39" t="n">
        <f aca="false">C1121-B1121</f>
        <v>5</v>
      </c>
      <c r="Q1121" s="40" t="str">
        <f aca="false">CHOOSE(MONTH(B1121),"يناير","فبراير","مارس","أبريل","مايو","يونيو","يوليو","أغسطس","سبتمبر","أكتوبر","نوفمبر","ديسمبر")</f>
        <v>يوليو</v>
      </c>
      <c r="R1121" s="40" t="str">
        <f aca="false">"الربع "&amp;ROUNDUP(MONTH(B1121)/3,0)</f>
        <v>الربع 3</v>
      </c>
      <c r="S1121" s="40" t="str">
        <f aca="false">IF(D1121&lt;=12,"أطفال (0-12)",IF(D1121&lt;=24,"شباب (13-24)",IF(D1121&lt;=44,"بالغون (25-44)",IF(D1121&lt;=64,"متوسطو العمر (45-64)","كبار السن (+65)"))))</f>
        <v>بالغون (25-44)</v>
      </c>
      <c r="T1121" s="41" t="n">
        <f aca="false">IFERROR(L1121/P1121,0)</f>
        <v>1119.662</v>
      </c>
    </row>
    <row r="1122" customFormat="false" ht="15" hidden="false" customHeight="false" outlineLevel="0" collapsed="false">
      <c r="A1122" s="42" t="s">
        <v>1562</v>
      </c>
      <c r="B1122" s="43" t="n">
        <v>45486</v>
      </c>
      <c r="C1122" s="43" t="n">
        <v>45489</v>
      </c>
      <c r="D1122" s="42" t="n">
        <v>0</v>
      </c>
      <c r="E1122" s="42" t="s">
        <v>139</v>
      </c>
      <c r="F1122" s="42" t="s">
        <v>155</v>
      </c>
      <c r="G1122" s="42" t="s">
        <v>156</v>
      </c>
      <c r="H1122" s="42" t="s">
        <v>157</v>
      </c>
      <c r="I1122" s="42" t="s">
        <v>152</v>
      </c>
      <c r="J1122" s="42" t="s">
        <v>159</v>
      </c>
      <c r="K1122" s="42" t="s">
        <v>145</v>
      </c>
      <c r="L1122" s="44" t="n">
        <v>2441.4</v>
      </c>
      <c r="M1122" s="42" t="n">
        <v>4</v>
      </c>
      <c r="N1122" s="42" t="s">
        <v>146</v>
      </c>
      <c r="O1122" s="42" t="s">
        <v>147</v>
      </c>
      <c r="P1122" s="39" t="n">
        <f aca="false">C1122-B1122</f>
        <v>3</v>
      </c>
      <c r="Q1122" s="40" t="str">
        <f aca="false">CHOOSE(MONTH(B1122),"يناير","فبراير","مارس","أبريل","مايو","يونيو","يوليو","أغسطس","سبتمبر","أكتوبر","نوفمبر","ديسمبر")</f>
        <v>يوليو</v>
      </c>
      <c r="R1122" s="40" t="str">
        <f aca="false">"الربع "&amp;ROUNDUP(MONTH(B1122)/3,0)</f>
        <v>الربع 3</v>
      </c>
      <c r="S1122" s="40" t="str">
        <f aca="false">IF(D1122&lt;=12,"أطفال (0-12)",IF(D1122&lt;=24,"شباب (13-24)",IF(D1122&lt;=44,"بالغون (25-44)",IF(D1122&lt;=64,"متوسطو العمر (45-64)","كبار السن (+65)"))))</f>
        <v>أطفال (0-12)</v>
      </c>
      <c r="T1122" s="41" t="n">
        <f aca="false">IFERROR(L1122/P1122,0)</f>
        <v>813.8</v>
      </c>
    </row>
    <row r="1123" customFormat="false" ht="15" hidden="false" customHeight="false" outlineLevel="0" collapsed="false">
      <c r="A1123" s="33" t="s">
        <v>984</v>
      </c>
      <c r="B1123" s="34" t="n">
        <v>45486</v>
      </c>
      <c r="C1123" s="34" t="n">
        <v>45487</v>
      </c>
      <c r="D1123" s="33" t="n">
        <v>76</v>
      </c>
      <c r="E1123" s="33" t="s">
        <v>139</v>
      </c>
      <c r="F1123" s="33" t="s">
        <v>203</v>
      </c>
      <c r="G1123" s="33" t="s">
        <v>192</v>
      </c>
      <c r="H1123" s="33" t="s">
        <v>193</v>
      </c>
      <c r="I1123" s="33" t="s">
        <v>158</v>
      </c>
      <c r="J1123" s="33" t="s">
        <v>159</v>
      </c>
      <c r="K1123" s="33" t="s">
        <v>184</v>
      </c>
      <c r="L1123" s="35" t="n">
        <v>990.78</v>
      </c>
      <c r="M1123" s="33" t="n">
        <v>3</v>
      </c>
      <c r="N1123" s="33" t="s">
        <v>146</v>
      </c>
      <c r="O1123" s="33" t="s">
        <v>147</v>
      </c>
      <c r="P1123" s="39" t="n">
        <f aca="false">C1123-B1123</f>
        <v>1</v>
      </c>
      <c r="Q1123" s="40" t="str">
        <f aca="false">CHOOSE(MONTH(B1123),"يناير","فبراير","مارس","أبريل","مايو","يونيو","يوليو","أغسطس","سبتمبر","أكتوبر","نوفمبر","ديسمبر")</f>
        <v>يوليو</v>
      </c>
      <c r="R1123" s="40" t="str">
        <f aca="false">"الربع "&amp;ROUNDUP(MONTH(B1123)/3,0)</f>
        <v>الربع 3</v>
      </c>
      <c r="S1123" s="40" t="str">
        <f aca="false">IF(D1123&lt;=12,"أطفال (0-12)",IF(D1123&lt;=24,"شباب (13-24)",IF(D1123&lt;=44,"بالغون (25-44)",IF(D1123&lt;=64,"متوسطو العمر (45-64)","كبار السن (+65)"))))</f>
        <v>كبار السن (+65)</v>
      </c>
      <c r="T1123" s="41" t="n">
        <f aca="false">IFERROR(L1123/P1123,0)</f>
        <v>990.78</v>
      </c>
    </row>
    <row r="1124" customFormat="false" ht="15" hidden="false" customHeight="false" outlineLevel="0" collapsed="false">
      <c r="A1124" s="42" t="s">
        <v>1603</v>
      </c>
      <c r="B1124" s="43" t="n">
        <v>45486</v>
      </c>
      <c r="C1124" s="43" t="n">
        <v>45488</v>
      </c>
      <c r="D1124" s="42" t="n">
        <v>5</v>
      </c>
      <c r="E1124" s="42" t="s">
        <v>139</v>
      </c>
      <c r="F1124" s="42" t="s">
        <v>155</v>
      </c>
      <c r="G1124" s="42" t="s">
        <v>302</v>
      </c>
      <c r="H1124" s="42" t="s">
        <v>222</v>
      </c>
      <c r="I1124" s="42" t="s">
        <v>143</v>
      </c>
      <c r="J1124" s="42" t="s">
        <v>159</v>
      </c>
      <c r="K1124" s="42" t="s">
        <v>160</v>
      </c>
      <c r="L1124" s="44" t="n">
        <v>1442.41</v>
      </c>
      <c r="M1124" s="42" t="n">
        <v>3</v>
      </c>
      <c r="N1124" s="42" t="s">
        <v>146</v>
      </c>
      <c r="O1124" s="42" t="s">
        <v>147</v>
      </c>
      <c r="P1124" s="39" t="n">
        <f aca="false">C1124-B1124</f>
        <v>2</v>
      </c>
      <c r="Q1124" s="40" t="str">
        <f aca="false">CHOOSE(MONTH(B1124),"يناير","فبراير","مارس","أبريل","مايو","يونيو","يوليو","أغسطس","سبتمبر","أكتوبر","نوفمبر","ديسمبر")</f>
        <v>يوليو</v>
      </c>
      <c r="R1124" s="40" t="str">
        <f aca="false">"الربع "&amp;ROUNDUP(MONTH(B1124)/3,0)</f>
        <v>الربع 3</v>
      </c>
      <c r="S1124" s="40" t="str">
        <f aca="false">IF(D1124&lt;=12,"أطفال (0-12)",IF(D1124&lt;=24,"شباب (13-24)",IF(D1124&lt;=44,"بالغون (25-44)",IF(D1124&lt;=64,"متوسطو العمر (45-64)","كبار السن (+65)"))))</f>
        <v>أطفال (0-12)</v>
      </c>
      <c r="T1124" s="41" t="n">
        <f aca="false">IFERROR(L1124/P1124,0)</f>
        <v>721.205</v>
      </c>
    </row>
    <row r="1125" customFormat="false" ht="15" hidden="false" customHeight="false" outlineLevel="0" collapsed="false">
      <c r="A1125" s="33" t="s">
        <v>2179</v>
      </c>
      <c r="B1125" s="34" t="n">
        <v>45486</v>
      </c>
      <c r="C1125" s="34" t="n">
        <v>45489</v>
      </c>
      <c r="D1125" s="33" t="n">
        <v>81</v>
      </c>
      <c r="E1125" s="33" t="s">
        <v>154</v>
      </c>
      <c r="F1125" s="33" t="s">
        <v>226</v>
      </c>
      <c r="G1125" s="33" t="s">
        <v>227</v>
      </c>
      <c r="H1125" s="33" t="s">
        <v>263</v>
      </c>
      <c r="I1125" s="33" t="s">
        <v>152</v>
      </c>
      <c r="J1125" s="33" t="s">
        <v>159</v>
      </c>
      <c r="K1125" s="33" t="s">
        <v>145</v>
      </c>
      <c r="L1125" s="35" t="n">
        <v>9629.99</v>
      </c>
      <c r="M1125" s="33" t="n">
        <v>4</v>
      </c>
      <c r="N1125" s="33" t="s">
        <v>146</v>
      </c>
      <c r="O1125" s="33" t="s">
        <v>147</v>
      </c>
      <c r="P1125" s="39" t="n">
        <f aca="false">C1125-B1125</f>
        <v>3</v>
      </c>
      <c r="Q1125" s="40" t="str">
        <f aca="false">CHOOSE(MONTH(B1125),"يناير","فبراير","مارس","أبريل","مايو","يونيو","يوليو","أغسطس","سبتمبر","أكتوبر","نوفمبر","ديسمبر")</f>
        <v>يوليو</v>
      </c>
      <c r="R1125" s="40" t="str">
        <f aca="false">"الربع "&amp;ROUNDUP(MONTH(B1125)/3,0)</f>
        <v>الربع 3</v>
      </c>
      <c r="S1125" s="40" t="str">
        <f aca="false">IF(D1125&lt;=12,"أطفال (0-12)",IF(D1125&lt;=24,"شباب (13-24)",IF(D1125&lt;=44,"بالغون (25-44)",IF(D1125&lt;=64,"متوسطو العمر (45-64)","كبار السن (+65)"))))</f>
        <v>كبار السن (+65)</v>
      </c>
      <c r="T1125" s="41" t="n">
        <f aca="false">IFERROR(L1125/P1125,0)</f>
        <v>3209.99666666667</v>
      </c>
    </row>
    <row r="1126" customFormat="false" ht="15" hidden="false" customHeight="false" outlineLevel="0" collapsed="false">
      <c r="A1126" s="42" t="s">
        <v>1210</v>
      </c>
      <c r="B1126" s="43" t="n">
        <v>45486</v>
      </c>
      <c r="C1126" s="43" t="n">
        <v>45488</v>
      </c>
      <c r="D1126" s="42" t="n">
        <v>62</v>
      </c>
      <c r="E1126" s="42" t="s">
        <v>139</v>
      </c>
      <c r="F1126" s="42" t="s">
        <v>203</v>
      </c>
      <c r="G1126" s="42" t="s">
        <v>217</v>
      </c>
      <c r="H1126" s="42" t="s">
        <v>233</v>
      </c>
      <c r="I1126" s="42" t="s">
        <v>143</v>
      </c>
      <c r="J1126" s="42" t="s">
        <v>176</v>
      </c>
      <c r="K1126" s="42" t="s">
        <v>184</v>
      </c>
      <c r="L1126" s="44" t="n">
        <v>5769.68</v>
      </c>
      <c r="M1126" s="42" t="n">
        <v>3</v>
      </c>
      <c r="N1126" s="42" t="s">
        <v>146</v>
      </c>
      <c r="O1126" s="42" t="s">
        <v>206</v>
      </c>
      <c r="P1126" s="39" t="n">
        <f aca="false">C1126-B1126</f>
        <v>2</v>
      </c>
      <c r="Q1126" s="40" t="str">
        <f aca="false">CHOOSE(MONTH(B1126),"يناير","فبراير","مارس","أبريل","مايو","يونيو","يوليو","أغسطس","سبتمبر","أكتوبر","نوفمبر","ديسمبر")</f>
        <v>يوليو</v>
      </c>
      <c r="R1126" s="40" t="str">
        <f aca="false">"الربع "&amp;ROUNDUP(MONTH(B1126)/3,0)</f>
        <v>الربع 3</v>
      </c>
      <c r="S1126" s="40" t="str">
        <f aca="false">IF(D1126&lt;=12,"أطفال (0-12)",IF(D1126&lt;=24,"شباب (13-24)",IF(D1126&lt;=44,"بالغون (25-44)",IF(D1126&lt;=64,"متوسطو العمر (45-64)","كبار السن (+65)"))))</f>
        <v>متوسطو العمر (45-64)</v>
      </c>
      <c r="T1126" s="41" t="n">
        <f aca="false">IFERROR(L1126/P1126,0)</f>
        <v>2884.84</v>
      </c>
    </row>
    <row r="1127" customFormat="false" ht="15" hidden="false" customHeight="false" outlineLevel="0" collapsed="false">
      <c r="A1127" s="33" t="s">
        <v>1975</v>
      </c>
      <c r="B1127" s="34" t="n">
        <v>45486</v>
      </c>
      <c r="C1127" s="34" t="n">
        <v>45488</v>
      </c>
      <c r="D1127" s="33" t="n">
        <v>18</v>
      </c>
      <c r="E1127" s="33" t="s">
        <v>139</v>
      </c>
      <c r="F1127" s="33" t="s">
        <v>203</v>
      </c>
      <c r="G1127" s="33" t="s">
        <v>217</v>
      </c>
      <c r="H1127" s="33" t="s">
        <v>205</v>
      </c>
      <c r="I1127" s="33" t="s">
        <v>143</v>
      </c>
      <c r="J1127" s="33" t="s">
        <v>159</v>
      </c>
      <c r="K1127" s="33" t="s">
        <v>145</v>
      </c>
      <c r="L1127" s="35" t="n">
        <v>2158.26</v>
      </c>
      <c r="M1127" s="33" t="n">
        <v>4</v>
      </c>
      <c r="N1127" s="33" t="s">
        <v>146</v>
      </c>
      <c r="O1127" s="33" t="s">
        <v>147</v>
      </c>
      <c r="P1127" s="39" t="n">
        <f aca="false">C1127-B1127</f>
        <v>2</v>
      </c>
      <c r="Q1127" s="40" t="str">
        <f aca="false">CHOOSE(MONTH(B1127),"يناير","فبراير","مارس","أبريل","مايو","يونيو","يوليو","أغسطس","سبتمبر","أكتوبر","نوفمبر","ديسمبر")</f>
        <v>يوليو</v>
      </c>
      <c r="R1127" s="40" t="str">
        <f aca="false">"الربع "&amp;ROUNDUP(MONTH(B1127)/3,0)</f>
        <v>الربع 3</v>
      </c>
      <c r="S1127" s="40" t="str">
        <f aca="false">IF(D1127&lt;=12,"أطفال (0-12)",IF(D1127&lt;=24,"شباب (13-24)",IF(D1127&lt;=44,"بالغون (25-44)",IF(D1127&lt;=64,"متوسطو العمر (45-64)","كبار السن (+65)"))))</f>
        <v>شباب (13-24)</v>
      </c>
      <c r="T1127" s="41" t="n">
        <f aca="false">IFERROR(L1127/P1127,0)</f>
        <v>1079.13</v>
      </c>
    </row>
    <row r="1128" customFormat="false" ht="15" hidden="false" customHeight="false" outlineLevel="0" collapsed="false">
      <c r="A1128" s="42" t="s">
        <v>567</v>
      </c>
      <c r="B1128" s="43" t="n">
        <v>45486</v>
      </c>
      <c r="C1128" s="43" t="n">
        <v>45491</v>
      </c>
      <c r="D1128" s="42" t="n">
        <v>27</v>
      </c>
      <c r="E1128" s="42" t="s">
        <v>154</v>
      </c>
      <c r="F1128" s="42" t="s">
        <v>173</v>
      </c>
      <c r="G1128" s="42" t="s">
        <v>178</v>
      </c>
      <c r="H1128" s="42" t="s">
        <v>175</v>
      </c>
      <c r="I1128" s="42" t="s">
        <v>152</v>
      </c>
      <c r="J1128" s="42" t="s">
        <v>144</v>
      </c>
      <c r="K1128" s="42" t="s">
        <v>160</v>
      </c>
      <c r="L1128" s="44" t="n">
        <v>26663.12</v>
      </c>
      <c r="M1128" s="42" t="n">
        <v>5</v>
      </c>
      <c r="N1128" s="42" t="s">
        <v>146</v>
      </c>
      <c r="O1128" s="42" t="s">
        <v>147</v>
      </c>
      <c r="P1128" s="39" t="n">
        <f aca="false">C1128-B1128</f>
        <v>5</v>
      </c>
      <c r="Q1128" s="40" t="str">
        <f aca="false">CHOOSE(MONTH(B1128),"يناير","فبراير","مارس","أبريل","مايو","يونيو","يوليو","أغسطس","سبتمبر","أكتوبر","نوفمبر","ديسمبر")</f>
        <v>يوليو</v>
      </c>
      <c r="R1128" s="40" t="str">
        <f aca="false">"الربع "&amp;ROUNDUP(MONTH(B1128)/3,0)</f>
        <v>الربع 3</v>
      </c>
      <c r="S1128" s="40" t="str">
        <f aca="false">IF(D1128&lt;=12,"أطفال (0-12)",IF(D1128&lt;=24,"شباب (13-24)",IF(D1128&lt;=44,"بالغون (25-44)",IF(D1128&lt;=64,"متوسطو العمر (45-64)","كبار السن (+65)"))))</f>
        <v>بالغون (25-44)</v>
      </c>
      <c r="T1128" s="41" t="n">
        <f aca="false">IFERROR(L1128/P1128,0)</f>
        <v>5332.624</v>
      </c>
    </row>
    <row r="1129" customFormat="false" ht="15" hidden="false" customHeight="false" outlineLevel="0" collapsed="false">
      <c r="A1129" s="33" t="s">
        <v>1609</v>
      </c>
      <c r="B1129" s="34" t="n">
        <v>45486</v>
      </c>
      <c r="C1129" s="34" t="n">
        <v>45492</v>
      </c>
      <c r="D1129" s="33" t="n">
        <v>70</v>
      </c>
      <c r="E1129" s="33" t="s">
        <v>154</v>
      </c>
      <c r="F1129" s="33" t="s">
        <v>181</v>
      </c>
      <c r="G1129" s="33" t="s">
        <v>237</v>
      </c>
      <c r="H1129" s="33" t="s">
        <v>245</v>
      </c>
      <c r="I1129" s="33" t="s">
        <v>143</v>
      </c>
      <c r="J1129" s="33" t="s">
        <v>144</v>
      </c>
      <c r="K1129" s="33" t="s">
        <v>209</v>
      </c>
      <c r="L1129" s="35" t="n">
        <v>26190.54</v>
      </c>
      <c r="M1129" s="33" t="n">
        <v>4</v>
      </c>
      <c r="N1129" s="33" t="s">
        <v>146</v>
      </c>
      <c r="O1129" s="33" t="s">
        <v>147</v>
      </c>
      <c r="P1129" s="39" t="n">
        <f aca="false">C1129-B1129</f>
        <v>6</v>
      </c>
      <c r="Q1129" s="40" t="str">
        <f aca="false">CHOOSE(MONTH(B1129),"يناير","فبراير","مارس","أبريل","مايو","يونيو","يوليو","أغسطس","سبتمبر","أكتوبر","نوفمبر","ديسمبر")</f>
        <v>يوليو</v>
      </c>
      <c r="R1129" s="40" t="str">
        <f aca="false">"الربع "&amp;ROUNDUP(MONTH(B1129)/3,0)</f>
        <v>الربع 3</v>
      </c>
      <c r="S1129" s="40" t="str">
        <f aca="false">IF(D1129&lt;=12,"أطفال (0-12)",IF(D1129&lt;=24,"شباب (13-24)",IF(D1129&lt;=44,"بالغون (25-44)",IF(D1129&lt;=64,"متوسطو العمر (45-64)","كبار السن (+65)"))))</f>
        <v>كبار السن (+65)</v>
      </c>
      <c r="T1129" s="41" t="n">
        <f aca="false">IFERROR(L1129/P1129,0)</f>
        <v>4365.09</v>
      </c>
    </row>
    <row r="1130" customFormat="false" ht="15" hidden="false" customHeight="false" outlineLevel="0" collapsed="false">
      <c r="A1130" s="42" t="s">
        <v>1665</v>
      </c>
      <c r="B1130" s="43" t="n">
        <v>45487</v>
      </c>
      <c r="C1130" s="43" t="n">
        <v>45488</v>
      </c>
      <c r="D1130" s="42" t="n">
        <v>30</v>
      </c>
      <c r="E1130" s="42" t="s">
        <v>139</v>
      </c>
      <c r="F1130" s="42" t="s">
        <v>173</v>
      </c>
      <c r="G1130" s="42" t="s">
        <v>174</v>
      </c>
      <c r="H1130" s="42" t="s">
        <v>175</v>
      </c>
      <c r="I1130" s="42" t="s">
        <v>143</v>
      </c>
      <c r="J1130" s="42" t="s">
        <v>144</v>
      </c>
      <c r="K1130" s="42" t="s">
        <v>145</v>
      </c>
      <c r="L1130" s="44" t="n">
        <v>5077.22</v>
      </c>
      <c r="M1130" s="42" t="n">
        <v>4</v>
      </c>
      <c r="N1130" s="42" t="s">
        <v>146</v>
      </c>
      <c r="O1130" s="42" t="s">
        <v>147</v>
      </c>
      <c r="P1130" s="39" t="n">
        <f aca="false">C1130-B1130</f>
        <v>1</v>
      </c>
      <c r="Q1130" s="40" t="str">
        <f aca="false">CHOOSE(MONTH(B1130),"يناير","فبراير","مارس","أبريل","مايو","يونيو","يوليو","أغسطس","سبتمبر","أكتوبر","نوفمبر","ديسمبر")</f>
        <v>يوليو</v>
      </c>
      <c r="R1130" s="40" t="str">
        <f aca="false">"الربع "&amp;ROUNDUP(MONTH(B1130)/3,0)</f>
        <v>الربع 3</v>
      </c>
      <c r="S1130" s="40" t="str">
        <f aca="false">IF(D1130&lt;=12,"أطفال (0-12)",IF(D1130&lt;=24,"شباب (13-24)",IF(D1130&lt;=44,"بالغون (25-44)",IF(D1130&lt;=64,"متوسطو العمر (45-64)","كبار السن (+65)"))))</f>
        <v>بالغون (25-44)</v>
      </c>
      <c r="T1130" s="41" t="n">
        <f aca="false">IFERROR(L1130/P1130,0)</f>
        <v>5077.22</v>
      </c>
    </row>
    <row r="1131" customFormat="false" ht="15" hidden="false" customHeight="false" outlineLevel="0" collapsed="false">
      <c r="A1131" s="33" t="s">
        <v>776</v>
      </c>
      <c r="B1131" s="34" t="n">
        <v>45487</v>
      </c>
      <c r="C1131" s="34" t="n">
        <v>45493</v>
      </c>
      <c r="D1131" s="33" t="n">
        <v>14</v>
      </c>
      <c r="E1131" s="33" t="s">
        <v>139</v>
      </c>
      <c r="F1131" s="33" t="s">
        <v>169</v>
      </c>
      <c r="G1131" s="33" t="s">
        <v>170</v>
      </c>
      <c r="H1131" s="33" t="s">
        <v>164</v>
      </c>
      <c r="I1131" s="33" t="s">
        <v>143</v>
      </c>
      <c r="J1131" s="33" t="s">
        <v>159</v>
      </c>
      <c r="K1131" s="33" t="s">
        <v>145</v>
      </c>
      <c r="L1131" s="35" t="n">
        <v>6511.05</v>
      </c>
      <c r="M1131" s="33" t="n">
        <v>4</v>
      </c>
      <c r="N1131" s="33" t="s">
        <v>146</v>
      </c>
      <c r="O1131" s="33" t="s">
        <v>147</v>
      </c>
      <c r="P1131" s="39" t="n">
        <f aca="false">C1131-B1131</f>
        <v>6</v>
      </c>
      <c r="Q1131" s="40" t="str">
        <f aca="false">CHOOSE(MONTH(B1131),"يناير","فبراير","مارس","أبريل","مايو","يونيو","يوليو","أغسطس","سبتمبر","أكتوبر","نوفمبر","ديسمبر")</f>
        <v>يوليو</v>
      </c>
      <c r="R1131" s="40" t="str">
        <f aca="false">"الربع "&amp;ROUNDUP(MONTH(B1131)/3,0)</f>
        <v>الربع 3</v>
      </c>
      <c r="S1131" s="40" t="str">
        <f aca="false">IF(D1131&lt;=12,"أطفال (0-12)",IF(D1131&lt;=24,"شباب (13-24)",IF(D1131&lt;=44,"بالغون (25-44)",IF(D1131&lt;=64,"متوسطو العمر (45-64)","كبار السن (+65)"))))</f>
        <v>شباب (13-24)</v>
      </c>
      <c r="T1131" s="41" t="n">
        <f aca="false">IFERROR(L1131/P1131,0)</f>
        <v>1085.175</v>
      </c>
    </row>
    <row r="1132" customFormat="false" ht="15" hidden="false" customHeight="false" outlineLevel="0" collapsed="false">
      <c r="A1132" s="42" t="s">
        <v>301</v>
      </c>
      <c r="B1132" s="43" t="n">
        <v>45487</v>
      </c>
      <c r="C1132" s="43" t="n">
        <v>45493</v>
      </c>
      <c r="D1132" s="42" t="n">
        <v>5</v>
      </c>
      <c r="E1132" s="42" t="s">
        <v>154</v>
      </c>
      <c r="F1132" s="42" t="s">
        <v>155</v>
      </c>
      <c r="G1132" s="42" t="s">
        <v>302</v>
      </c>
      <c r="H1132" s="42" t="s">
        <v>157</v>
      </c>
      <c r="I1132" s="42" t="s">
        <v>152</v>
      </c>
      <c r="J1132" s="42" t="s">
        <v>159</v>
      </c>
      <c r="K1132" s="42" t="s">
        <v>160</v>
      </c>
      <c r="L1132" s="44" t="n">
        <v>5548.97</v>
      </c>
      <c r="M1132" s="42" t="n">
        <v>4</v>
      </c>
      <c r="N1132" s="42" t="s">
        <v>146</v>
      </c>
      <c r="O1132" s="42" t="s">
        <v>147</v>
      </c>
      <c r="P1132" s="39" t="n">
        <f aca="false">C1132-B1132</f>
        <v>6</v>
      </c>
      <c r="Q1132" s="40" t="str">
        <f aca="false">CHOOSE(MONTH(B1132),"يناير","فبراير","مارس","أبريل","مايو","يونيو","يوليو","أغسطس","سبتمبر","أكتوبر","نوفمبر","ديسمبر")</f>
        <v>يوليو</v>
      </c>
      <c r="R1132" s="40" t="str">
        <f aca="false">"الربع "&amp;ROUNDUP(MONTH(B1132)/3,0)</f>
        <v>الربع 3</v>
      </c>
      <c r="S1132" s="40" t="str">
        <f aca="false">IF(D1132&lt;=12,"أطفال (0-12)",IF(D1132&lt;=24,"شباب (13-24)",IF(D1132&lt;=44,"بالغون (25-44)",IF(D1132&lt;=64,"متوسطو العمر (45-64)","كبار السن (+65)"))))</f>
        <v>أطفال (0-12)</v>
      </c>
      <c r="T1132" s="41" t="n">
        <f aca="false">IFERROR(L1132/P1132,0)</f>
        <v>924.828333333333</v>
      </c>
    </row>
    <row r="1133" customFormat="false" ht="15" hidden="false" customHeight="false" outlineLevel="0" collapsed="false">
      <c r="A1133" s="33" t="s">
        <v>842</v>
      </c>
      <c r="B1133" s="34" t="n">
        <v>45487</v>
      </c>
      <c r="C1133" s="34" t="n">
        <v>45492</v>
      </c>
      <c r="D1133" s="33" t="n">
        <v>15</v>
      </c>
      <c r="E1133" s="33" t="s">
        <v>154</v>
      </c>
      <c r="F1133" s="33" t="s">
        <v>140</v>
      </c>
      <c r="G1133" s="33" t="s">
        <v>167</v>
      </c>
      <c r="H1133" s="33" t="s">
        <v>290</v>
      </c>
      <c r="I1133" s="33" t="s">
        <v>158</v>
      </c>
      <c r="J1133" s="33" t="s">
        <v>159</v>
      </c>
      <c r="K1133" s="33" t="s">
        <v>145</v>
      </c>
      <c r="L1133" s="35" t="n">
        <v>12302.97</v>
      </c>
      <c r="M1133" s="33" t="n">
        <v>4</v>
      </c>
      <c r="N1133" s="33" t="s">
        <v>146</v>
      </c>
      <c r="O1133" s="33" t="s">
        <v>147</v>
      </c>
      <c r="P1133" s="39" t="n">
        <f aca="false">C1133-B1133</f>
        <v>5</v>
      </c>
      <c r="Q1133" s="40" t="str">
        <f aca="false">CHOOSE(MONTH(B1133),"يناير","فبراير","مارس","أبريل","مايو","يونيو","يوليو","أغسطس","سبتمبر","أكتوبر","نوفمبر","ديسمبر")</f>
        <v>يوليو</v>
      </c>
      <c r="R1133" s="40" t="str">
        <f aca="false">"الربع "&amp;ROUNDUP(MONTH(B1133)/3,0)</f>
        <v>الربع 3</v>
      </c>
      <c r="S1133" s="40" t="str">
        <f aca="false">IF(D1133&lt;=12,"أطفال (0-12)",IF(D1133&lt;=24,"شباب (13-24)",IF(D1133&lt;=44,"بالغون (25-44)",IF(D1133&lt;=64,"متوسطو العمر (45-64)","كبار السن (+65)"))))</f>
        <v>شباب (13-24)</v>
      </c>
      <c r="T1133" s="41" t="n">
        <f aca="false">IFERROR(L1133/P1133,0)</f>
        <v>2460.594</v>
      </c>
    </row>
    <row r="1134" customFormat="false" ht="15" hidden="false" customHeight="false" outlineLevel="0" collapsed="false">
      <c r="A1134" s="42" t="s">
        <v>1178</v>
      </c>
      <c r="B1134" s="43" t="n">
        <v>45487</v>
      </c>
      <c r="C1134" s="43" t="n">
        <v>45489</v>
      </c>
      <c r="D1134" s="42" t="n">
        <v>30</v>
      </c>
      <c r="E1134" s="42" t="s">
        <v>139</v>
      </c>
      <c r="F1134" s="42" t="s">
        <v>203</v>
      </c>
      <c r="G1134" s="42" t="s">
        <v>217</v>
      </c>
      <c r="H1134" s="42" t="s">
        <v>233</v>
      </c>
      <c r="I1134" s="42" t="s">
        <v>143</v>
      </c>
      <c r="J1134" s="42" t="s">
        <v>159</v>
      </c>
      <c r="K1134" s="42" t="s">
        <v>184</v>
      </c>
      <c r="L1134" s="44" t="n">
        <v>1810.83</v>
      </c>
      <c r="M1134" s="42" t="n">
        <v>5</v>
      </c>
      <c r="N1134" s="42" t="s">
        <v>146</v>
      </c>
      <c r="O1134" s="42" t="s">
        <v>247</v>
      </c>
      <c r="P1134" s="39" t="n">
        <f aca="false">C1134-B1134</f>
        <v>2</v>
      </c>
      <c r="Q1134" s="40" t="str">
        <f aca="false">CHOOSE(MONTH(B1134),"يناير","فبراير","مارس","أبريل","مايو","يونيو","يوليو","أغسطس","سبتمبر","أكتوبر","نوفمبر","ديسمبر")</f>
        <v>يوليو</v>
      </c>
      <c r="R1134" s="40" t="str">
        <f aca="false">"الربع "&amp;ROUNDUP(MONTH(B1134)/3,0)</f>
        <v>الربع 3</v>
      </c>
      <c r="S1134" s="40" t="str">
        <f aca="false">IF(D1134&lt;=12,"أطفال (0-12)",IF(D1134&lt;=24,"شباب (13-24)",IF(D1134&lt;=44,"بالغون (25-44)",IF(D1134&lt;=64,"متوسطو العمر (45-64)","كبار السن (+65)"))))</f>
        <v>بالغون (25-44)</v>
      </c>
      <c r="T1134" s="41" t="n">
        <f aca="false">IFERROR(L1134/P1134,0)</f>
        <v>905.415</v>
      </c>
    </row>
    <row r="1135" customFormat="false" ht="15" hidden="false" customHeight="false" outlineLevel="0" collapsed="false">
      <c r="A1135" s="33" t="s">
        <v>2235</v>
      </c>
      <c r="B1135" s="34" t="n">
        <v>45487</v>
      </c>
      <c r="C1135" s="34" t="n">
        <v>45492</v>
      </c>
      <c r="D1135" s="33" t="n">
        <v>44</v>
      </c>
      <c r="E1135" s="33" t="s">
        <v>154</v>
      </c>
      <c r="F1135" s="33" t="s">
        <v>226</v>
      </c>
      <c r="G1135" s="33" t="s">
        <v>386</v>
      </c>
      <c r="H1135" s="33" t="s">
        <v>263</v>
      </c>
      <c r="I1135" s="33" t="s">
        <v>143</v>
      </c>
      <c r="J1135" s="33" t="s">
        <v>159</v>
      </c>
      <c r="K1135" s="33" t="s">
        <v>145</v>
      </c>
      <c r="L1135" s="35" t="n">
        <v>17012.72</v>
      </c>
      <c r="M1135" s="33" t="n">
        <v>5</v>
      </c>
      <c r="N1135" s="33" t="s">
        <v>146</v>
      </c>
      <c r="O1135" s="33" t="s">
        <v>147</v>
      </c>
      <c r="P1135" s="39" t="n">
        <f aca="false">C1135-B1135</f>
        <v>5</v>
      </c>
      <c r="Q1135" s="40" t="str">
        <f aca="false">CHOOSE(MONTH(B1135),"يناير","فبراير","مارس","أبريل","مايو","يونيو","يوليو","أغسطس","سبتمبر","أكتوبر","نوفمبر","ديسمبر")</f>
        <v>يوليو</v>
      </c>
      <c r="R1135" s="40" t="str">
        <f aca="false">"الربع "&amp;ROUNDUP(MONTH(B1135)/3,0)</f>
        <v>الربع 3</v>
      </c>
      <c r="S1135" s="40" t="str">
        <f aca="false">IF(D1135&lt;=12,"أطفال (0-12)",IF(D1135&lt;=24,"شباب (13-24)",IF(D1135&lt;=44,"بالغون (25-44)",IF(D1135&lt;=64,"متوسطو العمر (45-64)","كبار السن (+65)"))))</f>
        <v>بالغون (25-44)</v>
      </c>
      <c r="T1135" s="41" t="n">
        <f aca="false">IFERROR(L1135/P1135,0)</f>
        <v>3402.544</v>
      </c>
    </row>
    <row r="1136" customFormat="false" ht="15" hidden="false" customHeight="false" outlineLevel="0" collapsed="false">
      <c r="A1136" s="42" t="s">
        <v>623</v>
      </c>
      <c r="B1136" s="43" t="n">
        <v>45487</v>
      </c>
      <c r="C1136" s="43" t="n">
        <v>45494</v>
      </c>
      <c r="D1136" s="42" t="n">
        <v>33</v>
      </c>
      <c r="E1136" s="42" t="s">
        <v>154</v>
      </c>
      <c r="F1136" s="42" t="s">
        <v>169</v>
      </c>
      <c r="G1136" s="42" t="s">
        <v>163</v>
      </c>
      <c r="H1136" s="42" t="s">
        <v>195</v>
      </c>
      <c r="I1136" s="42" t="s">
        <v>143</v>
      </c>
      <c r="J1136" s="42" t="s">
        <v>159</v>
      </c>
      <c r="K1136" s="42" t="s">
        <v>160</v>
      </c>
      <c r="L1136" s="44" t="n">
        <v>7049.62</v>
      </c>
      <c r="M1136" s="42" t="n">
        <v>4</v>
      </c>
      <c r="N1136" s="42" t="s">
        <v>146</v>
      </c>
      <c r="O1136" s="42" t="s">
        <v>147</v>
      </c>
      <c r="P1136" s="39" t="n">
        <f aca="false">C1136-B1136</f>
        <v>7</v>
      </c>
      <c r="Q1136" s="40" t="str">
        <f aca="false">CHOOSE(MONTH(B1136),"يناير","فبراير","مارس","أبريل","مايو","يونيو","يوليو","أغسطس","سبتمبر","أكتوبر","نوفمبر","ديسمبر")</f>
        <v>يوليو</v>
      </c>
      <c r="R1136" s="40" t="str">
        <f aca="false">"الربع "&amp;ROUNDUP(MONTH(B1136)/3,0)</f>
        <v>الربع 3</v>
      </c>
      <c r="S1136" s="40" t="str">
        <f aca="false">IF(D1136&lt;=12,"أطفال (0-12)",IF(D1136&lt;=24,"شباب (13-24)",IF(D1136&lt;=44,"بالغون (25-44)",IF(D1136&lt;=64,"متوسطو العمر (45-64)","كبار السن (+65)"))))</f>
        <v>بالغون (25-44)</v>
      </c>
      <c r="T1136" s="41" t="n">
        <f aca="false">IFERROR(L1136/P1136,0)</f>
        <v>1007.08857142857</v>
      </c>
    </row>
    <row r="1137" customFormat="false" ht="15" hidden="false" customHeight="false" outlineLevel="0" collapsed="false">
      <c r="A1137" s="33" t="s">
        <v>579</v>
      </c>
      <c r="B1137" s="34" t="n">
        <v>45488</v>
      </c>
      <c r="C1137" s="34" t="n">
        <v>45489</v>
      </c>
      <c r="D1137" s="33" t="n">
        <v>73</v>
      </c>
      <c r="E1137" s="33" t="s">
        <v>139</v>
      </c>
      <c r="F1137" s="33" t="s">
        <v>203</v>
      </c>
      <c r="G1137" s="33" t="s">
        <v>192</v>
      </c>
      <c r="H1137" s="33" t="s">
        <v>233</v>
      </c>
      <c r="I1137" s="33" t="s">
        <v>143</v>
      </c>
      <c r="J1137" s="33" t="s">
        <v>159</v>
      </c>
      <c r="K1137" s="33" t="s">
        <v>184</v>
      </c>
      <c r="L1137" s="35" t="n">
        <v>794.31</v>
      </c>
      <c r="M1137" s="33" t="n">
        <v>4</v>
      </c>
      <c r="N1137" s="33" t="s">
        <v>146</v>
      </c>
      <c r="O1137" s="33" t="s">
        <v>147</v>
      </c>
      <c r="P1137" s="39" t="n">
        <f aca="false">C1137-B1137</f>
        <v>1</v>
      </c>
      <c r="Q1137" s="40" t="str">
        <f aca="false">CHOOSE(MONTH(B1137),"يناير","فبراير","مارس","أبريل","مايو","يونيو","يوليو","أغسطس","سبتمبر","أكتوبر","نوفمبر","ديسمبر")</f>
        <v>يوليو</v>
      </c>
      <c r="R1137" s="40" t="str">
        <f aca="false">"الربع "&amp;ROUNDUP(MONTH(B1137)/3,0)</f>
        <v>الربع 3</v>
      </c>
      <c r="S1137" s="40" t="str">
        <f aca="false">IF(D1137&lt;=12,"أطفال (0-12)",IF(D1137&lt;=24,"شباب (13-24)",IF(D1137&lt;=44,"بالغون (25-44)",IF(D1137&lt;=64,"متوسطو العمر (45-64)","كبار السن (+65)"))))</f>
        <v>كبار السن (+65)</v>
      </c>
      <c r="T1137" s="41" t="n">
        <f aca="false">IFERROR(L1137/P1137,0)</f>
        <v>794.31</v>
      </c>
    </row>
    <row r="1138" customFormat="false" ht="15" hidden="false" customHeight="false" outlineLevel="0" collapsed="false">
      <c r="A1138" s="42" t="s">
        <v>959</v>
      </c>
      <c r="B1138" s="43" t="n">
        <v>45488</v>
      </c>
      <c r="C1138" s="43" t="n">
        <v>45495</v>
      </c>
      <c r="D1138" s="42" t="n">
        <v>85</v>
      </c>
      <c r="E1138" s="42" t="s">
        <v>154</v>
      </c>
      <c r="F1138" s="42" t="s">
        <v>173</v>
      </c>
      <c r="G1138" s="42" t="s">
        <v>198</v>
      </c>
      <c r="H1138" s="42" t="s">
        <v>175</v>
      </c>
      <c r="I1138" s="42" t="s">
        <v>143</v>
      </c>
      <c r="J1138" s="42" t="s">
        <v>144</v>
      </c>
      <c r="K1138" s="42" t="s">
        <v>145</v>
      </c>
      <c r="L1138" s="44" t="n">
        <v>26084.2</v>
      </c>
      <c r="M1138" s="42" t="n">
        <v>5</v>
      </c>
      <c r="N1138" s="42" t="s">
        <v>146</v>
      </c>
      <c r="O1138" s="42" t="s">
        <v>147</v>
      </c>
      <c r="P1138" s="39" t="n">
        <f aca="false">C1138-B1138</f>
        <v>7</v>
      </c>
      <c r="Q1138" s="40" t="str">
        <f aca="false">CHOOSE(MONTH(B1138),"يناير","فبراير","مارس","أبريل","مايو","يونيو","يوليو","أغسطس","سبتمبر","أكتوبر","نوفمبر","ديسمبر")</f>
        <v>يوليو</v>
      </c>
      <c r="R1138" s="40" t="str">
        <f aca="false">"الربع "&amp;ROUNDUP(MONTH(B1138)/3,0)</f>
        <v>الربع 3</v>
      </c>
      <c r="S1138" s="40" t="str">
        <f aca="false">IF(D1138&lt;=12,"أطفال (0-12)",IF(D1138&lt;=24,"شباب (13-24)",IF(D1138&lt;=44,"بالغون (25-44)",IF(D1138&lt;=64,"متوسطو العمر (45-64)","كبار السن (+65)"))))</f>
        <v>كبار السن (+65)</v>
      </c>
      <c r="T1138" s="41" t="n">
        <f aca="false">IFERROR(L1138/P1138,0)</f>
        <v>3726.31428571429</v>
      </c>
    </row>
    <row r="1139" customFormat="false" ht="15" hidden="false" customHeight="false" outlineLevel="0" collapsed="false">
      <c r="A1139" s="33" t="s">
        <v>2001</v>
      </c>
      <c r="B1139" s="34" t="n">
        <v>45488</v>
      </c>
      <c r="C1139" s="34" t="n">
        <v>45489</v>
      </c>
      <c r="D1139" s="33" t="n">
        <v>2</v>
      </c>
      <c r="E1139" s="33" t="s">
        <v>139</v>
      </c>
      <c r="F1139" s="33" t="s">
        <v>155</v>
      </c>
      <c r="G1139" s="33" t="s">
        <v>156</v>
      </c>
      <c r="H1139" s="33" t="s">
        <v>222</v>
      </c>
      <c r="I1139" s="33" t="s">
        <v>152</v>
      </c>
      <c r="J1139" s="33" t="s">
        <v>159</v>
      </c>
      <c r="K1139" s="33" t="s">
        <v>145</v>
      </c>
      <c r="L1139" s="35" t="n">
        <v>850.83</v>
      </c>
      <c r="M1139" s="33" t="n">
        <v>4</v>
      </c>
      <c r="N1139" s="33" t="s">
        <v>146</v>
      </c>
      <c r="O1139" s="33" t="s">
        <v>147</v>
      </c>
      <c r="P1139" s="39" t="n">
        <f aca="false">C1139-B1139</f>
        <v>1</v>
      </c>
      <c r="Q1139" s="40" t="str">
        <f aca="false">CHOOSE(MONTH(B1139),"يناير","فبراير","مارس","أبريل","مايو","يونيو","يوليو","أغسطس","سبتمبر","أكتوبر","نوفمبر","ديسمبر")</f>
        <v>يوليو</v>
      </c>
      <c r="R1139" s="40" t="str">
        <f aca="false">"الربع "&amp;ROUNDUP(MONTH(B1139)/3,0)</f>
        <v>الربع 3</v>
      </c>
      <c r="S1139" s="40" t="str">
        <f aca="false">IF(D1139&lt;=12,"أطفال (0-12)",IF(D1139&lt;=24,"شباب (13-24)",IF(D1139&lt;=44,"بالغون (25-44)",IF(D1139&lt;=64,"متوسطو العمر (45-64)","كبار السن (+65)"))))</f>
        <v>أطفال (0-12)</v>
      </c>
      <c r="T1139" s="41" t="n">
        <f aca="false">IFERROR(L1139/P1139,0)</f>
        <v>850.83</v>
      </c>
    </row>
    <row r="1140" customFormat="false" ht="15" hidden="false" customHeight="false" outlineLevel="0" collapsed="false">
      <c r="A1140" s="42" t="s">
        <v>1762</v>
      </c>
      <c r="B1140" s="43" t="n">
        <v>45488</v>
      </c>
      <c r="C1140" s="43" t="n">
        <v>45492</v>
      </c>
      <c r="D1140" s="42" t="n">
        <v>68</v>
      </c>
      <c r="E1140" s="42" t="s">
        <v>139</v>
      </c>
      <c r="F1140" s="42" t="s">
        <v>169</v>
      </c>
      <c r="G1140" s="42" t="s">
        <v>170</v>
      </c>
      <c r="H1140" s="42" t="s">
        <v>195</v>
      </c>
      <c r="I1140" s="42" t="s">
        <v>152</v>
      </c>
      <c r="J1140" s="42" t="s">
        <v>144</v>
      </c>
      <c r="K1140" s="42" t="s">
        <v>160</v>
      </c>
      <c r="L1140" s="44" t="n">
        <v>8088.54</v>
      </c>
      <c r="M1140" s="42" t="n">
        <v>4</v>
      </c>
      <c r="N1140" s="42" t="s">
        <v>146</v>
      </c>
      <c r="O1140" s="42" t="s">
        <v>147</v>
      </c>
      <c r="P1140" s="39" t="n">
        <f aca="false">C1140-B1140</f>
        <v>4</v>
      </c>
      <c r="Q1140" s="40" t="str">
        <f aca="false">CHOOSE(MONTH(B1140),"يناير","فبراير","مارس","أبريل","مايو","يونيو","يوليو","أغسطس","سبتمبر","أكتوبر","نوفمبر","ديسمبر")</f>
        <v>يوليو</v>
      </c>
      <c r="R1140" s="40" t="str">
        <f aca="false">"الربع "&amp;ROUNDUP(MONTH(B1140)/3,0)</f>
        <v>الربع 3</v>
      </c>
      <c r="S1140" s="40" t="str">
        <f aca="false">IF(D1140&lt;=12,"أطفال (0-12)",IF(D1140&lt;=24,"شباب (13-24)",IF(D1140&lt;=44,"بالغون (25-44)",IF(D1140&lt;=64,"متوسطو العمر (45-64)","كبار السن (+65)"))))</f>
        <v>كبار السن (+65)</v>
      </c>
      <c r="T1140" s="41" t="n">
        <f aca="false">IFERROR(L1140/P1140,0)</f>
        <v>2022.135</v>
      </c>
    </row>
    <row r="1141" customFormat="false" ht="15" hidden="false" customHeight="false" outlineLevel="0" collapsed="false">
      <c r="A1141" s="33" t="s">
        <v>2138</v>
      </c>
      <c r="B1141" s="34" t="n">
        <v>45488</v>
      </c>
      <c r="C1141" s="34" t="n">
        <v>45490</v>
      </c>
      <c r="D1141" s="33" t="n">
        <v>0</v>
      </c>
      <c r="E1141" s="33" t="s">
        <v>154</v>
      </c>
      <c r="F1141" s="33" t="s">
        <v>155</v>
      </c>
      <c r="G1141" s="33" t="s">
        <v>220</v>
      </c>
      <c r="H1141" s="33" t="s">
        <v>157</v>
      </c>
      <c r="I1141" s="33" t="s">
        <v>143</v>
      </c>
      <c r="J1141" s="33" t="s">
        <v>159</v>
      </c>
      <c r="K1141" s="33" t="s">
        <v>160</v>
      </c>
      <c r="L1141" s="35" t="n">
        <v>1464.14</v>
      </c>
      <c r="M1141" s="33" t="n">
        <v>5</v>
      </c>
      <c r="N1141" s="33" t="s">
        <v>146</v>
      </c>
      <c r="O1141" s="33" t="s">
        <v>147</v>
      </c>
      <c r="P1141" s="39" t="n">
        <f aca="false">C1141-B1141</f>
        <v>2</v>
      </c>
      <c r="Q1141" s="40" t="str">
        <f aca="false">CHOOSE(MONTH(B1141),"يناير","فبراير","مارس","أبريل","مايو","يونيو","يوليو","أغسطس","سبتمبر","أكتوبر","نوفمبر","ديسمبر")</f>
        <v>يوليو</v>
      </c>
      <c r="R1141" s="40" t="str">
        <f aca="false">"الربع "&amp;ROUNDUP(MONTH(B1141)/3,0)</f>
        <v>الربع 3</v>
      </c>
      <c r="S1141" s="40" t="str">
        <f aca="false">IF(D1141&lt;=12,"أطفال (0-12)",IF(D1141&lt;=24,"شباب (13-24)",IF(D1141&lt;=44,"بالغون (25-44)",IF(D1141&lt;=64,"متوسطو العمر (45-64)","كبار السن (+65)"))))</f>
        <v>أطفال (0-12)</v>
      </c>
      <c r="T1141" s="41" t="n">
        <f aca="false">IFERROR(L1141/P1141,0)</f>
        <v>732.07</v>
      </c>
    </row>
    <row r="1142" customFormat="false" ht="15" hidden="false" customHeight="false" outlineLevel="0" collapsed="false">
      <c r="A1142" s="42" t="s">
        <v>1373</v>
      </c>
      <c r="B1142" s="43" t="n">
        <v>45489</v>
      </c>
      <c r="C1142" s="43" t="n">
        <v>45491</v>
      </c>
      <c r="D1142" s="42" t="n">
        <v>56</v>
      </c>
      <c r="E1142" s="42" t="s">
        <v>139</v>
      </c>
      <c r="F1142" s="42" t="s">
        <v>140</v>
      </c>
      <c r="G1142" s="42" t="s">
        <v>141</v>
      </c>
      <c r="H1142" s="42" t="s">
        <v>142</v>
      </c>
      <c r="I1142" s="42" t="s">
        <v>143</v>
      </c>
      <c r="J1142" s="42" t="s">
        <v>159</v>
      </c>
      <c r="K1142" s="42" t="s">
        <v>209</v>
      </c>
      <c r="L1142" s="44" t="n">
        <v>5203.06</v>
      </c>
      <c r="M1142" s="42" t="n">
        <v>2</v>
      </c>
      <c r="N1142" s="42" t="s">
        <v>146</v>
      </c>
      <c r="O1142" s="42" t="s">
        <v>147</v>
      </c>
      <c r="P1142" s="39" t="n">
        <f aca="false">C1142-B1142</f>
        <v>2</v>
      </c>
      <c r="Q1142" s="40" t="str">
        <f aca="false">CHOOSE(MONTH(B1142),"يناير","فبراير","مارس","أبريل","مايو","يونيو","يوليو","أغسطس","سبتمبر","أكتوبر","نوفمبر","ديسمبر")</f>
        <v>يوليو</v>
      </c>
      <c r="R1142" s="40" t="str">
        <f aca="false">"الربع "&amp;ROUNDUP(MONTH(B1142)/3,0)</f>
        <v>الربع 3</v>
      </c>
      <c r="S1142" s="40" t="str">
        <f aca="false">IF(D1142&lt;=12,"أطفال (0-12)",IF(D1142&lt;=24,"شباب (13-24)",IF(D1142&lt;=44,"بالغون (25-44)",IF(D1142&lt;=64,"متوسطو العمر (45-64)","كبار السن (+65)"))))</f>
        <v>متوسطو العمر (45-64)</v>
      </c>
      <c r="T1142" s="41" t="n">
        <f aca="false">IFERROR(L1142/P1142,0)</f>
        <v>2601.53</v>
      </c>
    </row>
    <row r="1143" customFormat="false" ht="15" hidden="false" customHeight="false" outlineLevel="0" collapsed="false">
      <c r="A1143" s="33" t="s">
        <v>646</v>
      </c>
      <c r="B1143" s="34" t="n">
        <v>45489</v>
      </c>
      <c r="C1143" s="34" t="n">
        <v>45492</v>
      </c>
      <c r="D1143" s="33" t="n">
        <v>35</v>
      </c>
      <c r="E1143" s="33" t="s">
        <v>139</v>
      </c>
      <c r="F1143" s="33" t="s">
        <v>149</v>
      </c>
      <c r="G1143" s="33" t="s">
        <v>243</v>
      </c>
      <c r="H1143" s="33" t="s">
        <v>186</v>
      </c>
      <c r="I1143" s="33" t="s">
        <v>143</v>
      </c>
      <c r="J1143" s="33" t="s">
        <v>159</v>
      </c>
      <c r="K1143" s="33" t="s">
        <v>145</v>
      </c>
      <c r="L1143" s="35" t="n">
        <v>3801.48</v>
      </c>
      <c r="M1143" s="33" t="n">
        <v>3</v>
      </c>
      <c r="N1143" s="33" t="s">
        <v>210</v>
      </c>
      <c r="O1143" s="33" t="s">
        <v>147</v>
      </c>
      <c r="P1143" s="39" t="n">
        <f aca="false">C1143-B1143</f>
        <v>3</v>
      </c>
      <c r="Q1143" s="40" t="str">
        <f aca="false">CHOOSE(MONTH(B1143),"يناير","فبراير","مارس","أبريل","مايو","يونيو","يوليو","أغسطس","سبتمبر","أكتوبر","نوفمبر","ديسمبر")</f>
        <v>يوليو</v>
      </c>
      <c r="R1143" s="40" t="str">
        <f aca="false">"الربع "&amp;ROUNDUP(MONTH(B1143)/3,0)</f>
        <v>الربع 3</v>
      </c>
      <c r="S1143" s="40" t="str">
        <f aca="false">IF(D1143&lt;=12,"أطفال (0-12)",IF(D1143&lt;=24,"شباب (13-24)",IF(D1143&lt;=44,"بالغون (25-44)",IF(D1143&lt;=64,"متوسطو العمر (45-64)","كبار السن (+65)"))))</f>
        <v>بالغون (25-44)</v>
      </c>
      <c r="T1143" s="41" t="n">
        <f aca="false">IFERROR(L1143/P1143,0)</f>
        <v>1267.16</v>
      </c>
    </row>
    <row r="1144" customFormat="false" ht="15" hidden="false" customHeight="false" outlineLevel="0" collapsed="false">
      <c r="A1144" s="42" t="s">
        <v>511</v>
      </c>
      <c r="B1144" s="43" t="n">
        <v>45489</v>
      </c>
      <c r="C1144" s="43" t="n">
        <v>45493</v>
      </c>
      <c r="D1144" s="42" t="n">
        <v>10</v>
      </c>
      <c r="E1144" s="42" t="s">
        <v>154</v>
      </c>
      <c r="F1144" s="42" t="s">
        <v>155</v>
      </c>
      <c r="G1144" s="42" t="s">
        <v>302</v>
      </c>
      <c r="H1144" s="42" t="s">
        <v>222</v>
      </c>
      <c r="I1144" s="42" t="s">
        <v>152</v>
      </c>
      <c r="J1144" s="42" t="s">
        <v>176</v>
      </c>
      <c r="K1144" s="42" t="s">
        <v>160</v>
      </c>
      <c r="L1144" s="44" t="n">
        <v>11696.22</v>
      </c>
      <c r="M1144" s="42" t="n">
        <v>4</v>
      </c>
      <c r="N1144" s="42" t="s">
        <v>146</v>
      </c>
      <c r="O1144" s="42" t="s">
        <v>295</v>
      </c>
      <c r="P1144" s="39" t="n">
        <f aca="false">C1144-B1144</f>
        <v>4</v>
      </c>
      <c r="Q1144" s="40" t="str">
        <f aca="false">CHOOSE(MONTH(B1144),"يناير","فبراير","مارس","أبريل","مايو","يونيو","يوليو","أغسطس","سبتمبر","أكتوبر","نوفمبر","ديسمبر")</f>
        <v>يوليو</v>
      </c>
      <c r="R1144" s="40" t="str">
        <f aca="false">"الربع "&amp;ROUNDUP(MONTH(B1144)/3,0)</f>
        <v>الربع 3</v>
      </c>
      <c r="S1144" s="40" t="str">
        <f aca="false">IF(D1144&lt;=12,"أطفال (0-12)",IF(D1144&lt;=24,"شباب (13-24)",IF(D1144&lt;=44,"بالغون (25-44)",IF(D1144&lt;=64,"متوسطو العمر (45-64)","كبار السن (+65)"))))</f>
        <v>أطفال (0-12)</v>
      </c>
      <c r="T1144" s="41" t="n">
        <f aca="false">IFERROR(L1144/P1144,0)</f>
        <v>2924.055</v>
      </c>
    </row>
    <row r="1145" customFormat="false" ht="15" hidden="false" customHeight="false" outlineLevel="0" collapsed="false">
      <c r="A1145" s="33" t="s">
        <v>774</v>
      </c>
      <c r="B1145" s="34" t="n">
        <v>45489</v>
      </c>
      <c r="C1145" s="34" t="n">
        <v>45490</v>
      </c>
      <c r="D1145" s="33" t="n">
        <v>45</v>
      </c>
      <c r="E1145" s="33" t="s">
        <v>139</v>
      </c>
      <c r="F1145" s="33" t="s">
        <v>203</v>
      </c>
      <c r="G1145" s="33" t="s">
        <v>217</v>
      </c>
      <c r="H1145" s="33" t="s">
        <v>2322</v>
      </c>
      <c r="I1145" s="33" t="s">
        <v>143</v>
      </c>
      <c r="J1145" s="33" t="s">
        <v>159</v>
      </c>
      <c r="K1145" s="33" t="s">
        <v>160</v>
      </c>
      <c r="L1145" s="35" t="n">
        <v>706.14</v>
      </c>
      <c r="M1145" s="33" t="n">
        <v>4</v>
      </c>
      <c r="N1145" s="33" t="s">
        <v>146</v>
      </c>
      <c r="O1145" s="33" t="s">
        <v>147</v>
      </c>
      <c r="P1145" s="39" t="n">
        <f aca="false">C1145-B1145</f>
        <v>1</v>
      </c>
      <c r="Q1145" s="40" t="str">
        <f aca="false">CHOOSE(MONTH(B1145),"يناير","فبراير","مارس","أبريل","مايو","يونيو","يوليو","أغسطس","سبتمبر","أكتوبر","نوفمبر","ديسمبر")</f>
        <v>يوليو</v>
      </c>
      <c r="R1145" s="40" t="str">
        <f aca="false">"الربع "&amp;ROUNDUP(MONTH(B1145)/3,0)</f>
        <v>الربع 3</v>
      </c>
      <c r="S1145" s="40" t="str">
        <f aca="false">IF(D1145&lt;=12,"أطفال (0-12)",IF(D1145&lt;=24,"شباب (13-24)",IF(D1145&lt;=44,"بالغون (25-44)",IF(D1145&lt;=64,"متوسطو العمر (45-64)","كبار السن (+65)"))))</f>
        <v>متوسطو العمر (45-64)</v>
      </c>
      <c r="T1145" s="41" t="n">
        <f aca="false">IFERROR(L1145/P1145,0)</f>
        <v>706.14</v>
      </c>
    </row>
    <row r="1146" customFormat="false" ht="15" hidden="false" customHeight="false" outlineLevel="0" collapsed="false">
      <c r="A1146" s="42" t="s">
        <v>2213</v>
      </c>
      <c r="B1146" s="43" t="n">
        <v>45489</v>
      </c>
      <c r="C1146" s="43" t="n">
        <v>45491</v>
      </c>
      <c r="D1146" s="42" t="n">
        <v>3</v>
      </c>
      <c r="E1146" s="42" t="s">
        <v>154</v>
      </c>
      <c r="F1146" s="42" t="s">
        <v>155</v>
      </c>
      <c r="G1146" s="42" t="s">
        <v>302</v>
      </c>
      <c r="H1146" s="42" t="s">
        <v>222</v>
      </c>
      <c r="I1146" s="42" t="s">
        <v>143</v>
      </c>
      <c r="J1146" s="42" t="s">
        <v>144</v>
      </c>
      <c r="K1146" s="42" t="s">
        <v>145</v>
      </c>
      <c r="L1146" s="44" t="n">
        <v>3747.99</v>
      </c>
      <c r="M1146" s="42" t="n">
        <v>5</v>
      </c>
      <c r="N1146" s="42" t="s">
        <v>146</v>
      </c>
      <c r="O1146" s="42" t="s">
        <v>147</v>
      </c>
      <c r="P1146" s="39" t="n">
        <f aca="false">C1146-B1146</f>
        <v>2</v>
      </c>
      <c r="Q1146" s="40" t="str">
        <f aca="false">CHOOSE(MONTH(B1146),"يناير","فبراير","مارس","أبريل","مايو","يونيو","يوليو","أغسطس","سبتمبر","أكتوبر","نوفمبر","ديسمبر")</f>
        <v>يوليو</v>
      </c>
      <c r="R1146" s="40" t="str">
        <f aca="false">"الربع "&amp;ROUNDUP(MONTH(B1146)/3,0)</f>
        <v>الربع 3</v>
      </c>
      <c r="S1146" s="40" t="str">
        <f aca="false">IF(D1146&lt;=12,"أطفال (0-12)",IF(D1146&lt;=24,"شباب (13-24)",IF(D1146&lt;=44,"بالغون (25-44)",IF(D1146&lt;=64,"متوسطو العمر (45-64)","كبار السن (+65)"))))</f>
        <v>أطفال (0-12)</v>
      </c>
      <c r="T1146" s="41" t="n">
        <f aca="false">IFERROR(L1146/P1146,0)</f>
        <v>1873.995</v>
      </c>
    </row>
    <row r="1147" customFormat="false" ht="15" hidden="false" customHeight="false" outlineLevel="0" collapsed="false">
      <c r="A1147" s="33" t="s">
        <v>1055</v>
      </c>
      <c r="B1147" s="34" t="n">
        <v>45490</v>
      </c>
      <c r="C1147" s="34" t="n">
        <v>45491</v>
      </c>
      <c r="D1147" s="33" t="n">
        <v>38</v>
      </c>
      <c r="E1147" s="33" t="s">
        <v>154</v>
      </c>
      <c r="F1147" s="33" t="s">
        <v>169</v>
      </c>
      <c r="G1147" s="33" t="s">
        <v>230</v>
      </c>
      <c r="H1147" s="33" t="s">
        <v>164</v>
      </c>
      <c r="I1147" s="33" t="s">
        <v>143</v>
      </c>
      <c r="J1147" s="33" t="s">
        <v>144</v>
      </c>
      <c r="K1147" s="33" t="s">
        <v>184</v>
      </c>
      <c r="L1147" s="35" t="n">
        <v>2105.28</v>
      </c>
      <c r="M1147" s="33" t="n">
        <v>3</v>
      </c>
      <c r="N1147" s="33" t="s">
        <v>146</v>
      </c>
      <c r="O1147" s="33" t="s">
        <v>147</v>
      </c>
      <c r="P1147" s="39" t="n">
        <f aca="false">C1147-B1147</f>
        <v>1</v>
      </c>
      <c r="Q1147" s="40" t="str">
        <f aca="false">CHOOSE(MONTH(B1147),"يناير","فبراير","مارس","أبريل","مايو","يونيو","يوليو","أغسطس","سبتمبر","أكتوبر","نوفمبر","ديسمبر")</f>
        <v>يوليو</v>
      </c>
      <c r="R1147" s="40" t="str">
        <f aca="false">"الربع "&amp;ROUNDUP(MONTH(B1147)/3,0)</f>
        <v>الربع 3</v>
      </c>
      <c r="S1147" s="40" t="str">
        <f aca="false">IF(D1147&lt;=12,"أطفال (0-12)",IF(D1147&lt;=24,"شباب (13-24)",IF(D1147&lt;=44,"بالغون (25-44)",IF(D1147&lt;=64,"متوسطو العمر (45-64)","كبار السن (+65)"))))</f>
        <v>بالغون (25-44)</v>
      </c>
      <c r="T1147" s="41" t="n">
        <f aca="false">IFERROR(L1147/P1147,0)</f>
        <v>2105.28</v>
      </c>
    </row>
    <row r="1148" customFormat="false" ht="15" hidden="false" customHeight="false" outlineLevel="0" collapsed="false">
      <c r="A1148" s="42" t="s">
        <v>2162</v>
      </c>
      <c r="B1148" s="43" t="n">
        <v>45490</v>
      </c>
      <c r="C1148" s="43" t="n">
        <v>45495</v>
      </c>
      <c r="D1148" s="42" t="n">
        <v>28</v>
      </c>
      <c r="E1148" s="42" t="s">
        <v>139</v>
      </c>
      <c r="F1148" s="42" t="s">
        <v>173</v>
      </c>
      <c r="G1148" s="42" t="s">
        <v>178</v>
      </c>
      <c r="H1148" s="42" t="s">
        <v>175</v>
      </c>
      <c r="I1148" s="42" t="s">
        <v>143</v>
      </c>
      <c r="J1148" s="42" t="s">
        <v>159</v>
      </c>
      <c r="K1148" s="42" t="s">
        <v>160</v>
      </c>
      <c r="L1148" s="44" t="n">
        <v>14683.43</v>
      </c>
      <c r="M1148" s="42" t="n">
        <v>5</v>
      </c>
      <c r="N1148" s="42" t="s">
        <v>146</v>
      </c>
      <c r="O1148" s="42" t="s">
        <v>147</v>
      </c>
      <c r="P1148" s="39" t="n">
        <f aca="false">C1148-B1148</f>
        <v>5</v>
      </c>
      <c r="Q1148" s="40" t="str">
        <f aca="false">CHOOSE(MONTH(B1148),"يناير","فبراير","مارس","أبريل","مايو","يونيو","يوليو","أغسطس","سبتمبر","أكتوبر","نوفمبر","ديسمبر")</f>
        <v>يوليو</v>
      </c>
      <c r="R1148" s="40" t="str">
        <f aca="false">"الربع "&amp;ROUNDUP(MONTH(B1148)/3,0)</f>
        <v>الربع 3</v>
      </c>
      <c r="S1148" s="40" t="str">
        <f aca="false">IF(D1148&lt;=12,"أطفال (0-12)",IF(D1148&lt;=24,"شباب (13-24)",IF(D1148&lt;=44,"بالغون (25-44)",IF(D1148&lt;=64,"متوسطو العمر (45-64)","كبار السن (+65)"))))</f>
        <v>بالغون (25-44)</v>
      </c>
      <c r="T1148" s="41" t="n">
        <f aca="false">IFERROR(L1148/P1148,0)</f>
        <v>2936.686</v>
      </c>
    </row>
    <row r="1149" customFormat="false" ht="15" hidden="false" customHeight="false" outlineLevel="0" collapsed="false">
      <c r="A1149" s="33" t="s">
        <v>473</v>
      </c>
      <c r="B1149" s="34" t="n">
        <v>45490</v>
      </c>
      <c r="C1149" s="34" t="n">
        <v>45492</v>
      </c>
      <c r="D1149" s="33" t="n">
        <v>72</v>
      </c>
      <c r="E1149" s="33" t="s">
        <v>139</v>
      </c>
      <c r="F1149" s="33" t="s">
        <v>140</v>
      </c>
      <c r="G1149" s="33" t="s">
        <v>316</v>
      </c>
      <c r="H1149" s="33" t="s">
        <v>290</v>
      </c>
      <c r="I1149" s="33" t="s">
        <v>143</v>
      </c>
      <c r="J1149" s="33" t="s">
        <v>144</v>
      </c>
      <c r="K1149" s="33" t="s">
        <v>160</v>
      </c>
      <c r="L1149" s="35" t="n">
        <v>7944.49</v>
      </c>
      <c r="M1149" s="33" t="n">
        <v>5</v>
      </c>
      <c r="N1149" s="33" t="s">
        <v>146</v>
      </c>
      <c r="O1149" s="33" t="s">
        <v>147</v>
      </c>
      <c r="P1149" s="39" t="n">
        <f aca="false">C1149-B1149</f>
        <v>2</v>
      </c>
      <c r="Q1149" s="40" t="str">
        <f aca="false">CHOOSE(MONTH(B1149),"يناير","فبراير","مارس","أبريل","مايو","يونيو","يوليو","أغسطس","سبتمبر","أكتوبر","نوفمبر","ديسمبر")</f>
        <v>يوليو</v>
      </c>
      <c r="R1149" s="40" t="str">
        <f aca="false">"الربع "&amp;ROUNDUP(MONTH(B1149)/3,0)</f>
        <v>الربع 3</v>
      </c>
      <c r="S1149" s="40" t="str">
        <f aca="false">IF(D1149&lt;=12,"أطفال (0-12)",IF(D1149&lt;=24,"شباب (13-24)",IF(D1149&lt;=44,"بالغون (25-44)",IF(D1149&lt;=64,"متوسطو العمر (45-64)","كبار السن (+65)"))))</f>
        <v>كبار السن (+65)</v>
      </c>
      <c r="T1149" s="41" t="n">
        <f aca="false">IFERROR(L1149/P1149,0)</f>
        <v>3972.245</v>
      </c>
    </row>
    <row r="1150" customFormat="false" ht="15" hidden="false" customHeight="false" outlineLevel="0" collapsed="false">
      <c r="A1150" s="42" t="s">
        <v>1985</v>
      </c>
      <c r="B1150" s="43" t="n">
        <v>45490</v>
      </c>
      <c r="C1150" s="43" t="n">
        <v>45494</v>
      </c>
      <c r="D1150" s="42" t="n">
        <v>4</v>
      </c>
      <c r="E1150" s="42" t="s">
        <v>139</v>
      </c>
      <c r="F1150" s="42" t="s">
        <v>155</v>
      </c>
      <c r="G1150" s="42" t="s">
        <v>156</v>
      </c>
      <c r="H1150" s="42" t="s">
        <v>157</v>
      </c>
      <c r="I1150" s="42" t="s">
        <v>152</v>
      </c>
      <c r="J1150" s="42" t="s">
        <v>144</v>
      </c>
      <c r="K1150" s="42" t="s">
        <v>160</v>
      </c>
      <c r="L1150" s="44" t="n">
        <v>6298.94</v>
      </c>
      <c r="M1150" s="42" t="n">
        <v>5</v>
      </c>
      <c r="N1150" s="42" t="s">
        <v>146</v>
      </c>
      <c r="O1150" s="42" t="s">
        <v>147</v>
      </c>
      <c r="P1150" s="39" t="n">
        <f aca="false">C1150-B1150</f>
        <v>4</v>
      </c>
      <c r="Q1150" s="40" t="str">
        <f aca="false">CHOOSE(MONTH(B1150),"يناير","فبراير","مارس","أبريل","مايو","يونيو","يوليو","أغسطس","سبتمبر","أكتوبر","نوفمبر","ديسمبر")</f>
        <v>يوليو</v>
      </c>
      <c r="R1150" s="40" t="str">
        <f aca="false">"الربع "&amp;ROUNDUP(MONTH(B1150)/3,0)</f>
        <v>الربع 3</v>
      </c>
      <c r="S1150" s="40" t="str">
        <f aca="false">IF(D1150&lt;=12,"أطفال (0-12)",IF(D1150&lt;=24,"شباب (13-24)",IF(D1150&lt;=44,"بالغون (25-44)",IF(D1150&lt;=64,"متوسطو العمر (45-64)","كبار السن (+65)"))))</f>
        <v>أطفال (0-12)</v>
      </c>
      <c r="T1150" s="41" t="n">
        <f aca="false">IFERROR(L1150/P1150,0)</f>
        <v>1574.735</v>
      </c>
    </row>
    <row r="1151" customFormat="false" ht="15" hidden="false" customHeight="false" outlineLevel="0" collapsed="false">
      <c r="A1151" s="33" t="s">
        <v>1712</v>
      </c>
      <c r="B1151" s="34" t="n">
        <v>45490</v>
      </c>
      <c r="C1151" s="34" t="n">
        <v>45493</v>
      </c>
      <c r="D1151" s="33" t="n">
        <v>4</v>
      </c>
      <c r="E1151" s="33" t="s">
        <v>139</v>
      </c>
      <c r="F1151" s="33" t="s">
        <v>155</v>
      </c>
      <c r="G1151" s="33" t="s">
        <v>302</v>
      </c>
      <c r="H1151" s="33" t="s">
        <v>157</v>
      </c>
      <c r="I1151" s="33" t="s">
        <v>143</v>
      </c>
      <c r="J1151" s="33" t="s">
        <v>159</v>
      </c>
      <c r="K1151" s="33" t="s">
        <v>184</v>
      </c>
      <c r="L1151" s="35" t="n">
        <v>2321.19</v>
      </c>
      <c r="M1151" s="33" t="n">
        <v>4</v>
      </c>
      <c r="N1151" s="33" t="s">
        <v>210</v>
      </c>
      <c r="O1151" s="33" t="s">
        <v>147</v>
      </c>
      <c r="P1151" s="39" t="n">
        <f aca="false">C1151-B1151</f>
        <v>3</v>
      </c>
      <c r="Q1151" s="40" t="str">
        <f aca="false">CHOOSE(MONTH(B1151),"يناير","فبراير","مارس","أبريل","مايو","يونيو","يوليو","أغسطس","سبتمبر","أكتوبر","نوفمبر","ديسمبر")</f>
        <v>يوليو</v>
      </c>
      <c r="R1151" s="40" t="str">
        <f aca="false">"الربع "&amp;ROUNDUP(MONTH(B1151)/3,0)</f>
        <v>الربع 3</v>
      </c>
      <c r="S1151" s="40" t="str">
        <f aca="false">IF(D1151&lt;=12,"أطفال (0-12)",IF(D1151&lt;=24,"شباب (13-24)",IF(D1151&lt;=44,"بالغون (25-44)",IF(D1151&lt;=64,"متوسطو العمر (45-64)","كبار السن (+65)"))))</f>
        <v>أطفال (0-12)</v>
      </c>
      <c r="T1151" s="41" t="n">
        <f aca="false">IFERROR(L1151/P1151,0)</f>
        <v>773.73</v>
      </c>
    </row>
    <row r="1152" customFormat="false" ht="15" hidden="false" customHeight="false" outlineLevel="0" collapsed="false">
      <c r="A1152" s="42" t="s">
        <v>323</v>
      </c>
      <c r="B1152" s="43" t="n">
        <v>45491</v>
      </c>
      <c r="C1152" s="43" t="n">
        <v>45500</v>
      </c>
      <c r="D1152" s="42" t="n">
        <v>35</v>
      </c>
      <c r="E1152" s="42" t="s">
        <v>154</v>
      </c>
      <c r="F1152" s="42" t="s">
        <v>169</v>
      </c>
      <c r="G1152" s="42" t="s">
        <v>170</v>
      </c>
      <c r="H1152" s="42" t="s">
        <v>171</v>
      </c>
      <c r="I1152" s="42" t="s">
        <v>143</v>
      </c>
      <c r="J1152" s="42" t="s">
        <v>159</v>
      </c>
      <c r="K1152" s="42" t="s">
        <v>145</v>
      </c>
      <c r="L1152" s="44" t="n">
        <v>11350.57</v>
      </c>
      <c r="M1152" s="42" t="n">
        <v>4</v>
      </c>
      <c r="N1152" s="42" t="s">
        <v>210</v>
      </c>
      <c r="O1152" s="42" t="s">
        <v>147</v>
      </c>
      <c r="P1152" s="39" t="n">
        <f aca="false">C1152-B1152</f>
        <v>9</v>
      </c>
      <c r="Q1152" s="40" t="str">
        <f aca="false">CHOOSE(MONTH(B1152),"يناير","فبراير","مارس","أبريل","مايو","يونيو","يوليو","أغسطس","سبتمبر","أكتوبر","نوفمبر","ديسمبر")</f>
        <v>يوليو</v>
      </c>
      <c r="R1152" s="40" t="str">
        <f aca="false">"الربع "&amp;ROUNDUP(MONTH(B1152)/3,0)</f>
        <v>الربع 3</v>
      </c>
      <c r="S1152" s="40" t="str">
        <f aca="false">IF(D1152&lt;=12,"أطفال (0-12)",IF(D1152&lt;=24,"شباب (13-24)",IF(D1152&lt;=44,"بالغون (25-44)",IF(D1152&lt;=64,"متوسطو العمر (45-64)","كبار السن (+65)"))))</f>
        <v>بالغون (25-44)</v>
      </c>
      <c r="T1152" s="41" t="n">
        <f aca="false">IFERROR(L1152/P1152,0)</f>
        <v>1261.17444444444</v>
      </c>
    </row>
    <row r="1153" customFormat="false" ht="15" hidden="false" customHeight="false" outlineLevel="0" collapsed="false">
      <c r="A1153" s="33" t="s">
        <v>826</v>
      </c>
      <c r="B1153" s="34" t="n">
        <v>45491</v>
      </c>
      <c r="C1153" s="34" t="n">
        <v>45494</v>
      </c>
      <c r="D1153" s="33" t="n">
        <v>80</v>
      </c>
      <c r="E1153" s="33" t="s">
        <v>139</v>
      </c>
      <c r="F1153" s="33" t="s">
        <v>203</v>
      </c>
      <c r="G1153" s="33" t="s">
        <v>232</v>
      </c>
      <c r="H1153" s="33" t="s">
        <v>205</v>
      </c>
      <c r="I1153" s="33" t="s">
        <v>158</v>
      </c>
      <c r="J1153" s="33" t="s">
        <v>159</v>
      </c>
      <c r="K1153" s="33" t="s">
        <v>160</v>
      </c>
      <c r="L1153" s="35" t="n">
        <v>2623.2</v>
      </c>
      <c r="M1153" s="33" t="n">
        <v>3</v>
      </c>
      <c r="N1153" s="33" t="s">
        <v>146</v>
      </c>
      <c r="O1153" s="33" t="s">
        <v>147</v>
      </c>
      <c r="P1153" s="39" t="n">
        <f aca="false">C1153-B1153</f>
        <v>3</v>
      </c>
      <c r="Q1153" s="40" t="str">
        <f aca="false">CHOOSE(MONTH(B1153),"يناير","فبراير","مارس","أبريل","مايو","يونيو","يوليو","أغسطس","سبتمبر","أكتوبر","نوفمبر","ديسمبر")</f>
        <v>يوليو</v>
      </c>
      <c r="R1153" s="40" t="str">
        <f aca="false">"الربع "&amp;ROUNDUP(MONTH(B1153)/3,0)</f>
        <v>الربع 3</v>
      </c>
      <c r="S1153" s="40" t="str">
        <f aca="false">IF(D1153&lt;=12,"أطفال (0-12)",IF(D1153&lt;=24,"شباب (13-24)",IF(D1153&lt;=44,"بالغون (25-44)",IF(D1153&lt;=64,"متوسطو العمر (45-64)","كبار السن (+65)"))))</f>
        <v>كبار السن (+65)</v>
      </c>
      <c r="T1153" s="41" t="n">
        <f aca="false">IFERROR(L1153/P1153,0)</f>
        <v>874.4</v>
      </c>
    </row>
    <row r="1154" customFormat="false" ht="15" hidden="false" customHeight="false" outlineLevel="0" collapsed="false">
      <c r="A1154" s="42" t="s">
        <v>485</v>
      </c>
      <c r="B1154" s="43" t="n">
        <v>45491</v>
      </c>
      <c r="C1154" s="43" t="n">
        <v>45495</v>
      </c>
      <c r="D1154" s="42" t="n">
        <v>52</v>
      </c>
      <c r="E1154" s="42" t="s">
        <v>139</v>
      </c>
      <c r="F1154" s="42" t="s">
        <v>181</v>
      </c>
      <c r="G1154" s="42" t="s">
        <v>237</v>
      </c>
      <c r="H1154" s="42" t="s">
        <v>2322</v>
      </c>
      <c r="I1154" s="42" t="s">
        <v>143</v>
      </c>
      <c r="J1154" s="42" t="s">
        <v>176</v>
      </c>
      <c r="K1154" s="42" t="s">
        <v>145</v>
      </c>
      <c r="L1154" s="44" t="n">
        <v>31377.57</v>
      </c>
      <c r="M1154" s="42" t="n">
        <v>3</v>
      </c>
      <c r="N1154" s="42" t="s">
        <v>146</v>
      </c>
      <c r="O1154" s="42" t="s">
        <v>147</v>
      </c>
      <c r="P1154" s="39" t="n">
        <f aca="false">C1154-B1154</f>
        <v>4</v>
      </c>
      <c r="Q1154" s="40" t="str">
        <f aca="false">CHOOSE(MONTH(B1154),"يناير","فبراير","مارس","أبريل","مايو","يونيو","يوليو","أغسطس","سبتمبر","أكتوبر","نوفمبر","ديسمبر")</f>
        <v>يوليو</v>
      </c>
      <c r="R1154" s="40" t="str">
        <f aca="false">"الربع "&amp;ROUNDUP(MONTH(B1154)/3,0)</f>
        <v>الربع 3</v>
      </c>
      <c r="S1154" s="40" t="str">
        <f aca="false">IF(D1154&lt;=12,"أطفال (0-12)",IF(D1154&lt;=24,"شباب (13-24)",IF(D1154&lt;=44,"بالغون (25-44)",IF(D1154&lt;=64,"متوسطو العمر (45-64)","كبار السن (+65)"))))</f>
        <v>متوسطو العمر (45-64)</v>
      </c>
      <c r="T1154" s="41" t="n">
        <f aca="false">IFERROR(L1154/P1154,0)</f>
        <v>7844.3925</v>
      </c>
    </row>
    <row r="1155" customFormat="false" ht="15" hidden="false" customHeight="false" outlineLevel="0" collapsed="false">
      <c r="A1155" s="33" t="s">
        <v>394</v>
      </c>
      <c r="B1155" s="34" t="n">
        <v>45491</v>
      </c>
      <c r="C1155" s="34" t="n">
        <v>45494</v>
      </c>
      <c r="D1155" s="33" t="n">
        <v>28</v>
      </c>
      <c r="E1155" s="33" t="s">
        <v>139</v>
      </c>
      <c r="F1155" s="33" t="s">
        <v>149</v>
      </c>
      <c r="G1155" s="33" t="s">
        <v>243</v>
      </c>
      <c r="H1155" s="33" t="s">
        <v>186</v>
      </c>
      <c r="I1155" s="33" t="s">
        <v>152</v>
      </c>
      <c r="J1155" s="33" t="s">
        <v>176</v>
      </c>
      <c r="K1155" s="33" t="s">
        <v>184</v>
      </c>
      <c r="L1155" s="35" t="n">
        <v>18005.55</v>
      </c>
      <c r="M1155" s="33" t="n">
        <v>2</v>
      </c>
      <c r="N1155" s="33" t="s">
        <v>146</v>
      </c>
      <c r="O1155" s="33" t="s">
        <v>147</v>
      </c>
      <c r="P1155" s="39" t="n">
        <f aca="false">C1155-B1155</f>
        <v>3</v>
      </c>
      <c r="Q1155" s="40" t="str">
        <f aca="false">CHOOSE(MONTH(B1155),"يناير","فبراير","مارس","أبريل","مايو","يونيو","يوليو","أغسطس","سبتمبر","أكتوبر","نوفمبر","ديسمبر")</f>
        <v>يوليو</v>
      </c>
      <c r="R1155" s="40" t="str">
        <f aca="false">"الربع "&amp;ROUNDUP(MONTH(B1155)/3,0)</f>
        <v>الربع 3</v>
      </c>
      <c r="S1155" s="40" t="str">
        <f aca="false">IF(D1155&lt;=12,"أطفال (0-12)",IF(D1155&lt;=24,"شباب (13-24)",IF(D1155&lt;=44,"بالغون (25-44)",IF(D1155&lt;=64,"متوسطو العمر (45-64)","كبار السن (+65)"))))</f>
        <v>بالغون (25-44)</v>
      </c>
      <c r="T1155" s="41" t="n">
        <f aca="false">IFERROR(L1155/P1155,0)</f>
        <v>6001.85</v>
      </c>
    </row>
    <row r="1156" customFormat="false" ht="15" hidden="false" customHeight="false" outlineLevel="0" collapsed="false">
      <c r="A1156" s="42" t="s">
        <v>2159</v>
      </c>
      <c r="B1156" s="43" t="n">
        <v>45492</v>
      </c>
      <c r="C1156" s="43" t="n">
        <v>45497</v>
      </c>
      <c r="D1156" s="42" t="n">
        <v>47</v>
      </c>
      <c r="E1156" s="42" t="s">
        <v>139</v>
      </c>
      <c r="F1156" s="42" t="s">
        <v>169</v>
      </c>
      <c r="G1156" s="42" t="s">
        <v>170</v>
      </c>
      <c r="H1156" s="42" t="s">
        <v>164</v>
      </c>
      <c r="I1156" s="42" t="s">
        <v>143</v>
      </c>
      <c r="J1156" s="42" t="s">
        <v>159</v>
      </c>
      <c r="K1156" s="42" t="s">
        <v>160</v>
      </c>
      <c r="L1156" s="44" t="n">
        <v>6573.48</v>
      </c>
      <c r="M1156" s="42" t="n">
        <v>5</v>
      </c>
      <c r="N1156" s="42" t="s">
        <v>146</v>
      </c>
      <c r="O1156" s="42" t="s">
        <v>147</v>
      </c>
      <c r="P1156" s="39" t="n">
        <f aca="false">C1156-B1156</f>
        <v>5</v>
      </c>
      <c r="Q1156" s="40" t="str">
        <f aca="false">CHOOSE(MONTH(B1156),"يناير","فبراير","مارس","أبريل","مايو","يونيو","يوليو","أغسطس","سبتمبر","أكتوبر","نوفمبر","ديسمبر")</f>
        <v>يوليو</v>
      </c>
      <c r="R1156" s="40" t="str">
        <f aca="false">"الربع "&amp;ROUNDUP(MONTH(B1156)/3,0)</f>
        <v>الربع 3</v>
      </c>
      <c r="S1156" s="40" t="str">
        <f aca="false">IF(D1156&lt;=12,"أطفال (0-12)",IF(D1156&lt;=24,"شباب (13-24)",IF(D1156&lt;=44,"بالغون (25-44)",IF(D1156&lt;=64,"متوسطو العمر (45-64)","كبار السن (+65)"))))</f>
        <v>متوسطو العمر (45-64)</v>
      </c>
      <c r="T1156" s="41" t="n">
        <f aca="false">IFERROR(L1156/P1156,0)</f>
        <v>1314.696</v>
      </c>
    </row>
    <row r="1157" customFormat="false" ht="15" hidden="false" customHeight="false" outlineLevel="0" collapsed="false">
      <c r="A1157" s="33" t="s">
        <v>620</v>
      </c>
      <c r="B1157" s="34" t="n">
        <v>45492</v>
      </c>
      <c r="C1157" s="34" t="n">
        <v>45493</v>
      </c>
      <c r="D1157" s="33" t="n">
        <v>25</v>
      </c>
      <c r="E1157" s="33" t="s">
        <v>139</v>
      </c>
      <c r="F1157" s="33" t="s">
        <v>149</v>
      </c>
      <c r="G1157" s="33" t="s">
        <v>150</v>
      </c>
      <c r="H1157" s="33" t="s">
        <v>186</v>
      </c>
      <c r="I1157" s="33" t="s">
        <v>143</v>
      </c>
      <c r="J1157" s="33" t="s">
        <v>159</v>
      </c>
      <c r="K1157" s="33" t="s">
        <v>209</v>
      </c>
      <c r="L1157" s="35" t="n">
        <v>1560.45</v>
      </c>
      <c r="M1157" s="33" t="n">
        <v>3</v>
      </c>
      <c r="N1157" s="33" t="s">
        <v>146</v>
      </c>
      <c r="O1157" s="33" t="s">
        <v>147</v>
      </c>
      <c r="P1157" s="39" t="n">
        <f aca="false">C1157-B1157</f>
        <v>1</v>
      </c>
      <c r="Q1157" s="40" t="str">
        <f aca="false">CHOOSE(MONTH(B1157),"يناير","فبراير","مارس","أبريل","مايو","يونيو","يوليو","أغسطس","سبتمبر","أكتوبر","نوفمبر","ديسمبر")</f>
        <v>يوليو</v>
      </c>
      <c r="R1157" s="40" t="str">
        <f aca="false">"الربع "&amp;ROUNDUP(MONTH(B1157)/3,0)</f>
        <v>الربع 3</v>
      </c>
      <c r="S1157" s="40" t="str">
        <f aca="false">IF(D1157&lt;=12,"أطفال (0-12)",IF(D1157&lt;=24,"شباب (13-24)",IF(D1157&lt;=44,"بالغون (25-44)",IF(D1157&lt;=64,"متوسطو العمر (45-64)","كبار السن (+65)"))))</f>
        <v>بالغون (25-44)</v>
      </c>
      <c r="T1157" s="41" t="n">
        <f aca="false">IFERROR(L1157/P1157,0)</f>
        <v>1560.45</v>
      </c>
    </row>
    <row r="1158" customFormat="false" ht="15" hidden="false" customHeight="false" outlineLevel="0" collapsed="false">
      <c r="A1158" s="42" t="s">
        <v>880</v>
      </c>
      <c r="B1158" s="43" t="n">
        <v>45492</v>
      </c>
      <c r="C1158" s="43" t="n">
        <v>45504</v>
      </c>
      <c r="D1158" s="42" t="n">
        <v>76</v>
      </c>
      <c r="E1158" s="42" t="s">
        <v>139</v>
      </c>
      <c r="F1158" s="42" t="s">
        <v>181</v>
      </c>
      <c r="G1158" s="42" t="s">
        <v>188</v>
      </c>
      <c r="H1158" s="42" t="s">
        <v>183</v>
      </c>
      <c r="I1158" s="42" t="s">
        <v>143</v>
      </c>
      <c r="J1158" s="42" t="s">
        <v>159</v>
      </c>
      <c r="K1158" s="42" t="s">
        <v>145</v>
      </c>
      <c r="L1158" s="44" t="n">
        <v>25904.48</v>
      </c>
      <c r="M1158" s="42" t="n">
        <v>5</v>
      </c>
      <c r="N1158" s="42" t="s">
        <v>146</v>
      </c>
      <c r="O1158" s="42" t="s">
        <v>147</v>
      </c>
      <c r="P1158" s="39" t="n">
        <f aca="false">C1158-B1158</f>
        <v>12</v>
      </c>
      <c r="Q1158" s="40" t="str">
        <f aca="false">CHOOSE(MONTH(B1158),"يناير","فبراير","مارس","أبريل","مايو","يونيو","يوليو","أغسطس","سبتمبر","أكتوبر","نوفمبر","ديسمبر")</f>
        <v>يوليو</v>
      </c>
      <c r="R1158" s="40" t="str">
        <f aca="false">"الربع "&amp;ROUNDUP(MONTH(B1158)/3,0)</f>
        <v>الربع 3</v>
      </c>
      <c r="S1158" s="40" t="str">
        <f aca="false">IF(D1158&lt;=12,"أطفال (0-12)",IF(D1158&lt;=24,"شباب (13-24)",IF(D1158&lt;=44,"بالغون (25-44)",IF(D1158&lt;=64,"متوسطو العمر (45-64)","كبار السن (+65)"))))</f>
        <v>كبار السن (+65)</v>
      </c>
      <c r="T1158" s="41" t="n">
        <f aca="false">IFERROR(L1158/P1158,0)</f>
        <v>2158.70666666667</v>
      </c>
    </row>
    <row r="1159" customFormat="false" ht="15" hidden="false" customHeight="false" outlineLevel="0" collapsed="false">
      <c r="A1159" s="33" t="s">
        <v>1407</v>
      </c>
      <c r="B1159" s="34" t="n">
        <v>45492</v>
      </c>
      <c r="C1159" s="34" t="n">
        <v>45493</v>
      </c>
      <c r="D1159" s="33" t="n">
        <v>47</v>
      </c>
      <c r="E1159" s="33" t="s">
        <v>154</v>
      </c>
      <c r="F1159" s="33" t="s">
        <v>203</v>
      </c>
      <c r="G1159" s="33" t="s">
        <v>232</v>
      </c>
      <c r="H1159" s="33" t="s">
        <v>193</v>
      </c>
      <c r="I1159" s="33" t="s">
        <v>143</v>
      </c>
      <c r="J1159" s="33" t="s">
        <v>159</v>
      </c>
      <c r="K1159" s="33" t="s">
        <v>145</v>
      </c>
      <c r="L1159" s="35" t="n">
        <v>799.19</v>
      </c>
      <c r="M1159" s="33" t="n">
        <v>3</v>
      </c>
      <c r="N1159" s="33" t="s">
        <v>146</v>
      </c>
      <c r="O1159" s="33" t="s">
        <v>206</v>
      </c>
      <c r="P1159" s="39" t="n">
        <f aca="false">C1159-B1159</f>
        <v>1</v>
      </c>
      <c r="Q1159" s="40" t="str">
        <f aca="false">CHOOSE(MONTH(B1159),"يناير","فبراير","مارس","أبريل","مايو","يونيو","يوليو","أغسطس","سبتمبر","أكتوبر","نوفمبر","ديسمبر")</f>
        <v>يوليو</v>
      </c>
      <c r="R1159" s="40" t="str">
        <f aca="false">"الربع "&amp;ROUNDUP(MONTH(B1159)/3,0)</f>
        <v>الربع 3</v>
      </c>
      <c r="S1159" s="40" t="str">
        <f aca="false">IF(D1159&lt;=12,"أطفال (0-12)",IF(D1159&lt;=24,"شباب (13-24)",IF(D1159&lt;=44,"بالغون (25-44)",IF(D1159&lt;=64,"متوسطو العمر (45-64)","كبار السن (+65)"))))</f>
        <v>متوسطو العمر (45-64)</v>
      </c>
      <c r="T1159" s="41" t="n">
        <f aca="false">IFERROR(L1159/P1159,0)</f>
        <v>799.19</v>
      </c>
    </row>
    <row r="1160" customFormat="false" ht="15" hidden="false" customHeight="false" outlineLevel="0" collapsed="false">
      <c r="A1160" s="42" t="s">
        <v>1374</v>
      </c>
      <c r="B1160" s="43" t="n">
        <v>45492</v>
      </c>
      <c r="C1160" s="43" t="n">
        <v>45496</v>
      </c>
      <c r="D1160" s="42" t="n">
        <v>36</v>
      </c>
      <c r="E1160" s="42" t="s">
        <v>154</v>
      </c>
      <c r="F1160" s="42" t="s">
        <v>169</v>
      </c>
      <c r="G1160" s="42" t="s">
        <v>213</v>
      </c>
      <c r="H1160" s="42" t="s">
        <v>164</v>
      </c>
      <c r="I1160" s="42" t="s">
        <v>152</v>
      </c>
      <c r="J1160" s="42" t="s">
        <v>144</v>
      </c>
      <c r="K1160" s="42" t="s">
        <v>160</v>
      </c>
      <c r="L1160" s="44" t="n">
        <v>8174.73</v>
      </c>
      <c r="M1160" s="42" t="n">
        <v>4</v>
      </c>
      <c r="N1160" s="42" t="s">
        <v>146</v>
      </c>
      <c r="O1160" s="42" t="s">
        <v>147</v>
      </c>
      <c r="P1160" s="39" t="n">
        <f aca="false">C1160-B1160</f>
        <v>4</v>
      </c>
      <c r="Q1160" s="40" t="str">
        <f aca="false">CHOOSE(MONTH(B1160),"يناير","فبراير","مارس","أبريل","مايو","يونيو","يوليو","أغسطس","سبتمبر","أكتوبر","نوفمبر","ديسمبر")</f>
        <v>يوليو</v>
      </c>
      <c r="R1160" s="40" t="str">
        <f aca="false">"الربع "&amp;ROUNDUP(MONTH(B1160)/3,0)</f>
        <v>الربع 3</v>
      </c>
      <c r="S1160" s="40" t="str">
        <f aca="false">IF(D1160&lt;=12,"أطفال (0-12)",IF(D1160&lt;=24,"شباب (13-24)",IF(D1160&lt;=44,"بالغون (25-44)",IF(D1160&lt;=64,"متوسطو العمر (45-64)","كبار السن (+65)"))))</f>
        <v>بالغون (25-44)</v>
      </c>
      <c r="T1160" s="41" t="n">
        <f aca="false">IFERROR(L1160/P1160,0)</f>
        <v>2043.6825</v>
      </c>
    </row>
    <row r="1161" customFormat="false" ht="15" hidden="false" customHeight="false" outlineLevel="0" collapsed="false">
      <c r="A1161" s="33" t="s">
        <v>1600</v>
      </c>
      <c r="B1161" s="34" t="n">
        <v>45492</v>
      </c>
      <c r="C1161" s="34" t="n">
        <v>45496</v>
      </c>
      <c r="D1161" s="33" t="n">
        <v>59</v>
      </c>
      <c r="E1161" s="33" t="s">
        <v>139</v>
      </c>
      <c r="F1161" s="33" t="s">
        <v>169</v>
      </c>
      <c r="G1161" s="33" t="s">
        <v>170</v>
      </c>
      <c r="H1161" s="33" t="s">
        <v>171</v>
      </c>
      <c r="I1161" s="33" t="s">
        <v>152</v>
      </c>
      <c r="J1161" s="33" t="s">
        <v>159</v>
      </c>
      <c r="K1161" s="33" t="s">
        <v>145</v>
      </c>
      <c r="L1161" s="35" t="n">
        <v>4087.48</v>
      </c>
      <c r="M1161" s="33" t="n">
        <v>4</v>
      </c>
      <c r="N1161" s="33" t="s">
        <v>146</v>
      </c>
      <c r="O1161" s="33" t="s">
        <v>147</v>
      </c>
      <c r="P1161" s="39" t="n">
        <f aca="false">C1161-B1161</f>
        <v>4</v>
      </c>
      <c r="Q1161" s="40" t="str">
        <f aca="false">CHOOSE(MONTH(B1161),"يناير","فبراير","مارس","أبريل","مايو","يونيو","يوليو","أغسطس","سبتمبر","أكتوبر","نوفمبر","ديسمبر")</f>
        <v>يوليو</v>
      </c>
      <c r="R1161" s="40" t="str">
        <f aca="false">"الربع "&amp;ROUNDUP(MONTH(B1161)/3,0)</f>
        <v>الربع 3</v>
      </c>
      <c r="S1161" s="40" t="str">
        <f aca="false">IF(D1161&lt;=12,"أطفال (0-12)",IF(D1161&lt;=24,"شباب (13-24)",IF(D1161&lt;=44,"بالغون (25-44)",IF(D1161&lt;=64,"متوسطو العمر (45-64)","كبار السن (+65)"))))</f>
        <v>متوسطو العمر (45-64)</v>
      </c>
      <c r="T1161" s="41" t="n">
        <f aca="false">IFERROR(L1161/P1161,0)</f>
        <v>1021.87</v>
      </c>
    </row>
    <row r="1162" customFormat="false" ht="15" hidden="false" customHeight="false" outlineLevel="0" collapsed="false">
      <c r="A1162" s="42" t="s">
        <v>1309</v>
      </c>
      <c r="B1162" s="43" t="n">
        <v>45492</v>
      </c>
      <c r="C1162" s="43" t="n">
        <v>45501</v>
      </c>
      <c r="D1162" s="42" t="n">
        <v>42</v>
      </c>
      <c r="E1162" s="42" t="s">
        <v>139</v>
      </c>
      <c r="F1162" s="42" t="s">
        <v>181</v>
      </c>
      <c r="G1162" s="42" t="s">
        <v>237</v>
      </c>
      <c r="H1162" s="42" t="s">
        <v>183</v>
      </c>
      <c r="I1162" s="42" t="s">
        <v>143</v>
      </c>
      <c r="J1162" s="42" t="s">
        <v>159</v>
      </c>
      <c r="K1162" s="42" t="s">
        <v>145</v>
      </c>
      <c r="L1162" s="44" t="n">
        <v>19475.2</v>
      </c>
      <c r="M1162" s="42" t="n">
        <v>4</v>
      </c>
      <c r="N1162" s="42" t="s">
        <v>146</v>
      </c>
      <c r="O1162" s="42" t="s">
        <v>147</v>
      </c>
      <c r="P1162" s="39" t="n">
        <f aca="false">C1162-B1162</f>
        <v>9</v>
      </c>
      <c r="Q1162" s="40" t="str">
        <f aca="false">CHOOSE(MONTH(B1162),"يناير","فبراير","مارس","أبريل","مايو","يونيو","يوليو","أغسطس","سبتمبر","أكتوبر","نوفمبر","ديسمبر")</f>
        <v>يوليو</v>
      </c>
      <c r="R1162" s="40" t="str">
        <f aca="false">"الربع "&amp;ROUNDUP(MONTH(B1162)/3,0)</f>
        <v>الربع 3</v>
      </c>
      <c r="S1162" s="40" t="str">
        <f aca="false">IF(D1162&lt;=12,"أطفال (0-12)",IF(D1162&lt;=24,"شباب (13-24)",IF(D1162&lt;=44,"بالغون (25-44)",IF(D1162&lt;=64,"متوسطو العمر (45-64)","كبار السن (+65)"))))</f>
        <v>بالغون (25-44)</v>
      </c>
      <c r="T1162" s="41" t="n">
        <f aca="false">IFERROR(L1162/P1162,0)</f>
        <v>2163.91111111111</v>
      </c>
    </row>
    <row r="1163" customFormat="false" ht="15" hidden="false" customHeight="false" outlineLevel="0" collapsed="false">
      <c r="A1163" s="33" t="s">
        <v>2115</v>
      </c>
      <c r="B1163" s="34" t="n">
        <v>45493</v>
      </c>
      <c r="C1163" s="34" t="n">
        <v>45501</v>
      </c>
      <c r="D1163" s="33" t="n">
        <v>52</v>
      </c>
      <c r="E1163" s="33" t="s">
        <v>139</v>
      </c>
      <c r="F1163" s="33" t="s">
        <v>140</v>
      </c>
      <c r="G1163" s="33" t="s">
        <v>167</v>
      </c>
      <c r="H1163" s="33" t="s">
        <v>142</v>
      </c>
      <c r="I1163" s="33" t="s">
        <v>143</v>
      </c>
      <c r="J1163" s="33" t="s">
        <v>144</v>
      </c>
      <c r="K1163" s="33" t="s">
        <v>209</v>
      </c>
      <c r="L1163" s="35" t="n">
        <v>37553.68</v>
      </c>
      <c r="M1163" s="33" t="n">
        <v>4</v>
      </c>
      <c r="N1163" s="33" t="s">
        <v>146</v>
      </c>
      <c r="O1163" s="33" t="s">
        <v>147</v>
      </c>
      <c r="P1163" s="39" t="n">
        <f aca="false">C1163-B1163</f>
        <v>8</v>
      </c>
      <c r="Q1163" s="40" t="str">
        <f aca="false">CHOOSE(MONTH(B1163),"يناير","فبراير","مارس","أبريل","مايو","يونيو","يوليو","أغسطس","سبتمبر","أكتوبر","نوفمبر","ديسمبر")</f>
        <v>يوليو</v>
      </c>
      <c r="R1163" s="40" t="str">
        <f aca="false">"الربع "&amp;ROUNDUP(MONTH(B1163)/3,0)</f>
        <v>الربع 3</v>
      </c>
      <c r="S1163" s="40" t="str">
        <f aca="false">IF(D1163&lt;=12,"أطفال (0-12)",IF(D1163&lt;=24,"شباب (13-24)",IF(D1163&lt;=44,"بالغون (25-44)",IF(D1163&lt;=64,"متوسطو العمر (45-64)","كبار السن (+65)"))))</f>
        <v>متوسطو العمر (45-64)</v>
      </c>
      <c r="T1163" s="41" t="n">
        <f aca="false">IFERROR(L1163/P1163,0)</f>
        <v>4694.21</v>
      </c>
    </row>
    <row r="1164" customFormat="false" ht="15" hidden="false" customHeight="false" outlineLevel="0" collapsed="false">
      <c r="A1164" s="42" t="s">
        <v>1235</v>
      </c>
      <c r="B1164" s="43" t="n">
        <v>45493</v>
      </c>
      <c r="C1164" s="43" t="n">
        <v>45498</v>
      </c>
      <c r="D1164" s="42" t="n">
        <v>32</v>
      </c>
      <c r="E1164" s="42" t="s">
        <v>154</v>
      </c>
      <c r="F1164" s="42" t="s">
        <v>169</v>
      </c>
      <c r="G1164" s="42" t="s">
        <v>170</v>
      </c>
      <c r="H1164" s="42" t="s">
        <v>171</v>
      </c>
      <c r="I1164" s="42" t="s">
        <v>158</v>
      </c>
      <c r="J1164" s="42" t="s">
        <v>176</v>
      </c>
      <c r="K1164" s="42" t="s">
        <v>184</v>
      </c>
      <c r="L1164" s="44" t="n">
        <v>24006.96</v>
      </c>
      <c r="M1164" s="42" t="n">
        <v>4</v>
      </c>
      <c r="N1164" s="42" t="s">
        <v>146</v>
      </c>
      <c r="O1164" s="42" t="s">
        <v>206</v>
      </c>
      <c r="P1164" s="39" t="n">
        <f aca="false">C1164-B1164</f>
        <v>5</v>
      </c>
      <c r="Q1164" s="40" t="str">
        <f aca="false">CHOOSE(MONTH(B1164),"يناير","فبراير","مارس","أبريل","مايو","يونيو","يوليو","أغسطس","سبتمبر","أكتوبر","نوفمبر","ديسمبر")</f>
        <v>يوليو</v>
      </c>
      <c r="R1164" s="40" t="str">
        <f aca="false">"الربع "&amp;ROUNDUP(MONTH(B1164)/3,0)</f>
        <v>الربع 3</v>
      </c>
      <c r="S1164" s="40" t="str">
        <f aca="false">IF(D1164&lt;=12,"أطفال (0-12)",IF(D1164&lt;=24,"شباب (13-24)",IF(D1164&lt;=44,"بالغون (25-44)",IF(D1164&lt;=64,"متوسطو العمر (45-64)","كبار السن (+65)"))))</f>
        <v>بالغون (25-44)</v>
      </c>
      <c r="T1164" s="41" t="n">
        <f aca="false">IFERROR(L1164/P1164,0)</f>
        <v>4801.392</v>
      </c>
    </row>
    <row r="1165" customFormat="false" ht="15" hidden="false" customHeight="false" outlineLevel="0" collapsed="false">
      <c r="A1165" s="33" t="s">
        <v>955</v>
      </c>
      <c r="B1165" s="34" t="n">
        <v>45494</v>
      </c>
      <c r="C1165" s="34" t="n">
        <v>45498</v>
      </c>
      <c r="D1165" s="33" t="n">
        <v>3</v>
      </c>
      <c r="E1165" s="33" t="s">
        <v>139</v>
      </c>
      <c r="F1165" s="33" t="s">
        <v>155</v>
      </c>
      <c r="G1165" s="33" t="s">
        <v>156</v>
      </c>
      <c r="H1165" s="33" t="s">
        <v>157</v>
      </c>
      <c r="I1165" s="33" t="s">
        <v>152</v>
      </c>
      <c r="J1165" s="33" t="s">
        <v>159</v>
      </c>
      <c r="K1165" s="33" t="s">
        <v>145</v>
      </c>
      <c r="L1165" s="35" t="n">
        <v>3187.18</v>
      </c>
      <c r="M1165" s="33" t="n">
        <v>3</v>
      </c>
      <c r="N1165" s="33" t="s">
        <v>146</v>
      </c>
      <c r="O1165" s="33" t="s">
        <v>147</v>
      </c>
      <c r="P1165" s="39" t="n">
        <f aca="false">C1165-B1165</f>
        <v>4</v>
      </c>
      <c r="Q1165" s="40" t="str">
        <f aca="false">CHOOSE(MONTH(B1165),"يناير","فبراير","مارس","أبريل","مايو","يونيو","يوليو","أغسطس","سبتمبر","أكتوبر","نوفمبر","ديسمبر")</f>
        <v>يوليو</v>
      </c>
      <c r="R1165" s="40" t="str">
        <f aca="false">"الربع "&amp;ROUNDUP(MONTH(B1165)/3,0)</f>
        <v>الربع 3</v>
      </c>
      <c r="S1165" s="40" t="str">
        <f aca="false">IF(D1165&lt;=12,"أطفال (0-12)",IF(D1165&lt;=24,"شباب (13-24)",IF(D1165&lt;=44,"بالغون (25-44)",IF(D1165&lt;=64,"متوسطو العمر (45-64)","كبار السن (+65)"))))</f>
        <v>أطفال (0-12)</v>
      </c>
      <c r="T1165" s="41" t="n">
        <f aca="false">IFERROR(L1165/P1165,0)</f>
        <v>796.795</v>
      </c>
    </row>
    <row r="1166" customFormat="false" ht="15" hidden="false" customHeight="false" outlineLevel="0" collapsed="false">
      <c r="A1166" s="42" t="s">
        <v>1475</v>
      </c>
      <c r="B1166" s="43" t="n">
        <v>45494</v>
      </c>
      <c r="C1166" s="43" t="n">
        <v>45498</v>
      </c>
      <c r="D1166" s="42" t="n">
        <v>6</v>
      </c>
      <c r="E1166" s="42" t="s">
        <v>139</v>
      </c>
      <c r="F1166" s="42" t="s">
        <v>169</v>
      </c>
      <c r="G1166" s="42" t="s">
        <v>213</v>
      </c>
      <c r="H1166" s="42" t="s">
        <v>195</v>
      </c>
      <c r="I1166" s="42" t="s">
        <v>143</v>
      </c>
      <c r="J1166" s="42" t="s">
        <v>159</v>
      </c>
      <c r="K1166" s="42" t="s">
        <v>145</v>
      </c>
      <c r="L1166" s="44" t="n">
        <v>4959.58</v>
      </c>
      <c r="M1166" s="42" t="n">
        <v>4</v>
      </c>
      <c r="N1166" s="42" t="s">
        <v>146</v>
      </c>
      <c r="O1166" s="42" t="s">
        <v>295</v>
      </c>
      <c r="P1166" s="39" t="n">
        <f aca="false">C1166-B1166</f>
        <v>4</v>
      </c>
      <c r="Q1166" s="40" t="str">
        <f aca="false">CHOOSE(MONTH(B1166),"يناير","فبراير","مارس","أبريل","مايو","يونيو","يوليو","أغسطس","سبتمبر","أكتوبر","نوفمبر","ديسمبر")</f>
        <v>يوليو</v>
      </c>
      <c r="R1166" s="40" t="str">
        <f aca="false">"الربع "&amp;ROUNDUP(MONTH(B1166)/3,0)</f>
        <v>الربع 3</v>
      </c>
      <c r="S1166" s="40" t="str">
        <f aca="false">IF(D1166&lt;=12,"أطفال (0-12)",IF(D1166&lt;=24,"شباب (13-24)",IF(D1166&lt;=44,"بالغون (25-44)",IF(D1166&lt;=64,"متوسطو العمر (45-64)","كبار السن (+65)"))))</f>
        <v>أطفال (0-12)</v>
      </c>
      <c r="T1166" s="41" t="n">
        <f aca="false">IFERROR(L1166/P1166,0)</f>
        <v>1239.895</v>
      </c>
    </row>
    <row r="1167" customFormat="false" ht="15" hidden="false" customHeight="false" outlineLevel="0" collapsed="false">
      <c r="A1167" s="33" t="s">
        <v>2273</v>
      </c>
      <c r="B1167" s="34" t="n">
        <v>45494</v>
      </c>
      <c r="C1167" s="34" t="n">
        <v>45501</v>
      </c>
      <c r="D1167" s="33" t="n">
        <v>73</v>
      </c>
      <c r="E1167" s="33" t="s">
        <v>154</v>
      </c>
      <c r="F1167" s="33" t="s">
        <v>226</v>
      </c>
      <c r="G1167" s="33" t="s">
        <v>258</v>
      </c>
      <c r="H1167" s="33" t="s">
        <v>263</v>
      </c>
      <c r="I1167" s="33" t="s">
        <v>143</v>
      </c>
      <c r="J1167" s="33" t="s">
        <v>159</v>
      </c>
      <c r="K1167" s="33" t="s">
        <v>145</v>
      </c>
      <c r="L1167" s="35" t="n">
        <v>22012.85</v>
      </c>
      <c r="M1167" s="33" t="n">
        <v>5</v>
      </c>
      <c r="N1167" s="33" t="s">
        <v>146</v>
      </c>
      <c r="O1167" s="33" t="s">
        <v>147</v>
      </c>
      <c r="P1167" s="39" t="n">
        <f aca="false">C1167-B1167</f>
        <v>7</v>
      </c>
      <c r="Q1167" s="40" t="str">
        <f aca="false">CHOOSE(MONTH(B1167),"يناير","فبراير","مارس","أبريل","مايو","يونيو","يوليو","أغسطس","سبتمبر","أكتوبر","نوفمبر","ديسمبر")</f>
        <v>يوليو</v>
      </c>
      <c r="R1167" s="40" t="str">
        <f aca="false">"الربع "&amp;ROUNDUP(MONTH(B1167)/3,0)</f>
        <v>الربع 3</v>
      </c>
      <c r="S1167" s="40" t="str">
        <f aca="false">IF(D1167&lt;=12,"أطفال (0-12)",IF(D1167&lt;=24,"شباب (13-24)",IF(D1167&lt;=44,"بالغون (25-44)",IF(D1167&lt;=64,"متوسطو العمر (45-64)","كبار السن (+65)"))))</f>
        <v>كبار السن (+65)</v>
      </c>
      <c r="T1167" s="41" t="n">
        <f aca="false">IFERROR(L1167/P1167,0)</f>
        <v>3144.69285714286</v>
      </c>
    </row>
    <row r="1168" customFormat="false" ht="15" hidden="false" customHeight="false" outlineLevel="0" collapsed="false">
      <c r="A1168" s="42" t="s">
        <v>947</v>
      </c>
      <c r="B1168" s="43" t="n">
        <v>45494</v>
      </c>
      <c r="C1168" s="43" t="n">
        <v>45502</v>
      </c>
      <c r="D1168" s="42" t="n">
        <v>25</v>
      </c>
      <c r="E1168" s="42" t="s">
        <v>139</v>
      </c>
      <c r="F1168" s="42" t="s">
        <v>169</v>
      </c>
      <c r="G1168" s="42" t="s">
        <v>170</v>
      </c>
      <c r="H1168" s="42" t="s">
        <v>195</v>
      </c>
      <c r="I1168" s="42" t="s">
        <v>158</v>
      </c>
      <c r="J1168" s="42" t="s">
        <v>176</v>
      </c>
      <c r="K1168" s="42" t="s">
        <v>145</v>
      </c>
      <c r="L1168" s="44" t="n">
        <v>23640.23</v>
      </c>
      <c r="M1168" s="42" t="n">
        <v>4</v>
      </c>
      <c r="N1168" s="42" t="s">
        <v>146</v>
      </c>
      <c r="O1168" s="42" t="s">
        <v>147</v>
      </c>
      <c r="P1168" s="39" t="n">
        <f aca="false">C1168-B1168</f>
        <v>8</v>
      </c>
      <c r="Q1168" s="40" t="str">
        <f aca="false">CHOOSE(MONTH(B1168),"يناير","فبراير","مارس","أبريل","مايو","يونيو","يوليو","أغسطس","سبتمبر","أكتوبر","نوفمبر","ديسمبر")</f>
        <v>يوليو</v>
      </c>
      <c r="R1168" s="40" t="str">
        <f aca="false">"الربع "&amp;ROUNDUP(MONTH(B1168)/3,0)</f>
        <v>الربع 3</v>
      </c>
      <c r="S1168" s="40" t="str">
        <f aca="false">IF(D1168&lt;=12,"أطفال (0-12)",IF(D1168&lt;=24,"شباب (13-24)",IF(D1168&lt;=44,"بالغون (25-44)",IF(D1168&lt;=64,"متوسطو العمر (45-64)","كبار السن (+65)"))))</f>
        <v>بالغون (25-44)</v>
      </c>
      <c r="T1168" s="41" t="n">
        <f aca="false">IFERROR(L1168/P1168,0)</f>
        <v>2955.02875</v>
      </c>
    </row>
    <row r="1169" customFormat="false" ht="15" hidden="false" customHeight="false" outlineLevel="0" collapsed="false">
      <c r="A1169" s="33" t="s">
        <v>1303</v>
      </c>
      <c r="B1169" s="34" t="n">
        <v>45494</v>
      </c>
      <c r="C1169" s="34" t="n">
        <v>45509</v>
      </c>
      <c r="D1169" s="33" t="n">
        <v>41</v>
      </c>
      <c r="E1169" s="33" t="s">
        <v>154</v>
      </c>
      <c r="F1169" s="33" t="s">
        <v>181</v>
      </c>
      <c r="G1169" s="33" t="s">
        <v>237</v>
      </c>
      <c r="H1169" s="33" t="s">
        <v>245</v>
      </c>
      <c r="I1169" s="33" t="s">
        <v>143</v>
      </c>
      <c r="J1169" s="33" t="s">
        <v>176</v>
      </c>
      <c r="K1169" s="33" t="s">
        <v>184</v>
      </c>
      <c r="L1169" s="35" t="n">
        <v>120609.23</v>
      </c>
      <c r="M1169" s="33" t="n">
        <v>3</v>
      </c>
      <c r="N1169" s="33" t="s">
        <v>146</v>
      </c>
      <c r="O1169" s="33" t="s">
        <v>147</v>
      </c>
      <c r="P1169" s="39" t="n">
        <f aca="false">C1169-B1169</f>
        <v>15</v>
      </c>
      <c r="Q1169" s="40" t="str">
        <f aca="false">CHOOSE(MONTH(B1169),"يناير","فبراير","مارس","أبريل","مايو","يونيو","يوليو","أغسطس","سبتمبر","أكتوبر","نوفمبر","ديسمبر")</f>
        <v>يوليو</v>
      </c>
      <c r="R1169" s="40" t="str">
        <f aca="false">"الربع "&amp;ROUNDUP(MONTH(B1169)/3,0)</f>
        <v>الربع 3</v>
      </c>
      <c r="S1169" s="40" t="str">
        <f aca="false">IF(D1169&lt;=12,"أطفال (0-12)",IF(D1169&lt;=24,"شباب (13-24)",IF(D1169&lt;=44,"بالغون (25-44)",IF(D1169&lt;=64,"متوسطو العمر (45-64)","كبار السن (+65)"))))</f>
        <v>بالغون (25-44)</v>
      </c>
      <c r="T1169" s="41" t="n">
        <f aca="false">IFERROR(L1169/P1169,0)</f>
        <v>8040.61533333333</v>
      </c>
    </row>
    <row r="1170" customFormat="false" ht="15" hidden="false" customHeight="false" outlineLevel="0" collapsed="false">
      <c r="A1170" s="42" t="s">
        <v>1731</v>
      </c>
      <c r="B1170" s="43" t="n">
        <v>45494</v>
      </c>
      <c r="C1170" s="43" t="n">
        <v>45496</v>
      </c>
      <c r="D1170" s="42" t="n">
        <v>39</v>
      </c>
      <c r="E1170" s="42" t="s">
        <v>139</v>
      </c>
      <c r="F1170" s="42" t="s">
        <v>149</v>
      </c>
      <c r="G1170" s="42" t="s">
        <v>224</v>
      </c>
      <c r="H1170" s="42" t="s">
        <v>151</v>
      </c>
      <c r="I1170" s="42" t="s">
        <v>152</v>
      </c>
      <c r="J1170" s="42" t="s">
        <v>144</v>
      </c>
      <c r="K1170" s="42" t="s">
        <v>184</v>
      </c>
      <c r="L1170" s="44" t="n">
        <v>4624.04</v>
      </c>
      <c r="M1170" s="42" t="n">
        <v>4</v>
      </c>
      <c r="N1170" s="42" t="s">
        <v>146</v>
      </c>
      <c r="O1170" s="42" t="s">
        <v>147</v>
      </c>
      <c r="P1170" s="39" t="n">
        <f aca="false">C1170-B1170</f>
        <v>2</v>
      </c>
      <c r="Q1170" s="40" t="str">
        <f aca="false">CHOOSE(MONTH(B1170),"يناير","فبراير","مارس","أبريل","مايو","يونيو","يوليو","أغسطس","سبتمبر","أكتوبر","نوفمبر","ديسمبر")</f>
        <v>يوليو</v>
      </c>
      <c r="R1170" s="40" t="str">
        <f aca="false">"الربع "&amp;ROUNDUP(MONTH(B1170)/3,0)</f>
        <v>الربع 3</v>
      </c>
      <c r="S1170" s="40" t="str">
        <f aca="false">IF(D1170&lt;=12,"أطفال (0-12)",IF(D1170&lt;=24,"شباب (13-24)",IF(D1170&lt;=44,"بالغون (25-44)",IF(D1170&lt;=64,"متوسطو العمر (45-64)","كبار السن (+65)"))))</f>
        <v>بالغون (25-44)</v>
      </c>
      <c r="T1170" s="41" t="n">
        <f aca="false">IFERROR(L1170/P1170,0)</f>
        <v>2312.02</v>
      </c>
    </row>
    <row r="1171" customFormat="false" ht="15" hidden="false" customHeight="false" outlineLevel="0" collapsed="false">
      <c r="A1171" s="33" t="s">
        <v>1358</v>
      </c>
      <c r="B1171" s="34" t="n">
        <v>45494</v>
      </c>
      <c r="C1171" s="34" t="n">
        <v>45500</v>
      </c>
      <c r="D1171" s="33" t="n">
        <v>53</v>
      </c>
      <c r="E1171" s="33" t="s">
        <v>139</v>
      </c>
      <c r="F1171" s="33" t="s">
        <v>173</v>
      </c>
      <c r="G1171" s="33" t="s">
        <v>178</v>
      </c>
      <c r="H1171" s="33" t="s">
        <v>175</v>
      </c>
      <c r="I1171" s="33" t="s">
        <v>158</v>
      </c>
      <c r="J1171" s="33" t="s">
        <v>159</v>
      </c>
      <c r="K1171" s="33" t="s">
        <v>160</v>
      </c>
      <c r="L1171" s="35" t="n">
        <v>17820.46</v>
      </c>
      <c r="M1171" s="33" t="n">
        <v>4</v>
      </c>
      <c r="N1171" s="33" t="s">
        <v>146</v>
      </c>
      <c r="O1171" s="33" t="s">
        <v>247</v>
      </c>
      <c r="P1171" s="39" t="n">
        <f aca="false">C1171-B1171</f>
        <v>6</v>
      </c>
      <c r="Q1171" s="40" t="str">
        <f aca="false">CHOOSE(MONTH(B1171),"يناير","فبراير","مارس","أبريل","مايو","يونيو","يوليو","أغسطس","سبتمبر","أكتوبر","نوفمبر","ديسمبر")</f>
        <v>يوليو</v>
      </c>
      <c r="R1171" s="40" t="str">
        <f aca="false">"الربع "&amp;ROUNDUP(MONTH(B1171)/3,0)</f>
        <v>الربع 3</v>
      </c>
      <c r="S1171" s="40" t="str">
        <f aca="false">IF(D1171&lt;=12,"أطفال (0-12)",IF(D1171&lt;=24,"شباب (13-24)",IF(D1171&lt;=44,"بالغون (25-44)",IF(D1171&lt;=64,"متوسطو العمر (45-64)","كبار السن (+65)"))))</f>
        <v>متوسطو العمر (45-64)</v>
      </c>
      <c r="T1171" s="41" t="n">
        <f aca="false">IFERROR(L1171/P1171,0)</f>
        <v>2970.07666666667</v>
      </c>
    </row>
    <row r="1172" customFormat="false" ht="15" hidden="false" customHeight="false" outlineLevel="0" collapsed="false">
      <c r="A1172" s="42" t="s">
        <v>1326</v>
      </c>
      <c r="B1172" s="43" t="n">
        <v>45494</v>
      </c>
      <c r="C1172" s="43" t="n">
        <v>45495</v>
      </c>
      <c r="D1172" s="42" t="n">
        <v>5</v>
      </c>
      <c r="E1172" s="42" t="s">
        <v>154</v>
      </c>
      <c r="F1172" s="42" t="s">
        <v>155</v>
      </c>
      <c r="G1172" s="42" t="s">
        <v>220</v>
      </c>
      <c r="H1172" s="42" t="s">
        <v>157</v>
      </c>
      <c r="I1172" s="42" t="s">
        <v>143</v>
      </c>
      <c r="J1172" s="42" t="s">
        <v>176</v>
      </c>
      <c r="K1172" s="42" t="s">
        <v>184</v>
      </c>
      <c r="L1172" s="44" t="n">
        <v>3273.45</v>
      </c>
      <c r="M1172" s="42" t="n">
        <v>4</v>
      </c>
      <c r="N1172" s="42" t="s">
        <v>146</v>
      </c>
      <c r="O1172" s="42" t="s">
        <v>147</v>
      </c>
      <c r="P1172" s="39" t="n">
        <f aca="false">C1172-B1172</f>
        <v>1</v>
      </c>
      <c r="Q1172" s="40" t="str">
        <f aca="false">CHOOSE(MONTH(B1172),"يناير","فبراير","مارس","أبريل","مايو","يونيو","يوليو","أغسطس","سبتمبر","أكتوبر","نوفمبر","ديسمبر")</f>
        <v>يوليو</v>
      </c>
      <c r="R1172" s="40" t="str">
        <f aca="false">"الربع "&amp;ROUNDUP(MONTH(B1172)/3,0)</f>
        <v>الربع 3</v>
      </c>
      <c r="S1172" s="40" t="str">
        <f aca="false">IF(D1172&lt;=12,"أطفال (0-12)",IF(D1172&lt;=24,"شباب (13-24)",IF(D1172&lt;=44,"بالغون (25-44)",IF(D1172&lt;=64,"متوسطو العمر (45-64)","كبار السن (+65)"))))</f>
        <v>أطفال (0-12)</v>
      </c>
      <c r="T1172" s="41" t="n">
        <f aca="false">IFERROR(L1172/P1172,0)</f>
        <v>3273.45</v>
      </c>
    </row>
    <row r="1173" customFormat="false" ht="15" hidden="false" customHeight="false" outlineLevel="0" collapsed="false">
      <c r="A1173" s="33" t="s">
        <v>2255</v>
      </c>
      <c r="B1173" s="34" t="n">
        <v>45494</v>
      </c>
      <c r="C1173" s="34" t="n">
        <v>45505</v>
      </c>
      <c r="D1173" s="33" t="n">
        <v>70</v>
      </c>
      <c r="E1173" s="33" t="s">
        <v>139</v>
      </c>
      <c r="F1173" s="33" t="s">
        <v>181</v>
      </c>
      <c r="G1173" s="33" t="s">
        <v>237</v>
      </c>
      <c r="H1173" s="33" t="s">
        <v>183</v>
      </c>
      <c r="I1173" s="33" t="s">
        <v>152</v>
      </c>
      <c r="J1173" s="33" t="s">
        <v>159</v>
      </c>
      <c r="K1173" s="33" t="s">
        <v>145</v>
      </c>
      <c r="L1173" s="35" t="n">
        <v>25574.91</v>
      </c>
      <c r="M1173" s="33" t="n">
        <v>4</v>
      </c>
      <c r="N1173" s="33" t="s">
        <v>210</v>
      </c>
      <c r="O1173" s="33" t="s">
        <v>206</v>
      </c>
      <c r="P1173" s="39" t="n">
        <f aca="false">C1173-B1173</f>
        <v>11</v>
      </c>
      <c r="Q1173" s="40" t="str">
        <f aca="false">CHOOSE(MONTH(B1173),"يناير","فبراير","مارس","أبريل","مايو","يونيو","يوليو","أغسطس","سبتمبر","أكتوبر","نوفمبر","ديسمبر")</f>
        <v>يوليو</v>
      </c>
      <c r="R1173" s="40" t="str">
        <f aca="false">"الربع "&amp;ROUNDUP(MONTH(B1173)/3,0)</f>
        <v>الربع 3</v>
      </c>
      <c r="S1173" s="40" t="str">
        <f aca="false">IF(D1173&lt;=12,"أطفال (0-12)",IF(D1173&lt;=24,"شباب (13-24)",IF(D1173&lt;=44,"بالغون (25-44)",IF(D1173&lt;=64,"متوسطو العمر (45-64)","كبار السن (+65)"))))</f>
        <v>كبار السن (+65)</v>
      </c>
      <c r="T1173" s="41" t="n">
        <f aca="false">IFERROR(L1173/P1173,0)</f>
        <v>2324.99181818182</v>
      </c>
    </row>
    <row r="1174" customFormat="false" ht="15" hidden="false" customHeight="false" outlineLevel="0" collapsed="false">
      <c r="A1174" s="42" t="s">
        <v>759</v>
      </c>
      <c r="B1174" s="43" t="n">
        <v>45494</v>
      </c>
      <c r="C1174" s="43" t="n">
        <v>45495</v>
      </c>
      <c r="D1174" s="42" t="n">
        <v>96</v>
      </c>
      <c r="E1174" s="42" t="s">
        <v>154</v>
      </c>
      <c r="F1174" s="42" t="s">
        <v>203</v>
      </c>
      <c r="G1174" s="42" t="s">
        <v>204</v>
      </c>
      <c r="H1174" s="42" t="s">
        <v>193</v>
      </c>
      <c r="I1174" s="42" t="s">
        <v>143</v>
      </c>
      <c r="J1174" s="42" t="s">
        <v>159</v>
      </c>
      <c r="K1174" s="42" t="s">
        <v>145</v>
      </c>
      <c r="L1174" s="44" t="n">
        <v>1042.94</v>
      </c>
      <c r="M1174" s="42" t="n">
        <v>4</v>
      </c>
      <c r="N1174" s="42" t="s">
        <v>210</v>
      </c>
      <c r="O1174" s="42" t="s">
        <v>147</v>
      </c>
      <c r="P1174" s="39" t="n">
        <f aca="false">C1174-B1174</f>
        <v>1</v>
      </c>
      <c r="Q1174" s="40" t="str">
        <f aca="false">CHOOSE(MONTH(B1174),"يناير","فبراير","مارس","أبريل","مايو","يونيو","يوليو","أغسطس","سبتمبر","أكتوبر","نوفمبر","ديسمبر")</f>
        <v>يوليو</v>
      </c>
      <c r="R1174" s="40" t="str">
        <f aca="false">"الربع "&amp;ROUNDUP(MONTH(B1174)/3,0)</f>
        <v>الربع 3</v>
      </c>
      <c r="S1174" s="40" t="str">
        <f aca="false">IF(D1174&lt;=12,"أطفال (0-12)",IF(D1174&lt;=24,"شباب (13-24)",IF(D1174&lt;=44,"بالغون (25-44)",IF(D1174&lt;=64,"متوسطو العمر (45-64)","كبار السن (+65)"))))</f>
        <v>كبار السن (+65)</v>
      </c>
      <c r="T1174" s="41" t="n">
        <f aca="false">IFERROR(L1174/P1174,0)</f>
        <v>1042.94</v>
      </c>
    </row>
    <row r="1175" customFormat="false" ht="15" hidden="false" customHeight="false" outlineLevel="0" collapsed="false">
      <c r="A1175" s="33" t="s">
        <v>1197</v>
      </c>
      <c r="B1175" s="34" t="n">
        <v>45494</v>
      </c>
      <c r="C1175" s="34" t="n">
        <v>45497</v>
      </c>
      <c r="D1175" s="33" t="n">
        <v>9</v>
      </c>
      <c r="E1175" s="33" t="s">
        <v>154</v>
      </c>
      <c r="F1175" s="33" t="s">
        <v>155</v>
      </c>
      <c r="G1175" s="33" t="s">
        <v>220</v>
      </c>
      <c r="H1175" s="33" t="s">
        <v>222</v>
      </c>
      <c r="I1175" s="33" t="s">
        <v>143</v>
      </c>
      <c r="J1175" s="33" t="s">
        <v>176</v>
      </c>
      <c r="K1175" s="33" t="s">
        <v>160</v>
      </c>
      <c r="L1175" s="35" t="n">
        <v>9917.65</v>
      </c>
      <c r="M1175" s="33" t="n">
        <v>5</v>
      </c>
      <c r="N1175" s="33" t="s">
        <v>146</v>
      </c>
      <c r="O1175" s="33" t="s">
        <v>147</v>
      </c>
      <c r="P1175" s="39" t="n">
        <f aca="false">C1175-B1175</f>
        <v>3</v>
      </c>
      <c r="Q1175" s="40" t="str">
        <f aca="false">CHOOSE(MONTH(B1175),"يناير","فبراير","مارس","أبريل","مايو","يونيو","يوليو","أغسطس","سبتمبر","أكتوبر","نوفمبر","ديسمبر")</f>
        <v>يوليو</v>
      </c>
      <c r="R1175" s="40" t="str">
        <f aca="false">"الربع "&amp;ROUNDUP(MONTH(B1175)/3,0)</f>
        <v>الربع 3</v>
      </c>
      <c r="S1175" s="40" t="str">
        <f aca="false">IF(D1175&lt;=12,"أطفال (0-12)",IF(D1175&lt;=24,"شباب (13-24)",IF(D1175&lt;=44,"بالغون (25-44)",IF(D1175&lt;=64,"متوسطو العمر (45-64)","كبار السن (+65)"))))</f>
        <v>أطفال (0-12)</v>
      </c>
      <c r="T1175" s="41" t="n">
        <f aca="false">IFERROR(L1175/P1175,0)</f>
        <v>3305.88333333333</v>
      </c>
    </row>
    <row r="1176" customFormat="false" ht="15" hidden="false" customHeight="false" outlineLevel="0" collapsed="false">
      <c r="A1176" s="42" t="s">
        <v>925</v>
      </c>
      <c r="B1176" s="43" t="n">
        <v>45495</v>
      </c>
      <c r="C1176" s="43" t="n">
        <v>45501</v>
      </c>
      <c r="D1176" s="42" t="n">
        <v>66</v>
      </c>
      <c r="E1176" s="42" t="s">
        <v>154</v>
      </c>
      <c r="F1176" s="42" t="s">
        <v>226</v>
      </c>
      <c r="G1176" s="42" t="s">
        <v>386</v>
      </c>
      <c r="H1176" s="42" t="s">
        <v>228</v>
      </c>
      <c r="I1176" s="42" t="s">
        <v>152</v>
      </c>
      <c r="J1176" s="42" t="s">
        <v>144</v>
      </c>
      <c r="K1176" s="42" t="s">
        <v>184</v>
      </c>
      <c r="L1176" s="44" t="n">
        <v>34785.03</v>
      </c>
      <c r="M1176" s="42" t="n">
        <v>5</v>
      </c>
      <c r="N1176" s="42" t="s">
        <v>210</v>
      </c>
      <c r="O1176" s="42" t="s">
        <v>247</v>
      </c>
      <c r="P1176" s="39" t="n">
        <f aca="false">C1176-B1176</f>
        <v>6</v>
      </c>
      <c r="Q1176" s="40" t="str">
        <f aca="false">CHOOSE(MONTH(B1176),"يناير","فبراير","مارس","أبريل","مايو","يونيو","يوليو","أغسطس","سبتمبر","أكتوبر","نوفمبر","ديسمبر")</f>
        <v>يوليو</v>
      </c>
      <c r="R1176" s="40" t="str">
        <f aca="false">"الربع "&amp;ROUNDUP(MONTH(B1176)/3,0)</f>
        <v>الربع 3</v>
      </c>
      <c r="S1176" s="40" t="str">
        <f aca="false">IF(D1176&lt;=12,"أطفال (0-12)",IF(D1176&lt;=24,"شباب (13-24)",IF(D1176&lt;=44,"بالغون (25-44)",IF(D1176&lt;=64,"متوسطو العمر (45-64)","كبار السن (+65)"))))</f>
        <v>كبار السن (+65)</v>
      </c>
      <c r="T1176" s="41" t="n">
        <f aca="false">IFERROR(L1176/P1176,0)</f>
        <v>5797.505</v>
      </c>
    </row>
    <row r="1177" customFormat="false" ht="15" hidden="false" customHeight="false" outlineLevel="0" collapsed="false">
      <c r="A1177" s="33" t="s">
        <v>1256</v>
      </c>
      <c r="B1177" s="34" t="n">
        <v>45495</v>
      </c>
      <c r="C1177" s="34" t="n">
        <v>45497</v>
      </c>
      <c r="D1177" s="33" t="n">
        <v>44</v>
      </c>
      <c r="E1177" s="33" t="s">
        <v>139</v>
      </c>
      <c r="F1177" s="33" t="s">
        <v>169</v>
      </c>
      <c r="G1177" s="33" t="s">
        <v>230</v>
      </c>
      <c r="H1177" s="33" t="s">
        <v>171</v>
      </c>
      <c r="I1177" s="33" t="s">
        <v>143</v>
      </c>
      <c r="J1177" s="33" t="s">
        <v>159</v>
      </c>
      <c r="K1177" s="33" t="s">
        <v>145</v>
      </c>
      <c r="L1177" s="35" t="n">
        <v>2350.97</v>
      </c>
      <c r="M1177" s="33" t="n">
        <v>4</v>
      </c>
      <c r="N1177" s="33" t="s">
        <v>146</v>
      </c>
      <c r="O1177" s="33" t="s">
        <v>206</v>
      </c>
      <c r="P1177" s="39" t="n">
        <f aca="false">C1177-B1177</f>
        <v>2</v>
      </c>
      <c r="Q1177" s="40" t="str">
        <f aca="false">CHOOSE(MONTH(B1177),"يناير","فبراير","مارس","أبريل","مايو","يونيو","يوليو","أغسطس","سبتمبر","أكتوبر","نوفمبر","ديسمبر")</f>
        <v>يوليو</v>
      </c>
      <c r="R1177" s="40" t="str">
        <f aca="false">"الربع "&amp;ROUNDUP(MONTH(B1177)/3,0)</f>
        <v>الربع 3</v>
      </c>
      <c r="S1177" s="40" t="str">
        <f aca="false">IF(D1177&lt;=12,"أطفال (0-12)",IF(D1177&lt;=24,"شباب (13-24)",IF(D1177&lt;=44,"بالغون (25-44)",IF(D1177&lt;=64,"متوسطو العمر (45-64)","كبار السن (+65)"))))</f>
        <v>بالغون (25-44)</v>
      </c>
      <c r="T1177" s="41" t="n">
        <f aca="false">IFERROR(L1177/P1177,0)</f>
        <v>1175.485</v>
      </c>
    </row>
    <row r="1178" customFormat="false" ht="15" hidden="false" customHeight="false" outlineLevel="0" collapsed="false">
      <c r="A1178" s="42" t="s">
        <v>608</v>
      </c>
      <c r="B1178" s="43" t="n">
        <v>45495</v>
      </c>
      <c r="C1178" s="43" t="n">
        <v>45498</v>
      </c>
      <c r="D1178" s="42" t="n">
        <v>23</v>
      </c>
      <c r="E1178" s="42" t="s">
        <v>154</v>
      </c>
      <c r="F1178" s="42" t="s">
        <v>203</v>
      </c>
      <c r="G1178" s="42" t="s">
        <v>241</v>
      </c>
      <c r="H1178" s="42" t="s">
        <v>233</v>
      </c>
      <c r="I1178" s="42" t="s">
        <v>143</v>
      </c>
      <c r="J1178" s="42" t="s">
        <v>159</v>
      </c>
      <c r="K1178" s="42" t="s">
        <v>184</v>
      </c>
      <c r="L1178" s="44" t="n">
        <v>3080.95</v>
      </c>
      <c r="M1178" s="42" t="n">
        <v>3</v>
      </c>
      <c r="N1178" s="42" t="s">
        <v>146</v>
      </c>
      <c r="O1178" s="42" t="s">
        <v>147</v>
      </c>
      <c r="P1178" s="39" t="n">
        <f aca="false">C1178-B1178</f>
        <v>3</v>
      </c>
      <c r="Q1178" s="40" t="str">
        <f aca="false">CHOOSE(MONTH(B1178),"يناير","فبراير","مارس","أبريل","مايو","يونيو","يوليو","أغسطس","سبتمبر","أكتوبر","نوفمبر","ديسمبر")</f>
        <v>يوليو</v>
      </c>
      <c r="R1178" s="40" t="str">
        <f aca="false">"الربع "&amp;ROUNDUP(MONTH(B1178)/3,0)</f>
        <v>الربع 3</v>
      </c>
      <c r="S1178" s="40" t="str">
        <f aca="false">IF(D1178&lt;=12,"أطفال (0-12)",IF(D1178&lt;=24,"شباب (13-24)",IF(D1178&lt;=44,"بالغون (25-44)",IF(D1178&lt;=64,"متوسطو العمر (45-64)","كبار السن (+65)"))))</f>
        <v>شباب (13-24)</v>
      </c>
      <c r="T1178" s="41" t="n">
        <f aca="false">IFERROR(L1178/P1178,0)</f>
        <v>1026.98333333333</v>
      </c>
    </row>
    <row r="1179" customFormat="false" ht="15" hidden="false" customHeight="false" outlineLevel="0" collapsed="false">
      <c r="A1179" s="33" t="s">
        <v>599</v>
      </c>
      <c r="B1179" s="34" t="n">
        <v>45495</v>
      </c>
      <c r="C1179" s="34" t="n">
        <v>45496</v>
      </c>
      <c r="D1179" s="33" t="n">
        <v>11</v>
      </c>
      <c r="E1179" s="33" t="s">
        <v>154</v>
      </c>
      <c r="F1179" s="33" t="s">
        <v>155</v>
      </c>
      <c r="G1179" s="33" t="s">
        <v>302</v>
      </c>
      <c r="H1179" s="33" t="s">
        <v>157</v>
      </c>
      <c r="I1179" s="33" t="s">
        <v>143</v>
      </c>
      <c r="J1179" s="33" t="s">
        <v>159</v>
      </c>
      <c r="K1179" s="33" t="s">
        <v>145</v>
      </c>
      <c r="L1179" s="35" t="n">
        <v>613.26</v>
      </c>
      <c r="M1179" s="33" t="n">
        <v>4</v>
      </c>
      <c r="N1179" s="33" t="s">
        <v>210</v>
      </c>
      <c r="O1179" s="33" t="s">
        <v>147</v>
      </c>
      <c r="P1179" s="39" t="n">
        <f aca="false">C1179-B1179</f>
        <v>1</v>
      </c>
      <c r="Q1179" s="40" t="str">
        <f aca="false">CHOOSE(MONTH(B1179),"يناير","فبراير","مارس","أبريل","مايو","يونيو","يوليو","أغسطس","سبتمبر","أكتوبر","نوفمبر","ديسمبر")</f>
        <v>يوليو</v>
      </c>
      <c r="R1179" s="40" t="str">
        <f aca="false">"الربع "&amp;ROUNDUP(MONTH(B1179)/3,0)</f>
        <v>الربع 3</v>
      </c>
      <c r="S1179" s="40" t="str">
        <f aca="false">IF(D1179&lt;=12,"أطفال (0-12)",IF(D1179&lt;=24,"شباب (13-24)",IF(D1179&lt;=44,"بالغون (25-44)",IF(D1179&lt;=64,"متوسطو العمر (45-64)","كبار السن (+65)"))))</f>
        <v>أطفال (0-12)</v>
      </c>
      <c r="T1179" s="41" t="n">
        <f aca="false">IFERROR(L1179/P1179,0)</f>
        <v>613.26</v>
      </c>
    </row>
    <row r="1180" customFormat="false" ht="15" hidden="false" customHeight="false" outlineLevel="0" collapsed="false">
      <c r="A1180" s="42" t="s">
        <v>306</v>
      </c>
      <c r="B1180" s="43" t="n">
        <v>45495</v>
      </c>
      <c r="C1180" s="43" t="n">
        <v>45500</v>
      </c>
      <c r="D1180" s="42" t="n">
        <v>52</v>
      </c>
      <c r="E1180" s="42" t="s">
        <v>139</v>
      </c>
      <c r="F1180" s="42" t="s">
        <v>181</v>
      </c>
      <c r="G1180" s="42" t="s">
        <v>188</v>
      </c>
      <c r="H1180" s="42" t="s">
        <v>245</v>
      </c>
      <c r="I1180" s="42" t="s">
        <v>152</v>
      </c>
      <c r="J1180" s="42" t="s">
        <v>159</v>
      </c>
      <c r="K1180" s="42" t="s">
        <v>160</v>
      </c>
      <c r="L1180" s="44" t="n">
        <v>12327.2</v>
      </c>
      <c r="M1180" s="42" t="n">
        <v>4</v>
      </c>
      <c r="N1180" s="42" t="s">
        <v>146</v>
      </c>
      <c r="O1180" s="42" t="s">
        <v>147</v>
      </c>
      <c r="P1180" s="39" t="n">
        <f aca="false">C1180-B1180</f>
        <v>5</v>
      </c>
      <c r="Q1180" s="40" t="str">
        <f aca="false">CHOOSE(MONTH(B1180),"يناير","فبراير","مارس","أبريل","مايو","يونيو","يوليو","أغسطس","سبتمبر","أكتوبر","نوفمبر","ديسمبر")</f>
        <v>يوليو</v>
      </c>
      <c r="R1180" s="40" t="str">
        <f aca="false">"الربع "&amp;ROUNDUP(MONTH(B1180)/3,0)</f>
        <v>الربع 3</v>
      </c>
      <c r="S1180" s="40" t="str">
        <f aca="false">IF(D1180&lt;=12,"أطفال (0-12)",IF(D1180&lt;=24,"شباب (13-24)",IF(D1180&lt;=44,"بالغون (25-44)",IF(D1180&lt;=64,"متوسطو العمر (45-64)","كبار السن (+65)"))))</f>
        <v>متوسطو العمر (45-64)</v>
      </c>
      <c r="T1180" s="41" t="n">
        <f aca="false">IFERROR(L1180/P1180,0)</f>
        <v>2465.44</v>
      </c>
    </row>
    <row r="1181" customFormat="false" ht="15" hidden="false" customHeight="false" outlineLevel="0" collapsed="false">
      <c r="A1181" s="33" t="s">
        <v>924</v>
      </c>
      <c r="B1181" s="34" t="n">
        <v>45495</v>
      </c>
      <c r="C1181" s="34" t="n">
        <v>45497</v>
      </c>
      <c r="D1181" s="33" t="n">
        <v>20</v>
      </c>
      <c r="E1181" s="33" t="s">
        <v>154</v>
      </c>
      <c r="F1181" s="33" t="s">
        <v>203</v>
      </c>
      <c r="G1181" s="33" t="s">
        <v>241</v>
      </c>
      <c r="H1181" s="33" t="s">
        <v>233</v>
      </c>
      <c r="I1181" s="33" t="s">
        <v>143</v>
      </c>
      <c r="J1181" s="33" t="s">
        <v>159</v>
      </c>
      <c r="K1181" s="33" t="s">
        <v>145</v>
      </c>
      <c r="L1181" s="35" t="n">
        <v>1911.83</v>
      </c>
      <c r="M1181" s="33" t="n">
        <v>4</v>
      </c>
      <c r="N1181" s="33" t="s">
        <v>146</v>
      </c>
      <c r="O1181" s="33" t="s">
        <v>147</v>
      </c>
      <c r="P1181" s="39" t="n">
        <f aca="false">C1181-B1181</f>
        <v>2</v>
      </c>
      <c r="Q1181" s="40" t="str">
        <f aca="false">CHOOSE(MONTH(B1181),"يناير","فبراير","مارس","أبريل","مايو","يونيو","يوليو","أغسطس","سبتمبر","أكتوبر","نوفمبر","ديسمبر")</f>
        <v>يوليو</v>
      </c>
      <c r="R1181" s="40" t="str">
        <f aca="false">"الربع "&amp;ROUNDUP(MONTH(B1181)/3,0)</f>
        <v>الربع 3</v>
      </c>
      <c r="S1181" s="40" t="str">
        <f aca="false">IF(D1181&lt;=12,"أطفال (0-12)",IF(D1181&lt;=24,"شباب (13-24)",IF(D1181&lt;=44,"بالغون (25-44)",IF(D1181&lt;=64,"متوسطو العمر (45-64)","كبار السن (+65)"))))</f>
        <v>شباب (13-24)</v>
      </c>
      <c r="T1181" s="41" t="n">
        <f aca="false">IFERROR(L1181/P1181,0)</f>
        <v>955.915</v>
      </c>
    </row>
    <row r="1182" customFormat="false" ht="15" hidden="false" customHeight="false" outlineLevel="0" collapsed="false">
      <c r="A1182" s="42" t="s">
        <v>1910</v>
      </c>
      <c r="B1182" s="43" t="n">
        <v>45495</v>
      </c>
      <c r="C1182" s="43" t="n">
        <v>45496</v>
      </c>
      <c r="D1182" s="42" t="n">
        <v>32</v>
      </c>
      <c r="E1182" s="42" t="s">
        <v>139</v>
      </c>
      <c r="F1182" s="42" t="s">
        <v>149</v>
      </c>
      <c r="G1182" s="42" t="s">
        <v>150</v>
      </c>
      <c r="H1182" s="42" t="s">
        <v>151</v>
      </c>
      <c r="I1182" s="42" t="s">
        <v>143</v>
      </c>
      <c r="J1182" s="42" t="s">
        <v>159</v>
      </c>
      <c r="K1182" s="42" t="s">
        <v>209</v>
      </c>
      <c r="L1182" s="44" t="n">
        <v>1681.94</v>
      </c>
      <c r="M1182" s="42" t="n">
        <v>4</v>
      </c>
      <c r="N1182" s="42" t="s">
        <v>146</v>
      </c>
      <c r="O1182" s="42" t="s">
        <v>147</v>
      </c>
      <c r="P1182" s="39" t="n">
        <f aca="false">C1182-B1182</f>
        <v>1</v>
      </c>
      <c r="Q1182" s="40" t="str">
        <f aca="false">CHOOSE(MONTH(B1182),"يناير","فبراير","مارس","أبريل","مايو","يونيو","يوليو","أغسطس","سبتمبر","أكتوبر","نوفمبر","ديسمبر")</f>
        <v>يوليو</v>
      </c>
      <c r="R1182" s="40" t="str">
        <f aca="false">"الربع "&amp;ROUNDUP(MONTH(B1182)/3,0)</f>
        <v>الربع 3</v>
      </c>
      <c r="S1182" s="40" t="str">
        <f aca="false">IF(D1182&lt;=12,"أطفال (0-12)",IF(D1182&lt;=24,"شباب (13-24)",IF(D1182&lt;=44,"بالغون (25-44)",IF(D1182&lt;=64,"متوسطو العمر (45-64)","كبار السن (+65)"))))</f>
        <v>بالغون (25-44)</v>
      </c>
      <c r="T1182" s="41" t="n">
        <f aca="false">IFERROR(L1182/P1182,0)</f>
        <v>1681.94</v>
      </c>
    </row>
    <row r="1183" customFormat="false" ht="15" hidden="false" customHeight="false" outlineLevel="0" collapsed="false">
      <c r="A1183" s="33" t="s">
        <v>1758</v>
      </c>
      <c r="B1183" s="34" t="n">
        <v>45495</v>
      </c>
      <c r="C1183" s="34" t="n">
        <v>45496</v>
      </c>
      <c r="D1183" s="33" t="n">
        <v>55</v>
      </c>
      <c r="E1183" s="33" t="s">
        <v>139</v>
      </c>
      <c r="F1183" s="33" t="s">
        <v>203</v>
      </c>
      <c r="G1183" s="33" t="s">
        <v>241</v>
      </c>
      <c r="H1183" s="33" t="s">
        <v>193</v>
      </c>
      <c r="I1183" s="33" t="s">
        <v>143</v>
      </c>
      <c r="J1183" s="33" t="s">
        <v>159</v>
      </c>
      <c r="K1183" s="33" t="s">
        <v>160</v>
      </c>
      <c r="L1183" s="35" t="n">
        <v>761.26</v>
      </c>
      <c r="M1183" s="33" t="n">
        <v>4</v>
      </c>
      <c r="N1183" s="33" t="s">
        <v>210</v>
      </c>
      <c r="O1183" s="33" t="s">
        <v>147</v>
      </c>
      <c r="P1183" s="39" t="n">
        <f aca="false">C1183-B1183</f>
        <v>1</v>
      </c>
      <c r="Q1183" s="40" t="str">
        <f aca="false">CHOOSE(MONTH(B1183),"يناير","فبراير","مارس","أبريل","مايو","يونيو","يوليو","أغسطس","سبتمبر","أكتوبر","نوفمبر","ديسمبر")</f>
        <v>يوليو</v>
      </c>
      <c r="R1183" s="40" t="str">
        <f aca="false">"الربع "&amp;ROUNDUP(MONTH(B1183)/3,0)</f>
        <v>الربع 3</v>
      </c>
      <c r="S1183" s="40" t="str">
        <f aca="false">IF(D1183&lt;=12,"أطفال (0-12)",IF(D1183&lt;=24,"شباب (13-24)",IF(D1183&lt;=44,"بالغون (25-44)",IF(D1183&lt;=64,"متوسطو العمر (45-64)","كبار السن (+65)"))))</f>
        <v>متوسطو العمر (45-64)</v>
      </c>
      <c r="T1183" s="41" t="n">
        <f aca="false">IFERROR(L1183/P1183,0)</f>
        <v>761.26</v>
      </c>
    </row>
    <row r="1184" customFormat="false" ht="15" hidden="false" customHeight="false" outlineLevel="0" collapsed="false">
      <c r="A1184" s="42" t="s">
        <v>764</v>
      </c>
      <c r="B1184" s="43" t="n">
        <v>45495</v>
      </c>
      <c r="C1184" s="43" t="n">
        <v>45496</v>
      </c>
      <c r="D1184" s="42" t="n">
        <v>45</v>
      </c>
      <c r="E1184" s="42" t="s">
        <v>154</v>
      </c>
      <c r="F1184" s="42" t="s">
        <v>203</v>
      </c>
      <c r="G1184" s="42" t="s">
        <v>204</v>
      </c>
      <c r="H1184" s="42" t="s">
        <v>233</v>
      </c>
      <c r="I1184" s="42" t="s">
        <v>143</v>
      </c>
      <c r="J1184" s="42" t="s">
        <v>144</v>
      </c>
      <c r="K1184" s="42" t="s">
        <v>145</v>
      </c>
      <c r="L1184" s="44" t="n">
        <v>1825.89</v>
      </c>
      <c r="M1184" s="42" t="n">
        <v>4</v>
      </c>
      <c r="N1184" s="42" t="s">
        <v>146</v>
      </c>
      <c r="O1184" s="42" t="s">
        <v>147</v>
      </c>
      <c r="P1184" s="39" t="n">
        <f aca="false">C1184-B1184</f>
        <v>1</v>
      </c>
      <c r="Q1184" s="40" t="str">
        <f aca="false">CHOOSE(MONTH(B1184),"يناير","فبراير","مارس","أبريل","مايو","يونيو","يوليو","أغسطس","سبتمبر","أكتوبر","نوفمبر","ديسمبر")</f>
        <v>يوليو</v>
      </c>
      <c r="R1184" s="40" t="str">
        <f aca="false">"الربع "&amp;ROUNDUP(MONTH(B1184)/3,0)</f>
        <v>الربع 3</v>
      </c>
      <c r="S1184" s="40" t="str">
        <f aca="false">IF(D1184&lt;=12,"أطفال (0-12)",IF(D1184&lt;=24,"شباب (13-24)",IF(D1184&lt;=44,"بالغون (25-44)",IF(D1184&lt;=64,"متوسطو العمر (45-64)","كبار السن (+65)"))))</f>
        <v>متوسطو العمر (45-64)</v>
      </c>
      <c r="T1184" s="41" t="n">
        <f aca="false">IFERROR(L1184/P1184,0)</f>
        <v>1825.89</v>
      </c>
    </row>
    <row r="1185" customFormat="false" ht="15" hidden="false" customHeight="false" outlineLevel="0" collapsed="false">
      <c r="A1185" s="33" t="s">
        <v>1484</v>
      </c>
      <c r="B1185" s="34" t="n">
        <v>45495</v>
      </c>
      <c r="C1185" s="34" t="n">
        <v>45496</v>
      </c>
      <c r="D1185" s="33" t="n">
        <v>53</v>
      </c>
      <c r="E1185" s="33" t="s">
        <v>139</v>
      </c>
      <c r="F1185" s="33" t="s">
        <v>181</v>
      </c>
      <c r="G1185" s="33" t="s">
        <v>182</v>
      </c>
      <c r="H1185" s="33" t="s">
        <v>245</v>
      </c>
      <c r="I1185" s="33" t="s">
        <v>143</v>
      </c>
      <c r="J1185" s="33" t="s">
        <v>144</v>
      </c>
      <c r="K1185" s="33" t="s">
        <v>145</v>
      </c>
      <c r="L1185" s="35" t="n">
        <v>4239.85</v>
      </c>
      <c r="M1185" s="33" t="n">
        <v>4</v>
      </c>
      <c r="N1185" s="33" t="s">
        <v>146</v>
      </c>
      <c r="O1185" s="33" t="s">
        <v>147</v>
      </c>
      <c r="P1185" s="39" t="n">
        <f aca="false">C1185-B1185</f>
        <v>1</v>
      </c>
      <c r="Q1185" s="40" t="str">
        <f aca="false">CHOOSE(MONTH(B1185),"يناير","فبراير","مارس","أبريل","مايو","يونيو","يوليو","أغسطس","سبتمبر","أكتوبر","نوفمبر","ديسمبر")</f>
        <v>يوليو</v>
      </c>
      <c r="R1185" s="40" t="str">
        <f aca="false">"الربع "&amp;ROUNDUP(MONTH(B1185)/3,0)</f>
        <v>الربع 3</v>
      </c>
      <c r="S1185" s="40" t="str">
        <f aca="false">IF(D1185&lt;=12,"أطفال (0-12)",IF(D1185&lt;=24,"شباب (13-24)",IF(D1185&lt;=44,"بالغون (25-44)",IF(D1185&lt;=64,"متوسطو العمر (45-64)","كبار السن (+65)"))))</f>
        <v>متوسطو العمر (45-64)</v>
      </c>
      <c r="T1185" s="41" t="n">
        <f aca="false">IFERROR(L1185/P1185,0)</f>
        <v>4239.85</v>
      </c>
    </row>
    <row r="1186" customFormat="false" ht="15" hidden="false" customHeight="false" outlineLevel="0" collapsed="false">
      <c r="A1186" s="42" t="s">
        <v>804</v>
      </c>
      <c r="B1186" s="43" t="n">
        <v>45495</v>
      </c>
      <c r="C1186" s="43" t="n">
        <v>45505</v>
      </c>
      <c r="D1186" s="42" t="n">
        <v>96</v>
      </c>
      <c r="E1186" s="42" t="s">
        <v>139</v>
      </c>
      <c r="F1186" s="42" t="s">
        <v>173</v>
      </c>
      <c r="G1186" s="42" t="s">
        <v>174</v>
      </c>
      <c r="H1186" s="42" t="s">
        <v>199</v>
      </c>
      <c r="I1186" s="42" t="s">
        <v>143</v>
      </c>
      <c r="J1186" s="42" t="s">
        <v>159</v>
      </c>
      <c r="K1186" s="42" t="s">
        <v>145</v>
      </c>
      <c r="L1186" s="44" t="n">
        <v>22540.83</v>
      </c>
      <c r="M1186" s="42" t="n">
        <v>4</v>
      </c>
      <c r="N1186" s="42" t="s">
        <v>146</v>
      </c>
      <c r="O1186" s="42" t="s">
        <v>147</v>
      </c>
      <c r="P1186" s="39" t="n">
        <f aca="false">C1186-B1186</f>
        <v>10</v>
      </c>
      <c r="Q1186" s="40" t="str">
        <f aca="false">CHOOSE(MONTH(B1186),"يناير","فبراير","مارس","أبريل","مايو","يونيو","يوليو","أغسطس","سبتمبر","أكتوبر","نوفمبر","ديسمبر")</f>
        <v>يوليو</v>
      </c>
      <c r="R1186" s="40" t="str">
        <f aca="false">"الربع "&amp;ROUNDUP(MONTH(B1186)/3,0)</f>
        <v>الربع 3</v>
      </c>
      <c r="S1186" s="40" t="str">
        <f aca="false">IF(D1186&lt;=12,"أطفال (0-12)",IF(D1186&lt;=24,"شباب (13-24)",IF(D1186&lt;=44,"بالغون (25-44)",IF(D1186&lt;=64,"متوسطو العمر (45-64)","كبار السن (+65)"))))</f>
        <v>كبار السن (+65)</v>
      </c>
      <c r="T1186" s="41" t="n">
        <f aca="false">IFERROR(L1186/P1186,0)</f>
        <v>2254.083</v>
      </c>
    </row>
    <row r="1187" customFormat="false" ht="15" hidden="false" customHeight="false" outlineLevel="0" collapsed="false">
      <c r="A1187" s="33" t="s">
        <v>884</v>
      </c>
      <c r="B1187" s="34" t="n">
        <v>45496</v>
      </c>
      <c r="C1187" s="34" t="n">
        <v>45500</v>
      </c>
      <c r="D1187" s="33" t="n">
        <v>65</v>
      </c>
      <c r="E1187" s="33" t="s">
        <v>154</v>
      </c>
      <c r="F1187" s="33" t="s">
        <v>226</v>
      </c>
      <c r="G1187" s="33" t="s">
        <v>258</v>
      </c>
      <c r="H1187" s="33" t="s">
        <v>228</v>
      </c>
      <c r="I1187" s="33" t="s">
        <v>143</v>
      </c>
      <c r="J1187" s="33" t="s">
        <v>144</v>
      </c>
      <c r="K1187" s="33" t="s">
        <v>145</v>
      </c>
      <c r="L1187" s="35" t="n">
        <v>22486.57</v>
      </c>
      <c r="M1187" s="33" t="n">
        <v>4</v>
      </c>
      <c r="N1187" s="33" t="s">
        <v>146</v>
      </c>
      <c r="O1187" s="33" t="s">
        <v>147</v>
      </c>
      <c r="P1187" s="39" t="n">
        <f aca="false">C1187-B1187</f>
        <v>4</v>
      </c>
      <c r="Q1187" s="40" t="str">
        <f aca="false">CHOOSE(MONTH(B1187),"يناير","فبراير","مارس","أبريل","مايو","يونيو","يوليو","أغسطس","سبتمبر","أكتوبر","نوفمبر","ديسمبر")</f>
        <v>يوليو</v>
      </c>
      <c r="R1187" s="40" t="str">
        <f aca="false">"الربع "&amp;ROUNDUP(MONTH(B1187)/3,0)</f>
        <v>الربع 3</v>
      </c>
      <c r="S1187" s="40" t="str">
        <f aca="false">IF(D1187&lt;=12,"أطفال (0-12)",IF(D1187&lt;=24,"شباب (13-24)",IF(D1187&lt;=44,"بالغون (25-44)",IF(D1187&lt;=64,"متوسطو العمر (45-64)","كبار السن (+65)"))))</f>
        <v>كبار السن (+65)</v>
      </c>
      <c r="T1187" s="41" t="n">
        <f aca="false">IFERROR(L1187/P1187,0)</f>
        <v>5621.6425</v>
      </c>
    </row>
    <row r="1188" customFormat="false" ht="15" hidden="false" customHeight="false" outlineLevel="0" collapsed="false">
      <c r="A1188" s="42" t="s">
        <v>784</v>
      </c>
      <c r="B1188" s="43" t="n">
        <v>45496</v>
      </c>
      <c r="C1188" s="43" t="n">
        <v>45502</v>
      </c>
      <c r="D1188" s="42" t="n">
        <v>44</v>
      </c>
      <c r="E1188" s="42" t="s">
        <v>139</v>
      </c>
      <c r="F1188" s="42" t="s">
        <v>169</v>
      </c>
      <c r="G1188" s="42" t="s">
        <v>170</v>
      </c>
      <c r="H1188" s="42" t="s">
        <v>195</v>
      </c>
      <c r="I1188" s="42" t="s">
        <v>152</v>
      </c>
      <c r="J1188" s="42" t="s">
        <v>159</v>
      </c>
      <c r="K1188" s="42" t="s">
        <v>145</v>
      </c>
      <c r="L1188" s="44" t="n">
        <v>5931.91</v>
      </c>
      <c r="M1188" s="42" t="n">
        <v>4</v>
      </c>
      <c r="N1188" s="42" t="s">
        <v>146</v>
      </c>
      <c r="O1188" s="42" t="s">
        <v>147</v>
      </c>
      <c r="P1188" s="39" t="n">
        <f aca="false">C1188-B1188</f>
        <v>6</v>
      </c>
      <c r="Q1188" s="40" t="str">
        <f aca="false">CHOOSE(MONTH(B1188),"يناير","فبراير","مارس","أبريل","مايو","يونيو","يوليو","أغسطس","سبتمبر","أكتوبر","نوفمبر","ديسمبر")</f>
        <v>يوليو</v>
      </c>
      <c r="R1188" s="40" t="str">
        <f aca="false">"الربع "&amp;ROUNDUP(MONTH(B1188)/3,0)</f>
        <v>الربع 3</v>
      </c>
      <c r="S1188" s="40" t="str">
        <f aca="false">IF(D1188&lt;=12,"أطفال (0-12)",IF(D1188&lt;=24,"شباب (13-24)",IF(D1188&lt;=44,"بالغون (25-44)",IF(D1188&lt;=64,"متوسطو العمر (45-64)","كبار السن (+65)"))))</f>
        <v>بالغون (25-44)</v>
      </c>
      <c r="T1188" s="41" t="n">
        <f aca="false">IFERROR(L1188/P1188,0)</f>
        <v>988.651666666667</v>
      </c>
    </row>
    <row r="1189" customFormat="false" ht="15" hidden="false" customHeight="false" outlineLevel="0" collapsed="false">
      <c r="A1189" s="33" t="s">
        <v>1797</v>
      </c>
      <c r="B1189" s="34" t="n">
        <v>45496</v>
      </c>
      <c r="C1189" s="34" t="n">
        <v>45510</v>
      </c>
      <c r="D1189" s="33" t="n">
        <v>49</v>
      </c>
      <c r="E1189" s="33" t="s">
        <v>139</v>
      </c>
      <c r="F1189" s="33" t="s">
        <v>181</v>
      </c>
      <c r="G1189" s="33" t="s">
        <v>188</v>
      </c>
      <c r="H1189" s="33" t="s">
        <v>183</v>
      </c>
      <c r="I1189" s="33" t="s">
        <v>143</v>
      </c>
      <c r="J1189" s="33" t="s">
        <v>144</v>
      </c>
      <c r="K1189" s="33" t="s">
        <v>184</v>
      </c>
      <c r="L1189" s="35" t="n">
        <v>51031.08</v>
      </c>
      <c r="M1189" s="33" t="n">
        <v>3</v>
      </c>
      <c r="N1189" s="33" t="s">
        <v>146</v>
      </c>
      <c r="O1189" s="33" t="s">
        <v>147</v>
      </c>
      <c r="P1189" s="39" t="n">
        <f aca="false">C1189-B1189</f>
        <v>14</v>
      </c>
      <c r="Q1189" s="40" t="str">
        <f aca="false">CHOOSE(MONTH(B1189),"يناير","فبراير","مارس","أبريل","مايو","يونيو","يوليو","أغسطس","سبتمبر","أكتوبر","نوفمبر","ديسمبر")</f>
        <v>يوليو</v>
      </c>
      <c r="R1189" s="40" t="str">
        <f aca="false">"الربع "&amp;ROUNDUP(MONTH(B1189)/3,0)</f>
        <v>الربع 3</v>
      </c>
      <c r="S1189" s="40" t="str">
        <f aca="false">IF(D1189&lt;=12,"أطفال (0-12)",IF(D1189&lt;=24,"شباب (13-24)",IF(D1189&lt;=44,"بالغون (25-44)",IF(D1189&lt;=64,"متوسطو العمر (45-64)","كبار السن (+65)"))))</f>
        <v>متوسطو العمر (45-64)</v>
      </c>
      <c r="T1189" s="41" t="n">
        <f aca="false">IFERROR(L1189/P1189,0)</f>
        <v>3645.07714285714</v>
      </c>
    </row>
    <row r="1190" customFormat="false" ht="15" hidden="false" customHeight="false" outlineLevel="0" collapsed="false">
      <c r="A1190" s="42" t="s">
        <v>1899</v>
      </c>
      <c r="B1190" s="43" t="n">
        <v>45497</v>
      </c>
      <c r="C1190" s="43" t="n">
        <v>45503</v>
      </c>
      <c r="D1190" s="42" t="n">
        <v>3</v>
      </c>
      <c r="E1190" s="42" t="s">
        <v>139</v>
      </c>
      <c r="F1190" s="42" t="s">
        <v>155</v>
      </c>
      <c r="G1190" s="42" t="s">
        <v>156</v>
      </c>
      <c r="H1190" s="42" t="s">
        <v>222</v>
      </c>
      <c r="I1190" s="42" t="s">
        <v>143</v>
      </c>
      <c r="J1190" s="42" t="s">
        <v>159</v>
      </c>
      <c r="K1190" s="42" t="s">
        <v>145</v>
      </c>
      <c r="L1190" s="44" t="n">
        <v>5313.18</v>
      </c>
      <c r="M1190" s="42" t="n">
        <v>3</v>
      </c>
      <c r="N1190" s="42" t="s">
        <v>146</v>
      </c>
      <c r="O1190" s="42" t="s">
        <v>147</v>
      </c>
      <c r="P1190" s="39" t="n">
        <f aca="false">C1190-B1190</f>
        <v>6</v>
      </c>
      <c r="Q1190" s="40" t="str">
        <f aca="false">CHOOSE(MONTH(B1190),"يناير","فبراير","مارس","أبريل","مايو","يونيو","يوليو","أغسطس","سبتمبر","أكتوبر","نوفمبر","ديسمبر")</f>
        <v>يوليو</v>
      </c>
      <c r="R1190" s="40" t="str">
        <f aca="false">"الربع "&amp;ROUNDUP(MONTH(B1190)/3,0)</f>
        <v>الربع 3</v>
      </c>
      <c r="S1190" s="40" t="str">
        <f aca="false">IF(D1190&lt;=12,"أطفال (0-12)",IF(D1190&lt;=24,"شباب (13-24)",IF(D1190&lt;=44,"بالغون (25-44)",IF(D1190&lt;=64,"متوسطو العمر (45-64)","كبار السن (+65)"))))</f>
        <v>أطفال (0-12)</v>
      </c>
      <c r="T1190" s="41" t="n">
        <f aca="false">IFERROR(L1190/P1190,0)</f>
        <v>885.53</v>
      </c>
    </row>
    <row r="1191" customFormat="false" ht="15" hidden="false" customHeight="false" outlineLevel="0" collapsed="false">
      <c r="A1191" s="33" t="s">
        <v>654</v>
      </c>
      <c r="B1191" s="34" t="n">
        <v>45497</v>
      </c>
      <c r="C1191" s="34" t="n">
        <v>45499</v>
      </c>
      <c r="D1191" s="33" t="n">
        <v>5</v>
      </c>
      <c r="E1191" s="33" t="s">
        <v>154</v>
      </c>
      <c r="F1191" s="33" t="s">
        <v>155</v>
      </c>
      <c r="G1191" s="33" t="s">
        <v>156</v>
      </c>
      <c r="H1191" s="33" t="s">
        <v>157</v>
      </c>
      <c r="I1191" s="33" t="s">
        <v>158</v>
      </c>
      <c r="J1191" s="33" t="s">
        <v>144</v>
      </c>
      <c r="K1191" s="33" t="s">
        <v>160</v>
      </c>
      <c r="L1191" s="35" t="n">
        <v>2376.32</v>
      </c>
      <c r="M1191" s="33" t="n">
        <v>4</v>
      </c>
      <c r="N1191" s="33" t="s">
        <v>146</v>
      </c>
      <c r="O1191" s="33" t="s">
        <v>147</v>
      </c>
      <c r="P1191" s="39" t="n">
        <f aca="false">C1191-B1191</f>
        <v>2</v>
      </c>
      <c r="Q1191" s="40" t="str">
        <f aca="false">CHOOSE(MONTH(B1191),"يناير","فبراير","مارس","أبريل","مايو","يونيو","يوليو","أغسطس","سبتمبر","أكتوبر","نوفمبر","ديسمبر")</f>
        <v>يوليو</v>
      </c>
      <c r="R1191" s="40" t="str">
        <f aca="false">"الربع "&amp;ROUNDUP(MONTH(B1191)/3,0)</f>
        <v>الربع 3</v>
      </c>
      <c r="S1191" s="40" t="str">
        <f aca="false">IF(D1191&lt;=12,"أطفال (0-12)",IF(D1191&lt;=24,"شباب (13-24)",IF(D1191&lt;=44,"بالغون (25-44)",IF(D1191&lt;=64,"متوسطو العمر (45-64)","كبار السن (+65)"))))</f>
        <v>أطفال (0-12)</v>
      </c>
      <c r="T1191" s="41" t="n">
        <f aca="false">IFERROR(L1191/P1191,0)</f>
        <v>1188.16</v>
      </c>
    </row>
    <row r="1192" customFormat="false" ht="15" hidden="false" customHeight="false" outlineLevel="0" collapsed="false">
      <c r="A1192" s="42" t="s">
        <v>1330</v>
      </c>
      <c r="B1192" s="43" t="n">
        <v>45497</v>
      </c>
      <c r="C1192" s="43" t="n">
        <v>45501</v>
      </c>
      <c r="D1192" s="42" t="n">
        <v>28</v>
      </c>
      <c r="E1192" s="42" t="s">
        <v>139</v>
      </c>
      <c r="F1192" s="42" t="s">
        <v>149</v>
      </c>
      <c r="G1192" s="42" t="s">
        <v>243</v>
      </c>
      <c r="H1192" s="42" t="s">
        <v>151</v>
      </c>
      <c r="I1192" s="42" t="s">
        <v>143</v>
      </c>
      <c r="J1192" s="42" t="s">
        <v>159</v>
      </c>
      <c r="K1192" s="42" t="s">
        <v>184</v>
      </c>
      <c r="L1192" s="44" t="n">
        <v>4898.38</v>
      </c>
      <c r="M1192" s="42" t="n">
        <v>3</v>
      </c>
      <c r="N1192" s="42" t="s">
        <v>146</v>
      </c>
      <c r="O1192" s="42" t="s">
        <v>147</v>
      </c>
      <c r="P1192" s="39" t="n">
        <f aca="false">C1192-B1192</f>
        <v>4</v>
      </c>
      <c r="Q1192" s="40" t="str">
        <f aca="false">CHOOSE(MONTH(B1192),"يناير","فبراير","مارس","أبريل","مايو","يونيو","يوليو","أغسطس","سبتمبر","أكتوبر","نوفمبر","ديسمبر")</f>
        <v>يوليو</v>
      </c>
      <c r="R1192" s="40" t="str">
        <f aca="false">"الربع "&amp;ROUNDUP(MONTH(B1192)/3,0)</f>
        <v>الربع 3</v>
      </c>
      <c r="S1192" s="40" t="str">
        <f aca="false">IF(D1192&lt;=12,"أطفال (0-12)",IF(D1192&lt;=24,"شباب (13-24)",IF(D1192&lt;=44,"بالغون (25-44)",IF(D1192&lt;=64,"متوسطو العمر (45-64)","كبار السن (+65)"))))</f>
        <v>بالغون (25-44)</v>
      </c>
      <c r="T1192" s="41" t="n">
        <f aca="false">IFERROR(L1192/P1192,0)</f>
        <v>1224.595</v>
      </c>
    </row>
    <row r="1193" customFormat="false" ht="15" hidden="false" customHeight="false" outlineLevel="0" collapsed="false">
      <c r="A1193" s="33" t="s">
        <v>1017</v>
      </c>
      <c r="B1193" s="34" t="n">
        <v>45497</v>
      </c>
      <c r="C1193" s="34" t="n">
        <v>45500</v>
      </c>
      <c r="D1193" s="33" t="n">
        <v>10</v>
      </c>
      <c r="E1193" s="33" t="s">
        <v>139</v>
      </c>
      <c r="F1193" s="33" t="s">
        <v>155</v>
      </c>
      <c r="G1193" s="33" t="s">
        <v>220</v>
      </c>
      <c r="H1193" s="33" t="s">
        <v>157</v>
      </c>
      <c r="I1193" s="33" t="s">
        <v>152</v>
      </c>
      <c r="J1193" s="33" t="s">
        <v>159</v>
      </c>
      <c r="K1193" s="33" t="s">
        <v>184</v>
      </c>
      <c r="L1193" s="35" t="n">
        <v>2849.32</v>
      </c>
      <c r="M1193" s="33" t="n">
        <v>4</v>
      </c>
      <c r="N1193" s="33" t="s">
        <v>146</v>
      </c>
      <c r="O1193" s="33" t="s">
        <v>147</v>
      </c>
      <c r="P1193" s="39" t="n">
        <f aca="false">C1193-B1193</f>
        <v>3</v>
      </c>
      <c r="Q1193" s="40" t="str">
        <f aca="false">CHOOSE(MONTH(B1193),"يناير","فبراير","مارس","أبريل","مايو","يونيو","يوليو","أغسطس","سبتمبر","أكتوبر","نوفمبر","ديسمبر")</f>
        <v>يوليو</v>
      </c>
      <c r="R1193" s="40" t="str">
        <f aca="false">"الربع "&amp;ROUNDUP(MONTH(B1193)/3,0)</f>
        <v>الربع 3</v>
      </c>
      <c r="S1193" s="40" t="str">
        <f aca="false">IF(D1193&lt;=12,"أطفال (0-12)",IF(D1193&lt;=24,"شباب (13-24)",IF(D1193&lt;=44,"بالغون (25-44)",IF(D1193&lt;=64,"متوسطو العمر (45-64)","كبار السن (+65)"))))</f>
        <v>أطفال (0-12)</v>
      </c>
      <c r="T1193" s="41" t="n">
        <f aca="false">IFERROR(L1193/P1193,0)</f>
        <v>949.773333333333</v>
      </c>
    </row>
    <row r="1194" customFormat="false" ht="15" hidden="false" customHeight="false" outlineLevel="0" collapsed="false">
      <c r="A1194" s="42" t="s">
        <v>2057</v>
      </c>
      <c r="B1194" s="43" t="n">
        <v>45498</v>
      </c>
      <c r="C1194" s="43" t="n">
        <v>45504</v>
      </c>
      <c r="D1194" s="42" t="n">
        <v>44</v>
      </c>
      <c r="E1194" s="42" t="s">
        <v>139</v>
      </c>
      <c r="F1194" s="42" t="s">
        <v>169</v>
      </c>
      <c r="G1194" s="42" t="s">
        <v>230</v>
      </c>
      <c r="H1194" s="42" t="s">
        <v>164</v>
      </c>
      <c r="I1194" s="42" t="s">
        <v>143</v>
      </c>
      <c r="J1194" s="42" t="s">
        <v>159</v>
      </c>
      <c r="K1194" s="42" t="s">
        <v>145</v>
      </c>
      <c r="L1194" s="44" t="n">
        <v>5974.33</v>
      </c>
      <c r="M1194" s="42" t="n">
        <v>4</v>
      </c>
      <c r="N1194" s="42" t="s">
        <v>146</v>
      </c>
      <c r="O1194" s="42" t="s">
        <v>147</v>
      </c>
      <c r="P1194" s="39" t="n">
        <f aca="false">C1194-B1194</f>
        <v>6</v>
      </c>
      <c r="Q1194" s="40" t="str">
        <f aca="false">CHOOSE(MONTH(B1194),"يناير","فبراير","مارس","أبريل","مايو","يونيو","يوليو","أغسطس","سبتمبر","أكتوبر","نوفمبر","ديسمبر")</f>
        <v>يوليو</v>
      </c>
      <c r="R1194" s="40" t="str">
        <f aca="false">"الربع "&amp;ROUNDUP(MONTH(B1194)/3,0)</f>
        <v>الربع 3</v>
      </c>
      <c r="S1194" s="40" t="str">
        <f aca="false">IF(D1194&lt;=12,"أطفال (0-12)",IF(D1194&lt;=24,"شباب (13-24)",IF(D1194&lt;=44,"بالغون (25-44)",IF(D1194&lt;=64,"متوسطو العمر (45-64)","كبار السن (+65)"))))</f>
        <v>بالغون (25-44)</v>
      </c>
      <c r="T1194" s="41" t="n">
        <f aca="false">IFERROR(L1194/P1194,0)</f>
        <v>995.721666666667</v>
      </c>
    </row>
    <row r="1195" customFormat="false" ht="15" hidden="false" customHeight="false" outlineLevel="0" collapsed="false">
      <c r="A1195" s="33" t="s">
        <v>831</v>
      </c>
      <c r="B1195" s="34" t="n">
        <v>45498</v>
      </c>
      <c r="C1195" s="34" t="n">
        <v>45503</v>
      </c>
      <c r="D1195" s="33" t="n">
        <v>6</v>
      </c>
      <c r="E1195" s="33" t="s">
        <v>139</v>
      </c>
      <c r="F1195" s="33" t="s">
        <v>155</v>
      </c>
      <c r="G1195" s="33" t="s">
        <v>220</v>
      </c>
      <c r="H1195" s="33" t="s">
        <v>222</v>
      </c>
      <c r="I1195" s="33" t="s">
        <v>143</v>
      </c>
      <c r="J1195" s="33" t="s">
        <v>144</v>
      </c>
      <c r="K1195" s="33" t="s">
        <v>184</v>
      </c>
      <c r="L1195" s="35" t="n">
        <v>6702.59</v>
      </c>
      <c r="M1195" s="33" t="n">
        <v>4</v>
      </c>
      <c r="N1195" s="33" t="s">
        <v>146</v>
      </c>
      <c r="O1195" s="33" t="s">
        <v>147</v>
      </c>
      <c r="P1195" s="39" t="n">
        <f aca="false">C1195-B1195</f>
        <v>5</v>
      </c>
      <c r="Q1195" s="40" t="str">
        <f aca="false">CHOOSE(MONTH(B1195),"يناير","فبراير","مارس","أبريل","مايو","يونيو","يوليو","أغسطس","سبتمبر","أكتوبر","نوفمبر","ديسمبر")</f>
        <v>يوليو</v>
      </c>
      <c r="R1195" s="40" t="str">
        <f aca="false">"الربع "&amp;ROUNDUP(MONTH(B1195)/3,0)</f>
        <v>الربع 3</v>
      </c>
      <c r="S1195" s="40" t="str">
        <f aca="false">IF(D1195&lt;=12,"أطفال (0-12)",IF(D1195&lt;=24,"شباب (13-24)",IF(D1195&lt;=44,"بالغون (25-44)",IF(D1195&lt;=64,"متوسطو العمر (45-64)","كبار السن (+65)"))))</f>
        <v>أطفال (0-12)</v>
      </c>
      <c r="T1195" s="41" t="n">
        <f aca="false">IFERROR(L1195/P1195,0)</f>
        <v>1340.518</v>
      </c>
    </row>
    <row r="1196" customFormat="false" ht="15" hidden="false" customHeight="false" outlineLevel="0" collapsed="false">
      <c r="A1196" s="42" t="s">
        <v>1162</v>
      </c>
      <c r="B1196" s="43" t="n">
        <v>45498</v>
      </c>
      <c r="C1196" s="43" t="n">
        <v>45507</v>
      </c>
      <c r="D1196" s="42" t="n">
        <v>41</v>
      </c>
      <c r="E1196" s="42" t="s">
        <v>154</v>
      </c>
      <c r="F1196" s="42" t="s">
        <v>173</v>
      </c>
      <c r="G1196" s="42" t="s">
        <v>174</v>
      </c>
      <c r="H1196" s="42" t="s">
        <v>175</v>
      </c>
      <c r="I1196" s="42" t="s">
        <v>152</v>
      </c>
      <c r="J1196" s="42" t="s">
        <v>159</v>
      </c>
      <c r="K1196" s="42" t="s">
        <v>209</v>
      </c>
      <c r="L1196" s="44" t="n">
        <v>23653.16</v>
      </c>
      <c r="M1196" s="42" t="n">
        <v>4</v>
      </c>
      <c r="N1196" s="42" t="s">
        <v>146</v>
      </c>
      <c r="O1196" s="42" t="s">
        <v>247</v>
      </c>
      <c r="P1196" s="39" t="n">
        <f aca="false">C1196-B1196</f>
        <v>9</v>
      </c>
      <c r="Q1196" s="40" t="str">
        <f aca="false">CHOOSE(MONTH(B1196),"يناير","فبراير","مارس","أبريل","مايو","يونيو","يوليو","أغسطس","سبتمبر","أكتوبر","نوفمبر","ديسمبر")</f>
        <v>يوليو</v>
      </c>
      <c r="R1196" s="40" t="str">
        <f aca="false">"الربع "&amp;ROUNDUP(MONTH(B1196)/3,0)</f>
        <v>الربع 3</v>
      </c>
      <c r="S1196" s="40" t="str">
        <f aca="false">IF(D1196&lt;=12,"أطفال (0-12)",IF(D1196&lt;=24,"شباب (13-24)",IF(D1196&lt;=44,"بالغون (25-44)",IF(D1196&lt;=64,"متوسطو العمر (45-64)","كبار السن (+65)"))))</f>
        <v>بالغون (25-44)</v>
      </c>
      <c r="T1196" s="41" t="n">
        <f aca="false">IFERROR(L1196/P1196,0)</f>
        <v>2628.12888888889</v>
      </c>
    </row>
    <row r="1197" customFormat="false" ht="15" hidden="false" customHeight="false" outlineLevel="0" collapsed="false">
      <c r="A1197" s="33" t="s">
        <v>809</v>
      </c>
      <c r="B1197" s="34" t="n">
        <v>45498</v>
      </c>
      <c r="C1197" s="34" t="n">
        <v>45501</v>
      </c>
      <c r="D1197" s="33" t="n">
        <v>29</v>
      </c>
      <c r="E1197" s="33" t="s">
        <v>139</v>
      </c>
      <c r="F1197" s="33" t="s">
        <v>149</v>
      </c>
      <c r="G1197" s="33" t="s">
        <v>150</v>
      </c>
      <c r="H1197" s="33" t="s">
        <v>151</v>
      </c>
      <c r="I1197" s="33" t="s">
        <v>152</v>
      </c>
      <c r="J1197" s="33" t="s">
        <v>159</v>
      </c>
      <c r="K1197" s="33" t="s">
        <v>184</v>
      </c>
      <c r="L1197" s="35" t="n">
        <v>4917.21</v>
      </c>
      <c r="M1197" s="33" t="n">
        <v>2</v>
      </c>
      <c r="N1197" s="33" t="s">
        <v>146</v>
      </c>
      <c r="O1197" s="33" t="s">
        <v>147</v>
      </c>
      <c r="P1197" s="39" t="n">
        <f aca="false">C1197-B1197</f>
        <v>3</v>
      </c>
      <c r="Q1197" s="40" t="str">
        <f aca="false">CHOOSE(MONTH(B1197),"يناير","فبراير","مارس","أبريل","مايو","يونيو","يوليو","أغسطس","سبتمبر","أكتوبر","نوفمبر","ديسمبر")</f>
        <v>يوليو</v>
      </c>
      <c r="R1197" s="40" t="str">
        <f aca="false">"الربع "&amp;ROUNDUP(MONTH(B1197)/3,0)</f>
        <v>الربع 3</v>
      </c>
      <c r="S1197" s="40" t="str">
        <f aca="false">IF(D1197&lt;=12,"أطفال (0-12)",IF(D1197&lt;=24,"شباب (13-24)",IF(D1197&lt;=44,"بالغون (25-44)",IF(D1197&lt;=64,"متوسطو العمر (45-64)","كبار السن (+65)"))))</f>
        <v>بالغون (25-44)</v>
      </c>
      <c r="T1197" s="41" t="n">
        <f aca="false">IFERROR(L1197/P1197,0)</f>
        <v>1639.07</v>
      </c>
    </row>
    <row r="1198" customFormat="false" ht="15" hidden="false" customHeight="false" outlineLevel="0" collapsed="false">
      <c r="A1198" s="42" t="s">
        <v>398</v>
      </c>
      <c r="B1198" s="43" t="n">
        <v>45498</v>
      </c>
      <c r="C1198" s="43" t="n">
        <v>45499</v>
      </c>
      <c r="D1198" s="42" t="n">
        <v>6</v>
      </c>
      <c r="E1198" s="42" t="s">
        <v>139</v>
      </c>
      <c r="F1198" s="42" t="s">
        <v>155</v>
      </c>
      <c r="G1198" s="42" t="s">
        <v>156</v>
      </c>
      <c r="H1198" s="42" t="s">
        <v>222</v>
      </c>
      <c r="I1198" s="42" t="s">
        <v>143</v>
      </c>
      <c r="J1198" s="42" t="s">
        <v>176</v>
      </c>
      <c r="K1198" s="42" t="s">
        <v>145</v>
      </c>
      <c r="L1198" s="44" t="n">
        <v>3034.95</v>
      </c>
      <c r="M1198" s="42" t="n">
        <v>4</v>
      </c>
      <c r="N1198" s="42" t="s">
        <v>146</v>
      </c>
      <c r="O1198" s="42" t="s">
        <v>247</v>
      </c>
      <c r="P1198" s="39" t="n">
        <f aca="false">C1198-B1198</f>
        <v>1</v>
      </c>
      <c r="Q1198" s="40" t="str">
        <f aca="false">CHOOSE(MONTH(B1198),"يناير","فبراير","مارس","أبريل","مايو","يونيو","يوليو","أغسطس","سبتمبر","أكتوبر","نوفمبر","ديسمبر")</f>
        <v>يوليو</v>
      </c>
      <c r="R1198" s="40" t="str">
        <f aca="false">"الربع "&amp;ROUNDUP(MONTH(B1198)/3,0)</f>
        <v>الربع 3</v>
      </c>
      <c r="S1198" s="40" t="str">
        <f aca="false">IF(D1198&lt;=12,"أطفال (0-12)",IF(D1198&lt;=24,"شباب (13-24)",IF(D1198&lt;=44,"بالغون (25-44)",IF(D1198&lt;=64,"متوسطو العمر (45-64)","كبار السن (+65)"))))</f>
        <v>أطفال (0-12)</v>
      </c>
      <c r="T1198" s="41" t="n">
        <f aca="false">IFERROR(L1198/P1198,0)</f>
        <v>3034.95</v>
      </c>
    </row>
    <row r="1199" customFormat="false" ht="15" hidden="false" customHeight="false" outlineLevel="0" collapsed="false">
      <c r="A1199" s="33" t="s">
        <v>1229</v>
      </c>
      <c r="B1199" s="34" t="n">
        <v>45499</v>
      </c>
      <c r="C1199" s="34" t="n">
        <v>45507</v>
      </c>
      <c r="D1199" s="33" t="n">
        <v>42</v>
      </c>
      <c r="E1199" s="33" t="s">
        <v>154</v>
      </c>
      <c r="F1199" s="33" t="s">
        <v>140</v>
      </c>
      <c r="G1199" s="33" t="s">
        <v>316</v>
      </c>
      <c r="H1199" s="33" t="s">
        <v>290</v>
      </c>
      <c r="I1199" s="33" t="s">
        <v>152</v>
      </c>
      <c r="J1199" s="33" t="s">
        <v>144</v>
      </c>
      <c r="K1199" s="33" t="s">
        <v>145</v>
      </c>
      <c r="L1199" s="35" t="n">
        <v>24982.42</v>
      </c>
      <c r="M1199" s="33" t="n">
        <v>3</v>
      </c>
      <c r="N1199" s="33" t="s">
        <v>146</v>
      </c>
      <c r="O1199" s="33" t="s">
        <v>147</v>
      </c>
      <c r="P1199" s="39" t="n">
        <f aca="false">C1199-B1199</f>
        <v>8</v>
      </c>
      <c r="Q1199" s="40" t="str">
        <f aca="false">CHOOSE(MONTH(B1199),"يناير","فبراير","مارس","أبريل","مايو","يونيو","يوليو","أغسطس","سبتمبر","أكتوبر","نوفمبر","ديسمبر")</f>
        <v>يوليو</v>
      </c>
      <c r="R1199" s="40" t="str">
        <f aca="false">"الربع "&amp;ROUNDUP(MONTH(B1199)/3,0)</f>
        <v>الربع 3</v>
      </c>
      <c r="S1199" s="40" t="str">
        <f aca="false">IF(D1199&lt;=12,"أطفال (0-12)",IF(D1199&lt;=24,"شباب (13-24)",IF(D1199&lt;=44,"بالغون (25-44)",IF(D1199&lt;=64,"متوسطو العمر (45-64)","كبار السن (+65)"))))</f>
        <v>بالغون (25-44)</v>
      </c>
      <c r="T1199" s="41" t="n">
        <f aca="false">IFERROR(L1199/P1199,0)</f>
        <v>3122.8025</v>
      </c>
    </row>
    <row r="1200" customFormat="false" ht="15" hidden="false" customHeight="false" outlineLevel="0" collapsed="false">
      <c r="A1200" s="42" t="s">
        <v>2133</v>
      </c>
      <c r="B1200" s="43" t="n">
        <v>45499</v>
      </c>
      <c r="C1200" s="43" t="n">
        <v>45505</v>
      </c>
      <c r="D1200" s="42" t="n">
        <v>29</v>
      </c>
      <c r="E1200" s="42" t="s">
        <v>139</v>
      </c>
      <c r="F1200" s="42" t="s">
        <v>169</v>
      </c>
      <c r="G1200" s="42" t="s">
        <v>170</v>
      </c>
      <c r="H1200" s="42" t="s">
        <v>195</v>
      </c>
      <c r="I1200" s="42" t="s">
        <v>152</v>
      </c>
      <c r="J1200" s="42" t="s">
        <v>144</v>
      </c>
      <c r="K1200" s="42" t="s">
        <v>160</v>
      </c>
      <c r="L1200" s="44" t="n">
        <v>11143.06</v>
      </c>
      <c r="M1200" s="42" t="n">
        <v>3</v>
      </c>
      <c r="N1200" s="42" t="s">
        <v>146</v>
      </c>
      <c r="O1200" s="42" t="s">
        <v>147</v>
      </c>
      <c r="P1200" s="39" t="n">
        <f aca="false">C1200-B1200</f>
        <v>6</v>
      </c>
      <c r="Q1200" s="40" t="str">
        <f aca="false">CHOOSE(MONTH(B1200),"يناير","فبراير","مارس","أبريل","مايو","يونيو","يوليو","أغسطس","سبتمبر","أكتوبر","نوفمبر","ديسمبر")</f>
        <v>يوليو</v>
      </c>
      <c r="R1200" s="40" t="str">
        <f aca="false">"الربع "&amp;ROUNDUP(MONTH(B1200)/3,0)</f>
        <v>الربع 3</v>
      </c>
      <c r="S1200" s="40" t="str">
        <f aca="false">IF(D1200&lt;=12,"أطفال (0-12)",IF(D1200&lt;=24,"شباب (13-24)",IF(D1200&lt;=44,"بالغون (25-44)",IF(D1200&lt;=64,"متوسطو العمر (45-64)","كبار السن (+65)"))))</f>
        <v>بالغون (25-44)</v>
      </c>
      <c r="T1200" s="41" t="n">
        <f aca="false">IFERROR(L1200/P1200,0)</f>
        <v>1857.17666666667</v>
      </c>
    </row>
    <row r="1201" customFormat="false" ht="15" hidden="false" customHeight="false" outlineLevel="0" collapsed="false">
      <c r="A1201" s="33" t="s">
        <v>2084</v>
      </c>
      <c r="B1201" s="34" t="n">
        <v>45499</v>
      </c>
      <c r="C1201" s="34" t="n">
        <v>45504</v>
      </c>
      <c r="D1201" s="33" t="n">
        <v>19</v>
      </c>
      <c r="E1201" s="33" t="s">
        <v>154</v>
      </c>
      <c r="F1201" s="33" t="s">
        <v>173</v>
      </c>
      <c r="G1201" s="33" t="s">
        <v>178</v>
      </c>
      <c r="H1201" s="33" t="s">
        <v>175</v>
      </c>
      <c r="I1201" s="33" t="s">
        <v>143</v>
      </c>
      <c r="J1201" s="33" t="s">
        <v>159</v>
      </c>
      <c r="K1201" s="33" t="s">
        <v>145</v>
      </c>
      <c r="L1201" s="35" t="n">
        <v>13763.82</v>
      </c>
      <c r="M1201" s="33" t="n">
        <v>4</v>
      </c>
      <c r="N1201" s="33" t="s">
        <v>210</v>
      </c>
      <c r="O1201" s="33" t="s">
        <v>147</v>
      </c>
      <c r="P1201" s="39" t="n">
        <f aca="false">C1201-B1201</f>
        <v>5</v>
      </c>
      <c r="Q1201" s="40" t="str">
        <f aca="false">CHOOSE(MONTH(B1201),"يناير","فبراير","مارس","أبريل","مايو","يونيو","يوليو","أغسطس","سبتمبر","أكتوبر","نوفمبر","ديسمبر")</f>
        <v>يوليو</v>
      </c>
      <c r="R1201" s="40" t="str">
        <f aca="false">"الربع "&amp;ROUNDUP(MONTH(B1201)/3,0)</f>
        <v>الربع 3</v>
      </c>
      <c r="S1201" s="40" t="str">
        <f aca="false">IF(D1201&lt;=12,"أطفال (0-12)",IF(D1201&lt;=24,"شباب (13-24)",IF(D1201&lt;=44,"بالغون (25-44)",IF(D1201&lt;=64,"متوسطو العمر (45-64)","كبار السن (+65)"))))</f>
        <v>شباب (13-24)</v>
      </c>
      <c r="T1201" s="41" t="n">
        <f aca="false">IFERROR(L1201/P1201,0)</f>
        <v>2752.764</v>
      </c>
    </row>
    <row r="1202" customFormat="false" ht="15" hidden="false" customHeight="false" outlineLevel="0" collapsed="false">
      <c r="A1202" s="42" t="s">
        <v>1399</v>
      </c>
      <c r="B1202" s="43" t="n">
        <v>45499</v>
      </c>
      <c r="C1202" s="43" t="n">
        <v>45502</v>
      </c>
      <c r="D1202" s="42" t="n">
        <v>28</v>
      </c>
      <c r="E1202" s="42" t="s">
        <v>154</v>
      </c>
      <c r="F1202" s="42" t="s">
        <v>169</v>
      </c>
      <c r="G1202" s="42" t="s">
        <v>230</v>
      </c>
      <c r="H1202" s="42" t="s">
        <v>171</v>
      </c>
      <c r="I1202" s="42" t="s">
        <v>152</v>
      </c>
      <c r="J1202" s="42" t="s">
        <v>176</v>
      </c>
      <c r="K1202" s="42" t="s">
        <v>209</v>
      </c>
      <c r="L1202" s="44" t="n">
        <v>10275.36</v>
      </c>
      <c r="M1202" s="42" t="n">
        <v>4</v>
      </c>
      <c r="N1202" s="42" t="s">
        <v>146</v>
      </c>
      <c r="O1202" s="42" t="s">
        <v>147</v>
      </c>
      <c r="P1202" s="39" t="n">
        <f aca="false">C1202-B1202</f>
        <v>3</v>
      </c>
      <c r="Q1202" s="40" t="str">
        <f aca="false">CHOOSE(MONTH(B1202),"يناير","فبراير","مارس","أبريل","مايو","يونيو","يوليو","أغسطس","سبتمبر","أكتوبر","نوفمبر","ديسمبر")</f>
        <v>يوليو</v>
      </c>
      <c r="R1202" s="40" t="str">
        <f aca="false">"الربع "&amp;ROUNDUP(MONTH(B1202)/3,0)</f>
        <v>الربع 3</v>
      </c>
      <c r="S1202" s="40" t="str">
        <f aca="false">IF(D1202&lt;=12,"أطفال (0-12)",IF(D1202&lt;=24,"شباب (13-24)",IF(D1202&lt;=44,"بالغون (25-44)",IF(D1202&lt;=64,"متوسطو العمر (45-64)","كبار السن (+65)"))))</f>
        <v>بالغون (25-44)</v>
      </c>
      <c r="T1202" s="41" t="n">
        <f aca="false">IFERROR(L1202/P1202,0)</f>
        <v>3425.12</v>
      </c>
    </row>
    <row r="1203" customFormat="false" ht="15" hidden="false" customHeight="false" outlineLevel="0" collapsed="false">
      <c r="A1203" s="33" t="s">
        <v>1456</v>
      </c>
      <c r="B1203" s="34" t="n">
        <v>45500</v>
      </c>
      <c r="C1203" s="34" t="n">
        <v>45504</v>
      </c>
      <c r="D1203" s="33" t="n">
        <v>55</v>
      </c>
      <c r="E1203" s="33" t="s">
        <v>154</v>
      </c>
      <c r="F1203" s="33" t="s">
        <v>181</v>
      </c>
      <c r="G1203" s="33" t="s">
        <v>182</v>
      </c>
      <c r="H1203" s="33" t="s">
        <v>183</v>
      </c>
      <c r="I1203" s="33" t="s">
        <v>143</v>
      </c>
      <c r="J1203" s="33" t="s">
        <v>144</v>
      </c>
      <c r="K1203" s="33" t="s">
        <v>209</v>
      </c>
      <c r="L1203" s="35" t="n">
        <v>19199.51</v>
      </c>
      <c r="M1203" s="33" t="n">
        <v>4</v>
      </c>
      <c r="N1203" s="33" t="s">
        <v>146</v>
      </c>
      <c r="O1203" s="33" t="s">
        <v>147</v>
      </c>
      <c r="P1203" s="39" t="n">
        <f aca="false">C1203-B1203</f>
        <v>4</v>
      </c>
      <c r="Q1203" s="40" t="str">
        <f aca="false">CHOOSE(MONTH(B1203),"يناير","فبراير","مارس","أبريل","مايو","يونيو","يوليو","أغسطس","سبتمبر","أكتوبر","نوفمبر","ديسمبر")</f>
        <v>يوليو</v>
      </c>
      <c r="R1203" s="40" t="str">
        <f aca="false">"الربع "&amp;ROUNDUP(MONTH(B1203)/3,0)</f>
        <v>الربع 3</v>
      </c>
      <c r="S1203" s="40" t="str">
        <f aca="false">IF(D1203&lt;=12,"أطفال (0-12)",IF(D1203&lt;=24,"شباب (13-24)",IF(D1203&lt;=44,"بالغون (25-44)",IF(D1203&lt;=64,"متوسطو العمر (45-64)","كبار السن (+65)"))))</f>
        <v>متوسطو العمر (45-64)</v>
      </c>
      <c r="T1203" s="41" t="n">
        <f aca="false">IFERROR(L1203/P1203,0)</f>
        <v>4799.8775</v>
      </c>
    </row>
    <row r="1204" customFormat="false" ht="15" hidden="false" customHeight="false" outlineLevel="0" collapsed="false">
      <c r="A1204" s="42" t="s">
        <v>750</v>
      </c>
      <c r="B1204" s="43" t="n">
        <v>45500</v>
      </c>
      <c r="C1204" s="43" t="n">
        <v>45501</v>
      </c>
      <c r="D1204" s="42" t="n">
        <v>35</v>
      </c>
      <c r="E1204" s="42" t="s">
        <v>139</v>
      </c>
      <c r="F1204" s="42" t="s">
        <v>203</v>
      </c>
      <c r="G1204" s="42" t="s">
        <v>232</v>
      </c>
      <c r="H1204" s="42" t="s">
        <v>205</v>
      </c>
      <c r="I1204" s="42" t="s">
        <v>143</v>
      </c>
      <c r="J1204" s="42" t="s">
        <v>159</v>
      </c>
      <c r="K1204" s="42" t="s">
        <v>145</v>
      </c>
      <c r="L1204" s="44" t="n">
        <v>893.6</v>
      </c>
      <c r="M1204" s="42" t="n">
        <v>3</v>
      </c>
      <c r="N1204" s="42" t="s">
        <v>146</v>
      </c>
      <c r="O1204" s="42" t="s">
        <v>147</v>
      </c>
      <c r="P1204" s="39" t="n">
        <f aca="false">C1204-B1204</f>
        <v>1</v>
      </c>
      <c r="Q1204" s="40" t="str">
        <f aca="false">CHOOSE(MONTH(B1204),"يناير","فبراير","مارس","أبريل","مايو","يونيو","يوليو","أغسطس","سبتمبر","أكتوبر","نوفمبر","ديسمبر")</f>
        <v>يوليو</v>
      </c>
      <c r="R1204" s="40" t="str">
        <f aca="false">"الربع "&amp;ROUNDUP(MONTH(B1204)/3,0)</f>
        <v>الربع 3</v>
      </c>
      <c r="S1204" s="40" t="str">
        <f aca="false">IF(D1204&lt;=12,"أطفال (0-12)",IF(D1204&lt;=24,"شباب (13-24)",IF(D1204&lt;=44,"بالغون (25-44)",IF(D1204&lt;=64,"متوسطو العمر (45-64)","كبار السن (+65)"))))</f>
        <v>بالغون (25-44)</v>
      </c>
      <c r="T1204" s="41" t="n">
        <f aca="false">IFERROR(L1204/P1204,0)</f>
        <v>893.6</v>
      </c>
    </row>
    <row r="1205" customFormat="false" ht="15" hidden="false" customHeight="false" outlineLevel="0" collapsed="false">
      <c r="A1205" s="33" t="s">
        <v>790</v>
      </c>
      <c r="B1205" s="34" t="n">
        <v>45500</v>
      </c>
      <c r="C1205" s="34" t="n">
        <v>45501</v>
      </c>
      <c r="D1205" s="33" t="n">
        <v>68</v>
      </c>
      <c r="E1205" s="33" t="s">
        <v>154</v>
      </c>
      <c r="F1205" s="33" t="s">
        <v>169</v>
      </c>
      <c r="G1205" s="33" t="s">
        <v>213</v>
      </c>
      <c r="H1205" s="33" t="s">
        <v>195</v>
      </c>
      <c r="I1205" s="33" t="s">
        <v>152</v>
      </c>
      <c r="J1205" s="33" t="s">
        <v>144</v>
      </c>
      <c r="K1205" s="33" t="s">
        <v>145</v>
      </c>
      <c r="L1205" s="35" t="n">
        <v>2111.41</v>
      </c>
      <c r="M1205" s="33" t="n">
        <v>5</v>
      </c>
      <c r="N1205" s="33" t="s">
        <v>210</v>
      </c>
      <c r="O1205" s="33" t="s">
        <v>147</v>
      </c>
      <c r="P1205" s="39" t="n">
        <f aca="false">C1205-B1205</f>
        <v>1</v>
      </c>
      <c r="Q1205" s="40" t="str">
        <f aca="false">CHOOSE(MONTH(B1205),"يناير","فبراير","مارس","أبريل","مايو","يونيو","يوليو","أغسطس","سبتمبر","أكتوبر","نوفمبر","ديسمبر")</f>
        <v>يوليو</v>
      </c>
      <c r="R1205" s="40" t="str">
        <f aca="false">"الربع "&amp;ROUNDUP(MONTH(B1205)/3,0)</f>
        <v>الربع 3</v>
      </c>
      <c r="S1205" s="40" t="str">
        <f aca="false">IF(D1205&lt;=12,"أطفال (0-12)",IF(D1205&lt;=24,"شباب (13-24)",IF(D1205&lt;=44,"بالغون (25-44)",IF(D1205&lt;=64,"متوسطو العمر (45-64)","كبار السن (+65)"))))</f>
        <v>كبار السن (+65)</v>
      </c>
      <c r="T1205" s="41" t="n">
        <f aca="false">IFERROR(L1205/P1205,0)</f>
        <v>2111.41</v>
      </c>
    </row>
    <row r="1206" customFormat="false" ht="15" hidden="false" customHeight="false" outlineLevel="0" collapsed="false">
      <c r="A1206" s="42" t="s">
        <v>507</v>
      </c>
      <c r="B1206" s="43" t="n">
        <v>45501</v>
      </c>
      <c r="C1206" s="43" t="n">
        <v>45502</v>
      </c>
      <c r="D1206" s="42" t="n">
        <v>75</v>
      </c>
      <c r="E1206" s="42" t="s">
        <v>154</v>
      </c>
      <c r="F1206" s="42" t="s">
        <v>203</v>
      </c>
      <c r="G1206" s="42" t="s">
        <v>204</v>
      </c>
      <c r="H1206" s="42" t="s">
        <v>193</v>
      </c>
      <c r="I1206" s="42" t="s">
        <v>143</v>
      </c>
      <c r="J1206" s="42" t="s">
        <v>159</v>
      </c>
      <c r="K1206" s="42" t="s">
        <v>184</v>
      </c>
      <c r="L1206" s="44" t="n">
        <v>964.35</v>
      </c>
      <c r="M1206" s="42" t="n">
        <v>4</v>
      </c>
      <c r="N1206" s="42" t="s">
        <v>146</v>
      </c>
      <c r="O1206" s="42" t="s">
        <v>147</v>
      </c>
      <c r="P1206" s="39" t="n">
        <f aca="false">C1206-B1206</f>
        <v>1</v>
      </c>
      <c r="Q1206" s="40" t="str">
        <f aca="false">CHOOSE(MONTH(B1206),"يناير","فبراير","مارس","أبريل","مايو","يونيو","يوليو","أغسطس","سبتمبر","أكتوبر","نوفمبر","ديسمبر")</f>
        <v>يوليو</v>
      </c>
      <c r="R1206" s="40" t="str">
        <f aca="false">"الربع "&amp;ROUNDUP(MONTH(B1206)/3,0)</f>
        <v>الربع 3</v>
      </c>
      <c r="S1206" s="40" t="str">
        <f aca="false">IF(D1206&lt;=12,"أطفال (0-12)",IF(D1206&lt;=24,"شباب (13-24)",IF(D1206&lt;=44,"بالغون (25-44)",IF(D1206&lt;=64,"متوسطو العمر (45-64)","كبار السن (+65)"))))</f>
        <v>كبار السن (+65)</v>
      </c>
      <c r="T1206" s="41" t="n">
        <f aca="false">IFERROR(L1206/P1206,0)</f>
        <v>964.35</v>
      </c>
    </row>
    <row r="1207" customFormat="false" ht="15" hidden="false" customHeight="false" outlineLevel="0" collapsed="false">
      <c r="A1207" s="33" t="s">
        <v>671</v>
      </c>
      <c r="B1207" s="34" t="n">
        <v>45501</v>
      </c>
      <c r="C1207" s="34" t="n">
        <v>45503</v>
      </c>
      <c r="D1207" s="33" t="n">
        <v>80</v>
      </c>
      <c r="E1207" s="33" t="s">
        <v>139</v>
      </c>
      <c r="F1207" s="33" t="s">
        <v>140</v>
      </c>
      <c r="G1207" s="33" t="s">
        <v>316</v>
      </c>
      <c r="H1207" s="33" t="s">
        <v>290</v>
      </c>
      <c r="I1207" s="33" t="s">
        <v>143</v>
      </c>
      <c r="J1207" s="33" t="s">
        <v>159</v>
      </c>
      <c r="K1207" s="33" t="s">
        <v>184</v>
      </c>
      <c r="L1207" s="35" t="n">
        <v>3722.5</v>
      </c>
      <c r="M1207" s="33" t="n">
        <v>4</v>
      </c>
      <c r="N1207" s="33" t="s">
        <v>146</v>
      </c>
      <c r="O1207" s="33" t="s">
        <v>147</v>
      </c>
      <c r="P1207" s="39" t="n">
        <f aca="false">C1207-B1207</f>
        <v>2</v>
      </c>
      <c r="Q1207" s="40" t="str">
        <f aca="false">CHOOSE(MONTH(B1207),"يناير","فبراير","مارس","أبريل","مايو","يونيو","يوليو","أغسطس","سبتمبر","أكتوبر","نوفمبر","ديسمبر")</f>
        <v>يوليو</v>
      </c>
      <c r="R1207" s="40" t="str">
        <f aca="false">"الربع "&amp;ROUNDUP(MONTH(B1207)/3,0)</f>
        <v>الربع 3</v>
      </c>
      <c r="S1207" s="40" t="str">
        <f aca="false">IF(D1207&lt;=12,"أطفال (0-12)",IF(D1207&lt;=24,"شباب (13-24)",IF(D1207&lt;=44,"بالغون (25-44)",IF(D1207&lt;=64,"متوسطو العمر (45-64)","كبار السن (+65)"))))</f>
        <v>كبار السن (+65)</v>
      </c>
      <c r="T1207" s="41" t="n">
        <f aca="false">IFERROR(L1207/P1207,0)</f>
        <v>1861.25</v>
      </c>
    </row>
    <row r="1208" customFormat="false" ht="15" hidden="false" customHeight="false" outlineLevel="0" collapsed="false">
      <c r="A1208" s="42" t="s">
        <v>342</v>
      </c>
      <c r="B1208" s="43" t="n">
        <v>45501</v>
      </c>
      <c r="C1208" s="43" t="n">
        <v>45504</v>
      </c>
      <c r="D1208" s="42" t="n">
        <v>4</v>
      </c>
      <c r="E1208" s="42" t="s">
        <v>154</v>
      </c>
      <c r="F1208" s="42" t="s">
        <v>155</v>
      </c>
      <c r="G1208" s="42" t="s">
        <v>302</v>
      </c>
      <c r="H1208" s="42" t="s">
        <v>157</v>
      </c>
      <c r="I1208" s="42" t="s">
        <v>152</v>
      </c>
      <c r="J1208" s="42" t="s">
        <v>159</v>
      </c>
      <c r="K1208" s="42" t="s">
        <v>184</v>
      </c>
      <c r="L1208" s="44" t="n">
        <v>2635.13</v>
      </c>
      <c r="M1208" s="42" t="n">
        <v>4</v>
      </c>
      <c r="N1208" s="42" t="s">
        <v>146</v>
      </c>
      <c r="O1208" s="42" t="s">
        <v>147</v>
      </c>
      <c r="P1208" s="39" t="n">
        <f aca="false">C1208-B1208</f>
        <v>3</v>
      </c>
      <c r="Q1208" s="40" t="str">
        <f aca="false">CHOOSE(MONTH(B1208),"يناير","فبراير","مارس","أبريل","مايو","يونيو","يوليو","أغسطس","سبتمبر","أكتوبر","نوفمبر","ديسمبر")</f>
        <v>يوليو</v>
      </c>
      <c r="R1208" s="40" t="str">
        <f aca="false">"الربع "&amp;ROUNDUP(MONTH(B1208)/3,0)</f>
        <v>الربع 3</v>
      </c>
      <c r="S1208" s="40" t="str">
        <f aca="false">IF(D1208&lt;=12,"أطفال (0-12)",IF(D1208&lt;=24,"شباب (13-24)",IF(D1208&lt;=44,"بالغون (25-44)",IF(D1208&lt;=64,"متوسطو العمر (45-64)","كبار السن (+65)"))))</f>
        <v>أطفال (0-12)</v>
      </c>
      <c r="T1208" s="41" t="n">
        <f aca="false">IFERROR(L1208/P1208,0)</f>
        <v>878.376666666667</v>
      </c>
    </row>
    <row r="1209" customFormat="false" ht="15" hidden="false" customHeight="false" outlineLevel="0" collapsed="false">
      <c r="A1209" s="33" t="s">
        <v>2046</v>
      </c>
      <c r="B1209" s="34" t="n">
        <v>45501</v>
      </c>
      <c r="C1209" s="34" t="n">
        <v>45502</v>
      </c>
      <c r="D1209" s="33" t="n">
        <v>36</v>
      </c>
      <c r="E1209" s="33" t="s">
        <v>154</v>
      </c>
      <c r="F1209" s="33" t="s">
        <v>173</v>
      </c>
      <c r="G1209" s="33" t="s">
        <v>174</v>
      </c>
      <c r="H1209" s="33" t="s">
        <v>175</v>
      </c>
      <c r="I1209" s="33" t="s">
        <v>143</v>
      </c>
      <c r="J1209" s="33" t="s">
        <v>159</v>
      </c>
      <c r="K1209" s="33" t="s">
        <v>145</v>
      </c>
      <c r="L1209" s="35" t="n">
        <v>2705</v>
      </c>
      <c r="M1209" s="33" t="n">
        <v>3</v>
      </c>
      <c r="N1209" s="33" t="s">
        <v>146</v>
      </c>
      <c r="O1209" s="33" t="s">
        <v>147</v>
      </c>
      <c r="P1209" s="39" t="n">
        <f aca="false">C1209-B1209</f>
        <v>1</v>
      </c>
      <c r="Q1209" s="40" t="str">
        <f aca="false">CHOOSE(MONTH(B1209),"يناير","فبراير","مارس","أبريل","مايو","يونيو","يوليو","أغسطس","سبتمبر","أكتوبر","نوفمبر","ديسمبر")</f>
        <v>يوليو</v>
      </c>
      <c r="R1209" s="40" t="str">
        <f aca="false">"الربع "&amp;ROUNDUP(MONTH(B1209)/3,0)</f>
        <v>الربع 3</v>
      </c>
      <c r="S1209" s="40" t="str">
        <f aca="false">IF(D1209&lt;=12,"أطفال (0-12)",IF(D1209&lt;=24,"شباب (13-24)",IF(D1209&lt;=44,"بالغون (25-44)",IF(D1209&lt;=64,"متوسطو العمر (45-64)","كبار السن (+65)"))))</f>
        <v>بالغون (25-44)</v>
      </c>
      <c r="T1209" s="41" t="n">
        <f aca="false">IFERROR(L1209/P1209,0)</f>
        <v>2705</v>
      </c>
    </row>
    <row r="1210" customFormat="false" ht="15" hidden="false" customHeight="false" outlineLevel="0" collapsed="false">
      <c r="A1210" s="42" t="s">
        <v>1715</v>
      </c>
      <c r="B1210" s="43" t="n">
        <v>45501</v>
      </c>
      <c r="C1210" s="43" t="n">
        <v>45504</v>
      </c>
      <c r="D1210" s="42" t="n">
        <v>40</v>
      </c>
      <c r="E1210" s="42" t="s">
        <v>139</v>
      </c>
      <c r="F1210" s="42" t="s">
        <v>149</v>
      </c>
      <c r="G1210" s="42" t="s">
        <v>224</v>
      </c>
      <c r="H1210" s="42" t="s">
        <v>151</v>
      </c>
      <c r="I1210" s="42" t="s">
        <v>152</v>
      </c>
      <c r="J1210" s="42" t="s">
        <v>144</v>
      </c>
      <c r="K1210" s="42" t="s">
        <v>145</v>
      </c>
      <c r="L1210" s="44" t="n">
        <v>8298.19</v>
      </c>
      <c r="M1210" s="42" t="n">
        <v>4</v>
      </c>
      <c r="N1210" s="42" t="s">
        <v>146</v>
      </c>
      <c r="O1210" s="42" t="s">
        <v>147</v>
      </c>
      <c r="P1210" s="39" t="n">
        <f aca="false">C1210-B1210</f>
        <v>3</v>
      </c>
      <c r="Q1210" s="40" t="str">
        <f aca="false">CHOOSE(MONTH(B1210),"يناير","فبراير","مارس","أبريل","مايو","يونيو","يوليو","أغسطس","سبتمبر","أكتوبر","نوفمبر","ديسمبر")</f>
        <v>يوليو</v>
      </c>
      <c r="R1210" s="40" t="str">
        <f aca="false">"الربع "&amp;ROUNDUP(MONTH(B1210)/3,0)</f>
        <v>الربع 3</v>
      </c>
      <c r="S1210" s="40" t="str">
        <f aca="false">IF(D1210&lt;=12,"أطفال (0-12)",IF(D1210&lt;=24,"شباب (13-24)",IF(D1210&lt;=44,"بالغون (25-44)",IF(D1210&lt;=64,"متوسطو العمر (45-64)","كبار السن (+65)"))))</f>
        <v>بالغون (25-44)</v>
      </c>
      <c r="T1210" s="41" t="n">
        <f aca="false">IFERROR(L1210/P1210,0)</f>
        <v>2766.06333333333</v>
      </c>
    </row>
    <row r="1211" customFormat="false" ht="15" hidden="false" customHeight="false" outlineLevel="0" collapsed="false">
      <c r="A1211" s="33" t="s">
        <v>1395</v>
      </c>
      <c r="B1211" s="34" t="n">
        <v>45501</v>
      </c>
      <c r="C1211" s="34" t="n">
        <v>45504</v>
      </c>
      <c r="D1211" s="33" t="n">
        <v>7</v>
      </c>
      <c r="E1211" s="33" t="s">
        <v>154</v>
      </c>
      <c r="F1211" s="33" t="s">
        <v>155</v>
      </c>
      <c r="G1211" s="33" t="s">
        <v>220</v>
      </c>
      <c r="H1211" s="33" t="s">
        <v>222</v>
      </c>
      <c r="I1211" s="33" t="s">
        <v>143</v>
      </c>
      <c r="J1211" s="33" t="s">
        <v>159</v>
      </c>
      <c r="K1211" s="33" t="s">
        <v>145</v>
      </c>
      <c r="L1211" s="35" t="n">
        <v>2246.17</v>
      </c>
      <c r="M1211" s="33" t="n">
        <v>5</v>
      </c>
      <c r="N1211" s="33" t="s">
        <v>146</v>
      </c>
      <c r="O1211" s="33" t="s">
        <v>147</v>
      </c>
      <c r="P1211" s="39" t="n">
        <f aca="false">C1211-B1211</f>
        <v>3</v>
      </c>
      <c r="Q1211" s="40" t="str">
        <f aca="false">CHOOSE(MONTH(B1211),"يناير","فبراير","مارس","أبريل","مايو","يونيو","يوليو","أغسطس","سبتمبر","أكتوبر","نوفمبر","ديسمبر")</f>
        <v>يوليو</v>
      </c>
      <c r="R1211" s="40" t="str">
        <f aca="false">"الربع "&amp;ROUNDUP(MONTH(B1211)/3,0)</f>
        <v>الربع 3</v>
      </c>
      <c r="S1211" s="40" t="str">
        <f aca="false">IF(D1211&lt;=12,"أطفال (0-12)",IF(D1211&lt;=24,"شباب (13-24)",IF(D1211&lt;=44,"بالغون (25-44)",IF(D1211&lt;=64,"متوسطو العمر (45-64)","كبار السن (+65)"))))</f>
        <v>أطفال (0-12)</v>
      </c>
      <c r="T1211" s="41" t="n">
        <f aca="false">IFERROR(L1211/P1211,0)</f>
        <v>748.723333333333</v>
      </c>
    </row>
    <row r="1212" customFormat="false" ht="15" hidden="false" customHeight="false" outlineLevel="0" collapsed="false">
      <c r="A1212" s="42" t="s">
        <v>315</v>
      </c>
      <c r="B1212" s="43" t="n">
        <v>45501</v>
      </c>
      <c r="C1212" s="43" t="n">
        <v>45503</v>
      </c>
      <c r="D1212" s="42" t="n">
        <v>56</v>
      </c>
      <c r="E1212" s="42" t="s">
        <v>139</v>
      </c>
      <c r="F1212" s="42" t="s">
        <v>140</v>
      </c>
      <c r="G1212" s="42" t="s">
        <v>316</v>
      </c>
      <c r="H1212" s="42" t="s">
        <v>142</v>
      </c>
      <c r="I1212" s="42" t="s">
        <v>158</v>
      </c>
      <c r="J1212" s="42" t="s">
        <v>159</v>
      </c>
      <c r="K1212" s="42" t="s">
        <v>145</v>
      </c>
      <c r="L1212" s="44" t="n">
        <v>3429.22</v>
      </c>
      <c r="M1212" s="42" t="n">
        <v>5</v>
      </c>
      <c r="N1212" s="42" t="s">
        <v>146</v>
      </c>
      <c r="O1212" s="42" t="s">
        <v>147</v>
      </c>
      <c r="P1212" s="39" t="n">
        <f aca="false">C1212-B1212</f>
        <v>2</v>
      </c>
      <c r="Q1212" s="40" t="str">
        <f aca="false">CHOOSE(MONTH(B1212),"يناير","فبراير","مارس","أبريل","مايو","يونيو","يوليو","أغسطس","سبتمبر","أكتوبر","نوفمبر","ديسمبر")</f>
        <v>يوليو</v>
      </c>
      <c r="R1212" s="40" t="str">
        <f aca="false">"الربع "&amp;ROUNDUP(MONTH(B1212)/3,0)</f>
        <v>الربع 3</v>
      </c>
      <c r="S1212" s="40" t="str">
        <f aca="false">IF(D1212&lt;=12,"أطفال (0-12)",IF(D1212&lt;=24,"شباب (13-24)",IF(D1212&lt;=44,"بالغون (25-44)",IF(D1212&lt;=64,"متوسطو العمر (45-64)","كبار السن (+65)"))))</f>
        <v>متوسطو العمر (45-64)</v>
      </c>
      <c r="T1212" s="41" t="n">
        <f aca="false">IFERROR(L1212/P1212,0)</f>
        <v>1714.61</v>
      </c>
    </row>
    <row r="1213" customFormat="false" ht="15" hidden="false" customHeight="false" outlineLevel="0" collapsed="false">
      <c r="A1213" s="33" t="s">
        <v>431</v>
      </c>
      <c r="B1213" s="34" t="n">
        <v>45501</v>
      </c>
      <c r="C1213" s="34" t="n">
        <v>45502</v>
      </c>
      <c r="D1213" s="33" t="n">
        <v>40</v>
      </c>
      <c r="E1213" s="33" t="s">
        <v>154</v>
      </c>
      <c r="F1213" s="33" t="s">
        <v>173</v>
      </c>
      <c r="G1213" s="33" t="s">
        <v>174</v>
      </c>
      <c r="H1213" s="33" t="s">
        <v>175</v>
      </c>
      <c r="I1213" s="33" t="s">
        <v>143</v>
      </c>
      <c r="J1213" s="33" t="s">
        <v>159</v>
      </c>
      <c r="K1213" s="33" t="s">
        <v>160</v>
      </c>
      <c r="L1213" s="35" t="n">
        <v>2318.83</v>
      </c>
      <c r="M1213" s="33" t="n">
        <v>4</v>
      </c>
      <c r="N1213" s="33" t="s">
        <v>146</v>
      </c>
      <c r="O1213" s="33" t="s">
        <v>247</v>
      </c>
      <c r="P1213" s="39" t="n">
        <f aca="false">C1213-B1213</f>
        <v>1</v>
      </c>
      <c r="Q1213" s="40" t="str">
        <f aca="false">CHOOSE(MONTH(B1213),"يناير","فبراير","مارس","أبريل","مايو","يونيو","يوليو","أغسطس","سبتمبر","أكتوبر","نوفمبر","ديسمبر")</f>
        <v>يوليو</v>
      </c>
      <c r="R1213" s="40" t="str">
        <f aca="false">"الربع "&amp;ROUNDUP(MONTH(B1213)/3,0)</f>
        <v>الربع 3</v>
      </c>
      <c r="S1213" s="40" t="str">
        <f aca="false">IF(D1213&lt;=12,"أطفال (0-12)",IF(D1213&lt;=24,"شباب (13-24)",IF(D1213&lt;=44,"بالغون (25-44)",IF(D1213&lt;=64,"متوسطو العمر (45-64)","كبار السن (+65)"))))</f>
        <v>بالغون (25-44)</v>
      </c>
      <c r="T1213" s="41" t="n">
        <f aca="false">IFERROR(L1213/P1213,0)</f>
        <v>2318.83</v>
      </c>
    </row>
    <row r="1214" customFormat="false" ht="15" hidden="false" customHeight="false" outlineLevel="0" collapsed="false">
      <c r="A1214" s="42" t="s">
        <v>905</v>
      </c>
      <c r="B1214" s="43" t="n">
        <v>45502</v>
      </c>
      <c r="C1214" s="43" t="n">
        <v>45503</v>
      </c>
      <c r="D1214" s="42" t="n">
        <v>42</v>
      </c>
      <c r="E1214" s="42" t="s">
        <v>139</v>
      </c>
      <c r="F1214" s="42" t="s">
        <v>203</v>
      </c>
      <c r="G1214" s="42" t="s">
        <v>232</v>
      </c>
      <c r="H1214" s="42" t="s">
        <v>233</v>
      </c>
      <c r="I1214" s="42" t="s">
        <v>143</v>
      </c>
      <c r="J1214" s="42" t="s">
        <v>159</v>
      </c>
      <c r="K1214" s="42" t="s">
        <v>160</v>
      </c>
      <c r="L1214" s="44" t="n">
        <v>918.06</v>
      </c>
      <c r="M1214" s="42" t="n">
        <v>3</v>
      </c>
      <c r="N1214" s="42" t="s">
        <v>146</v>
      </c>
      <c r="O1214" s="42" t="s">
        <v>147</v>
      </c>
      <c r="P1214" s="39" t="n">
        <f aca="false">C1214-B1214</f>
        <v>1</v>
      </c>
      <c r="Q1214" s="40" t="str">
        <f aca="false">CHOOSE(MONTH(B1214),"يناير","فبراير","مارس","أبريل","مايو","يونيو","يوليو","أغسطس","سبتمبر","أكتوبر","نوفمبر","ديسمبر")</f>
        <v>يوليو</v>
      </c>
      <c r="R1214" s="40" t="str">
        <f aca="false">"الربع "&amp;ROUNDUP(MONTH(B1214)/3,0)</f>
        <v>الربع 3</v>
      </c>
      <c r="S1214" s="40" t="str">
        <f aca="false">IF(D1214&lt;=12,"أطفال (0-12)",IF(D1214&lt;=24,"شباب (13-24)",IF(D1214&lt;=44,"بالغون (25-44)",IF(D1214&lt;=64,"متوسطو العمر (45-64)","كبار السن (+65)"))))</f>
        <v>بالغون (25-44)</v>
      </c>
      <c r="T1214" s="41" t="n">
        <f aca="false">IFERROR(L1214/P1214,0)</f>
        <v>918.06</v>
      </c>
    </row>
    <row r="1215" customFormat="false" ht="15" hidden="false" customHeight="false" outlineLevel="0" collapsed="false">
      <c r="A1215" s="33" t="s">
        <v>1112</v>
      </c>
      <c r="B1215" s="34" t="n">
        <v>45502</v>
      </c>
      <c r="C1215" s="34" t="n">
        <v>45506</v>
      </c>
      <c r="D1215" s="33" t="n">
        <v>60</v>
      </c>
      <c r="E1215" s="33" t="s">
        <v>154</v>
      </c>
      <c r="F1215" s="33" t="s">
        <v>169</v>
      </c>
      <c r="G1215" s="33" t="s">
        <v>230</v>
      </c>
      <c r="H1215" s="33" t="s">
        <v>164</v>
      </c>
      <c r="I1215" s="33" t="s">
        <v>143</v>
      </c>
      <c r="J1215" s="33" t="s">
        <v>159</v>
      </c>
      <c r="K1215" s="33" t="s">
        <v>184</v>
      </c>
      <c r="L1215" s="35" t="n">
        <v>4519.62</v>
      </c>
      <c r="M1215" s="33" t="n">
        <v>3</v>
      </c>
      <c r="N1215" s="33" t="s">
        <v>146</v>
      </c>
      <c r="O1215" s="33" t="s">
        <v>147</v>
      </c>
      <c r="P1215" s="39" t="n">
        <f aca="false">C1215-B1215</f>
        <v>4</v>
      </c>
      <c r="Q1215" s="40" t="str">
        <f aca="false">CHOOSE(MONTH(B1215),"يناير","فبراير","مارس","أبريل","مايو","يونيو","يوليو","أغسطس","سبتمبر","أكتوبر","نوفمبر","ديسمبر")</f>
        <v>يوليو</v>
      </c>
      <c r="R1215" s="40" t="str">
        <f aca="false">"الربع "&amp;ROUNDUP(MONTH(B1215)/3,0)</f>
        <v>الربع 3</v>
      </c>
      <c r="S1215" s="40" t="str">
        <f aca="false">IF(D1215&lt;=12,"أطفال (0-12)",IF(D1215&lt;=24,"شباب (13-24)",IF(D1215&lt;=44,"بالغون (25-44)",IF(D1215&lt;=64,"متوسطو العمر (45-64)","كبار السن (+65)"))))</f>
        <v>متوسطو العمر (45-64)</v>
      </c>
      <c r="T1215" s="41" t="n">
        <f aca="false">IFERROR(L1215/P1215,0)</f>
        <v>1129.905</v>
      </c>
    </row>
    <row r="1216" customFormat="false" ht="15" hidden="false" customHeight="false" outlineLevel="0" collapsed="false">
      <c r="A1216" s="42" t="s">
        <v>529</v>
      </c>
      <c r="B1216" s="43" t="n">
        <v>45502</v>
      </c>
      <c r="C1216" s="43" t="n">
        <v>45503</v>
      </c>
      <c r="D1216" s="42" t="n">
        <v>7</v>
      </c>
      <c r="E1216" s="42" t="s">
        <v>139</v>
      </c>
      <c r="F1216" s="42" t="s">
        <v>155</v>
      </c>
      <c r="G1216" s="42" t="s">
        <v>220</v>
      </c>
      <c r="H1216" s="42" t="s">
        <v>222</v>
      </c>
      <c r="I1216" s="42" t="s">
        <v>152</v>
      </c>
      <c r="J1216" s="42" t="s">
        <v>144</v>
      </c>
      <c r="K1216" s="42" t="s">
        <v>145</v>
      </c>
      <c r="L1216" s="44" t="n">
        <v>1147.93</v>
      </c>
      <c r="M1216" s="42" t="n">
        <v>4</v>
      </c>
      <c r="N1216" s="42" t="s">
        <v>146</v>
      </c>
      <c r="O1216" s="42" t="s">
        <v>147</v>
      </c>
      <c r="P1216" s="39" t="n">
        <f aca="false">C1216-B1216</f>
        <v>1</v>
      </c>
      <c r="Q1216" s="40" t="str">
        <f aca="false">CHOOSE(MONTH(B1216),"يناير","فبراير","مارس","أبريل","مايو","يونيو","يوليو","أغسطس","سبتمبر","أكتوبر","نوفمبر","ديسمبر")</f>
        <v>يوليو</v>
      </c>
      <c r="R1216" s="40" t="str">
        <f aca="false">"الربع "&amp;ROUNDUP(MONTH(B1216)/3,0)</f>
        <v>الربع 3</v>
      </c>
      <c r="S1216" s="40" t="str">
        <f aca="false">IF(D1216&lt;=12,"أطفال (0-12)",IF(D1216&lt;=24,"شباب (13-24)",IF(D1216&lt;=44,"بالغون (25-44)",IF(D1216&lt;=64,"متوسطو العمر (45-64)","كبار السن (+65)"))))</f>
        <v>أطفال (0-12)</v>
      </c>
      <c r="T1216" s="41" t="n">
        <f aca="false">IFERROR(L1216/P1216,0)</f>
        <v>1147.93</v>
      </c>
    </row>
    <row r="1217" customFormat="false" ht="15" hidden="false" customHeight="false" outlineLevel="0" collapsed="false">
      <c r="A1217" s="33" t="s">
        <v>993</v>
      </c>
      <c r="B1217" s="34" t="n">
        <v>45502</v>
      </c>
      <c r="C1217" s="34" t="n">
        <v>45505</v>
      </c>
      <c r="D1217" s="33" t="n">
        <v>54</v>
      </c>
      <c r="E1217" s="33" t="s">
        <v>154</v>
      </c>
      <c r="F1217" s="33" t="s">
        <v>173</v>
      </c>
      <c r="G1217" s="33" t="s">
        <v>178</v>
      </c>
      <c r="H1217" s="33" t="s">
        <v>175</v>
      </c>
      <c r="I1217" s="33" t="s">
        <v>143</v>
      </c>
      <c r="J1217" s="33" t="s">
        <v>144</v>
      </c>
      <c r="K1217" s="33" t="s">
        <v>145</v>
      </c>
      <c r="L1217" s="35" t="n">
        <v>14240.15</v>
      </c>
      <c r="M1217" s="33" t="n">
        <v>4</v>
      </c>
      <c r="N1217" s="33" t="s">
        <v>210</v>
      </c>
      <c r="O1217" s="33" t="s">
        <v>147</v>
      </c>
      <c r="P1217" s="39" t="n">
        <f aca="false">C1217-B1217</f>
        <v>3</v>
      </c>
      <c r="Q1217" s="40" t="str">
        <f aca="false">CHOOSE(MONTH(B1217),"يناير","فبراير","مارس","أبريل","مايو","يونيو","يوليو","أغسطس","سبتمبر","أكتوبر","نوفمبر","ديسمبر")</f>
        <v>يوليو</v>
      </c>
      <c r="R1217" s="40" t="str">
        <f aca="false">"الربع "&amp;ROUNDUP(MONTH(B1217)/3,0)</f>
        <v>الربع 3</v>
      </c>
      <c r="S1217" s="40" t="str">
        <f aca="false">IF(D1217&lt;=12,"أطفال (0-12)",IF(D1217&lt;=24,"شباب (13-24)",IF(D1217&lt;=44,"بالغون (25-44)",IF(D1217&lt;=64,"متوسطو العمر (45-64)","كبار السن (+65)"))))</f>
        <v>متوسطو العمر (45-64)</v>
      </c>
      <c r="T1217" s="41" t="n">
        <f aca="false">IFERROR(L1217/P1217,0)</f>
        <v>4746.71666666667</v>
      </c>
    </row>
    <row r="1218" customFormat="false" ht="15" hidden="false" customHeight="false" outlineLevel="0" collapsed="false">
      <c r="A1218" s="42" t="s">
        <v>1962</v>
      </c>
      <c r="B1218" s="43" t="n">
        <v>45503</v>
      </c>
      <c r="C1218" s="43" t="n">
        <v>45509</v>
      </c>
      <c r="D1218" s="42" t="n">
        <v>59</v>
      </c>
      <c r="E1218" s="42" t="s">
        <v>154</v>
      </c>
      <c r="F1218" s="42" t="s">
        <v>173</v>
      </c>
      <c r="G1218" s="42" t="s">
        <v>174</v>
      </c>
      <c r="H1218" s="42" t="s">
        <v>175</v>
      </c>
      <c r="I1218" s="42" t="s">
        <v>143</v>
      </c>
      <c r="J1218" s="42" t="s">
        <v>144</v>
      </c>
      <c r="K1218" s="42" t="s">
        <v>145</v>
      </c>
      <c r="L1218" s="44" t="n">
        <v>23247.24</v>
      </c>
      <c r="M1218" s="42" t="n">
        <v>3</v>
      </c>
      <c r="N1218" s="42" t="s">
        <v>146</v>
      </c>
      <c r="O1218" s="42" t="s">
        <v>147</v>
      </c>
      <c r="P1218" s="39" t="n">
        <f aca="false">C1218-B1218</f>
        <v>6</v>
      </c>
      <c r="Q1218" s="40" t="str">
        <f aca="false">CHOOSE(MONTH(B1218),"يناير","فبراير","مارس","أبريل","مايو","يونيو","يوليو","أغسطس","سبتمبر","أكتوبر","نوفمبر","ديسمبر")</f>
        <v>يوليو</v>
      </c>
      <c r="R1218" s="40" t="str">
        <f aca="false">"الربع "&amp;ROUNDUP(MONTH(B1218)/3,0)</f>
        <v>الربع 3</v>
      </c>
      <c r="S1218" s="40" t="str">
        <f aca="false">IF(D1218&lt;=12,"أطفال (0-12)",IF(D1218&lt;=24,"شباب (13-24)",IF(D1218&lt;=44,"بالغون (25-44)",IF(D1218&lt;=64,"متوسطو العمر (45-64)","كبار السن (+65)"))))</f>
        <v>متوسطو العمر (45-64)</v>
      </c>
      <c r="T1218" s="41" t="n">
        <f aca="false">IFERROR(L1218/P1218,0)</f>
        <v>3874.54</v>
      </c>
    </row>
    <row r="1219" customFormat="false" ht="15" hidden="false" customHeight="false" outlineLevel="0" collapsed="false">
      <c r="A1219" s="33" t="s">
        <v>1320</v>
      </c>
      <c r="B1219" s="34" t="n">
        <v>45503</v>
      </c>
      <c r="C1219" s="34" t="n">
        <v>45505</v>
      </c>
      <c r="D1219" s="33" t="n">
        <v>48</v>
      </c>
      <c r="E1219" s="33" t="s">
        <v>154</v>
      </c>
      <c r="F1219" s="33" t="s">
        <v>169</v>
      </c>
      <c r="G1219" s="33" t="s">
        <v>230</v>
      </c>
      <c r="H1219" s="33" t="s">
        <v>171</v>
      </c>
      <c r="I1219" s="33" t="s">
        <v>152</v>
      </c>
      <c r="J1219" s="33" t="s">
        <v>159</v>
      </c>
      <c r="K1219" s="33" t="s">
        <v>209</v>
      </c>
      <c r="L1219" s="35" t="n">
        <v>2149.73</v>
      </c>
      <c r="M1219" s="33" t="n">
        <v>4</v>
      </c>
      <c r="N1219" s="33" t="s">
        <v>146</v>
      </c>
      <c r="O1219" s="33" t="s">
        <v>147</v>
      </c>
      <c r="P1219" s="39" t="n">
        <f aca="false">C1219-B1219</f>
        <v>2</v>
      </c>
      <c r="Q1219" s="40" t="str">
        <f aca="false">CHOOSE(MONTH(B1219),"يناير","فبراير","مارس","أبريل","مايو","يونيو","يوليو","أغسطس","سبتمبر","أكتوبر","نوفمبر","ديسمبر")</f>
        <v>يوليو</v>
      </c>
      <c r="R1219" s="40" t="str">
        <f aca="false">"الربع "&amp;ROUNDUP(MONTH(B1219)/3,0)</f>
        <v>الربع 3</v>
      </c>
      <c r="S1219" s="40" t="str">
        <f aca="false">IF(D1219&lt;=12,"أطفال (0-12)",IF(D1219&lt;=24,"شباب (13-24)",IF(D1219&lt;=44,"بالغون (25-44)",IF(D1219&lt;=64,"متوسطو العمر (45-64)","كبار السن (+65)"))))</f>
        <v>متوسطو العمر (45-64)</v>
      </c>
      <c r="T1219" s="41" t="n">
        <f aca="false">IFERROR(L1219/P1219,0)</f>
        <v>1074.865</v>
      </c>
    </row>
    <row r="1220" customFormat="false" ht="15" hidden="false" customHeight="false" outlineLevel="0" collapsed="false">
      <c r="A1220" s="42" t="s">
        <v>1488</v>
      </c>
      <c r="B1220" s="43" t="n">
        <v>45503</v>
      </c>
      <c r="C1220" s="43" t="n">
        <v>45507</v>
      </c>
      <c r="D1220" s="42" t="n">
        <v>4</v>
      </c>
      <c r="E1220" s="42" t="s">
        <v>139</v>
      </c>
      <c r="F1220" s="42" t="s">
        <v>155</v>
      </c>
      <c r="G1220" s="42" t="s">
        <v>302</v>
      </c>
      <c r="H1220" s="42" t="s">
        <v>157</v>
      </c>
      <c r="I1220" s="42" t="s">
        <v>143</v>
      </c>
      <c r="J1220" s="42" t="s">
        <v>159</v>
      </c>
      <c r="K1220" s="42" t="s">
        <v>184</v>
      </c>
      <c r="L1220" s="44" t="n">
        <v>3539.45</v>
      </c>
      <c r="M1220" s="42" t="n">
        <v>3</v>
      </c>
      <c r="N1220" s="42" t="s">
        <v>146</v>
      </c>
      <c r="O1220" s="42" t="s">
        <v>147</v>
      </c>
      <c r="P1220" s="39" t="n">
        <f aca="false">C1220-B1220</f>
        <v>4</v>
      </c>
      <c r="Q1220" s="40" t="str">
        <f aca="false">CHOOSE(MONTH(B1220),"يناير","فبراير","مارس","أبريل","مايو","يونيو","يوليو","أغسطس","سبتمبر","أكتوبر","نوفمبر","ديسمبر")</f>
        <v>يوليو</v>
      </c>
      <c r="R1220" s="40" t="str">
        <f aca="false">"الربع "&amp;ROUNDUP(MONTH(B1220)/3,0)</f>
        <v>الربع 3</v>
      </c>
      <c r="S1220" s="40" t="str">
        <f aca="false">IF(D1220&lt;=12,"أطفال (0-12)",IF(D1220&lt;=24,"شباب (13-24)",IF(D1220&lt;=44,"بالغون (25-44)",IF(D1220&lt;=64,"متوسطو العمر (45-64)","كبار السن (+65)"))))</f>
        <v>أطفال (0-12)</v>
      </c>
      <c r="T1220" s="41" t="n">
        <f aca="false">IFERROR(L1220/P1220,0)</f>
        <v>884.8625</v>
      </c>
    </row>
    <row r="1221" customFormat="false" ht="15" hidden="false" customHeight="false" outlineLevel="0" collapsed="false">
      <c r="A1221" s="33" t="s">
        <v>1774</v>
      </c>
      <c r="B1221" s="34" t="n">
        <v>45503</v>
      </c>
      <c r="C1221" s="34" t="n">
        <v>45508</v>
      </c>
      <c r="D1221" s="33" t="n">
        <v>88</v>
      </c>
      <c r="E1221" s="33" t="s">
        <v>154</v>
      </c>
      <c r="F1221" s="33" t="s">
        <v>169</v>
      </c>
      <c r="G1221" s="33" t="s">
        <v>170</v>
      </c>
      <c r="H1221" s="33" t="s">
        <v>164</v>
      </c>
      <c r="I1221" s="33" t="s">
        <v>152</v>
      </c>
      <c r="J1221" s="33" t="s">
        <v>159</v>
      </c>
      <c r="K1221" s="33" t="s">
        <v>145</v>
      </c>
      <c r="L1221" s="35" t="n">
        <v>5503.08</v>
      </c>
      <c r="M1221" s="33" t="n">
        <v>5</v>
      </c>
      <c r="N1221" s="33" t="s">
        <v>146</v>
      </c>
      <c r="O1221" s="33" t="s">
        <v>147</v>
      </c>
      <c r="P1221" s="39" t="n">
        <f aca="false">C1221-B1221</f>
        <v>5</v>
      </c>
      <c r="Q1221" s="40" t="str">
        <f aca="false">CHOOSE(MONTH(B1221),"يناير","فبراير","مارس","أبريل","مايو","يونيو","يوليو","أغسطس","سبتمبر","أكتوبر","نوفمبر","ديسمبر")</f>
        <v>يوليو</v>
      </c>
      <c r="R1221" s="40" t="str">
        <f aca="false">"الربع "&amp;ROUNDUP(MONTH(B1221)/3,0)</f>
        <v>الربع 3</v>
      </c>
      <c r="S1221" s="40" t="str">
        <f aca="false">IF(D1221&lt;=12,"أطفال (0-12)",IF(D1221&lt;=24,"شباب (13-24)",IF(D1221&lt;=44,"بالغون (25-44)",IF(D1221&lt;=64,"متوسطو العمر (45-64)","كبار السن (+65)"))))</f>
        <v>كبار السن (+65)</v>
      </c>
      <c r="T1221" s="41" t="n">
        <f aca="false">IFERROR(L1221/P1221,0)</f>
        <v>1100.616</v>
      </c>
    </row>
    <row r="1222" customFormat="false" ht="15" hidden="false" customHeight="false" outlineLevel="0" collapsed="false">
      <c r="A1222" s="42" t="s">
        <v>2083</v>
      </c>
      <c r="B1222" s="43" t="n">
        <v>45504</v>
      </c>
      <c r="C1222" s="43" t="n">
        <v>45505</v>
      </c>
      <c r="D1222" s="42" t="n">
        <v>4</v>
      </c>
      <c r="E1222" s="42" t="s">
        <v>154</v>
      </c>
      <c r="F1222" s="42" t="s">
        <v>155</v>
      </c>
      <c r="G1222" s="42" t="s">
        <v>302</v>
      </c>
      <c r="H1222" s="42" t="s">
        <v>157</v>
      </c>
      <c r="I1222" s="42" t="s">
        <v>143</v>
      </c>
      <c r="J1222" s="42" t="s">
        <v>159</v>
      </c>
      <c r="K1222" s="42" t="s">
        <v>184</v>
      </c>
      <c r="L1222" s="44" t="n">
        <v>980.93</v>
      </c>
      <c r="M1222" s="42" t="n">
        <v>5</v>
      </c>
      <c r="N1222" s="42" t="s">
        <v>146</v>
      </c>
      <c r="O1222" s="42" t="s">
        <v>147</v>
      </c>
      <c r="P1222" s="39" t="n">
        <f aca="false">C1222-B1222</f>
        <v>1</v>
      </c>
      <c r="Q1222" s="40" t="str">
        <f aca="false">CHOOSE(MONTH(B1222),"يناير","فبراير","مارس","أبريل","مايو","يونيو","يوليو","أغسطس","سبتمبر","أكتوبر","نوفمبر","ديسمبر")</f>
        <v>يوليو</v>
      </c>
      <c r="R1222" s="40" t="str">
        <f aca="false">"الربع "&amp;ROUNDUP(MONTH(B1222)/3,0)</f>
        <v>الربع 3</v>
      </c>
      <c r="S1222" s="40" t="str">
        <f aca="false">IF(D1222&lt;=12,"أطفال (0-12)",IF(D1222&lt;=24,"شباب (13-24)",IF(D1222&lt;=44,"بالغون (25-44)",IF(D1222&lt;=64,"متوسطو العمر (45-64)","كبار السن (+65)"))))</f>
        <v>أطفال (0-12)</v>
      </c>
      <c r="T1222" s="41" t="n">
        <f aca="false">IFERROR(L1222/P1222,0)</f>
        <v>980.93</v>
      </c>
    </row>
    <row r="1223" customFormat="false" ht="15" hidden="false" customHeight="false" outlineLevel="0" collapsed="false">
      <c r="A1223" s="33" t="s">
        <v>780</v>
      </c>
      <c r="B1223" s="34" t="n">
        <v>45504</v>
      </c>
      <c r="C1223" s="34" t="n">
        <v>45508</v>
      </c>
      <c r="D1223" s="33" t="n">
        <v>69</v>
      </c>
      <c r="E1223" s="33" t="s">
        <v>154</v>
      </c>
      <c r="F1223" s="33" t="s">
        <v>226</v>
      </c>
      <c r="G1223" s="33" t="s">
        <v>386</v>
      </c>
      <c r="H1223" s="33" t="s">
        <v>263</v>
      </c>
      <c r="I1223" s="33" t="s">
        <v>152</v>
      </c>
      <c r="J1223" s="33" t="s">
        <v>159</v>
      </c>
      <c r="K1223" s="33" t="s">
        <v>160</v>
      </c>
      <c r="L1223" s="35" t="n">
        <v>14951.13</v>
      </c>
      <c r="M1223" s="33" t="n">
        <v>5</v>
      </c>
      <c r="N1223" s="33" t="s">
        <v>210</v>
      </c>
      <c r="O1223" s="33" t="s">
        <v>147</v>
      </c>
      <c r="P1223" s="39" t="n">
        <f aca="false">C1223-B1223</f>
        <v>4</v>
      </c>
      <c r="Q1223" s="40" t="str">
        <f aca="false">CHOOSE(MONTH(B1223),"يناير","فبراير","مارس","أبريل","مايو","يونيو","يوليو","أغسطس","سبتمبر","أكتوبر","نوفمبر","ديسمبر")</f>
        <v>يوليو</v>
      </c>
      <c r="R1223" s="40" t="str">
        <f aca="false">"الربع "&amp;ROUNDUP(MONTH(B1223)/3,0)</f>
        <v>الربع 3</v>
      </c>
      <c r="S1223" s="40" t="str">
        <f aca="false">IF(D1223&lt;=12,"أطفال (0-12)",IF(D1223&lt;=24,"شباب (13-24)",IF(D1223&lt;=44,"بالغون (25-44)",IF(D1223&lt;=64,"متوسطو العمر (45-64)","كبار السن (+65)"))))</f>
        <v>كبار السن (+65)</v>
      </c>
      <c r="T1223" s="41" t="n">
        <f aca="false">IFERROR(L1223/P1223,0)</f>
        <v>3737.7825</v>
      </c>
    </row>
    <row r="1224" customFormat="false" ht="15" hidden="false" customHeight="false" outlineLevel="0" collapsed="false">
      <c r="A1224" s="42" t="s">
        <v>242</v>
      </c>
      <c r="B1224" s="43" t="n">
        <v>45504</v>
      </c>
      <c r="C1224" s="43" t="n">
        <v>45505</v>
      </c>
      <c r="D1224" s="42" t="n">
        <v>26</v>
      </c>
      <c r="E1224" s="42" t="s">
        <v>139</v>
      </c>
      <c r="F1224" s="42" t="s">
        <v>149</v>
      </c>
      <c r="G1224" s="42" t="s">
        <v>243</v>
      </c>
      <c r="H1224" s="42" t="s">
        <v>151</v>
      </c>
      <c r="I1224" s="42" t="s">
        <v>152</v>
      </c>
      <c r="J1224" s="42" t="s">
        <v>159</v>
      </c>
      <c r="K1224" s="42" t="s">
        <v>184</v>
      </c>
      <c r="L1224" s="44" t="n">
        <v>1662.49</v>
      </c>
      <c r="M1224" s="42" t="n">
        <v>3</v>
      </c>
      <c r="N1224" s="42" t="s">
        <v>146</v>
      </c>
      <c r="O1224" s="42" t="s">
        <v>147</v>
      </c>
      <c r="P1224" s="39" t="n">
        <f aca="false">C1224-B1224</f>
        <v>1</v>
      </c>
      <c r="Q1224" s="40" t="str">
        <f aca="false">CHOOSE(MONTH(B1224),"يناير","فبراير","مارس","أبريل","مايو","يونيو","يوليو","أغسطس","سبتمبر","أكتوبر","نوفمبر","ديسمبر")</f>
        <v>يوليو</v>
      </c>
      <c r="R1224" s="40" t="str">
        <f aca="false">"الربع "&amp;ROUNDUP(MONTH(B1224)/3,0)</f>
        <v>الربع 3</v>
      </c>
      <c r="S1224" s="40" t="str">
        <f aca="false">IF(D1224&lt;=12,"أطفال (0-12)",IF(D1224&lt;=24,"شباب (13-24)",IF(D1224&lt;=44,"بالغون (25-44)",IF(D1224&lt;=64,"متوسطو العمر (45-64)","كبار السن (+65)"))))</f>
        <v>بالغون (25-44)</v>
      </c>
      <c r="T1224" s="41" t="n">
        <f aca="false">IFERROR(L1224/P1224,0)</f>
        <v>1662.49</v>
      </c>
    </row>
    <row r="1225" customFormat="false" ht="15" hidden="false" customHeight="false" outlineLevel="0" collapsed="false">
      <c r="A1225" s="33" t="s">
        <v>1903</v>
      </c>
      <c r="B1225" s="34" t="n">
        <v>45504</v>
      </c>
      <c r="C1225" s="34" t="n">
        <v>45511</v>
      </c>
      <c r="D1225" s="33" t="n">
        <v>11</v>
      </c>
      <c r="E1225" s="33" t="s">
        <v>139</v>
      </c>
      <c r="F1225" s="33" t="s">
        <v>169</v>
      </c>
      <c r="G1225" s="33" t="s">
        <v>213</v>
      </c>
      <c r="H1225" s="33" t="s">
        <v>164</v>
      </c>
      <c r="I1225" s="33" t="s">
        <v>143</v>
      </c>
      <c r="J1225" s="33" t="s">
        <v>159</v>
      </c>
      <c r="K1225" s="33" t="s">
        <v>145</v>
      </c>
      <c r="L1225" s="35" t="n">
        <v>9194.02</v>
      </c>
      <c r="M1225" s="33" t="n">
        <v>5</v>
      </c>
      <c r="N1225" s="33" t="s">
        <v>146</v>
      </c>
      <c r="O1225" s="33" t="s">
        <v>147</v>
      </c>
      <c r="P1225" s="39" t="n">
        <f aca="false">C1225-B1225</f>
        <v>7</v>
      </c>
      <c r="Q1225" s="40" t="str">
        <f aca="false">CHOOSE(MONTH(B1225),"يناير","فبراير","مارس","أبريل","مايو","يونيو","يوليو","أغسطس","سبتمبر","أكتوبر","نوفمبر","ديسمبر")</f>
        <v>يوليو</v>
      </c>
      <c r="R1225" s="40" t="str">
        <f aca="false">"الربع "&amp;ROUNDUP(MONTH(B1225)/3,0)</f>
        <v>الربع 3</v>
      </c>
      <c r="S1225" s="40" t="str">
        <f aca="false">IF(D1225&lt;=12,"أطفال (0-12)",IF(D1225&lt;=24,"شباب (13-24)",IF(D1225&lt;=44,"بالغون (25-44)",IF(D1225&lt;=64,"متوسطو العمر (45-64)","كبار السن (+65)"))))</f>
        <v>أطفال (0-12)</v>
      </c>
      <c r="T1225" s="41" t="n">
        <f aca="false">IFERROR(L1225/P1225,0)</f>
        <v>1313.43142857143</v>
      </c>
    </row>
    <row r="1226" customFormat="false" ht="15" hidden="false" customHeight="false" outlineLevel="0" collapsed="false">
      <c r="A1226" s="42" t="s">
        <v>2144</v>
      </c>
      <c r="B1226" s="43" t="n">
        <v>45504</v>
      </c>
      <c r="C1226" s="43" t="n">
        <v>45505</v>
      </c>
      <c r="D1226" s="42" t="n">
        <v>3</v>
      </c>
      <c r="E1226" s="42" t="s">
        <v>139</v>
      </c>
      <c r="F1226" s="42" t="s">
        <v>155</v>
      </c>
      <c r="G1226" s="42" t="s">
        <v>220</v>
      </c>
      <c r="H1226" s="42" t="s">
        <v>157</v>
      </c>
      <c r="I1226" s="42" t="s">
        <v>152</v>
      </c>
      <c r="J1226" s="42" t="s">
        <v>159</v>
      </c>
      <c r="K1226" s="42" t="s">
        <v>145</v>
      </c>
      <c r="L1226" s="44" t="n">
        <v>926.13</v>
      </c>
      <c r="M1226" s="42" t="n">
        <v>4</v>
      </c>
      <c r="N1226" s="42" t="s">
        <v>146</v>
      </c>
      <c r="O1226" s="42" t="s">
        <v>147</v>
      </c>
      <c r="P1226" s="39" t="n">
        <f aca="false">C1226-B1226</f>
        <v>1</v>
      </c>
      <c r="Q1226" s="40" t="str">
        <f aca="false">CHOOSE(MONTH(B1226),"يناير","فبراير","مارس","أبريل","مايو","يونيو","يوليو","أغسطس","سبتمبر","أكتوبر","نوفمبر","ديسمبر")</f>
        <v>يوليو</v>
      </c>
      <c r="R1226" s="40" t="str">
        <f aca="false">"الربع "&amp;ROUNDUP(MONTH(B1226)/3,0)</f>
        <v>الربع 3</v>
      </c>
      <c r="S1226" s="40" t="str">
        <f aca="false">IF(D1226&lt;=12,"أطفال (0-12)",IF(D1226&lt;=24,"شباب (13-24)",IF(D1226&lt;=44,"بالغون (25-44)",IF(D1226&lt;=64,"متوسطو العمر (45-64)","كبار السن (+65)"))))</f>
        <v>أطفال (0-12)</v>
      </c>
      <c r="T1226" s="41" t="n">
        <f aca="false">IFERROR(L1226/P1226,0)</f>
        <v>926.13</v>
      </c>
    </row>
    <row r="1227" customFormat="false" ht="15" hidden="false" customHeight="false" outlineLevel="0" collapsed="false">
      <c r="A1227" s="33" t="s">
        <v>1641</v>
      </c>
      <c r="B1227" s="34" t="n">
        <v>45505</v>
      </c>
      <c r="C1227" s="34" t="n">
        <v>45508</v>
      </c>
      <c r="D1227" s="33" t="n">
        <v>1</v>
      </c>
      <c r="E1227" s="33" t="s">
        <v>154</v>
      </c>
      <c r="F1227" s="33" t="s">
        <v>155</v>
      </c>
      <c r="G1227" s="33" t="s">
        <v>156</v>
      </c>
      <c r="H1227" s="33" t="s">
        <v>222</v>
      </c>
      <c r="I1227" s="33" t="s">
        <v>152</v>
      </c>
      <c r="J1227" s="33" t="s">
        <v>159</v>
      </c>
      <c r="K1227" s="33" t="s">
        <v>160</v>
      </c>
      <c r="L1227" s="35" t="n">
        <v>2570.46</v>
      </c>
      <c r="M1227" s="33" t="n">
        <v>4</v>
      </c>
      <c r="N1227" s="33" t="s">
        <v>146</v>
      </c>
      <c r="O1227" s="33" t="s">
        <v>147</v>
      </c>
      <c r="P1227" s="39" t="n">
        <f aca="false">C1227-B1227</f>
        <v>3</v>
      </c>
      <c r="Q1227" s="40" t="str">
        <f aca="false">CHOOSE(MONTH(B1227),"يناير","فبراير","مارس","أبريل","مايو","يونيو","يوليو","أغسطس","سبتمبر","أكتوبر","نوفمبر","ديسمبر")</f>
        <v>أغسطس</v>
      </c>
      <c r="R1227" s="40" t="str">
        <f aca="false">"الربع "&amp;ROUNDUP(MONTH(B1227)/3,0)</f>
        <v>الربع 3</v>
      </c>
      <c r="S1227" s="40" t="str">
        <f aca="false">IF(D1227&lt;=12,"أطفال (0-12)",IF(D1227&lt;=24,"شباب (13-24)",IF(D1227&lt;=44,"بالغون (25-44)",IF(D1227&lt;=64,"متوسطو العمر (45-64)","كبار السن (+65)"))))</f>
        <v>أطفال (0-12)</v>
      </c>
      <c r="T1227" s="41" t="n">
        <f aca="false">IFERROR(L1227/P1227,0)</f>
        <v>856.82</v>
      </c>
    </row>
    <row r="1228" customFormat="false" ht="15" hidden="false" customHeight="false" outlineLevel="0" collapsed="false">
      <c r="A1228" s="42" t="s">
        <v>1772</v>
      </c>
      <c r="B1228" s="43" t="n">
        <v>45505</v>
      </c>
      <c r="C1228" s="43" t="n">
        <v>45509</v>
      </c>
      <c r="D1228" s="42" t="n">
        <v>0</v>
      </c>
      <c r="E1228" s="42" t="s">
        <v>154</v>
      </c>
      <c r="F1228" s="42" t="s">
        <v>169</v>
      </c>
      <c r="G1228" s="42" t="s">
        <v>230</v>
      </c>
      <c r="H1228" s="42" t="s">
        <v>171</v>
      </c>
      <c r="I1228" s="42" t="s">
        <v>152</v>
      </c>
      <c r="J1228" s="42" t="s">
        <v>159</v>
      </c>
      <c r="K1228" s="42" t="s">
        <v>145</v>
      </c>
      <c r="L1228" s="44" t="n">
        <v>4632.06</v>
      </c>
      <c r="M1228" s="42" t="n">
        <v>4</v>
      </c>
      <c r="N1228" s="42" t="s">
        <v>146</v>
      </c>
      <c r="O1228" s="42" t="s">
        <v>147</v>
      </c>
      <c r="P1228" s="39" t="n">
        <f aca="false">C1228-B1228</f>
        <v>4</v>
      </c>
      <c r="Q1228" s="40" t="str">
        <f aca="false">CHOOSE(MONTH(B1228),"يناير","فبراير","مارس","أبريل","مايو","يونيو","يوليو","أغسطس","سبتمبر","أكتوبر","نوفمبر","ديسمبر")</f>
        <v>أغسطس</v>
      </c>
      <c r="R1228" s="40" t="str">
        <f aca="false">"الربع "&amp;ROUNDUP(MONTH(B1228)/3,0)</f>
        <v>الربع 3</v>
      </c>
      <c r="S1228" s="40" t="str">
        <f aca="false">IF(D1228&lt;=12,"أطفال (0-12)",IF(D1228&lt;=24,"شباب (13-24)",IF(D1228&lt;=44,"بالغون (25-44)",IF(D1228&lt;=64,"متوسطو العمر (45-64)","كبار السن (+65)"))))</f>
        <v>أطفال (0-12)</v>
      </c>
      <c r="T1228" s="41" t="n">
        <f aca="false">IFERROR(L1228/P1228,0)</f>
        <v>1158.015</v>
      </c>
    </row>
    <row r="1229" customFormat="false" ht="15" hidden="false" customHeight="false" outlineLevel="0" collapsed="false">
      <c r="A1229" s="33" t="s">
        <v>231</v>
      </c>
      <c r="B1229" s="34" t="n">
        <v>45505</v>
      </c>
      <c r="C1229" s="34" t="n">
        <v>45506</v>
      </c>
      <c r="D1229" s="33" t="n">
        <v>85</v>
      </c>
      <c r="E1229" s="33" t="s">
        <v>139</v>
      </c>
      <c r="F1229" s="33" t="s">
        <v>203</v>
      </c>
      <c r="G1229" s="33" t="s">
        <v>232</v>
      </c>
      <c r="H1229" s="33" t="s">
        <v>233</v>
      </c>
      <c r="I1229" s="33" t="s">
        <v>143</v>
      </c>
      <c r="J1229" s="33" t="s">
        <v>144</v>
      </c>
      <c r="K1229" s="33" t="s">
        <v>145</v>
      </c>
      <c r="L1229" s="35" t="n">
        <v>1625.8</v>
      </c>
      <c r="M1229" s="33" t="n">
        <v>4</v>
      </c>
      <c r="N1229" s="33" t="s">
        <v>146</v>
      </c>
      <c r="O1229" s="33" t="s">
        <v>147</v>
      </c>
      <c r="P1229" s="39" t="n">
        <f aca="false">C1229-B1229</f>
        <v>1</v>
      </c>
      <c r="Q1229" s="40" t="str">
        <f aca="false">CHOOSE(MONTH(B1229),"يناير","فبراير","مارس","أبريل","مايو","يونيو","يوليو","أغسطس","سبتمبر","أكتوبر","نوفمبر","ديسمبر")</f>
        <v>أغسطس</v>
      </c>
      <c r="R1229" s="40" t="str">
        <f aca="false">"الربع "&amp;ROUNDUP(MONTH(B1229)/3,0)</f>
        <v>الربع 3</v>
      </c>
      <c r="S1229" s="40" t="str">
        <f aca="false">IF(D1229&lt;=12,"أطفال (0-12)",IF(D1229&lt;=24,"شباب (13-24)",IF(D1229&lt;=44,"بالغون (25-44)",IF(D1229&lt;=64,"متوسطو العمر (45-64)","كبار السن (+65)"))))</f>
        <v>كبار السن (+65)</v>
      </c>
      <c r="T1229" s="41" t="n">
        <f aca="false">IFERROR(L1229/P1229,0)</f>
        <v>1625.8</v>
      </c>
    </row>
    <row r="1230" customFormat="false" ht="15" hidden="false" customHeight="false" outlineLevel="0" collapsed="false">
      <c r="A1230" s="42" t="s">
        <v>1402</v>
      </c>
      <c r="B1230" s="43" t="n">
        <v>45505</v>
      </c>
      <c r="C1230" s="43" t="n">
        <v>45506</v>
      </c>
      <c r="D1230" s="42" t="n">
        <v>50</v>
      </c>
      <c r="E1230" s="42" t="s">
        <v>139</v>
      </c>
      <c r="F1230" s="42" t="s">
        <v>203</v>
      </c>
      <c r="G1230" s="42" t="s">
        <v>217</v>
      </c>
      <c r="H1230" s="42" t="s">
        <v>205</v>
      </c>
      <c r="I1230" s="42" t="s">
        <v>143</v>
      </c>
      <c r="J1230" s="42" t="s">
        <v>144</v>
      </c>
      <c r="K1230" s="42" t="s">
        <v>184</v>
      </c>
      <c r="L1230" s="44" t="n">
        <v>1807.91</v>
      </c>
      <c r="M1230" s="42" t="n">
        <v>3</v>
      </c>
      <c r="N1230" s="42" t="s">
        <v>210</v>
      </c>
      <c r="O1230" s="42" t="s">
        <v>147</v>
      </c>
      <c r="P1230" s="39" t="n">
        <f aca="false">C1230-B1230</f>
        <v>1</v>
      </c>
      <c r="Q1230" s="40" t="str">
        <f aca="false">CHOOSE(MONTH(B1230),"يناير","فبراير","مارس","أبريل","مايو","يونيو","يوليو","أغسطس","سبتمبر","أكتوبر","نوفمبر","ديسمبر")</f>
        <v>أغسطس</v>
      </c>
      <c r="R1230" s="40" t="str">
        <f aca="false">"الربع "&amp;ROUNDUP(MONTH(B1230)/3,0)</f>
        <v>الربع 3</v>
      </c>
      <c r="S1230" s="40" t="str">
        <f aca="false">IF(D1230&lt;=12,"أطفال (0-12)",IF(D1230&lt;=24,"شباب (13-24)",IF(D1230&lt;=44,"بالغون (25-44)",IF(D1230&lt;=64,"متوسطو العمر (45-64)","كبار السن (+65)"))))</f>
        <v>متوسطو العمر (45-64)</v>
      </c>
      <c r="T1230" s="41" t="n">
        <f aca="false">IFERROR(L1230/P1230,0)</f>
        <v>1807.91</v>
      </c>
    </row>
    <row r="1231" customFormat="false" ht="15" hidden="false" customHeight="false" outlineLevel="0" collapsed="false">
      <c r="A1231" s="33" t="s">
        <v>1535</v>
      </c>
      <c r="B1231" s="34" t="n">
        <v>45505</v>
      </c>
      <c r="C1231" s="34" t="n">
        <v>45507</v>
      </c>
      <c r="D1231" s="33" t="n">
        <v>76</v>
      </c>
      <c r="E1231" s="33" t="s">
        <v>154</v>
      </c>
      <c r="F1231" s="33" t="s">
        <v>140</v>
      </c>
      <c r="G1231" s="33" t="s">
        <v>316</v>
      </c>
      <c r="H1231" s="33" t="s">
        <v>290</v>
      </c>
      <c r="I1231" s="33" t="s">
        <v>152</v>
      </c>
      <c r="J1231" s="33" t="s">
        <v>144</v>
      </c>
      <c r="K1231" s="33" t="s">
        <v>209</v>
      </c>
      <c r="L1231" s="35" t="n">
        <v>10316.48</v>
      </c>
      <c r="M1231" s="33" t="n">
        <v>4</v>
      </c>
      <c r="N1231" s="33" t="s">
        <v>146</v>
      </c>
      <c r="O1231" s="33" t="s">
        <v>147</v>
      </c>
      <c r="P1231" s="39" t="n">
        <f aca="false">C1231-B1231</f>
        <v>2</v>
      </c>
      <c r="Q1231" s="40" t="str">
        <f aca="false">CHOOSE(MONTH(B1231),"يناير","فبراير","مارس","أبريل","مايو","يونيو","يوليو","أغسطس","سبتمبر","أكتوبر","نوفمبر","ديسمبر")</f>
        <v>أغسطس</v>
      </c>
      <c r="R1231" s="40" t="str">
        <f aca="false">"الربع "&amp;ROUNDUP(MONTH(B1231)/3,0)</f>
        <v>الربع 3</v>
      </c>
      <c r="S1231" s="40" t="str">
        <f aca="false">IF(D1231&lt;=12,"أطفال (0-12)",IF(D1231&lt;=24,"شباب (13-24)",IF(D1231&lt;=44,"بالغون (25-44)",IF(D1231&lt;=64,"متوسطو العمر (45-64)","كبار السن (+65)"))))</f>
        <v>كبار السن (+65)</v>
      </c>
      <c r="T1231" s="41" t="n">
        <f aca="false">IFERROR(L1231/P1231,0)</f>
        <v>5158.24</v>
      </c>
    </row>
    <row r="1232" customFormat="false" ht="15" hidden="false" customHeight="false" outlineLevel="0" collapsed="false">
      <c r="A1232" s="42" t="s">
        <v>2117</v>
      </c>
      <c r="B1232" s="43" t="n">
        <v>45505</v>
      </c>
      <c r="C1232" s="43" t="n">
        <v>45509</v>
      </c>
      <c r="D1232" s="42" t="n">
        <v>46</v>
      </c>
      <c r="E1232" s="42" t="s">
        <v>139</v>
      </c>
      <c r="F1232" s="42" t="s">
        <v>169</v>
      </c>
      <c r="G1232" s="42" t="s">
        <v>230</v>
      </c>
      <c r="H1232" s="42" t="s">
        <v>195</v>
      </c>
      <c r="I1232" s="42" t="s">
        <v>152</v>
      </c>
      <c r="J1232" s="42" t="s">
        <v>159</v>
      </c>
      <c r="K1232" s="42" t="s">
        <v>184</v>
      </c>
      <c r="L1232" s="44" t="n">
        <v>5590.82</v>
      </c>
      <c r="M1232" s="42" t="n">
        <v>4</v>
      </c>
      <c r="N1232" s="42" t="s">
        <v>146</v>
      </c>
      <c r="O1232" s="42" t="s">
        <v>147</v>
      </c>
      <c r="P1232" s="39" t="n">
        <f aca="false">C1232-B1232</f>
        <v>4</v>
      </c>
      <c r="Q1232" s="40" t="str">
        <f aca="false">CHOOSE(MONTH(B1232),"يناير","فبراير","مارس","أبريل","مايو","يونيو","يوليو","أغسطس","سبتمبر","أكتوبر","نوفمبر","ديسمبر")</f>
        <v>أغسطس</v>
      </c>
      <c r="R1232" s="40" t="str">
        <f aca="false">"الربع "&amp;ROUNDUP(MONTH(B1232)/3,0)</f>
        <v>الربع 3</v>
      </c>
      <c r="S1232" s="40" t="str">
        <f aca="false">IF(D1232&lt;=12,"أطفال (0-12)",IF(D1232&lt;=24,"شباب (13-24)",IF(D1232&lt;=44,"بالغون (25-44)",IF(D1232&lt;=64,"متوسطو العمر (45-64)","كبار السن (+65)"))))</f>
        <v>متوسطو العمر (45-64)</v>
      </c>
      <c r="T1232" s="41" t="n">
        <f aca="false">IFERROR(L1232/P1232,0)</f>
        <v>1397.705</v>
      </c>
    </row>
    <row r="1233" customFormat="false" ht="15" hidden="false" customHeight="false" outlineLevel="0" collapsed="false">
      <c r="A1233" s="33" t="s">
        <v>1494</v>
      </c>
      <c r="B1233" s="34" t="n">
        <v>45506</v>
      </c>
      <c r="C1233" s="34" t="n">
        <v>45508</v>
      </c>
      <c r="D1233" s="33" t="n">
        <v>29</v>
      </c>
      <c r="E1233" s="33" t="s">
        <v>139</v>
      </c>
      <c r="F1233" s="33" t="s">
        <v>149</v>
      </c>
      <c r="G1233" s="33" t="s">
        <v>150</v>
      </c>
      <c r="H1233" s="33" t="s">
        <v>186</v>
      </c>
      <c r="I1233" s="33" t="s">
        <v>143</v>
      </c>
      <c r="J1233" s="33" t="s">
        <v>159</v>
      </c>
      <c r="K1233" s="33" t="s">
        <v>209</v>
      </c>
      <c r="L1233" s="35" t="n">
        <v>2689.75</v>
      </c>
      <c r="M1233" s="33" t="n">
        <v>4</v>
      </c>
      <c r="N1233" s="33" t="s">
        <v>146</v>
      </c>
      <c r="O1233" s="33" t="s">
        <v>147</v>
      </c>
      <c r="P1233" s="39" t="n">
        <f aca="false">C1233-B1233</f>
        <v>2</v>
      </c>
      <c r="Q1233" s="40" t="str">
        <f aca="false">CHOOSE(MONTH(B1233),"يناير","فبراير","مارس","أبريل","مايو","يونيو","يوليو","أغسطس","سبتمبر","أكتوبر","نوفمبر","ديسمبر")</f>
        <v>أغسطس</v>
      </c>
      <c r="R1233" s="40" t="str">
        <f aca="false">"الربع "&amp;ROUNDUP(MONTH(B1233)/3,0)</f>
        <v>الربع 3</v>
      </c>
      <c r="S1233" s="40" t="str">
        <f aca="false">IF(D1233&lt;=12,"أطفال (0-12)",IF(D1233&lt;=24,"شباب (13-24)",IF(D1233&lt;=44,"بالغون (25-44)",IF(D1233&lt;=64,"متوسطو العمر (45-64)","كبار السن (+65)"))))</f>
        <v>بالغون (25-44)</v>
      </c>
      <c r="T1233" s="41" t="n">
        <f aca="false">IFERROR(L1233/P1233,0)</f>
        <v>1344.875</v>
      </c>
    </row>
    <row r="1234" customFormat="false" ht="15" hidden="false" customHeight="false" outlineLevel="0" collapsed="false">
      <c r="A1234" s="42" t="s">
        <v>492</v>
      </c>
      <c r="B1234" s="43" t="n">
        <v>45506</v>
      </c>
      <c r="C1234" s="43" t="n">
        <v>45511</v>
      </c>
      <c r="D1234" s="42" t="n">
        <v>1</v>
      </c>
      <c r="E1234" s="42" t="s">
        <v>139</v>
      </c>
      <c r="F1234" s="42" t="s">
        <v>155</v>
      </c>
      <c r="G1234" s="42" t="s">
        <v>220</v>
      </c>
      <c r="H1234" s="42" t="s">
        <v>222</v>
      </c>
      <c r="I1234" s="42" t="s">
        <v>143</v>
      </c>
      <c r="J1234" s="42" t="s">
        <v>144</v>
      </c>
      <c r="K1234" s="42" t="s">
        <v>184</v>
      </c>
      <c r="L1234" s="44" t="n">
        <v>8203.93</v>
      </c>
      <c r="M1234" s="42" t="n">
        <v>4</v>
      </c>
      <c r="N1234" s="42" t="s">
        <v>146</v>
      </c>
      <c r="O1234" s="42" t="s">
        <v>147</v>
      </c>
      <c r="P1234" s="39" t="n">
        <f aca="false">C1234-B1234</f>
        <v>5</v>
      </c>
      <c r="Q1234" s="40" t="str">
        <f aca="false">CHOOSE(MONTH(B1234),"يناير","فبراير","مارس","أبريل","مايو","يونيو","يوليو","أغسطس","سبتمبر","أكتوبر","نوفمبر","ديسمبر")</f>
        <v>أغسطس</v>
      </c>
      <c r="R1234" s="40" t="str">
        <f aca="false">"الربع "&amp;ROUNDUP(MONTH(B1234)/3,0)</f>
        <v>الربع 3</v>
      </c>
      <c r="S1234" s="40" t="str">
        <f aca="false">IF(D1234&lt;=12,"أطفال (0-12)",IF(D1234&lt;=24,"شباب (13-24)",IF(D1234&lt;=44,"بالغون (25-44)",IF(D1234&lt;=64,"متوسطو العمر (45-64)","كبار السن (+65)"))))</f>
        <v>أطفال (0-12)</v>
      </c>
      <c r="T1234" s="41" t="n">
        <f aca="false">IFERROR(L1234/P1234,0)</f>
        <v>1640.786</v>
      </c>
    </row>
    <row r="1235" customFormat="false" ht="15" hidden="false" customHeight="false" outlineLevel="0" collapsed="false">
      <c r="A1235" s="33" t="s">
        <v>234</v>
      </c>
      <c r="B1235" s="34" t="n">
        <v>45506</v>
      </c>
      <c r="C1235" s="34" t="n">
        <v>45507</v>
      </c>
      <c r="D1235" s="33" t="n">
        <v>48</v>
      </c>
      <c r="E1235" s="33" t="s">
        <v>154</v>
      </c>
      <c r="F1235" s="33" t="s">
        <v>169</v>
      </c>
      <c r="G1235" s="33" t="s">
        <v>230</v>
      </c>
      <c r="H1235" s="33" t="s">
        <v>171</v>
      </c>
      <c r="I1235" s="33" t="s">
        <v>152</v>
      </c>
      <c r="J1235" s="33" t="s">
        <v>159</v>
      </c>
      <c r="K1235" s="33" t="s">
        <v>145</v>
      </c>
      <c r="L1235" s="35" t="n">
        <v>1085.69</v>
      </c>
      <c r="M1235" s="33" t="n">
        <v>4</v>
      </c>
      <c r="N1235" s="33" t="s">
        <v>146</v>
      </c>
      <c r="O1235" s="33" t="s">
        <v>147</v>
      </c>
      <c r="P1235" s="39" t="n">
        <f aca="false">C1235-B1235</f>
        <v>1</v>
      </c>
      <c r="Q1235" s="40" t="str">
        <f aca="false">CHOOSE(MONTH(B1235),"يناير","فبراير","مارس","أبريل","مايو","يونيو","يوليو","أغسطس","سبتمبر","أكتوبر","نوفمبر","ديسمبر")</f>
        <v>أغسطس</v>
      </c>
      <c r="R1235" s="40" t="str">
        <f aca="false">"الربع "&amp;ROUNDUP(MONTH(B1235)/3,0)</f>
        <v>الربع 3</v>
      </c>
      <c r="S1235" s="40" t="str">
        <f aca="false">IF(D1235&lt;=12,"أطفال (0-12)",IF(D1235&lt;=24,"شباب (13-24)",IF(D1235&lt;=44,"بالغون (25-44)",IF(D1235&lt;=64,"متوسطو العمر (45-64)","كبار السن (+65)"))))</f>
        <v>متوسطو العمر (45-64)</v>
      </c>
      <c r="T1235" s="41" t="n">
        <f aca="false">IFERROR(L1235/P1235,0)</f>
        <v>1085.69</v>
      </c>
    </row>
    <row r="1236" customFormat="false" ht="15" hidden="false" customHeight="false" outlineLevel="0" collapsed="false">
      <c r="A1236" s="42" t="s">
        <v>2242</v>
      </c>
      <c r="B1236" s="43" t="n">
        <v>45506</v>
      </c>
      <c r="C1236" s="43" t="n">
        <v>45507</v>
      </c>
      <c r="D1236" s="42" t="n">
        <v>69</v>
      </c>
      <c r="E1236" s="42" t="s">
        <v>154</v>
      </c>
      <c r="F1236" s="42" t="s">
        <v>203</v>
      </c>
      <c r="G1236" s="42" t="s">
        <v>217</v>
      </c>
      <c r="H1236" s="42" t="s">
        <v>233</v>
      </c>
      <c r="I1236" s="42" t="s">
        <v>143</v>
      </c>
      <c r="J1236" s="42" t="s">
        <v>159</v>
      </c>
      <c r="K1236" s="42" t="s">
        <v>145</v>
      </c>
      <c r="L1236" s="44" t="n">
        <v>1141.29</v>
      </c>
      <c r="M1236" s="42" t="n">
        <v>3</v>
      </c>
      <c r="N1236" s="42" t="s">
        <v>146</v>
      </c>
      <c r="O1236" s="42" t="s">
        <v>147</v>
      </c>
      <c r="P1236" s="39" t="n">
        <f aca="false">C1236-B1236</f>
        <v>1</v>
      </c>
      <c r="Q1236" s="40" t="str">
        <f aca="false">CHOOSE(MONTH(B1236),"يناير","فبراير","مارس","أبريل","مايو","يونيو","يوليو","أغسطس","سبتمبر","أكتوبر","نوفمبر","ديسمبر")</f>
        <v>أغسطس</v>
      </c>
      <c r="R1236" s="40" t="str">
        <f aca="false">"الربع "&amp;ROUNDUP(MONTH(B1236)/3,0)</f>
        <v>الربع 3</v>
      </c>
      <c r="S1236" s="40" t="str">
        <f aca="false">IF(D1236&lt;=12,"أطفال (0-12)",IF(D1236&lt;=24,"شباب (13-24)",IF(D1236&lt;=44,"بالغون (25-44)",IF(D1236&lt;=64,"متوسطو العمر (45-64)","كبار السن (+65)"))))</f>
        <v>كبار السن (+65)</v>
      </c>
      <c r="T1236" s="41" t="n">
        <f aca="false">IFERROR(L1236/P1236,0)</f>
        <v>1141.29</v>
      </c>
    </row>
    <row r="1237" customFormat="false" ht="15" hidden="false" customHeight="false" outlineLevel="0" collapsed="false">
      <c r="A1237" s="33" t="s">
        <v>2027</v>
      </c>
      <c r="B1237" s="34" t="n">
        <v>45507</v>
      </c>
      <c r="C1237" s="34" t="n">
        <v>45508</v>
      </c>
      <c r="D1237" s="33" t="n">
        <v>59</v>
      </c>
      <c r="E1237" s="33" t="s">
        <v>139</v>
      </c>
      <c r="F1237" s="33" t="s">
        <v>203</v>
      </c>
      <c r="G1237" s="33" t="s">
        <v>217</v>
      </c>
      <c r="H1237" s="33" t="s">
        <v>193</v>
      </c>
      <c r="I1237" s="33" t="s">
        <v>143</v>
      </c>
      <c r="J1237" s="33" t="s">
        <v>159</v>
      </c>
      <c r="K1237" s="33" t="s">
        <v>209</v>
      </c>
      <c r="L1237" s="35" t="n">
        <v>1000.74</v>
      </c>
      <c r="M1237" s="33" t="n">
        <v>4</v>
      </c>
      <c r="N1237" s="33" t="s">
        <v>146</v>
      </c>
      <c r="O1237" s="33" t="s">
        <v>147</v>
      </c>
      <c r="P1237" s="39" t="n">
        <f aca="false">C1237-B1237</f>
        <v>1</v>
      </c>
      <c r="Q1237" s="40" t="str">
        <f aca="false">CHOOSE(MONTH(B1237),"يناير","فبراير","مارس","أبريل","مايو","يونيو","يوليو","أغسطس","سبتمبر","أكتوبر","نوفمبر","ديسمبر")</f>
        <v>أغسطس</v>
      </c>
      <c r="R1237" s="40" t="str">
        <f aca="false">"الربع "&amp;ROUNDUP(MONTH(B1237)/3,0)</f>
        <v>الربع 3</v>
      </c>
      <c r="S1237" s="40" t="str">
        <f aca="false">IF(D1237&lt;=12,"أطفال (0-12)",IF(D1237&lt;=24,"شباب (13-24)",IF(D1237&lt;=44,"بالغون (25-44)",IF(D1237&lt;=64,"متوسطو العمر (45-64)","كبار السن (+65)"))))</f>
        <v>متوسطو العمر (45-64)</v>
      </c>
      <c r="T1237" s="41" t="n">
        <f aca="false">IFERROR(L1237/P1237,0)</f>
        <v>1000.74</v>
      </c>
    </row>
    <row r="1238" customFormat="false" ht="15" hidden="false" customHeight="false" outlineLevel="0" collapsed="false">
      <c r="A1238" s="42" t="s">
        <v>1487</v>
      </c>
      <c r="B1238" s="43" t="n">
        <v>45507</v>
      </c>
      <c r="C1238" s="43" t="n">
        <v>45509</v>
      </c>
      <c r="D1238" s="42" t="n">
        <v>5</v>
      </c>
      <c r="E1238" s="42" t="s">
        <v>139</v>
      </c>
      <c r="F1238" s="42" t="s">
        <v>155</v>
      </c>
      <c r="G1238" s="42" t="s">
        <v>302</v>
      </c>
      <c r="H1238" s="42" t="s">
        <v>222</v>
      </c>
      <c r="I1238" s="42" t="s">
        <v>143</v>
      </c>
      <c r="J1238" s="42" t="s">
        <v>159</v>
      </c>
      <c r="K1238" s="42" t="s">
        <v>145</v>
      </c>
      <c r="L1238" s="44" t="n">
        <v>1217.56</v>
      </c>
      <c r="M1238" s="42" t="n">
        <v>5</v>
      </c>
      <c r="N1238" s="42" t="s">
        <v>146</v>
      </c>
      <c r="O1238" s="42" t="s">
        <v>147</v>
      </c>
      <c r="P1238" s="39" t="n">
        <f aca="false">C1238-B1238</f>
        <v>2</v>
      </c>
      <c r="Q1238" s="40" t="str">
        <f aca="false">CHOOSE(MONTH(B1238),"يناير","فبراير","مارس","أبريل","مايو","يونيو","يوليو","أغسطس","سبتمبر","أكتوبر","نوفمبر","ديسمبر")</f>
        <v>أغسطس</v>
      </c>
      <c r="R1238" s="40" t="str">
        <f aca="false">"الربع "&amp;ROUNDUP(MONTH(B1238)/3,0)</f>
        <v>الربع 3</v>
      </c>
      <c r="S1238" s="40" t="str">
        <f aca="false">IF(D1238&lt;=12,"أطفال (0-12)",IF(D1238&lt;=24,"شباب (13-24)",IF(D1238&lt;=44,"بالغون (25-44)",IF(D1238&lt;=64,"متوسطو العمر (45-64)","كبار السن (+65)"))))</f>
        <v>أطفال (0-12)</v>
      </c>
      <c r="T1238" s="41" t="n">
        <f aca="false">IFERROR(L1238/P1238,0)</f>
        <v>608.78</v>
      </c>
    </row>
    <row r="1239" customFormat="false" ht="15" hidden="false" customHeight="false" outlineLevel="0" collapsed="false">
      <c r="A1239" s="33" t="s">
        <v>1388</v>
      </c>
      <c r="B1239" s="34" t="n">
        <v>45507</v>
      </c>
      <c r="C1239" s="34" t="n">
        <v>45509</v>
      </c>
      <c r="D1239" s="33" t="n">
        <v>37</v>
      </c>
      <c r="E1239" s="33" t="s">
        <v>139</v>
      </c>
      <c r="F1239" s="33" t="s">
        <v>149</v>
      </c>
      <c r="G1239" s="33" t="s">
        <v>224</v>
      </c>
      <c r="H1239" s="33" t="s">
        <v>186</v>
      </c>
      <c r="I1239" s="33" t="s">
        <v>152</v>
      </c>
      <c r="J1239" s="33" t="s">
        <v>144</v>
      </c>
      <c r="K1239" s="33" t="s">
        <v>145</v>
      </c>
      <c r="L1239" s="35" t="n">
        <v>4467.72</v>
      </c>
      <c r="M1239" s="33" t="n">
        <v>4</v>
      </c>
      <c r="N1239" s="33" t="s">
        <v>146</v>
      </c>
      <c r="O1239" s="33" t="s">
        <v>206</v>
      </c>
      <c r="P1239" s="39" t="n">
        <f aca="false">C1239-B1239</f>
        <v>2</v>
      </c>
      <c r="Q1239" s="40" t="str">
        <f aca="false">CHOOSE(MONTH(B1239),"يناير","فبراير","مارس","أبريل","مايو","يونيو","يوليو","أغسطس","سبتمبر","أكتوبر","نوفمبر","ديسمبر")</f>
        <v>أغسطس</v>
      </c>
      <c r="R1239" s="40" t="str">
        <f aca="false">"الربع "&amp;ROUNDUP(MONTH(B1239)/3,0)</f>
        <v>الربع 3</v>
      </c>
      <c r="S1239" s="40" t="str">
        <f aca="false">IF(D1239&lt;=12,"أطفال (0-12)",IF(D1239&lt;=24,"شباب (13-24)",IF(D1239&lt;=44,"بالغون (25-44)",IF(D1239&lt;=64,"متوسطو العمر (45-64)","كبار السن (+65)"))))</f>
        <v>بالغون (25-44)</v>
      </c>
      <c r="T1239" s="41" t="n">
        <f aca="false">IFERROR(L1239/P1239,0)</f>
        <v>2233.86</v>
      </c>
    </row>
    <row r="1240" customFormat="false" ht="15" hidden="false" customHeight="false" outlineLevel="0" collapsed="false">
      <c r="A1240" s="42" t="s">
        <v>720</v>
      </c>
      <c r="B1240" s="43" t="n">
        <v>45507</v>
      </c>
      <c r="C1240" s="43" t="n">
        <v>45515</v>
      </c>
      <c r="D1240" s="42" t="n">
        <v>51</v>
      </c>
      <c r="E1240" s="42" t="s">
        <v>154</v>
      </c>
      <c r="F1240" s="42" t="s">
        <v>181</v>
      </c>
      <c r="G1240" s="42" t="s">
        <v>182</v>
      </c>
      <c r="H1240" s="42" t="s">
        <v>245</v>
      </c>
      <c r="I1240" s="42" t="s">
        <v>143</v>
      </c>
      <c r="J1240" s="42" t="s">
        <v>144</v>
      </c>
      <c r="K1240" s="42" t="s">
        <v>145</v>
      </c>
      <c r="L1240" s="44" t="n">
        <v>37839.66</v>
      </c>
      <c r="M1240" s="42" t="n">
        <v>4</v>
      </c>
      <c r="N1240" s="42" t="s">
        <v>146</v>
      </c>
      <c r="O1240" s="42" t="s">
        <v>147</v>
      </c>
      <c r="P1240" s="39" t="n">
        <f aca="false">C1240-B1240</f>
        <v>8</v>
      </c>
      <c r="Q1240" s="40" t="str">
        <f aca="false">CHOOSE(MONTH(B1240),"يناير","فبراير","مارس","أبريل","مايو","يونيو","يوليو","أغسطس","سبتمبر","أكتوبر","نوفمبر","ديسمبر")</f>
        <v>أغسطس</v>
      </c>
      <c r="R1240" s="40" t="str">
        <f aca="false">"الربع "&amp;ROUNDUP(MONTH(B1240)/3,0)</f>
        <v>الربع 3</v>
      </c>
      <c r="S1240" s="40" t="str">
        <f aca="false">IF(D1240&lt;=12,"أطفال (0-12)",IF(D1240&lt;=24,"شباب (13-24)",IF(D1240&lt;=44,"بالغون (25-44)",IF(D1240&lt;=64,"متوسطو العمر (45-64)","كبار السن (+65)"))))</f>
        <v>متوسطو العمر (45-64)</v>
      </c>
      <c r="T1240" s="41" t="n">
        <f aca="false">IFERROR(L1240/P1240,0)</f>
        <v>4729.9575</v>
      </c>
    </row>
    <row r="1241" customFormat="false" ht="15" hidden="false" customHeight="false" outlineLevel="0" collapsed="false">
      <c r="A1241" s="33" t="s">
        <v>1844</v>
      </c>
      <c r="B1241" s="34" t="n">
        <v>45507</v>
      </c>
      <c r="C1241" s="34" t="n">
        <v>45508</v>
      </c>
      <c r="D1241" s="33" t="n">
        <v>66</v>
      </c>
      <c r="E1241" s="33" t="s">
        <v>139</v>
      </c>
      <c r="F1241" s="33" t="s">
        <v>203</v>
      </c>
      <c r="G1241" s="33" t="s">
        <v>241</v>
      </c>
      <c r="H1241" s="33" t="s">
        <v>205</v>
      </c>
      <c r="I1241" s="33" t="s">
        <v>143</v>
      </c>
      <c r="J1241" s="33" t="s">
        <v>159</v>
      </c>
      <c r="K1241" s="33" t="s">
        <v>145</v>
      </c>
      <c r="L1241" s="35" t="n">
        <v>816.11</v>
      </c>
      <c r="M1241" s="33" t="n">
        <v>4</v>
      </c>
      <c r="N1241" s="33" t="s">
        <v>146</v>
      </c>
      <c r="O1241" s="33" t="s">
        <v>147</v>
      </c>
      <c r="P1241" s="39" t="n">
        <f aca="false">C1241-B1241</f>
        <v>1</v>
      </c>
      <c r="Q1241" s="40" t="str">
        <f aca="false">CHOOSE(MONTH(B1241),"يناير","فبراير","مارس","أبريل","مايو","يونيو","يوليو","أغسطس","سبتمبر","أكتوبر","نوفمبر","ديسمبر")</f>
        <v>أغسطس</v>
      </c>
      <c r="R1241" s="40" t="str">
        <f aca="false">"الربع "&amp;ROUNDUP(MONTH(B1241)/3,0)</f>
        <v>الربع 3</v>
      </c>
      <c r="S1241" s="40" t="str">
        <f aca="false">IF(D1241&lt;=12,"أطفال (0-12)",IF(D1241&lt;=24,"شباب (13-24)",IF(D1241&lt;=44,"بالغون (25-44)",IF(D1241&lt;=64,"متوسطو العمر (45-64)","كبار السن (+65)"))))</f>
        <v>كبار السن (+65)</v>
      </c>
      <c r="T1241" s="41" t="n">
        <f aca="false">IFERROR(L1241/P1241,0)</f>
        <v>816.11</v>
      </c>
    </row>
    <row r="1242" customFormat="false" ht="15" hidden="false" customHeight="false" outlineLevel="0" collapsed="false">
      <c r="A1242" s="42" t="s">
        <v>1432</v>
      </c>
      <c r="B1242" s="43" t="n">
        <v>45507</v>
      </c>
      <c r="C1242" s="43" t="n">
        <v>45508</v>
      </c>
      <c r="D1242" s="42" t="n">
        <v>54</v>
      </c>
      <c r="E1242" s="42" t="s">
        <v>139</v>
      </c>
      <c r="F1242" s="42" t="s">
        <v>203</v>
      </c>
      <c r="G1242" s="42" t="s">
        <v>217</v>
      </c>
      <c r="H1242" s="42" t="s">
        <v>193</v>
      </c>
      <c r="I1242" s="42" t="s">
        <v>143</v>
      </c>
      <c r="J1242" s="42" t="s">
        <v>159</v>
      </c>
      <c r="K1242" s="42" t="s">
        <v>145</v>
      </c>
      <c r="L1242" s="44" t="n">
        <v>1103.53</v>
      </c>
      <c r="M1242" s="42" t="n">
        <v>3</v>
      </c>
      <c r="N1242" s="42" t="s">
        <v>146</v>
      </c>
      <c r="O1242" s="42" t="s">
        <v>147</v>
      </c>
      <c r="P1242" s="39" t="n">
        <f aca="false">C1242-B1242</f>
        <v>1</v>
      </c>
      <c r="Q1242" s="40" t="str">
        <f aca="false">CHOOSE(MONTH(B1242),"يناير","فبراير","مارس","أبريل","مايو","يونيو","يوليو","أغسطس","سبتمبر","أكتوبر","نوفمبر","ديسمبر")</f>
        <v>أغسطس</v>
      </c>
      <c r="R1242" s="40" t="str">
        <f aca="false">"الربع "&amp;ROUNDUP(MONTH(B1242)/3,0)</f>
        <v>الربع 3</v>
      </c>
      <c r="S1242" s="40" t="str">
        <f aca="false">IF(D1242&lt;=12,"أطفال (0-12)",IF(D1242&lt;=24,"شباب (13-24)",IF(D1242&lt;=44,"بالغون (25-44)",IF(D1242&lt;=64,"متوسطو العمر (45-64)","كبار السن (+65)"))))</f>
        <v>متوسطو العمر (45-64)</v>
      </c>
      <c r="T1242" s="41" t="n">
        <f aca="false">IFERROR(L1242/P1242,0)</f>
        <v>1103.53</v>
      </c>
    </row>
    <row r="1243" customFormat="false" ht="15" hidden="false" customHeight="false" outlineLevel="0" collapsed="false">
      <c r="A1243" s="33" t="s">
        <v>424</v>
      </c>
      <c r="B1243" s="34" t="n">
        <v>45507</v>
      </c>
      <c r="C1243" s="34" t="n">
        <v>45508</v>
      </c>
      <c r="D1243" s="33" t="n">
        <v>55</v>
      </c>
      <c r="E1243" s="33" t="s">
        <v>154</v>
      </c>
      <c r="F1243" s="33" t="s">
        <v>169</v>
      </c>
      <c r="G1243" s="33" t="s">
        <v>230</v>
      </c>
      <c r="H1243" s="33" t="s">
        <v>2322</v>
      </c>
      <c r="I1243" s="33" t="s">
        <v>152</v>
      </c>
      <c r="J1243" s="33" t="s">
        <v>159</v>
      </c>
      <c r="K1243" s="33" t="s">
        <v>145</v>
      </c>
      <c r="L1243" s="35" t="n">
        <v>1301.77</v>
      </c>
      <c r="M1243" s="33" t="n">
        <v>5</v>
      </c>
      <c r="N1243" s="33" t="s">
        <v>146</v>
      </c>
      <c r="O1243" s="33" t="s">
        <v>147</v>
      </c>
      <c r="P1243" s="39" t="n">
        <f aca="false">C1243-B1243</f>
        <v>1</v>
      </c>
      <c r="Q1243" s="40" t="str">
        <f aca="false">CHOOSE(MONTH(B1243),"يناير","فبراير","مارس","أبريل","مايو","يونيو","يوليو","أغسطس","سبتمبر","أكتوبر","نوفمبر","ديسمبر")</f>
        <v>أغسطس</v>
      </c>
      <c r="R1243" s="40" t="str">
        <f aca="false">"الربع "&amp;ROUNDUP(MONTH(B1243)/3,0)</f>
        <v>الربع 3</v>
      </c>
      <c r="S1243" s="40" t="str">
        <f aca="false">IF(D1243&lt;=12,"أطفال (0-12)",IF(D1243&lt;=24,"شباب (13-24)",IF(D1243&lt;=44,"بالغون (25-44)",IF(D1243&lt;=64,"متوسطو العمر (45-64)","كبار السن (+65)"))))</f>
        <v>متوسطو العمر (45-64)</v>
      </c>
      <c r="T1243" s="41" t="n">
        <f aca="false">IFERROR(L1243/P1243,0)</f>
        <v>1301.77</v>
      </c>
    </row>
    <row r="1244" customFormat="false" ht="15" hidden="false" customHeight="false" outlineLevel="0" collapsed="false">
      <c r="A1244" s="42" t="s">
        <v>1670</v>
      </c>
      <c r="B1244" s="43" t="n">
        <v>45507</v>
      </c>
      <c r="C1244" s="43" t="n">
        <v>45509</v>
      </c>
      <c r="D1244" s="42" t="n">
        <v>25</v>
      </c>
      <c r="E1244" s="42" t="s">
        <v>139</v>
      </c>
      <c r="F1244" s="42" t="s">
        <v>149</v>
      </c>
      <c r="G1244" s="42" t="s">
        <v>224</v>
      </c>
      <c r="H1244" s="42" t="s">
        <v>151</v>
      </c>
      <c r="I1244" s="42" t="s">
        <v>143</v>
      </c>
      <c r="J1244" s="42" t="s">
        <v>159</v>
      </c>
      <c r="K1244" s="42" t="s">
        <v>160</v>
      </c>
      <c r="L1244" s="44" t="n">
        <v>3097.9</v>
      </c>
      <c r="M1244" s="42" t="n">
        <v>4</v>
      </c>
      <c r="N1244" s="42" t="s">
        <v>146</v>
      </c>
      <c r="O1244" s="42" t="s">
        <v>147</v>
      </c>
      <c r="P1244" s="39" t="n">
        <f aca="false">C1244-B1244</f>
        <v>2</v>
      </c>
      <c r="Q1244" s="40" t="str">
        <f aca="false">CHOOSE(MONTH(B1244),"يناير","فبراير","مارس","أبريل","مايو","يونيو","يوليو","أغسطس","سبتمبر","أكتوبر","نوفمبر","ديسمبر")</f>
        <v>أغسطس</v>
      </c>
      <c r="R1244" s="40" t="str">
        <f aca="false">"الربع "&amp;ROUNDUP(MONTH(B1244)/3,0)</f>
        <v>الربع 3</v>
      </c>
      <c r="S1244" s="40" t="str">
        <f aca="false">IF(D1244&lt;=12,"أطفال (0-12)",IF(D1244&lt;=24,"شباب (13-24)",IF(D1244&lt;=44,"بالغون (25-44)",IF(D1244&lt;=64,"متوسطو العمر (45-64)","كبار السن (+65)"))))</f>
        <v>بالغون (25-44)</v>
      </c>
      <c r="T1244" s="41" t="n">
        <f aca="false">IFERROR(L1244/P1244,0)</f>
        <v>1548.95</v>
      </c>
    </row>
    <row r="1245" customFormat="false" ht="15" hidden="false" customHeight="false" outlineLevel="0" collapsed="false">
      <c r="A1245" s="33" t="s">
        <v>465</v>
      </c>
      <c r="B1245" s="34" t="n">
        <v>45508</v>
      </c>
      <c r="C1245" s="34" t="n">
        <v>45512</v>
      </c>
      <c r="D1245" s="33" t="n">
        <v>30</v>
      </c>
      <c r="E1245" s="33" t="s">
        <v>154</v>
      </c>
      <c r="F1245" s="33" t="s">
        <v>169</v>
      </c>
      <c r="G1245" s="33" t="s">
        <v>230</v>
      </c>
      <c r="H1245" s="33" t="s">
        <v>195</v>
      </c>
      <c r="I1245" s="33" t="s">
        <v>143</v>
      </c>
      <c r="J1245" s="33" t="s">
        <v>159</v>
      </c>
      <c r="K1245" s="33" t="s">
        <v>209</v>
      </c>
      <c r="L1245" s="35" t="n">
        <v>4499.42</v>
      </c>
      <c r="M1245" s="33" t="n">
        <v>4</v>
      </c>
      <c r="N1245" s="33" t="s">
        <v>146</v>
      </c>
      <c r="O1245" s="33" t="s">
        <v>147</v>
      </c>
      <c r="P1245" s="39" t="n">
        <f aca="false">C1245-B1245</f>
        <v>4</v>
      </c>
      <c r="Q1245" s="40" t="str">
        <f aca="false">CHOOSE(MONTH(B1245),"يناير","فبراير","مارس","أبريل","مايو","يونيو","يوليو","أغسطس","سبتمبر","أكتوبر","نوفمبر","ديسمبر")</f>
        <v>أغسطس</v>
      </c>
      <c r="R1245" s="40" t="str">
        <f aca="false">"الربع "&amp;ROUNDUP(MONTH(B1245)/3,0)</f>
        <v>الربع 3</v>
      </c>
      <c r="S1245" s="40" t="str">
        <f aca="false">IF(D1245&lt;=12,"أطفال (0-12)",IF(D1245&lt;=24,"شباب (13-24)",IF(D1245&lt;=44,"بالغون (25-44)",IF(D1245&lt;=64,"متوسطو العمر (45-64)","كبار السن (+65)"))))</f>
        <v>بالغون (25-44)</v>
      </c>
      <c r="T1245" s="41" t="n">
        <f aca="false">IFERROR(L1245/P1245,0)</f>
        <v>1124.855</v>
      </c>
    </row>
    <row r="1246" customFormat="false" ht="15" hidden="false" customHeight="false" outlineLevel="0" collapsed="false">
      <c r="A1246" s="42" t="s">
        <v>1253</v>
      </c>
      <c r="B1246" s="43" t="n">
        <v>45508</v>
      </c>
      <c r="C1246" s="43" t="n">
        <v>45513</v>
      </c>
      <c r="D1246" s="42" t="n">
        <v>39</v>
      </c>
      <c r="E1246" s="42" t="s">
        <v>139</v>
      </c>
      <c r="F1246" s="42" t="s">
        <v>169</v>
      </c>
      <c r="G1246" s="42" t="s">
        <v>213</v>
      </c>
      <c r="H1246" s="42" t="s">
        <v>171</v>
      </c>
      <c r="I1246" s="42" t="s">
        <v>143</v>
      </c>
      <c r="J1246" s="42" t="s">
        <v>159</v>
      </c>
      <c r="K1246" s="42" t="s">
        <v>160</v>
      </c>
      <c r="L1246" s="44" t="n">
        <v>5092.79</v>
      </c>
      <c r="M1246" s="42" t="n">
        <v>5</v>
      </c>
      <c r="N1246" s="42" t="s">
        <v>146</v>
      </c>
      <c r="O1246" s="42" t="s">
        <v>147</v>
      </c>
      <c r="P1246" s="39" t="n">
        <f aca="false">C1246-B1246</f>
        <v>5</v>
      </c>
      <c r="Q1246" s="40" t="str">
        <f aca="false">CHOOSE(MONTH(B1246),"يناير","فبراير","مارس","أبريل","مايو","يونيو","يوليو","أغسطس","سبتمبر","أكتوبر","نوفمبر","ديسمبر")</f>
        <v>أغسطس</v>
      </c>
      <c r="R1246" s="40" t="str">
        <f aca="false">"الربع "&amp;ROUNDUP(MONTH(B1246)/3,0)</f>
        <v>الربع 3</v>
      </c>
      <c r="S1246" s="40" t="str">
        <f aca="false">IF(D1246&lt;=12,"أطفال (0-12)",IF(D1246&lt;=24,"شباب (13-24)",IF(D1246&lt;=44,"بالغون (25-44)",IF(D1246&lt;=64,"متوسطو العمر (45-64)","كبار السن (+65)"))))</f>
        <v>بالغون (25-44)</v>
      </c>
      <c r="T1246" s="41" t="n">
        <f aca="false">IFERROR(L1246/P1246,0)</f>
        <v>1018.558</v>
      </c>
    </row>
    <row r="1247" customFormat="false" ht="15" hidden="false" customHeight="false" outlineLevel="0" collapsed="false">
      <c r="A1247" s="33" t="s">
        <v>1028</v>
      </c>
      <c r="B1247" s="34" t="n">
        <v>45508</v>
      </c>
      <c r="C1247" s="34" t="n">
        <v>45512</v>
      </c>
      <c r="D1247" s="33" t="n">
        <v>21</v>
      </c>
      <c r="E1247" s="33" t="s">
        <v>154</v>
      </c>
      <c r="F1247" s="33" t="s">
        <v>173</v>
      </c>
      <c r="G1247" s="33" t="s">
        <v>174</v>
      </c>
      <c r="H1247" s="33" t="s">
        <v>175</v>
      </c>
      <c r="I1247" s="33" t="s">
        <v>152</v>
      </c>
      <c r="J1247" s="33" t="s">
        <v>159</v>
      </c>
      <c r="K1247" s="33" t="s">
        <v>145</v>
      </c>
      <c r="L1247" s="35" t="n">
        <v>9852.79</v>
      </c>
      <c r="M1247" s="33" t="n">
        <v>3</v>
      </c>
      <c r="N1247" s="33" t="s">
        <v>146</v>
      </c>
      <c r="O1247" s="33" t="s">
        <v>147</v>
      </c>
      <c r="P1247" s="39" t="n">
        <f aca="false">C1247-B1247</f>
        <v>4</v>
      </c>
      <c r="Q1247" s="40" t="str">
        <f aca="false">CHOOSE(MONTH(B1247),"يناير","فبراير","مارس","أبريل","مايو","يونيو","يوليو","أغسطس","سبتمبر","أكتوبر","نوفمبر","ديسمبر")</f>
        <v>أغسطس</v>
      </c>
      <c r="R1247" s="40" t="str">
        <f aca="false">"الربع "&amp;ROUNDUP(MONTH(B1247)/3,0)</f>
        <v>الربع 3</v>
      </c>
      <c r="S1247" s="40" t="str">
        <f aca="false">IF(D1247&lt;=12,"أطفال (0-12)",IF(D1247&lt;=24,"شباب (13-24)",IF(D1247&lt;=44,"بالغون (25-44)",IF(D1247&lt;=64,"متوسطو العمر (45-64)","كبار السن (+65)"))))</f>
        <v>شباب (13-24)</v>
      </c>
      <c r="T1247" s="41" t="n">
        <f aca="false">IFERROR(L1247/P1247,0)</f>
        <v>2463.1975</v>
      </c>
    </row>
    <row r="1248" customFormat="false" ht="15" hidden="false" customHeight="false" outlineLevel="0" collapsed="false">
      <c r="A1248" s="42" t="s">
        <v>908</v>
      </c>
      <c r="B1248" s="43" t="n">
        <v>45508</v>
      </c>
      <c r="C1248" s="43" t="n">
        <v>45509</v>
      </c>
      <c r="D1248" s="42" t="n">
        <v>35</v>
      </c>
      <c r="E1248" s="42" t="s">
        <v>154</v>
      </c>
      <c r="F1248" s="42" t="s">
        <v>173</v>
      </c>
      <c r="G1248" s="42" t="s">
        <v>198</v>
      </c>
      <c r="H1248" s="42" t="s">
        <v>175</v>
      </c>
      <c r="I1248" s="42" t="s">
        <v>143</v>
      </c>
      <c r="J1248" s="42" t="s">
        <v>159</v>
      </c>
      <c r="K1248" s="42" t="s">
        <v>145</v>
      </c>
      <c r="L1248" s="44" t="n">
        <v>2870.42</v>
      </c>
      <c r="M1248" s="42" t="n">
        <v>4</v>
      </c>
      <c r="N1248" s="42" t="s">
        <v>146</v>
      </c>
      <c r="O1248" s="42" t="s">
        <v>147</v>
      </c>
      <c r="P1248" s="39" t="n">
        <f aca="false">C1248-B1248</f>
        <v>1</v>
      </c>
      <c r="Q1248" s="40" t="str">
        <f aca="false">CHOOSE(MONTH(B1248),"يناير","فبراير","مارس","أبريل","مايو","يونيو","يوليو","أغسطس","سبتمبر","أكتوبر","نوفمبر","ديسمبر")</f>
        <v>أغسطس</v>
      </c>
      <c r="R1248" s="40" t="str">
        <f aca="false">"الربع "&amp;ROUNDUP(MONTH(B1248)/3,0)</f>
        <v>الربع 3</v>
      </c>
      <c r="S1248" s="40" t="str">
        <f aca="false">IF(D1248&lt;=12,"أطفال (0-12)",IF(D1248&lt;=24,"شباب (13-24)",IF(D1248&lt;=44,"بالغون (25-44)",IF(D1248&lt;=64,"متوسطو العمر (45-64)","كبار السن (+65)"))))</f>
        <v>بالغون (25-44)</v>
      </c>
      <c r="T1248" s="41" t="n">
        <f aca="false">IFERROR(L1248/P1248,0)</f>
        <v>2870.42</v>
      </c>
    </row>
    <row r="1249" customFormat="false" ht="15" hidden="false" customHeight="false" outlineLevel="0" collapsed="false">
      <c r="A1249" s="33" t="s">
        <v>311</v>
      </c>
      <c r="B1249" s="34" t="n">
        <v>45508</v>
      </c>
      <c r="C1249" s="34" t="n">
        <v>45509</v>
      </c>
      <c r="D1249" s="33" t="n">
        <v>20</v>
      </c>
      <c r="E1249" s="33" t="s">
        <v>139</v>
      </c>
      <c r="F1249" s="33" t="s">
        <v>149</v>
      </c>
      <c r="G1249" s="33" t="s">
        <v>243</v>
      </c>
      <c r="H1249" s="33" t="s">
        <v>186</v>
      </c>
      <c r="I1249" s="33" t="s">
        <v>152</v>
      </c>
      <c r="J1249" s="33" t="s">
        <v>159</v>
      </c>
      <c r="K1249" s="33" t="s">
        <v>209</v>
      </c>
      <c r="L1249" s="35" t="n">
        <v>1576.67</v>
      </c>
      <c r="M1249" s="33" t="n">
        <v>4</v>
      </c>
      <c r="N1249" s="33" t="s">
        <v>146</v>
      </c>
      <c r="O1249" s="33" t="s">
        <v>147</v>
      </c>
      <c r="P1249" s="39" t="n">
        <f aca="false">C1249-B1249</f>
        <v>1</v>
      </c>
      <c r="Q1249" s="40" t="str">
        <f aca="false">CHOOSE(MONTH(B1249),"يناير","فبراير","مارس","أبريل","مايو","يونيو","يوليو","أغسطس","سبتمبر","أكتوبر","نوفمبر","ديسمبر")</f>
        <v>أغسطس</v>
      </c>
      <c r="R1249" s="40" t="str">
        <f aca="false">"الربع "&amp;ROUNDUP(MONTH(B1249)/3,0)</f>
        <v>الربع 3</v>
      </c>
      <c r="S1249" s="40" t="str">
        <f aca="false">IF(D1249&lt;=12,"أطفال (0-12)",IF(D1249&lt;=24,"شباب (13-24)",IF(D1249&lt;=44,"بالغون (25-44)",IF(D1249&lt;=64,"متوسطو العمر (45-64)","كبار السن (+65)"))))</f>
        <v>شباب (13-24)</v>
      </c>
      <c r="T1249" s="41" t="n">
        <f aca="false">IFERROR(L1249/P1249,0)</f>
        <v>1576.67</v>
      </c>
    </row>
    <row r="1250" customFormat="false" ht="15" hidden="false" customHeight="false" outlineLevel="0" collapsed="false">
      <c r="A1250" s="42" t="s">
        <v>2145</v>
      </c>
      <c r="B1250" s="43" t="n">
        <v>45508</v>
      </c>
      <c r="C1250" s="43" t="n">
        <v>45509</v>
      </c>
      <c r="D1250" s="42" t="n">
        <v>31</v>
      </c>
      <c r="E1250" s="42" t="s">
        <v>139</v>
      </c>
      <c r="F1250" s="42" t="s">
        <v>149</v>
      </c>
      <c r="G1250" s="42" t="s">
        <v>243</v>
      </c>
      <c r="H1250" s="42" t="s">
        <v>186</v>
      </c>
      <c r="I1250" s="42" t="s">
        <v>152</v>
      </c>
      <c r="J1250" s="42" t="s">
        <v>159</v>
      </c>
      <c r="K1250" s="42" t="s">
        <v>145</v>
      </c>
      <c r="L1250" s="44" t="n">
        <v>1294.28</v>
      </c>
      <c r="M1250" s="42" t="n">
        <v>5</v>
      </c>
      <c r="N1250" s="42" t="s">
        <v>146</v>
      </c>
      <c r="O1250" s="42" t="s">
        <v>147</v>
      </c>
      <c r="P1250" s="39" t="n">
        <f aca="false">C1250-B1250</f>
        <v>1</v>
      </c>
      <c r="Q1250" s="40" t="str">
        <f aca="false">CHOOSE(MONTH(B1250),"يناير","فبراير","مارس","أبريل","مايو","يونيو","يوليو","أغسطس","سبتمبر","أكتوبر","نوفمبر","ديسمبر")</f>
        <v>أغسطس</v>
      </c>
      <c r="R1250" s="40" t="str">
        <f aca="false">"الربع "&amp;ROUNDUP(MONTH(B1250)/3,0)</f>
        <v>الربع 3</v>
      </c>
      <c r="S1250" s="40" t="str">
        <f aca="false">IF(D1250&lt;=12,"أطفال (0-12)",IF(D1250&lt;=24,"شباب (13-24)",IF(D1250&lt;=44,"بالغون (25-44)",IF(D1250&lt;=64,"متوسطو العمر (45-64)","كبار السن (+65)"))))</f>
        <v>بالغون (25-44)</v>
      </c>
      <c r="T1250" s="41" t="n">
        <f aca="false">IFERROR(L1250/P1250,0)</f>
        <v>1294.28</v>
      </c>
    </row>
    <row r="1251" customFormat="false" ht="15" hidden="false" customHeight="false" outlineLevel="0" collapsed="false">
      <c r="A1251" s="33" t="s">
        <v>613</v>
      </c>
      <c r="B1251" s="34" t="n">
        <v>45509</v>
      </c>
      <c r="C1251" s="34" t="n">
        <v>45510</v>
      </c>
      <c r="D1251" s="33" t="n">
        <v>5</v>
      </c>
      <c r="E1251" s="33" t="s">
        <v>154</v>
      </c>
      <c r="F1251" s="33" t="s">
        <v>155</v>
      </c>
      <c r="G1251" s="33" t="s">
        <v>156</v>
      </c>
      <c r="H1251" s="33" t="s">
        <v>222</v>
      </c>
      <c r="I1251" s="33" t="s">
        <v>152</v>
      </c>
      <c r="J1251" s="33" t="s">
        <v>159</v>
      </c>
      <c r="K1251" s="33" t="s">
        <v>145</v>
      </c>
      <c r="L1251" s="35" t="n">
        <v>952.76</v>
      </c>
      <c r="M1251" s="33" t="n">
        <v>5</v>
      </c>
      <c r="N1251" s="33" t="s">
        <v>146</v>
      </c>
      <c r="O1251" s="33" t="s">
        <v>147</v>
      </c>
      <c r="P1251" s="39" t="n">
        <f aca="false">C1251-B1251</f>
        <v>1</v>
      </c>
      <c r="Q1251" s="40" t="str">
        <f aca="false">CHOOSE(MONTH(B1251),"يناير","فبراير","مارس","أبريل","مايو","يونيو","يوليو","أغسطس","سبتمبر","أكتوبر","نوفمبر","ديسمبر")</f>
        <v>أغسطس</v>
      </c>
      <c r="R1251" s="40" t="str">
        <f aca="false">"الربع "&amp;ROUNDUP(MONTH(B1251)/3,0)</f>
        <v>الربع 3</v>
      </c>
      <c r="S1251" s="40" t="str">
        <f aca="false">IF(D1251&lt;=12,"أطفال (0-12)",IF(D1251&lt;=24,"شباب (13-24)",IF(D1251&lt;=44,"بالغون (25-44)",IF(D1251&lt;=64,"متوسطو العمر (45-64)","كبار السن (+65)"))))</f>
        <v>أطفال (0-12)</v>
      </c>
      <c r="T1251" s="41" t="n">
        <f aca="false">IFERROR(L1251/P1251,0)</f>
        <v>952.76</v>
      </c>
    </row>
    <row r="1252" customFormat="false" ht="15" hidden="false" customHeight="false" outlineLevel="0" collapsed="false">
      <c r="A1252" s="42" t="s">
        <v>2303</v>
      </c>
      <c r="B1252" s="43" t="n">
        <v>45509</v>
      </c>
      <c r="C1252" s="43" t="n">
        <v>45512</v>
      </c>
      <c r="D1252" s="42" t="n">
        <v>54</v>
      </c>
      <c r="E1252" s="42" t="s">
        <v>139</v>
      </c>
      <c r="F1252" s="42" t="s">
        <v>181</v>
      </c>
      <c r="G1252" s="42" t="s">
        <v>237</v>
      </c>
      <c r="H1252" s="42" t="s">
        <v>183</v>
      </c>
      <c r="I1252" s="42" t="s">
        <v>158</v>
      </c>
      <c r="J1252" s="42" t="s">
        <v>159</v>
      </c>
      <c r="K1252" s="42" t="s">
        <v>145</v>
      </c>
      <c r="L1252" s="44" t="n">
        <v>7509.63</v>
      </c>
      <c r="M1252" s="42" t="n">
        <v>3</v>
      </c>
      <c r="N1252" s="42" t="s">
        <v>146</v>
      </c>
      <c r="O1252" s="42" t="s">
        <v>147</v>
      </c>
      <c r="P1252" s="39" t="n">
        <f aca="false">C1252-B1252</f>
        <v>3</v>
      </c>
      <c r="Q1252" s="40" t="str">
        <f aca="false">CHOOSE(MONTH(B1252),"يناير","فبراير","مارس","أبريل","مايو","يونيو","يوليو","أغسطس","سبتمبر","أكتوبر","نوفمبر","ديسمبر")</f>
        <v>أغسطس</v>
      </c>
      <c r="R1252" s="40" t="str">
        <f aca="false">"الربع "&amp;ROUNDUP(MONTH(B1252)/3,0)</f>
        <v>الربع 3</v>
      </c>
      <c r="S1252" s="40" t="str">
        <f aca="false">IF(D1252&lt;=12,"أطفال (0-12)",IF(D1252&lt;=24,"شباب (13-24)",IF(D1252&lt;=44,"بالغون (25-44)",IF(D1252&lt;=64,"متوسطو العمر (45-64)","كبار السن (+65)"))))</f>
        <v>متوسطو العمر (45-64)</v>
      </c>
      <c r="T1252" s="41" t="n">
        <f aca="false">IFERROR(L1252/P1252,0)</f>
        <v>2503.21</v>
      </c>
    </row>
    <row r="1253" customFormat="false" ht="15" hidden="false" customHeight="false" outlineLevel="0" collapsed="false">
      <c r="A1253" s="33" t="s">
        <v>638</v>
      </c>
      <c r="B1253" s="34" t="n">
        <v>45509</v>
      </c>
      <c r="C1253" s="34" t="n">
        <v>45515</v>
      </c>
      <c r="D1253" s="33" t="n">
        <v>67</v>
      </c>
      <c r="E1253" s="33" t="s">
        <v>139</v>
      </c>
      <c r="F1253" s="33" t="s">
        <v>169</v>
      </c>
      <c r="G1253" s="33" t="s">
        <v>213</v>
      </c>
      <c r="H1253" s="33" t="s">
        <v>164</v>
      </c>
      <c r="I1253" s="33" t="s">
        <v>143</v>
      </c>
      <c r="J1253" s="33" t="s">
        <v>159</v>
      </c>
      <c r="K1253" s="33" t="s">
        <v>209</v>
      </c>
      <c r="L1253" s="35" t="n">
        <v>6539.76</v>
      </c>
      <c r="M1253" s="33" t="n">
        <v>4</v>
      </c>
      <c r="N1253" s="33" t="s">
        <v>146</v>
      </c>
      <c r="O1253" s="33" t="s">
        <v>147</v>
      </c>
      <c r="P1253" s="39" t="n">
        <f aca="false">C1253-B1253</f>
        <v>6</v>
      </c>
      <c r="Q1253" s="40" t="str">
        <f aca="false">CHOOSE(MONTH(B1253),"يناير","فبراير","مارس","أبريل","مايو","يونيو","يوليو","أغسطس","سبتمبر","أكتوبر","نوفمبر","ديسمبر")</f>
        <v>أغسطس</v>
      </c>
      <c r="R1253" s="40" t="str">
        <f aca="false">"الربع "&amp;ROUNDUP(MONTH(B1253)/3,0)</f>
        <v>الربع 3</v>
      </c>
      <c r="S1253" s="40" t="str">
        <f aca="false">IF(D1253&lt;=12,"أطفال (0-12)",IF(D1253&lt;=24,"شباب (13-24)",IF(D1253&lt;=44,"بالغون (25-44)",IF(D1253&lt;=64,"متوسطو العمر (45-64)","كبار السن (+65)"))))</f>
        <v>كبار السن (+65)</v>
      </c>
      <c r="T1253" s="41" t="n">
        <f aca="false">IFERROR(L1253/P1253,0)</f>
        <v>1089.96</v>
      </c>
    </row>
    <row r="1254" customFormat="false" ht="15" hidden="false" customHeight="false" outlineLevel="0" collapsed="false">
      <c r="A1254" s="42" t="s">
        <v>2287</v>
      </c>
      <c r="B1254" s="43" t="n">
        <v>45509</v>
      </c>
      <c r="C1254" s="43" t="n">
        <v>45511</v>
      </c>
      <c r="D1254" s="42" t="n">
        <v>46</v>
      </c>
      <c r="E1254" s="42" t="s">
        <v>154</v>
      </c>
      <c r="F1254" s="42" t="s">
        <v>140</v>
      </c>
      <c r="G1254" s="42" t="s">
        <v>316</v>
      </c>
      <c r="H1254" s="42" t="s">
        <v>290</v>
      </c>
      <c r="I1254" s="42" t="s">
        <v>143</v>
      </c>
      <c r="J1254" s="42" t="s">
        <v>159</v>
      </c>
      <c r="K1254" s="42" t="s">
        <v>145</v>
      </c>
      <c r="L1254" s="44" t="n">
        <v>4147.44</v>
      </c>
      <c r="M1254" s="42" t="n">
        <v>3</v>
      </c>
      <c r="N1254" s="42" t="s">
        <v>210</v>
      </c>
      <c r="O1254" s="42" t="s">
        <v>147</v>
      </c>
      <c r="P1254" s="39" t="n">
        <f aca="false">C1254-B1254</f>
        <v>2</v>
      </c>
      <c r="Q1254" s="40" t="str">
        <f aca="false">CHOOSE(MONTH(B1254),"يناير","فبراير","مارس","أبريل","مايو","يونيو","يوليو","أغسطس","سبتمبر","أكتوبر","نوفمبر","ديسمبر")</f>
        <v>أغسطس</v>
      </c>
      <c r="R1254" s="40" t="str">
        <f aca="false">"الربع "&amp;ROUNDUP(MONTH(B1254)/3,0)</f>
        <v>الربع 3</v>
      </c>
      <c r="S1254" s="40" t="str">
        <f aca="false">IF(D1254&lt;=12,"أطفال (0-12)",IF(D1254&lt;=24,"شباب (13-24)",IF(D1254&lt;=44,"بالغون (25-44)",IF(D1254&lt;=64,"متوسطو العمر (45-64)","كبار السن (+65)"))))</f>
        <v>متوسطو العمر (45-64)</v>
      </c>
      <c r="T1254" s="41" t="n">
        <f aca="false">IFERROR(L1254/P1254,0)</f>
        <v>2073.72</v>
      </c>
    </row>
    <row r="1255" customFormat="false" ht="15" hidden="false" customHeight="false" outlineLevel="0" collapsed="false">
      <c r="A1255" s="33" t="s">
        <v>2114</v>
      </c>
      <c r="B1255" s="34" t="n">
        <v>45509</v>
      </c>
      <c r="C1255" s="34" t="n">
        <v>45512</v>
      </c>
      <c r="D1255" s="33" t="n">
        <v>38</v>
      </c>
      <c r="E1255" s="33" t="s">
        <v>154</v>
      </c>
      <c r="F1255" s="33" t="s">
        <v>173</v>
      </c>
      <c r="G1255" s="33" t="s">
        <v>198</v>
      </c>
      <c r="H1255" s="33" t="s">
        <v>199</v>
      </c>
      <c r="I1255" s="33" t="s">
        <v>143</v>
      </c>
      <c r="J1255" s="33" t="s">
        <v>159</v>
      </c>
      <c r="K1255" s="33" t="s">
        <v>209</v>
      </c>
      <c r="L1255" s="35" t="n">
        <v>7759.24</v>
      </c>
      <c r="M1255" s="33" t="n">
        <v>4</v>
      </c>
      <c r="N1255" s="33" t="s">
        <v>146</v>
      </c>
      <c r="O1255" s="33" t="s">
        <v>147</v>
      </c>
      <c r="P1255" s="39" t="n">
        <f aca="false">C1255-B1255</f>
        <v>3</v>
      </c>
      <c r="Q1255" s="40" t="str">
        <f aca="false">CHOOSE(MONTH(B1255),"يناير","فبراير","مارس","أبريل","مايو","يونيو","يوليو","أغسطس","سبتمبر","أكتوبر","نوفمبر","ديسمبر")</f>
        <v>أغسطس</v>
      </c>
      <c r="R1255" s="40" t="str">
        <f aca="false">"الربع "&amp;ROUNDUP(MONTH(B1255)/3,0)</f>
        <v>الربع 3</v>
      </c>
      <c r="S1255" s="40" t="str">
        <f aca="false">IF(D1255&lt;=12,"أطفال (0-12)",IF(D1255&lt;=24,"شباب (13-24)",IF(D1255&lt;=44,"بالغون (25-44)",IF(D1255&lt;=64,"متوسطو العمر (45-64)","كبار السن (+65)"))))</f>
        <v>بالغون (25-44)</v>
      </c>
      <c r="T1255" s="41" t="n">
        <f aca="false">IFERROR(L1255/P1255,0)</f>
        <v>2586.41333333333</v>
      </c>
    </row>
    <row r="1256" customFormat="false" ht="15" hidden="false" customHeight="false" outlineLevel="0" collapsed="false">
      <c r="A1256" s="42" t="s">
        <v>1265</v>
      </c>
      <c r="B1256" s="43" t="n">
        <v>45510</v>
      </c>
      <c r="C1256" s="43" t="n">
        <v>45518</v>
      </c>
      <c r="D1256" s="42" t="n">
        <v>64</v>
      </c>
      <c r="E1256" s="42" t="s">
        <v>154</v>
      </c>
      <c r="F1256" s="42" t="s">
        <v>181</v>
      </c>
      <c r="G1256" s="42" t="s">
        <v>188</v>
      </c>
      <c r="H1256" s="42" t="s">
        <v>245</v>
      </c>
      <c r="I1256" s="42" t="s">
        <v>158</v>
      </c>
      <c r="J1256" s="42" t="s">
        <v>176</v>
      </c>
      <c r="K1256" s="42" t="s">
        <v>160</v>
      </c>
      <c r="L1256" s="44" t="n">
        <v>62974.47</v>
      </c>
      <c r="M1256" s="42" t="n">
        <v>4</v>
      </c>
      <c r="N1256" s="42" t="s">
        <v>146</v>
      </c>
      <c r="O1256" s="42" t="s">
        <v>147</v>
      </c>
      <c r="P1256" s="39" t="n">
        <f aca="false">C1256-B1256</f>
        <v>8</v>
      </c>
      <c r="Q1256" s="40" t="str">
        <f aca="false">CHOOSE(MONTH(B1256),"يناير","فبراير","مارس","أبريل","مايو","يونيو","يوليو","أغسطس","سبتمبر","أكتوبر","نوفمبر","ديسمبر")</f>
        <v>أغسطس</v>
      </c>
      <c r="R1256" s="40" t="str">
        <f aca="false">"الربع "&amp;ROUNDUP(MONTH(B1256)/3,0)</f>
        <v>الربع 3</v>
      </c>
      <c r="S1256" s="40" t="str">
        <f aca="false">IF(D1256&lt;=12,"أطفال (0-12)",IF(D1256&lt;=24,"شباب (13-24)",IF(D1256&lt;=44,"بالغون (25-44)",IF(D1256&lt;=64,"متوسطو العمر (45-64)","كبار السن (+65)"))))</f>
        <v>متوسطو العمر (45-64)</v>
      </c>
      <c r="T1256" s="41" t="n">
        <f aca="false">IFERROR(L1256/P1256,0)</f>
        <v>7871.80875</v>
      </c>
    </row>
    <row r="1257" customFormat="false" ht="15" hidden="false" customHeight="false" outlineLevel="0" collapsed="false">
      <c r="A1257" s="33" t="s">
        <v>494</v>
      </c>
      <c r="B1257" s="34" t="n">
        <v>45510</v>
      </c>
      <c r="C1257" s="34" t="n">
        <v>45511</v>
      </c>
      <c r="D1257" s="33" t="n">
        <v>4</v>
      </c>
      <c r="E1257" s="33" t="s">
        <v>154</v>
      </c>
      <c r="F1257" s="33" t="s">
        <v>155</v>
      </c>
      <c r="G1257" s="33" t="s">
        <v>156</v>
      </c>
      <c r="H1257" s="33" t="s">
        <v>222</v>
      </c>
      <c r="I1257" s="33" t="s">
        <v>152</v>
      </c>
      <c r="J1257" s="33" t="s">
        <v>159</v>
      </c>
      <c r="K1257" s="33" t="s">
        <v>145</v>
      </c>
      <c r="L1257" s="35" t="n">
        <v>885.65</v>
      </c>
      <c r="M1257" s="33" t="n">
        <v>4</v>
      </c>
      <c r="N1257" s="33" t="s">
        <v>146</v>
      </c>
      <c r="O1257" s="33" t="s">
        <v>147</v>
      </c>
      <c r="P1257" s="39" t="n">
        <f aca="false">C1257-B1257</f>
        <v>1</v>
      </c>
      <c r="Q1257" s="40" t="str">
        <f aca="false">CHOOSE(MONTH(B1257),"يناير","فبراير","مارس","أبريل","مايو","يونيو","يوليو","أغسطس","سبتمبر","أكتوبر","نوفمبر","ديسمبر")</f>
        <v>أغسطس</v>
      </c>
      <c r="R1257" s="40" t="str">
        <f aca="false">"الربع "&amp;ROUNDUP(MONTH(B1257)/3,0)</f>
        <v>الربع 3</v>
      </c>
      <c r="S1257" s="40" t="str">
        <f aca="false">IF(D1257&lt;=12,"أطفال (0-12)",IF(D1257&lt;=24,"شباب (13-24)",IF(D1257&lt;=44,"بالغون (25-44)",IF(D1257&lt;=64,"متوسطو العمر (45-64)","كبار السن (+65)"))))</f>
        <v>أطفال (0-12)</v>
      </c>
      <c r="T1257" s="41" t="n">
        <f aca="false">IFERROR(L1257/P1257,0)</f>
        <v>885.65</v>
      </c>
    </row>
    <row r="1258" customFormat="false" ht="15" hidden="false" customHeight="false" outlineLevel="0" collapsed="false">
      <c r="A1258" s="42" t="s">
        <v>1130</v>
      </c>
      <c r="B1258" s="43" t="n">
        <v>45510</v>
      </c>
      <c r="C1258" s="43" t="n">
        <v>45516</v>
      </c>
      <c r="D1258" s="42" t="n">
        <v>7</v>
      </c>
      <c r="E1258" s="42" t="s">
        <v>154</v>
      </c>
      <c r="F1258" s="42" t="s">
        <v>155</v>
      </c>
      <c r="G1258" s="42" t="s">
        <v>302</v>
      </c>
      <c r="H1258" s="42" t="s">
        <v>157</v>
      </c>
      <c r="I1258" s="42" t="s">
        <v>143</v>
      </c>
      <c r="J1258" s="42" t="s">
        <v>159</v>
      </c>
      <c r="K1258" s="42" t="s">
        <v>184</v>
      </c>
      <c r="L1258" s="44" t="n">
        <v>4455.92</v>
      </c>
      <c r="M1258" s="42" t="n">
        <v>4</v>
      </c>
      <c r="N1258" s="42" t="s">
        <v>146</v>
      </c>
      <c r="O1258" s="42" t="s">
        <v>247</v>
      </c>
      <c r="P1258" s="39" t="n">
        <f aca="false">C1258-B1258</f>
        <v>6</v>
      </c>
      <c r="Q1258" s="40" t="str">
        <f aca="false">CHOOSE(MONTH(B1258),"يناير","فبراير","مارس","أبريل","مايو","يونيو","يوليو","أغسطس","سبتمبر","أكتوبر","نوفمبر","ديسمبر")</f>
        <v>أغسطس</v>
      </c>
      <c r="R1258" s="40" t="str">
        <f aca="false">"الربع "&amp;ROUNDUP(MONTH(B1258)/3,0)</f>
        <v>الربع 3</v>
      </c>
      <c r="S1258" s="40" t="str">
        <f aca="false">IF(D1258&lt;=12,"أطفال (0-12)",IF(D1258&lt;=24,"شباب (13-24)",IF(D1258&lt;=44,"بالغون (25-44)",IF(D1258&lt;=64,"متوسطو العمر (45-64)","كبار السن (+65)"))))</f>
        <v>أطفال (0-12)</v>
      </c>
      <c r="T1258" s="41" t="n">
        <f aca="false">IFERROR(L1258/P1258,0)</f>
        <v>742.653333333333</v>
      </c>
    </row>
    <row r="1259" customFormat="false" ht="15" hidden="false" customHeight="false" outlineLevel="0" collapsed="false">
      <c r="A1259" s="33" t="s">
        <v>1024</v>
      </c>
      <c r="B1259" s="34" t="n">
        <v>45510</v>
      </c>
      <c r="C1259" s="34" t="n">
        <v>45513</v>
      </c>
      <c r="D1259" s="33" t="n">
        <v>7</v>
      </c>
      <c r="E1259" s="33" t="s">
        <v>154</v>
      </c>
      <c r="F1259" s="33" t="s">
        <v>169</v>
      </c>
      <c r="G1259" s="33" t="s">
        <v>230</v>
      </c>
      <c r="H1259" s="33" t="s">
        <v>164</v>
      </c>
      <c r="I1259" s="33" t="s">
        <v>152</v>
      </c>
      <c r="J1259" s="33" t="s">
        <v>176</v>
      </c>
      <c r="K1259" s="33" t="s">
        <v>145</v>
      </c>
      <c r="L1259" s="35" t="n">
        <v>9791.88</v>
      </c>
      <c r="M1259" s="33" t="n">
        <v>3</v>
      </c>
      <c r="N1259" s="33" t="s">
        <v>146</v>
      </c>
      <c r="O1259" s="33" t="s">
        <v>147</v>
      </c>
      <c r="P1259" s="39" t="n">
        <f aca="false">C1259-B1259</f>
        <v>3</v>
      </c>
      <c r="Q1259" s="40" t="str">
        <f aca="false">CHOOSE(MONTH(B1259),"يناير","فبراير","مارس","أبريل","مايو","يونيو","يوليو","أغسطس","سبتمبر","أكتوبر","نوفمبر","ديسمبر")</f>
        <v>أغسطس</v>
      </c>
      <c r="R1259" s="40" t="str">
        <f aca="false">"الربع "&amp;ROUNDUP(MONTH(B1259)/3,0)</f>
        <v>الربع 3</v>
      </c>
      <c r="S1259" s="40" t="str">
        <f aca="false">IF(D1259&lt;=12,"أطفال (0-12)",IF(D1259&lt;=24,"شباب (13-24)",IF(D1259&lt;=44,"بالغون (25-44)",IF(D1259&lt;=64,"متوسطو العمر (45-64)","كبار السن (+65)"))))</f>
        <v>أطفال (0-12)</v>
      </c>
      <c r="T1259" s="41" t="n">
        <f aca="false">IFERROR(L1259/P1259,0)</f>
        <v>3263.96</v>
      </c>
    </row>
    <row r="1260" customFormat="false" ht="15" hidden="false" customHeight="false" outlineLevel="0" collapsed="false">
      <c r="A1260" s="42" t="s">
        <v>1207</v>
      </c>
      <c r="B1260" s="43" t="n">
        <v>45510</v>
      </c>
      <c r="C1260" s="43" t="n">
        <v>45511</v>
      </c>
      <c r="D1260" s="42" t="n">
        <v>6</v>
      </c>
      <c r="E1260" s="42" t="s">
        <v>139</v>
      </c>
      <c r="F1260" s="42" t="s">
        <v>155</v>
      </c>
      <c r="G1260" s="42" t="s">
        <v>302</v>
      </c>
      <c r="H1260" s="42" t="s">
        <v>157</v>
      </c>
      <c r="I1260" s="42" t="s">
        <v>152</v>
      </c>
      <c r="J1260" s="42" t="s">
        <v>144</v>
      </c>
      <c r="K1260" s="42" t="s">
        <v>160</v>
      </c>
      <c r="L1260" s="44" t="n">
        <v>1187.21</v>
      </c>
      <c r="M1260" s="42" t="n">
        <v>5</v>
      </c>
      <c r="N1260" s="42" t="s">
        <v>146</v>
      </c>
      <c r="O1260" s="42" t="s">
        <v>147</v>
      </c>
      <c r="P1260" s="39" t="n">
        <f aca="false">C1260-B1260</f>
        <v>1</v>
      </c>
      <c r="Q1260" s="40" t="str">
        <f aca="false">CHOOSE(MONTH(B1260),"يناير","فبراير","مارس","أبريل","مايو","يونيو","يوليو","أغسطس","سبتمبر","أكتوبر","نوفمبر","ديسمبر")</f>
        <v>أغسطس</v>
      </c>
      <c r="R1260" s="40" t="str">
        <f aca="false">"الربع "&amp;ROUNDUP(MONTH(B1260)/3,0)</f>
        <v>الربع 3</v>
      </c>
      <c r="S1260" s="40" t="str">
        <f aca="false">IF(D1260&lt;=12,"أطفال (0-12)",IF(D1260&lt;=24,"شباب (13-24)",IF(D1260&lt;=44,"بالغون (25-44)",IF(D1260&lt;=64,"متوسطو العمر (45-64)","كبار السن (+65)"))))</f>
        <v>أطفال (0-12)</v>
      </c>
      <c r="T1260" s="41" t="n">
        <f aca="false">IFERROR(L1260/P1260,0)</f>
        <v>1187.21</v>
      </c>
    </row>
    <row r="1261" customFormat="false" ht="15" hidden="false" customHeight="false" outlineLevel="0" collapsed="false">
      <c r="A1261" s="33" t="s">
        <v>1956</v>
      </c>
      <c r="B1261" s="34" t="n">
        <v>45511</v>
      </c>
      <c r="C1261" s="34" t="n">
        <v>45516</v>
      </c>
      <c r="D1261" s="33" t="n">
        <v>96</v>
      </c>
      <c r="E1261" s="33" t="s">
        <v>139</v>
      </c>
      <c r="F1261" s="33" t="s">
        <v>169</v>
      </c>
      <c r="G1261" s="33" t="s">
        <v>213</v>
      </c>
      <c r="H1261" s="33" t="s">
        <v>164</v>
      </c>
      <c r="I1261" s="33" t="s">
        <v>158</v>
      </c>
      <c r="J1261" s="33" t="s">
        <v>159</v>
      </c>
      <c r="K1261" s="33" t="s">
        <v>209</v>
      </c>
      <c r="L1261" s="35" t="n">
        <v>5463.9</v>
      </c>
      <c r="M1261" s="33" t="n">
        <v>3</v>
      </c>
      <c r="N1261" s="33" t="s">
        <v>146</v>
      </c>
      <c r="O1261" s="33" t="s">
        <v>147</v>
      </c>
      <c r="P1261" s="39" t="n">
        <f aca="false">C1261-B1261</f>
        <v>5</v>
      </c>
      <c r="Q1261" s="40" t="str">
        <f aca="false">CHOOSE(MONTH(B1261),"يناير","فبراير","مارس","أبريل","مايو","يونيو","يوليو","أغسطس","سبتمبر","أكتوبر","نوفمبر","ديسمبر")</f>
        <v>أغسطس</v>
      </c>
      <c r="R1261" s="40" t="str">
        <f aca="false">"الربع "&amp;ROUNDUP(MONTH(B1261)/3,0)</f>
        <v>الربع 3</v>
      </c>
      <c r="S1261" s="40" t="str">
        <f aca="false">IF(D1261&lt;=12,"أطفال (0-12)",IF(D1261&lt;=24,"شباب (13-24)",IF(D1261&lt;=44,"بالغون (25-44)",IF(D1261&lt;=64,"متوسطو العمر (45-64)","كبار السن (+65)"))))</f>
        <v>كبار السن (+65)</v>
      </c>
      <c r="T1261" s="41" t="n">
        <f aca="false">IFERROR(L1261/P1261,0)</f>
        <v>1092.78</v>
      </c>
    </row>
    <row r="1262" customFormat="false" ht="15" hidden="false" customHeight="false" outlineLevel="0" collapsed="false">
      <c r="A1262" s="42" t="s">
        <v>854</v>
      </c>
      <c r="B1262" s="43" t="n">
        <v>45511</v>
      </c>
      <c r="C1262" s="43" t="n">
        <v>45526</v>
      </c>
      <c r="D1262" s="42" t="n">
        <v>7</v>
      </c>
      <c r="E1262" s="42" t="s">
        <v>154</v>
      </c>
      <c r="F1262" s="42" t="s">
        <v>173</v>
      </c>
      <c r="G1262" s="42" t="s">
        <v>174</v>
      </c>
      <c r="H1262" s="42" t="s">
        <v>199</v>
      </c>
      <c r="I1262" s="42" t="s">
        <v>143</v>
      </c>
      <c r="J1262" s="42" t="s">
        <v>176</v>
      </c>
      <c r="K1262" s="42" t="s">
        <v>145</v>
      </c>
      <c r="L1262" s="44" t="n">
        <v>152187.57</v>
      </c>
      <c r="M1262" s="42" t="n">
        <v>4</v>
      </c>
      <c r="N1262" s="42" t="s">
        <v>146</v>
      </c>
      <c r="O1262" s="42" t="s">
        <v>147</v>
      </c>
      <c r="P1262" s="39" t="n">
        <f aca="false">C1262-B1262</f>
        <v>15</v>
      </c>
      <c r="Q1262" s="40" t="str">
        <f aca="false">CHOOSE(MONTH(B1262),"يناير","فبراير","مارس","أبريل","مايو","يونيو","يوليو","أغسطس","سبتمبر","أكتوبر","نوفمبر","ديسمبر")</f>
        <v>أغسطس</v>
      </c>
      <c r="R1262" s="40" t="str">
        <f aca="false">"الربع "&amp;ROUNDUP(MONTH(B1262)/3,0)</f>
        <v>الربع 3</v>
      </c>
      <c r="S1262" s="40" t="str">
        <f aca="false">IF(D1262&lt;=12,"أطفال (0-12)",IF(D1262&lt;=24,"شباب (13-24)",IF(D1262&lt;=44,"بالغون (25-44)",IF(D1262&lt;=64,"متوسطو العمر (45-64)","كبار السن (+65)"))))</f>
        <v>أطفال (0-12)</v>
      </c>
      <c r="T1262" s="41" t="n">
        <f aca="false">IFERROR(L1262/P1262,0)</f>
        <v>10145.838</v>
      </c>
    </row>
    <row r="1263" customFormat="false" ht="15" hidden="false" customHeight="false" outlineLevel="0" collapsed="false">
      <c r="A1263" s="33" t="s">
        <v>1933</v>
      </c>
      <c r="B1263" s="34" t="n">
        <v>45511</v>
      </c>
      <c r="C1263" s="34" t="n">
        <v>45519</v>
      </c>
      <c r="D1263" s="33" t="n">
        <v>64</v>
      </c>
      <c r="E1263" s="33" t="s">
        <v>154</v>
      </c>
      <c r="F1263" s="33" t="s">
        <v>169</v>
      </c>
      <c r="G1263" s="33" t="s">
        <v>163</v>
      </c>
      <c r="H1263" s="33" t="s">
        <v>164</v>
      </c>
      <c r="I1263" s="33" t="s">
        <v>152</v>
      </c>
      <c r="J1263" s="33" t="s">
        <v>159</v>
      </c>
      <c r="K1263" s="33" t="s">
        <v>184</v>
      </c>
      <c r="L1263" s="35" t="n">
        <v>9148.91</v>
      </c>
      <c r="M1263" s="33" t="n">
        <v>3</v>
      </c>
      <c r="N1263" s="33" t="s">
        <v>146</v>
      </c>
      <c r="O1263" s="33" t="s">
        <v>147</v>
      </c>
      <c r="P1263" s="39" t="n">
        <f aca="false">C1263-B1263</f>
        <v>8</v>
      </c>
      <c r="Q1263" s="40" t="str">
        <f aca="false">CHOOSE(MONTH(B1263),"يناير","فبراير","مارس","أبريل","مايو","يونيو","يوليو","أغسطس","سبتمبر","أكتوبر","نوفمبر","ديسمبر")</f>
        <v>أغسطس</v>
      </c>
      <c r="R1263" s="40" t="str">
        <f aca="false">"الربع "&amp;ROUNDUP(MONTH(B1263)/3,0)</f>
        <v>الربع 3</v>
      </c>
      <c r="S1263" s="40" t="str">
        <f aca="false">IF(D1263&lt;=12,"أطفال (0-12)",IF(D1263&lt;=24,"شباب (13-24)",IF(D1263&lt;=44,"بالغون (25-44)",IF(D1263&lt;=64,"متوسطو العمر (45-64)","كبار السن (+65)"))))</f>
        <v>متوسطو العمر (45-64)</v>
      </c>
      <c r="T1263" s="41" t="n">
        <f aca="false">IFERROR(L1263/P1263,0)</f>
        <v>1143.61375</v>
      </c>
    </row>
    <row r="1264" customFormat="false" ht="15" hidden="false" customHeight="false" outlineLevel="0" collapsed="false">
      <c r="A1264" s="42" t="s">
        <v>338</v>
      </c>
      <c r="B1264" s="43" t="n">
        <v>45511</v>
      </c>
      <c r="C1264" s="43" t="n">
        <v>45521</v>
      </c>
      <c r="D1264" s="42" t="n">
        <v>52</v>
      </c>
      <c r="E1264" s="42" t="s">
        <v>154</v>
      </c>
      <c r="F1264" s="42" t="s">
        <v>226</v>
      </c>
      <c r="G1264" s="42" t="s">
        <v>227</v>
      </c>
      <c r="H1264" s="42" t="s">
        <v>228</v>
      </c>
      <c r="I1264" s="42" t="s">
        <v>158</v>
      </c>
      <c r="J1264" s="42" t="s">
        <v>144</v>
      </c>
      <c r="K1264" s="42" t="s">
        <v>145</v>
      </c>
      <c r="L1264" s="44" t="n">
        <v>59825.69</v>
      </c>
      <c r="M1264" s="42" t="n">
        <v>5</v>
      </c>
      <c r="N1264" s="42" t="s">
        <v>146</v>
      </c>
      <c r="O1264" s="42" t="s">
        <v>147</v>
      </c>
      <c r="P1264" s="39" t="n">
        <f aca="false">C1264-B1264</f>
        <v>10</v>
      </c>
      <c r="Q1264" s="40" t="str">
        <f aca="false">CHOOSE(MONTH(B1264),"يناير","فبراير","مارس","أبريل","مايو","يونيو","يوليو","أغسطس","سبتمبر","أكتوبر","نوفمبر","ديسمبر")</f>
        <v>أغسطس</v>
      </c>
      <c r="R1264" s="40" t="str">
        <f aca="false">"الربع "&amp;ROUNDUP(MONTH(B1264)/3,0)</f>
        <v>الربع 3</v>
      </c>
      <c r="S1264" s="40" t="str">
        <f aca="false">IF(D1264&lt;=12,"أطفال (0-12)",IF(D1264&lt;=24,"شباب (13-24)",IF(D1264&lt;=44,"بالغون (25-44)",IF(D1264&lt;=64,"متوسطو العمر (45-64)","كبار السن (+65)"))))</f>
        <v>متوسطو العمر (45-64)</v>
      </c>
      <c r="T1264" s="41" t="n">
        <f aca="false">IFERROR(L1264/P1264,0)</f>
        <v>5982.569</v>
      </c>
    </row>
    <row r="1265" customFormat="false" ht="15" hidden="false" customHeight="false" outlineLevel="0" collapsed="false">
      <c r="A1265" s="33" t="s">
        <v>1086</v>
      </c>
      <c r="B1265" s="34" t="n">
        <v>45511</v>
      </c>
      <c r="C1265" s="34" t="n">
        <v>45513</v>
      </c>
      <c r="D1265" s="33" t="n">
        <v>57</v>
      </c>
      <c r="E1265" s="33" t="s">
        <v>154</v>
      </c>
      <c r="F1265" s="33" t="s">
        <v>181</v>
      </c>
      <c r="G1265" s="33" t="s">
        <v>188</v>
      </c>
      <c r="H1265" s="33" t="s">
        <v>183</v>
      </c>
      <c r="I1265" s="33" t="s">
        <v>143</v>
      </c>
      <c r="J1265" s="33" t="s">
        <v>159</v>
      </c>
      <c r="K1265" s="33" t="s">
        <v>145</v>
      </c>
      <c r="L1265" s="35" t="n">
        <v>4762.73</v>
      </c>
      <c r="M1265" s="33" t="n">
        <v>4</v>
      </c>
      <c r="N1265" s="33" t="s">
        <v>210</v>
      </c>
      <c r="O1265" s="33" t="s">
        <v>147</v>
      </c>
      <c r="P1265" s="39" t="n">
        <f aca="false">C1265-B1265</f>
        <v>2</v>
      </c>
      <c r="Q1265" s="40" t="str">
        <f aca="false">CHOOSE(MONTH(B1265),"يناير","فبراير","مارس","أبريل","مايو","يونيو","يوليو","أغسطس","سبتمبر","أكتوبر","نوفمبر","ديسمبر")</f>
        <v>أغسطس</v>
      </c>
      <c r="R1265" s="40" t="str">
        <f aca="false">"الربع "&amp;ROUNDUP(MONTH(B1265)/3,0)</f>
        <v>الربع 3</v>
      </c>
      <c r="S1265" s="40" t="str">
        <f aca="false">IF(D1265&lt;=12,"أطفال (0-12)",IF(D1265&lt;=24,"شباب (13-24)",IF(D1265&lt;=44,"بالغون (25-44)",IF(D1265&lt;=64,"متوسطو العمر (45-64)","كبار السن (+65)"))))</f>
        <v>متوسطو العمر (45-64)</v>
      </c>
      <c r="T1265" s="41" t="n">
        <f aca="false">IFERROR(L1265/P1265,0)</f>
        <v>2381.365</v>
      </c>
    </row>
    <row r="1266" customFormat="false" ht="15" hidden="false" customHeight="false" outlineLevel="0" collapsed="false">
      <c r="A1266" s="42" t="s">
        <v>2259</v>
      </c>
      <c r="B1266" s="43" t="n">
        <v>45511</v>
      </c>
      <c r="C1266" s="43" t="n">
        <v>45516</v>
      </c>
      <c r="D1266" s="42" t="n">
        <v>38</v>
      </c>
      <c r="E1266" s="42" t="s">
        <v>139</v>
      </c>
      <c r="F1266" s="42" t="s">
        <v>140</v>
      </c>
      <c r="G1266" s="42" t="s">
        <v>141</v>
      </c>
      <c r="H1266" s="42" t="s">
        <v>290</v>
      </c>
      <c r="I1266" s="42" t="s">
        <v>152</v>
      </c>
      <c r="J1266" s="42" t="s">
        <v>144</v>
      </c>
      <c r="K1266" s="42" t="s">
        <v>145</v>
      </c>
      <c r="L1266" s="44" t="n">
        <v>24868.39</v>
      </c>
      <c r="M1266" s="42" t="n">
        <v>3</v>
      </c>
      <c r="N1266" s="42" t="s">
        <v>146</v>
      </c>
      <c r="O1266" s="42" t="s">
        <v>147</v>
      </c>
      <c r="P1266" s="39" t="n">
        <f aca="false">C1266-B1266</f>
        <v>5</v>
      </c>
      <c r="Q1266" s="40" t="str">
        <f aca="false">CHOOSE(MONTH(B1266),"يناير","فبراير","مارس","أبريل","مايو","يونيو","يوليو","أغسطس","سبتمبر","أكتوبر","نوفمبر","ديسمبر")</f>
        <v>أغسطس</v>
      </c>
      <c r="R1266" s="40" t="str">
        <f aca="false">"الربع "&amp;ROUNDUP(MONTH(B1266)/3,0)</f>
        <v>الربع 3</v>
      </c>
      <c r="S1266" s="40" t="str">
        <f aca="false">IF(D1266&lt;=12,"أطفال (0-12)",IF(D1266&lt;=24,"شباب (13-24)",IF(D1266&lt;=44,"بالغون (25-44)",IF(D1266&lt;=64,"متوسطو العمر (45-64)","كبار السن (+65)"))))</f>
        <v>بالغون (25-44)</v>
      </c>
      <c r="T1266" s="41" t="n">
        <f aca="false">IFERROR(L1266/P1266,0)</f>
        <v>4973.678</v>
      </c>
    </row>
    <row r="1267" customFormat="false" ht="15" hidden="false" customHeight="false" outlineLevel="0" collapsed="false">
      <c r="A1267" s="33" t="s">
        <v>960</v>
      </c>
      <c r="B1267" s="34" t="n">
        <v>45511</v>
      </c>
      <c r="C1267" s="34" t="n">
        <v>45513</v>
      </c>
      <c r="D1267" s="33" t="n">
        <v>95</v>
      </c>
      <c r="E1267" s="33" t="s">
        <v>139</v>
      </c>
      <c r="F1267" s="33" t="s">
        <v>226</v>
      </c>
      <c r="G1267" s="33" t="s">
        <v>386</v>
      </c>
      <c r="H1267" s="33" t="s">
        <v>263</v>
      </c>
      <c r="I1267" s="33" t="s">
        <v>143</v>
      </c>
      <c r="J1267" s="33" t="s">
        <v>159</v>
      </c>
      <c r="K1267" s="33" t="s">
        <v>160</v>
      </c>
      <c r="L1267" s="35" t="n">
        <v>4809.45</v>
      </c>
      <c r="M1267" s="33" t="n">
        <v>5</v>
      </c>
      <c r="N1267" s="33" t="s">
        <v>146</v>
      </c>
      <c r="O1267" s="33" t="s">
        <v>147</v>
      </c>
      <c r="P1267" s="39" t="n">
        <f aca="false">C1267-B1267</f>
        <v>2</v>
      </c>
      <c r="Q1267" s="40" t="str">
        <f aca="false">CHOOSE(MONTH(B1267),"يناير","فبراير","مارس","أبريل","مايو","يونيو","يوليو","أغسطس","سبتمبر","أكتوبر","نوفمبر","ديسمبر")</f>
        <v>أغسطس</v>
      </c>
      <c r="R1267" s="40" t="str">
        <f aca="false">"الربع "&amp;ROUNDUP(MONTH(B1267)/3,0)</f>
        <v>الربع 3</v>
      </c>
      <c r="S1267" s="40" t="str">
        <f aca="false">IF(D1267&lt;=12,"أطفال (0-12)",IF(D1267&lt;=24,"شباب (13-24)",IF(D1267&lt;=44,"بالغون (25-44)",IF(D1267&lt;=64,"متوسطو العمر (45-64)","كبار السن (+65)"))))</f>
        <v>كبار السن (+65)</v>
      </c>
      <c r="T1267" s="41" t="n">
        <f aca="false">IFERROR(L1267/P1267,0)</f>
        <v>2404.725</v>
      </c>
    </row>
    <row r="1268" customFormat="false" ht="15" hidden="false" customHeight="false" outlineLevel="0" collapsed="false">
      <c r="A1268" s="42" t="s">
        <v>498</v>
      </c>
      <c r="B1268" s="43" t="n">
        <v>45512</v>
      </c>
      <c r="C1268" s="43" t="n">
        <v>45514</v>
      </c>
      <c r="D1268" s="42" t="n">
        <v>35</v>
      </c>
      <c r="E1268" s="42" t="s">
        <v>139</v>
      </c>
      <c r="F1268" s="42" t="s">
        <v>149</v>
      </c>
      <c r="G1268" s="42" t="s">
        <v>243</v>
      </c>
      <c r="H1268" s="42" t="s">
        <v>151</v>
      </c>
      <c r="I1268" s="42" t="s">
        <v>143</v>
      </c>
      <c r="J1268" s="42" t="s">
        <v>159</v>
      </c>
      <c r="K1268" s="42" t="s">
        <v>145</v>
      </c>
      <c r="L1268" s="44" t="n">
        <v>3225.68</v>
      </c>
      <c r="M1268" s="42" t="n">
        <v>5</v>
      </c>
      <c r="N1268" s="42" t="s">
        <v>146</v>
      </c>
      <c r="O1268" s="42" t="s">
        <v>147</v>
      </c>
      <c r="P1268" s="39" t="n">
        <f aca="false">C1268-B1268</f>
        <v>2</v>
      </c>
      <c r="Q1268" s="40" t="str">
        <f aca="false">CHOOSE(MONTH(B1268),"يناير","فبراير","مارس","أبريل","مايو","يونيو","يوليو","أغسطس","سبتمبر","أكتوبر","نوفمبر","ديسمبر")</f>
        <v>أغسطس</v>
      </c>
      <c r="R1268" s="40" t="str">
        <f aca="false">"الربع "&amp;ROUNDUP(MONTH(B1268)/3,0)</f>
        <v>الربع 3</v>
      </c>
      <c r="S1268" s="40" t="str">
        <f aca="false">IF(D1268&lt;=12,"أطفال (0-12)",IF(D1268&lt;=24,"شباب (13-24)",IF(D1268&lt;=44,"بالغون (25-44)",IF(D1268&lt;=64,"متوسطو العمر (45-64)","كبار السن (+65)"))))</f>
        <v>بالغون (25-44)</v>
      </c>
      <c r="T1268" s="41" t="n">
        <f aca="false">IFERROR(L1268/P1268,0)</f>
        <v>1612.84</v>
      </c>
    </row>
    <row r="1269" customFormat="false" ht="15" hidden="false" customHeight="false" outlineLevel="0" collapsed="false">
      <c r="A1269" s="33" t="s">
        <v>1995</v>
      </c>
      <c r="B1269" s="34" t="n">
        <v>45512</v>
      </c>
      <c r="C1269" s="34" t="n">
        <v>45515</v>
      </c>
      <c r="D1269" s="33" t="n">
        <v>29</v>
      </c>
      <c r="E1269" s="33" t="s">
        <v>139</v>
      </c>
      <c r="F1269" s="33" t="s">
        <v>173</v>
      </c>
      <c r="G1269" s="33" t="s">
        <v>178</v>
      </c>
      <c r="H1269" s="33" t="s">
        <v>199</v>
      </c>
      <c r="I1269" s="33" t="s">
        <v>143</v>
      </c>
      <c r="J1269" s="33" t="s">
        <v>159</v>
      </c>
      <c r="K1269" s="33" t="s">
        <v>160</v>
      </c>
      <c r="L1269" s="35" t="n">
        <v>6621.7</v>
      </c>
      <c r="M1269" s="33" t="n">
        <v>5</v>
      </c>
      <c r="N1269" s="33" t="s">
        <v>146</v>
      </c>
      <c r="O1269" s="33" t="s">
        <v>206</v>
      </c>
      <c r="P1269" s="39" t="n">
        <f aca="false">C1269-B1269</f>
        <v>3</v>
      </c>
      <c r="Q1269" s="40" t="str">
        <f aca="false">CHOOSE(MONTH(B1269),"يناير","فبراير","مارس","أبريل","مايو","يونيو","يوليو","أغسطس","سبتمبر","أكتوبر","نوفمبر","ديسمبر")</f>
        <v>أغسطس</v>
      </c>
      <c r="R1269" s="40" t="str">
        <f aca="false">"الربع "&amp;ROUNDUP(MONTH(B1269)/3,0)</f>
        <v>الربع 3</v>
      </c>
      <c r="S1269" s="40" t="str">
        <f aca="false">IF(D1269&lt;=12,"أطفال (0-12)",IF(D1269&lt;=24,"شباب (13-24)",IF(D1269&lt;=44,"بالغون (25-44)",IF(D1269&lt;=64,"متوسطو العمر (45-64)","كبار السن (+65)"))))</f>
        <v>بالغون (25-44)</v>
      </c>
      <c r="T1269" s="41" t="n">
        <f aca="false">IFERROR(L1269/P1269,0)</f>
        <v>2207.23333333333</v>
      </c>
    </row>
    <row r="1270" customFormat="false" ht="15" hidden="false" customHeight="false" outlineLevel="0" collapsed="false">
      <c r="A1270" s="42" t="s">
        <v>1574</v>
      </c>
      <c r="B1270" s="43" t="n">
        <v>45512</v>
      </c>
      <c r="C1270" s="43" t="n">
        <v>45515</v>
      </c>
      <c r="D1270" s="42" t="n">
        <v>37</v>
      </c>
      <c r="E1270" s="42" t="s">
        <v>139</v>
      </c>
      <c r="F1270" s="42" t="s">
        <v>149</v>
      </c>
      <c r="G1270" s="42" t="s">
        <v>243</v>
      </c>
      <c r="H1270" s="42" t="s">
        <v>151</v>
      </c>
      <c r="I1270" s="42" t="s">
        <v>143</v>
      </c>
      <c r="J1270" s="42" t="s">
        <v>144</v>
      </c>
      <c r="K1270" s="42" t="s">
        <v>145</v>
      </c>
      <c r="L1270" s="44" t="n">
        <v>9236.31</v>
      </c>
      <c r="M1270" s="42" t="n">
        <v>4</v>
      </c>
      <c r="N1270" s="42" t="s">
        <v>146</v>
      </c>
      <c r="O1270" s="42" t="s">
        <v>147</v>
      </c>
      <c r="P1270" s="39" t="n">
        <f aca="false">C1270-B1270</f>
        <v>3</v>
      </c>
      <c r="Q1270" s="40" t="str">
        <f aca="false">CHOOSE(MONTH(B1270),"يناير","فبراير","مارس","أبريل","مايو","يونيو","يوليو","أغسطس","سبتمبر","أكتوبر","نوفمبر","ديسمبر")</f>
        <v>أغسطس</v>
      </c>
      <c r="R1270" s="40" t="str">
        <f aca="false">"الربع "&amp;ROUNDUP(MONTH(B1270)/3,0)</f>
        <v>الربع 3</v>
      </c>
      <c r="S1270" s="40" t="str">
        <f aca="false">IF(D1270&lt;=12,"أطفال (0-12)",IF(D1270&lt;=24,"شباب (13-24)",IF(D1270&lt;=44,"بالغون (25-44)",IF(D1270&lt;=64,"متوسطو العمر (45-64)","كبار السن (+65)"))))</f>
        <v>بالغون (25-44)</v>
      </c>
      <c r="T1270" s="41" t="n">
        <f aca="false">IFERROR(L1270/P1270,0)</f>
        <v>3078.77</v>
      </c>
    </row>
    <row r="1271" customFormat="false" ht="15" hidden="false" customHeight="false" outlineLevel="0" collapsed="false">
      <c r="A1271" s="33" t="s">
        <v>1928</v>
      </c>
      <c r="B1271" s="34" t="n">
        <v>45512</v>
      </c>
      <c r="C1271" s="34" t="n">
        <v>45518</v>
      </c>
      <c r="D1271" s="33" t="n">
        <v>3</v>
      </c>
      <c r="E1271" s="33" t="s">
        <v>139</v>
      </c>
      <c r="F1271" s="33" t="s">
        <v>155</v>
      </c>
      <c r="G1271" s="33" t="s">
        <v>220</v>
      </c>
      <c r="H1271" s="33" t="s">
        <v>157</v>
      </c>
      <c r="I1271" s="33" t="s">
        <v>152</v>
      </c>
      <c r="J1271" s="33" t="s">
        <v>159</v>
      </c>
      <c r="K1271" s="33" t="s">
        <v>160</v>
      </c>
      <c r="L1271" s="35" t="n">
        <v>5692.25</v>
      </c>
      <c r="M1271" s="33" t="n">
        <v>4</v>
      </c>
      <c r="N1271" s="33" t="s">
        <v>146</v>
      </c>
      <c r="O1271" s="33" t="s">
        <v>147</v>
      </c>
      <c r="P1271" s="39" t="n">
        <f aca="false">C1271-B1271</f>
        <v>6</v>
      </c>
      <c r="Q1271" s="40" t="str">
        <f aca="false">CHOOSE(MONTH(B1271),"يناير","فبراير","مارس","أبريل","مايو","يونيو","يوليو","أغسطس","سبتمبر","أكتوبر","نوفمبر","ديسمبر")</f>
        <v>أغسطس</v>
      </c>
      <c r="R1271" s="40" t="str">
        <f aca="false">"الربع "&amp;ROUNDUP(MONTH(B1271)/3,0)</f>
        <v>الربع 3</v>
      </c>
      <c r="S1271" s="40" t="str">
        <f aca="false">IF(D1271&lt;=12,"أطفال (0-12)",IF(D1271&lt;=24,"شباب (13-24)",IF(D1271&lt;=44,"بالغون (25-44)",IF(D1271&lt;=64,"متوسطو العمر (45-64)","كبار السن (+65)"))))</f>
        <v>أطفال (0-12)</v>
      </c>
      <c r="T1271" s="41" t="n">
        <f aca="false">IFERROR(L1271/P1271,0)</f>
        <v>948.708333333333</v>
      </c>
    </row>
    <row r="1272" customFormat="false" ht="15" hidden="false" customHeight="false" outlineLevel="0" collapsed="false">
      <c r="A1272" s="42" t="s">
        <v>1859</v>
      </c>
      <c r="B1272" s="43" t="n">
        <v>45512</v>
      </c>
      <c r="C1272" s="43" t="n">
        <v>45513</v>
      </c>
      <c r="D1272" s="42" t="n">
        <v>5</v>
      </c>
      <c r="E1272" s="42" t="s">
        <v>154</v>
      </c>
      <c r="F1272" s="42" t="s">
        <v>155</v>
      </c>
      <c r="G1272" s="42" t="s">
        <v>156</v>
      </c>
      <c r="H1272" s="42" t="s">
        <v>157</v>
      </c>
      <c r="I1272" s="42" t="s">
        <v>158</v>
      </c>
      <c r="J1272" s="42" t="s">
        <v>144</v>
      </c>
      <c r="K1272" s="42" t="s">
        <v>160</v>
      </c>
      <c r="L1272" s="44" t="n">
        <v>1414.45</v>
      </c>
      <c r="M1272" s="42" t="n">
        <v>5</v>
      </c>
      <c r="N1272" s="42" t="s">
        <v>146</v>
      </c>
      <c r="O1272" s="42" t="s">
        <v>147</v>
      </c>
      <c r="P1272" s="39" t="n">
        <f aca="false">C1272-B1272</f>
        <v>1</v>
      </c>
      <c r="Q1272" s="40" t="str">
        <f aca="false">CHOOSE(MONTH(B1272),"يناير","فبراير","مارس","أبريل","مايو","يونيو","يوليو","أغسطس","سبتمبر","أكتوبر","نوفمبر","ديسمبر")</f>
        <v>أغسطس</v>
      </c>
      <c r="R1272" s="40" t="str">
        <f aca="false">"الربع "&amp;ROUNDUP(MONTH(B1272)/3,0)</f>
        <v>الربع 3</v>
      </c>
      <c r="S1272" s="40" t="str">
        <f aca="false">IF(D1272&lt;=12,"أطفال (0-12)",IF(D1272&lt;=24,"شباب (13-24)",IF(D1272&lt;=44,"بالغون (25-44)",IF(D1272&lt;=64,"متوسطو العمر (45-64)","كبار السن (+65)"))))</f>
        <v>أطفال (0-12)</v>
      </c>
      <c r="T1272" s="41" t="n">
        <f aca="false">IFERROR(L1272/P1272,0)</f>
        <v>1414.45</v>
      </c>
    </row>
    <row r="1273" customFormat="false" ht="15" hidden="false" customHeight="false" outlineLevel="0" collapsed="false">
      <c r="A1273" s="33" t="s">
        <v>742</v>
      </c>
      <c r="B1273" s="34" t="n">
        <v>45512</v>
      </c>
      <c r="C1273" s="34" t="n">
        <v>45515</v>
      </c>
      <c r="D1273" s="33" t="n">
        <v>46</v>
      </c>
      <c r="E1273" s="33" t="s">
        <v>154</v>
      </c>
      <c r="F1273" s="33" t="s">
        <v>140</v>
      </c>
      <c r="G1273" s="33" t="s">
        <v>167</v>
      </c>
      <c r="H1273" s="33" t="s">
        <v>142</v>
      </c>
      <c r="I1273" s="33" t="s">
        <v>143</v>
      </c>
      <c r="J1273" s="33" t="s">
        <v>159</v>
      </c>
      <c r="K1273" s="33" t="s">
        <v>145</v>
      </c>
      <c r="L1273" s="35" t="n">
        <v>6160.3</v>
      </c>
      <c r="M1273" s="33" t="n">
        <v>4</v>
      </c>
      <c r="N1273" s="33" t="s">
        <v>146</v>
      </c>
      <c r="O1273" s="33" t="s">
        <v>147</v>
      </c>
      <c r="P1273" s="39" t="n">
        <f aca="false">C1273-B1273</f>
        <v>3</v>
      </c>
      <c r="Q1273" s="40" t="str">
        <f aca="false">CHOOSE(MONTH(B1273),"يناير","فبراير","مارس","أبريل","مايو","يونيو","يوليو","أغسطس","سبتمبر","أكتوبر","نوفمبر","ديسمبر")</f>
        <v>أغسطس</v>
      </c>
      <c r="R1273" s="40" t="str">
        <f aca="false">"الربع "&amp;ROUNDUP(MONTH(B1273)/3,0)</f>
        <v>الربع 3</v>
      </c>
      <c r="S1273" s="40" t="str">
        <f aca="false">IF(D1273&lt;=12,"أطفال (0-12)",IF(D1273&lt;=24,"شباب (13-24)",IF(D1273&lt;=44,"بالغون (25-44)",IF(D1273&lt;=64,"متوسطو العمر (45-64)","كبار السن (+65)"))))</f>
        <v>متوسطو العمر (45-64)</v>
      </c>
      <c r="T1273" s="41" t="n">
        <f aca="false">IFERROR(L1273/P1273,0)</f>
        <v>2053.43333333333</v>
      </c>
    </row>
    <row r="1274" customFormat="false" ht="15" hidden="false" customHeight="false" outlineLevel="0" collapsed="false">
      <c r="A1274" s="42" t="s">
        <v>369</v>
      </c>
      <c r="B1274" s="43" t="n">
        <v>45512</v>
      </c>
      <c r="C1274" s="43" t="n">
        <v>45516</v>
      </c>
      <c r="D1274" s="42" t="n">
        <v>36</v>
      </c>
      <c r="E1274" s="42" t="s">
        <v>139</v>
      </c>
      <c r="F1274" s="42" t="s">
        <v>169</v>
      </c>
      <c r="G1274" s="42" t="s">
        <v>170</v>
      </c>
      <c r="H1274" s="42" t="s">
        <v>164</v>
      </c>
      <c r="I1274" s="42" t="s">
        <v>143</v>
      </c>
      <c r="J1274" s="42" t="s">
        <v>159</v>
      </c>
      <c r="K1274" s="42" t="s">
        <v>145</v>
      </c>
      <c r="L1274" s="44" t="n">
        <v>4132.59</v>
      </c>
      <c r="M1274" s="42" t="n">
        <v>3</v>
      </c>
      <c r="N1274" s="42" t="s">
        <v>146</v>
      </c>
      <c r="O1274" s="42" t="s">
        <v>147</v>
      </c>
      <c r="P1274" s="39" t="n">
        <f aca="false">C1274-B1274</f>
        <v>4</v>
      </c>
      <c r="Q1274" s="40" t="str">
        <f aca="false">CHOOSE(MONTH(B1274),"يناير","فبراير","مارس","أبريل","مايو","يونيو","يوليو","أغسطس","سبتمبر","أكتوبر","نوفمبر","ديسمبر")</f>
        <v>أغسطس</v>
      </c>
      <c r="R1274" s="40" t="str">
        <f aca="false">"الربع "&amp;ROUNDUP(MONTH(B1274)/3,0)</f>
        <v>الربع 3</v>
      </c>
      <c r="S1274" s="40" t="str">
        <f aca="false">IF(D1274&lt;=12,"أطفال (0-12)",IF(D1274&lt;=24,"شباب (13-24)",IF(D1274&lt;=44,"بالغون (25-44)",IF(D1274&lt;=64,"متوسطو العمر (45-64)","كبار السن (+65)"))))</f>
        <v>بالغون (25-44)</v>
      </c>
      <c r="T1274" s="41" t="n">
        <f aca="false">IFERROR(L1274/P1274,0)</f>
        <v>1033.1475</v>
      </c>
    </row>
    <row r="1275" customFormat="false" ht="15" hidden="false" customHeight="false" outlineLevel="0" collapsed="false">
      <c r="A1275" s="33" t="s">
        <v>881</v>
      </c>
      <c r="B1275" s="34" t="n">
        <v>45513</v>
      </c>
      <c r="C1275" s="34" t="n">
        <v>45515</v>
      </c>
      <c r="D1275" s="33" t="n">
        <v>16</v>
      </c>
      <c r="E1275" s="33" t="s">
        <v>139</v>
      </c>
      <c r="F1275" s="33" t="s">
        <v>203</v>
      </c>
      <c r="G1275" s="33" t="s">
        <v>204</v>
      </c>
      <c r="H1275" s="33" t="s">
        <v>193</v>
      </c>
      <c r="I1275" s="33" t="s">
        <v>143</v>
      </c>
      <c r="J1275" s="33" t="s">
        <v>144</v>
      </c>
      <c r="K1275" s="33" t="s">
        <v>184</v>
      </c>
      <c r="L1275" s="35" t="n">
        <v>3055.64</v>
      </c>
      <c r="M1275" s="33" t="n">
        <v>3</v>
      </c>
      <c r="N1275" s="33" t="s">
        <v>210</v>
      </c>
      <c r="O1275" s="33" t="s">
        <v>147</v>
      </c>
      <c r="P1275" s="39" t="n">
        <f aca="false">C1275-B1275</f>
        <v>2</v>
      </c>
      <c r="Q1275" s="40" t="str">
        <f aca="false">CHOOSE(MONTH(B1275),"يناير","فبراير","مارس","أبريل","مايو","يونيو","يوليو","أغسطس","سبتمبر","أكتوبر","نوفمبر","ديسمبر")</f>
        <v>أغسطس</v>
      </c>
      <c r="R1275" s="40" t="str">
        <f aca="false">"الربع "&amp;ROUNDUP(MONTH(B1275)/3,0)</f>
        <v>الربع 3</v>
      </c>
      <c r="S1275" s="40" t="str">
        <f aca="false">IF(D1275&lt;=12,"أطفال (0-12)",IF(D1275&lt;=24,"شباب (13-24)",IF(D1275&lt;=44,"بالغون (25-44)",IF(D1275&lt;=64,"متوسطو العمر (45-64)","كبار السن (+65)"))))</f>
        <v>شباب (13-24)</v>
      </c>
      <c r="T1275" s="41" t="n">
        <f aca="false">IFERROR(L1275/P1275,0)</f>
        <v>1527.82</v>
      </c>
    </row>
    <row r="1276" customFormat="false" ht="15" hidden="false" customHeight="false" outlineLevel="0" collapsed="false">
      <c r="A1276" s="42" t="s">
        <v>1871</v>
      </c>
      <c r="B1276" s="43" t="n">
        <v>45513</v>
      </c>
      <c r="C1276" s="43" t="n">
        <v>45514</v>
      </c>
      <c r="D1276" s="42" t="n">
        <v>53</v>
      </c>
      <c r="E1276" s="42" t="s">
        <v>139</v>
      </c>
      <c r="F1276" s="42" t="s">
        <v>181</v>
      </c>
      <c r="G1276" s="42" t="s">
        <v>188</v>
      </c>
      <c r="H1276" s="42" t="s">
        <v>2322</v>
      </c>
      <c r="I1276" s="42" t="s">
        <v>143</v>
      </c>
      <c r="J1276" s="42" t="s">
        <v>159</v>
      </c>
      <c r="K1276" s="42" t="s">
        <v>145</v>
      </c>
      <c r="L1276" s="44" t="n">
        <v>2769.72</v>
      </c>
      <c r="M1276" s="42" t="n">
        <v>2</v>
      </c>
      <c r="N1276" s="42" t="s">
        <v>210</v>
      </c>
      <c r="O1276" s="42" t="s">
        <v>247</v>
      </c>
      <c r="P1276" s="39" t="n">
        <f aca="false">C1276-B1276</f>
        <v>1</v>
      </c>
      <c r="Q1276" s="40" t="str">
        <f aca="false">CHOOSE(MONTH(B1276),"يناير","فبراير","مارس","أبريل","مايو","يونيو","يوليو","أغسطس","سبتمبر","أكتوبر","نوفمبر","ديسمبر")</f>
        <v>أغسطس</v>
      </c>
      <c r="R1276" s="40" t="str">
        <f aca="false">"الربع "&amp;ROUNDUP(MONTH(B1276)/3,0)</f>
        <v>الربع 3</v>
      </c>
      <c r="S1276" s="40" t="str">
        <f aca="false">IF(D1276&lt;=12,"أطفال (0-12)",IF(D1276&lt;=24,"شباب (13-24)",IF(D1276&lt;=44,"بالغون (25-44)",IF(D1276&lt;=64,"متوسطو العمر (45-64)","كبار السن (+65)"))))</f>
        <v>متوسطو العمر (45-64)</v>
      </c>
      <c r="T1276" s="41" t="n">
        <f aca="false">IFERROR(L1276/P1276,0)</f>
        <v>2769.72</v>
      </c>
    </row>
    <row r="1277" customFormat="false" ht="15" hidden="false" customHeight="false" outlineLevel="0" collapsed="false">
      <c r="A1277" s="33" t="s">
        <v>1960</v>
      </c>
      <c r="B1277" s="34" t="n">
        <v>45513</v>
      </c>
      <c r="C1277" s="34" t="n">
        <v>45517</v>
      </c>
      <c r="D1277" s="33" t="n">
        <v>49</v>
      </c>
      <c r="E1277" s="33" t="s">
        <v>139</v>
      </c>
      <c r="F1277" s="33" t="s">
        <v>169</v>
      </c>
      <c r="G1277" s="33" t="s">
        <v>170</v>
      </c>
      <c r="H1277" s="33" t="s">
        <v>171</v>
      </c>
      <c r="I1277" s="33" t="s">
        <v>143</v>
      </c>
      <c r="J1277" s="33" t="s">
        <v>159</v>
      </c>
      <c r="K1277" s="33" t="s">
        <v>145</v>
      </c>
      <c r="L1277" s="35" t="n">
        <v>4293.37</v>
      </c>
      <c r="M1277" s="33" t="n">
        <v>4</v>
      </c>
      <c r="N1277" s="33" t="s">
        <v>210</v>
      </c>
      <c r="O1277" s="33" t="s">
        <v>147</v>
      </c>
      <c r="P1277" s="39" t="n">
        <f aca="false">C1277-B1277</f>
        <v>4</v>
      </c>
      <c r="Q1277" s="40" t="str">
        <f aca="false">CHOOSE(MONTH(B1277),"يناير","فبراير","مارس","أبريل","مايو","يونيو","يوليو","أغسطس","سبتمبر","أكتوبر","نوفمبر","ديسمبر")</f>
        <v>أغسطس</v>
      </c>
      <c r="R1277" s="40" t="str">
        <f aca="false">"الربع "&amp;ROUNDUP(MONTH(B1277)/3,0)</f>
        <v>الربع 3</v>
      </c>
      <c r="S1277" s="40" t="str">
        <f aca="false">IF(D1277&lt;=12,"أطفال (0-12)",IF(D1277&lt;=24,"شباب (13-24)",IF(D1277&lt;=44,"بالغون (25-44)",IF(D1277&lt;=64,"متوسطو العمر (45-64)","كبار السن (+65)"))))</f>
        <v>متوسطو العمر (45-64)</v>
      </c>
      <c r="T1277" s="41" t="n">
        <f aca="false">IFERROR(L1277/P1277,0)</f>
        <v>1073.3425</v>
      </c>
    </row>
    <row r="1278" customFormat="false" ht="15" hidden="false" customHeight="false" outlineLevel="0" collapsed="false">
      <c r="A1278" s="42" t="s">
        <v>1333</v>
      </c>
      <c r="B1278" s="43" t="n">
        <v>45514</v>
      </c>
      <c r="C1278" s="43" t="n">
        <v>45518</v>
      </c>
      <c r="D1278" s="42" t="n">
        <v>61</v>
      </c>
      <c r="E1278" s="42" t="s">
        <v>139</v>
      </c>
      <c r="F1278" s="42" t="s">
        <v>226</v>
      </c>
      <c r="G1278" s="42" t="s">
        <v>258</v>
      </c>
      <c r="H1278" s="42" t="s">
        <v>263</v>
      </c>
      <c r="I1278" s="42" t="s">
        <v>143</v>
      </c>
      <c r="J1278" s="42" t="s">
        <v>176</v>
      </c>
      <c r="K1278" s="42" t="s">
        <v>184</v>
      </c>
      <c r="L1278" s="44" t="n">
        <v>42642.35</v>
      </c>
      <c r="M1278" s="42" t="n">
        <v>5</v>
      </c>
      <c r="N1278" s="42" t="s">
        <v>146</v>
      </c>
      <c r="O1278" s="42" t="s">
        <v>147</v>
      </c>
      <c r="P1278" s="39" t="n">
        <f aca="false">C1278-B1278</f>
        <v>4</v>
      </c>
      <c r="Q1278" s="40" t="str">
        <f aca="false">CHOOSE(MONTH(B1278),"يناير","فبراير","مارس","أبريل","مايو","يونيو","يوليو","أغسطس","سبتمبر","أكتوبر","نوفمبر","ديسمبر")</f>
        <v>أغسطس</v>
      </c>
      <c r="R1278" s="40" t="str">
        <f aca="false">"الربع "&amp;ROUNDUP(MONTH(B1278)/3,0)</f>
        <v>الربع 3</v>
      </c>
      <c r="S1278" s="40" t="str">
        <f aca="false">IF(D1278&lt;=12,"أطفال (0-12)",IF(D1278&lt;=24,"شباب (13-24)",IF(D1278&lt;=44,"بالغون (25-44)",IF(D1278&lt;=64,"متوسطو العمر (45-64)","كبار السن (+65)"))))</f>
        <v>متوسطو العمر (45-64)</v>
      </c>
      <c r="T1278" s="41" t="n">
        <f aca="false">IFERROR(L1278/P1278,0)</f>
        <v>10660.5875</v>
      </c>
    </row>
    <row r="1279" customFormat="false" ht="15" hidden="false" customHeight="false" outlineLevel="0" collapsed="false">
      <c r="A1279" s="33" t="s">
        <v>729</v>
      </c>
      <c r="B1279" s="34" t="n">
        <v>45514</v>
      </c>
      <c r="C1279" s="34" t="n">
        <v>45515</v>
      </c>
      <c r="D1279" s="33" t="n">
        <v>22</v>
      </c>
      <c r="E1279" s="33" t="s">
        <v>139</v>
      </c>
      <c r="F1279" s="33" t="s">
        <v>140</v>
      </c>
      <c r="G1279" s="33" t="s">
        <v>316</v>
      </c>
      <c r="H1279" s="33" t="s">
        <v>290</v>
      </c>
      <c r="I1279" s="33" t="s">
        <v>152</v>
      </c>
      <c r="J1279" s="33" t="s">
        <v>159</v>
      </c>
      <c r="K1279" s="33" t="s">
        <v>184</v>
      </c>
      <c r="L1279" s="35" t="n">
        <v>2987.08</v>
      </c>
      <c r="M1279" s="33" t="n">
        <v>3</v>
      </c>
      <c r="N1279" s="33" t="s">
        <v>146</v>
      </c>
      <c r="O1279" s="33" t="s">
        <v>147</v>
      </c>
      <c r="P1279" s="39" t="n">
        <f aca="false">C1279-B1279</f>
        <v>1</v>
      </c>
      <c r="Q1279" s="40" t="str">
        <f aca="false">CHOOSE(MONTH(B1279),"يناير","فبراير","مارس","أبريل","مايو","يونيو","يوليو","أغسطس","سبتمبر","أكتوبر","نوفمبر","ديسمبر")</f>
        <v>أغسطس</v>
      </c>
      <c r="R1279" s="40" t="str">
        <f aca="false">"الربع "&amp;ROUNDUP(MONTH(B1279)/3,0)</f>
        <v>الربع 3</v>
      </c>
      <c r="S1279" s="40" t="str">
        <f aca="false">IF(D1279&lt;=12,"أطفال (0-12)",IF(D1279&lt;=24,"شباب (13-24)",IF(D1279&lt;=44,"بالغون (25-44)",IF(D1279&lt;=64,"متوسطو العمر (45-64)","كبار السن (+65)"))))</f>
        <v>شباب (13-24)</v>
      </c>
      <c r="T1279" s="41" t="n">
        <f aca="false">IFERROR(L1279/P1279,0)</f>
        <v>2987.08</v>
      </c>
    </row>
    <row r="1280" customFormat="false" ht="15" hidden="false" customHeight="false" outlineLevel="0" collapsed="false">
      <c r="A1280" s="42" t="s">
        <v>1454</v>
      </c>
      <c r="B1280" s="43" t="n">
        <v>45514</v>
      </c>
      <c r="C1280" s="43" t="n">
        <v>45518</v>
      </c>
      <c r="D1280" s="42" t="n">
        <v>19</v>
      </c>
      <c r="E1280" s="42" t="s">
        <v>139</v>
      </c>
      <c r="F1280" s="42" t="s">
        <v>149</v>
      </c>
      <c r="G1280" s="42" t="s">
        <v>150</v>
      </c>
      <c r="H1280" s="42" t="s">
        <v>186</v>
      </c>
      <c r="I1280" s="42" t="s">
        <v>143</v>
      </c>
      <c r="J1280" s="42" t="s">
        <v>159</v>
      </c>
      <c r="K1280" s="42" t="s">
        <v>160</v>
      </c>
      <c r="L1280" s="44" t="n">
        <v>6439.73</v>
      </c>
      <c r="M1280" s="42" t="n">
        <v>4</v>
      </c>
      <c r="N1280" s="42" t="s">
        <v>146</v>
      </c>
      <c r="O1280" s="42" t="s">
        <v>147</v>
      </c>
      <c r="P1280" s="39" t="n">
        <f aca="false">C1280-B1280</f>
        <v>4</v>
      </c>
      <c r="Q1280" s="40" t="str">
        <f aca="false">CHOOSE(MONTH(B1280),"يناير","فبراير","مارس","أبريل","مايو","يونيو","يوليو","أغسطس","سبتمبر","أكتوبر","نوفمبر","ديسمبر")</f>
        <v>أغسطس</v>
      </c>
      <c r="R1280" s="40" t="str">
        <f aca="false">"الربع "&amp;ROUNDUP(MONTH(B1280)/3,0)</f>
        <v>الربع 3</v>
      </c>
      <c r="S1280" s="40" t="str">
        <f aca="false">IF(D1280&lt;=12,"أطفال (0-12)",IF(D1280&lt;=24,"شباب (13-24)",IF(D1280&lt;=44,"بالغون (25-44)",IF(D1280&lt;=64,"متوسطو العمر (45-64)","كبار السن (+65)"))))</f>
        <v>شباب (13-24)</v>
      </c>
      <c r="T1280" s="41" t="n">
        <f aca="false">IFERROR(L1280/P1280,0)</f>
        <v>1609.9325</v>
      </c>
    </row>
    <row r="1281" customFormat="false" ht="15" hidden="false" customHeight="false" outlineLevel="0" collapsed="false">
      <c r="A1281" s="33" t="s">
        <v>2290</v>
      </c>
      <c r="B1281" s="34" t="n">
        <v>45514</v>
      </c>
      <c r="C1281" s="34" t="n">
        <v>45517</v>
      </c>
      <c r="D1281" s="33" t="n">
        <v>2</v>
      </c>
      <c r="E1281" s="33" t="s">
        <v>139</v>
      </c>
      <c r="F1281" s="33" t="s">
        <v>155</v>
      </c>
      <c r="G1281" s="33" t="s">
        <v>220</v>
      </c>
      <c r="H1281" s="33" t="s">
        <v>157</v>
      </c>
      <c r="I1281" s="33" t="s">
        <v>152</v>
      </c>
      <c r="J1281" s="33" t="s">
        <v>159</v>
      </c>
      <c r="K1281" s="33" t="s">
        <v>160</v>
      </c>
      <c r="L1281" s="35" t="n">
        <v>2608.68</v>
      </c>
      <c r="M1281" s="33" t="n">
        <v>4</v>
      </c>
      <c r="N1281" s="33" t="s">
        <v>146</v>
      </c>
      <c r="O1281" s="33" t="s">
        <v>147</v>
      </c>
      <c r="P1281" s="39" t="n">
        <f aca="false">C1281-B1281</f>
        <v>3</v>
      </c>
      <c r="Q1281" s="40" t="str">
        <f aca="false">CHOOSE(MONTH(B1281),"يناير","فبراير","مارس","أبريل","مايو","يونيو","يوليو","أغسطس","سبتمبر","أكتوبر","نوفمبر","ديسمبر")</f>
        <v>أغسطس</v>
      </c>
      <c r="R1281" s="40" t="str">
        <f aca="false">"الربع "&amp;ROUNDUP(MONTH(B1281)/3,0)</f>
        <v>الربع 3</v>
      </c>
      <c r="S1281" s="40" t="str">
        <f aca="false">IF(D1281&lt;=12,"أطفال (0-12)",IF(D1281&lt;=24,"شباب (13-24)",IF(D1281&lt;=44,"بالغون (25-44)",IF(D1281&lt;=64,"متوسطو العمر (45-64)","كبار السن (+65)"))))</f>
        <v>أطفال (0-12)</v>
      </c>
      <c r="T1281" s="41" t="n">
        <f aca="false">IFERROR(L1281/P1281,0)</f>
        <v>869.56</v>
      </c>
    </row>
    <row r="1282" customFormat="false" ht="15" hidden="false" customHeight="false" outlineLevel="0" collapsed="false">
      <c r="A1282" s="42" t="s">
        <v>672</v>
      </c>
      <c r="B1282" s="43" t="n">
        <v>45515</v>
      </c>
      <c r="C1282" s="43" t="n">
        <v>45517</v>
      </c>
      <c r="D1282" s="42" t="n">
        <v>29</v>
      </c>
      <c r="E1282" s="42" t="s">
        <v>154</v>
      </c>
      <c r="F1282" s="42" t="s">
        <v>173</v>
      </c>
      <c r="G1282" s="42" t="s">
        <v>174</v>
      </c>
      <c r="H1282" s="42" t="s">
        <v>199</v>
      </c>
      <c r="I1282" s="42" t="s">
        <v>143</v>
      </c>
      <c r="J1282" s="42" t="s">
        <v>159</v>
      </c>
      <c r="K1282" s="42" t="s">
        <v>184</v>
      </c>
      <c r="L1282" s="44" t="n">
        <v>4233.77</v>
      </c>
      <c r="M1282" s="42" t="n">
        <v>4</v>
      </c>
      <c r="N1282" s="42" t="s">
        <v>146</v>
      </c>
      <c r="O1282" s="42" t="s">
        <v>147</v>
      </c>
      <c r="P1282" s="39" t="n">
        <f aca="false">C1282-B1282</f>
        <v>2</v>
      </c>
      <c r="Q1282" s="40" t="str">
        <f aca="false">CHOOSE(MONTH(B1282),"يناير","فبراير","مارس","أبريل","مايو","يونيو","يوليو","أغسطس","سبتمبر","أكتوبر","نوفمبر","ديسمبر")</f>
        <v>أغسطس</v>
      </c>
      <c r="R1282" s="40" t="str">
        <f aca="false">"الربع "&amp;ROUNDUP(MONTH(B1282)/3,0)</f>
        <v>الربع 3</v>
      </c>
      <c r="S1282" s="40" t="str">
        <f aca="false">IF(D1282&lt;=12,"أطفال (0-12)",IF(D1282&lt;=24,"شباب (13-24)",IF(D1282&lt;=44,"بالغون (25-44)",IF(D1282&lt;=64,"متوسطو العمر (45-64)","كبار السن (+65)"))))</f>
        <v>بالغون (25-44)</v>
      </c>
      <c r="T1282" s="41" t="n">
        <f aca="false">IFERROR(L1282/P1282,0)</f>
        <v>2116.885</v>
      </c>
    </row>
    <row r="1283" customFormat="false" ht="15" hidden="false" customHeight="false" outlineLevel="0" collapsed="false">
      <c r="A1283" s="33" t="s">
        <v>1067</v>
      </c>
      <c r="B1283" s="34" t="n">
        <v>45515</v>
      </c>
      <c r="C1283" s="34" t="n">
        <v>45518</v>
      </c>
      <c r="D1283" s="33" t="n">
        <v>38</v>
      </c>
      <c r="E1283" s="33" t="s">
        <v>139</v>
      </c>
      <c r="F1283" s="33" t="s">
        <v>149</v>
      </c>
      <c r="G1283" s="33" t="s">
        <v>224</v>
      </c>
      <c r="H1283" s="33" t="s">
        <v>186</v>
      </c>
      <c r="I1283" s="33" t="s">
        <v>152</v>
      </c>
      <c r="J1283" s="33" t="s">
        <v>159</v>
      </c>
      <c r="K1283" s="33" t="s">
        <v>145</v>
      </c>
      <c r="L1283" s="35" t="n">
        <v>3781.21</v>
      </c>
      <c r="M1283" s="33" t="n">
        <v>3</v>
      </c>
      <c r="N1283" s="33" t="s">
        <v>146</v>
      </c>
      <c r="O1283" s="33" t="s">
        <v>147</v>
      </c>
      <c r="P1283" s="39" t="n">
        <f aca="false">C1283-B1283</f>
        <v>3</v>
      </c>
      <c r="Q1283" s="40" t="str">
        <f aca="false">CHOOSE(MONTH(B1283),"يناير","فبراير","مارس","أبريل","مايو","يونيو","يوليو","أغسطس","سبتمبر","أكتوبر","نوفمبر","ديسمبر")</f>
        <v>أغسطس</v>
      </c>
      <c r="R1283" s="40" t="str">
        <f aca="false">"الربع "&amp;ROUNDUP(MONTH(B1283)/3,0)</f>
        <v>الربع 3</v>
      </c>
      <c r="S1283" s="40" t="str">
        <f aca="false">IF(D1283&lt;=12,"أطفال (0-12)",IF(D1283&lt;=24,"شباب (13-24)",IF(D1283&lt;=44,"بالغون (25-44)",IF(D1283&lt;=64,"متوسطو العمر (45-64)","كبار السن (+65)"))))</f>
        <v>بالغون (25-44)</v>
      </c>
      <c r="T1283" s="41" t="n">
        <f aca="false">IFERROR(L1283/P1283,0)</f>
        <v>1260.40333333333</v>
      </c>
    </row>
    <row r="1284" customFormat="false" ht="15" hidden="false" customHeight="false" outlineLevel="0" collapsed="false">
      <c r="A1284" s="42" t="s">
        <v>2060</v>
      </c>
      <c r="B1284" s="43" t="n">
        <v>45515</v>
      </c>
      <c r="C1284" s="43" t="n">
        <v>45519</v>
      </c>
      <c r="D1284" s="42" t="n">
        <v>59</v>
      </c>
      <c r="E1284" s="42" t="s">
        <v>154</v>
      </c>
      <c r="F1284" s="42" t="s">
        <v>226</v>
      </c>
      <c r="G1284" s="42" t="s">
        <v>227</v>
      </c>
      <c r="H1284" s="42" t="s">
        <v>263</v>
      </c>
      <c r="I1284" s="42" t="s">
        <v>143</v>
      </c>
      <c r="J1284" s="42" t="s">
        <v>144</v>
      </c>
      <c r="K1284" s="42" t="s">
        <v>184</v>
      </c>
      <c r="L1284" s="44" t="n">
        <v>21531.68</v>
      </c>
      <c r="M1284" s="42" t="n">
        <v>4</v>
      </c>
      <c r="N1284" s="42" t="s">
        <v>146</v>
      </c>
      <c r="O1284" s="42" t="s">
        <v>147</v>
      </c>
      <c r="P1284" s="39" t="n">
        <f aca="false">C1284-B1284</f>
        <v>4</v>
      </c>
      <c r="Q1284" s="40" t="str">
        <f aca="false">CHOOSE(MONTH(B1284),"يناير","فبراير","مارس","أبريل","مايو","يونيو","يوليو","أغسطس","سبتمبر","أكتوبر","نوفمبر","ديسمبر")</f>
        <v>أغسطس</v>
      </c>
      <c r="R1284" s="40" t="str">
        <f aca="false">"الربع "&amp;ROUNDUP(MONTH(B1284)/3,0)</f>
        <v>الربع 3</v>
      </c>
      <c r="S1284" s="40" t="str">
        <f aca="false">IF(D1284&lt;=12,"أطفال (0-12)",IF(D1284&lt;=24,"شباب (13-24)",IF(D1284&lt;=44,"بالغون (25-44)",IF(D1284&lt;=64,"متوسطو العمر (45-64)","كبار السن (+65)"))))</f>
        <v>متوسطو العمر (45-64)</v>
      </c>
      <c r="T1284" s="41" t="n">
        <f aca="false">IFERROR(L1284/P1284,0)</f>
        <v>5382.92</v>
      </c>
    </row>
    <row r="1285" customFormat="false" ht="15" hidden="false" customHeight="false" outlineLevel="0" collapsed="false">
      <c r="A1285" s="33" t="s">
        <v>1205</v>
      </c>
      <c r="B1285" s="34" t="n">
        <v>45515</v>
      </c>
      <c r="C1285" s="34" t="n">
        <v>45516</v>
      </c>
      <c r="D1285" s="33" t="n">
        <v>40</v>
      </c>
      <c r="E1285" s="33" t="s">
        <v>154</v>
      </c>
      <c r="F1285" s="33" t="s">
        <v>169</v>
      </c>
      <c r="G1285" s="33" t="s">
        <v>213</v>
      </c>
      <c r="H1285" s="33" t="s">
        <v>195</v>
      </c>
      <c r="I1285" s="33" t="s">
        <v>143</v>
      </c>
      <c r="J1285" s="33" t="s">
        <v>144</v>
      </c>
      <c r="K1285" s="33" t="s">
        <v>145</v>
      </c>
      <c r="L1285" s="35" t="n">
        <v>2025.98</v>
      </c>
      <c r="M1285" s="33" t="n">
        <v>4</v>
      </c>
      <c r="N1285" s="33" t="s">
        <v>146</v>
      </c>
      <c r="O1285" s="33" t="s">
        <v>147</v>
      </c>
      <c r="P1285" s="39" t="n">
        <f aca="false">C1285-B1285</f>
        <v>1</v>
      </c>
      <c r="Q1285" s="40" t="str">
        <f aca="false">CHOOSE(MONTH(B1285),"يناير","فبراير","مارس","أبريل","مايو","يونيو","يوليو","أغسطس","سبتمبر","أكتوبر","نوفمبر","ديسمبر")</f>
        <v>أغسطس</v>
      </c>
      <c r="R1285" s="40" t="str">
        <f aca="false">"الربع "&amp;ROUNDUP(MONTH(B1285)/3,0)</f>
        <v>الربع 3</v>
      </c>
      <c r="S1285" s="40" t="str">
        <f aca="false">IF(D1285&lt;=12,"أطفال (0-12)",IF(D1285&lt;=24,"شباب (13-24)",IF(D1285&lt;=44,"بالغون (25-44)",IF(D1285&lt;=64,"متوسطو العمر (45-64)","كبار السن (+65)"))))</f>
        <v>بالغون (25-44)</v>
      </c>
      <c r="T1285" s="41" t="n">
        <f aca="false">IFERROR(L1285/P1285,0)</f>
        <v>2025.98</v>
      </c>
    </row>
    <row r="1286" customFormat="false" ht="15" hidden="false" customHeight="false" outlineLevel="0" collapsed="false">
      <c r="A1286" s="42" t="s">
        <v>995</v>
      </c>
      <c r="B1286" s="43" t="n">
        <v>45516</v>
      </c>
      <c r="C1286" s="43" t="n">
        <v>45517</v>
      </c>
      <c r="D1286" s="42" t="n">
        <v>33</v>
      </c>
      <c r="E1286" s="42" t="s">
        <v>139</v>
      </c>
      <c r="F1286" s="42" t="s">
        <v>203</v>
      </c>
      <c r="G1286" s="42" t="s">
        <v>241</v>
      </c>
      <c r="H1286" s="42" t="s">
        <v>193</v>
      </c>
      <c r="I1286" s="42" t="s">
        <v>143</v>
      </c>
      <c r="J1286" s="42" t="s">
        <v>159</v>
      </c>
      <c r="K1286" s="42" t="s">
        <v>145</v>
      </c>
      <c r="L1286" s="44" t="n">
        <v>956.73</v>
      </c>
      <c r="M1286" s="42" t="n">
        <v>4</v>
      </c>
      <c r="N1286" s="42" t="s">
        <v>146</v>
      </c>
      <c r="O1286" s="42" t="s">
        <v>147</v>
      </c>
      <c r="P1286" s="39" t="n">
        <f aca="false">C1286-B1286</f>
        <v>1</v>
      </c>
      <c r="Q1286" s="40" t="str">
        <f aca="false">CHOOSE(MONTH(B1286),"يناير","فبراير","مارس","أبريل","مايو","يونيو","يوليو","أغسطس","سبتمبر","أكتوبر","نوفمبر","ديسمبر")</f>
        <v>أغسطس</v>
      </c>
      <c r="R1286" s="40" t="str">
        <f aca="false">"الربع "&amp;ROUNDUP(MONTH(B1286)/3,0)</f>
        <v>الربع 3</v>
      </c>
      <c r="S1286" s="40" t="str">
        <f aca="false">IF(D1286&lt;=12,"أطفال (0-12)",IF(D1286&lt;=24,"شباب (13-24)",IF(D1286&lt;=44,"بالغون (25-44)",IF(D1286&lt;=64,"متوسطو العمر (45-64)","كبار السن (+65)"))))</f>
        <v>بالغون (25-44)</v>
      </c>
      <c r="T1286" s="41" t="n">
        <f aca="false">IFERROR(L1286/P1286,0)</f>
        <v>956.73</v>
      </c>
    </row>
    <row r="1287" customFormat="false" ht="15" hidden="false" customHeight="false" outlineLevel="0" collapsed="false">
      <c r="A1287" s="33" t="s">
        <v>2234</v>
      </c>
      <c r="B1287" s="34" t="n">
        <v>45516</v>
      </c>
      <c r="C1287" s="34" t="n">
        <v>45520</v>
      </c>
      <c r="D1287" s="33" t="n">
        <v>29</v>
      </c>
      <c r="E1287" s="33" t="s">
        <v>154</v>
      </c>
      <c r="F1287" s="33" t="s">
        <v>169</v>
      </c>
      <c r="G1287" s="33" t="s">
        <v>230</v>
      </c>
      <c r="H1287" s="33" t="s">
        <v>171</v>
      </c>
      <c r="I1287" s="33" t="s">
        <v>143</v>
      </c>
      <c r="J1287" s="33" t="s">
        <v>176</v>
      </c>
      <c r="K1287" s="33" t="s">
        <v>160</v>
      </c>
      <c r="L1287" s="35" t="n">
        <v>18114.79</v>
      </c>
      <c r="M1287" s="33" t="n">
        <v>4</v>
      </c>
      <c r="N1287" s="33" t="s">
        <v>146</v>
      </c>
      <c r="O1287" s="33" t="s">
        <v>147</v>
      </c>
      <c r="P1287" s="39" t="n">
        <f aca="false">C1287-B1287</f>
        <v>4</v>
      </c>
      <c r="Q1287" s="40" t="str">
        <f aca="false">CHOOSE(MONTH(B1287),"يناير","فبراير","مارس","أبريل","مايو","يونيو","يوليو","أغسطس","سبتمبر","أكتوبر","نوفمبر","ديسمبر")</f>
        <v>أغسطس</v>
      </c>
      <c r="R1287" s="40" t="str">
        <f aca="false">"الربع "&amp;ROUNDUP(MONTH(B1287)/3,0)</f>
        <v>الربع 3</v>
      </c>
      <c r="S1287" s="40" t="str">
        <f aca="false">IF(D1287&lt;=12,"أطفال (0-12)",IF(D1287&lt;=24,"شباب (13-24)",IF(D1287&lt;=44,"بالغون (25-44)",IF(D1287&lt;=64,"متوسطو العمر (45-64)","كبار السن (+65)"))))</f>
        <v>بالغون (25-44)</v>
      </c>
      <c r="T1287" s="41" t="n">
        <f aca="false">IFERROR(L1287/P1287,0)</f>
        <v>4528.6975</v>
      </c>
    </row>
    <row r="1288" customFormat="false" ht="15" hidden="false" customHeight="false" outlineLevel="0" collapsed="false">
      <c r="A1288" s="42" t="s">
        <v>1765</v>
      </c>
      <c r="B1288" s="43" t="n">
        <v>45516</v>
      </c>
      <c r="C1288" s="43" t="n">
        <v>45517</v>
      </c>
      <c r="D1288" s="42" t="n">
        <v>7</v>
      </c>
      <c r="E1288" s="42" t="s">
        <v>154</v>
      </c>
      <c r="F1288" s="42" t="s">
        <v>155</v>
      </c>
      <c r="G1288" s="42" t="s">
        <v>220</v>
      </c>
      <c r="H1288" s="42" t="s">
        <v>222</v>
      </c>
      <c r="I1288" s="42" t="s">
        <v>143</v>
      </c>
      <c r="J1288" s="42" t="s">
        <v>144</v>
      </c>
      <c r="K1288" s="42" t="s">
        <v>160</v>
      </c>
      <c r="L1288" s="44" t="n">
        <v>1279</v>
      </c>
      <c r="M1288" s="42" t="n">
        <v>4</v>
      </c>
      <c r="N1288" s="42" t="s">
        <v>146</v>
      </c>
      <c r="O1288" s="42" t="s">
        <v>147</v>
      </c>
      <c r="P1288" s="39" t="n">
        <f aca="false">C1288-B1288</f>
        <v>1</v>
      </c>
      <c r="Q1288" s="40" t="str">
        <f aca="false">CHOOSE(MONTH(B1288),"يناير","فبراير","مارس","أبريل","مايو","يونيو","يوليو","أغسطس","سبتمبر","أكتوبر","نوفمبر","ديسمبر")</f>
        <v>أغسطس</v>
      </c>
      <c r="R1288" s="40" t="str">
        <f aca="false">"الربع "&amp;ROUNDUP(MONTH(B1288)/3,0)</f>
        <v>الربع 3</v>
      </c>
      <c r="S1288" s="40" t="str">
        <f aca="false">IF(D1288&lt;=12,"أطفال (0-12)",IF(D1288&lt;=24,"شباب (13-24)",IF(D1288&lt;=44,"بالغون (25-44)",IF(D1288&lt;=64,"متوسطو العمر (45-64)","كبار السن (+65)"))))</f>
        <v>أطفال (0-12)</v>
      </c>
      <c r="T1288" s="41" t="n">
        <f aca="false">IFERROR(L1288/P1288,0)</f>
        <v>1279</v>
      </c>
    </row>
    <row r="1289" customFormat="false" ht="15" hidden="false" customHeight="false" outlineLevel="0" collapsed="false">
      <c r="A1289" s="33" t="s">
        <v>1052</v>
      </c>
      <c r="B1289" s="34" t="n">
        <v>45516</v>
      </c>
      <c r="C1289" s="34" t="n">
        <v>45520</v>
      </c>
      <c r="D1289" s="33" t="n">
        <v>68</v>
      </c>
      <c r="E1289" s="33" t="s">
        <v>154</v>
      </c>
      <c r="F1289" s="33" t="s">
        <v>181</v>
      </c>
      <c r="G1289" s="33" t="s">
        <v>237</v>
      </c>
      <c r="H1289" s="33" t="s">
        <v>183</v>
      </c>
      <c r="I1289" s="33" t="s">
        <v>143</v>
      </c>
      <c r="J1289" s="33" t="s">
        <v>159</v>
      </c>
      <c r="K1289" s="33" t="s">
        <v>145</v>
      </c>
      <c r="L1289" s="35" t="n">
        <v>8836.63</v>
      </c>
      <c r="M1289" s="33" t="n">
        <v>4</v>
      </c>
      <c r="N1289" s="33" t="s">
        <v>210</v>
      </c>
      <c r="O1289" s="33" t="s">
        <v>147</v>
      </c>
      <c r="P1289" s="39" t="n">
        <f aca="false">C1289-B1289</f>
        <v>4</v>
      </c>
      <c r="Q1289" s="40" t="str">
        <f aca="false">CHOOSE(MONTH(B1289),"يناير","فبراير","مارس","أبريل","مايو","يونيو","يوليو","أغسطس","سبتمبر","أكتوبر","نوفمبر","ديسمبر")</f>
        <v>أغسطس</v>
      </c>
      <c r="R1289" s="40" t="str">
        <f aca="false">"الربع "&amp;ROUNDUP(MONTH(B1289)/3,0)</f>
        <v>الربع 3</v>
      </c>
      <c r="S1289" s="40" t="str">
        <f aca="false">IF(D1289&lt;=12,"أطفال (0-12)",IF(D1289&lt;=24,"شباب (13-24)",IF(D1289&lt;=44,"بالغون (25-44)",IF(D1289&lt;=64,"متوسطو العمر (45-64)","كبار السن (+65)"))))</f>
        <v>كبار السن (+65)</v>
      </c>
      <c r="T1289" s="41" t="n">
        <f aca="false">IFERROR(L1289/P1289,0)</f>
        <v>2209.1575</v>
      </c>
    </row>
    <row r="1290" customFormat="false" ht="15" hidden="false" customHeight="false" outlineLevel="0" collapsed="false">
      <c r="A1290" s="42" t="s">
        <v>1868</v>
      </c>
      <c r="B1290" s="43" t="n">
        <v>45516</v>
      </c>
      <c r="C1290" s="43" t="n">
        <v>45520</v>
      </c>
      <c r="D1290" s="42" t="n">
        <v>69</v>
      </c>
      <c r="E1290" s="42" t="s">
        <v>154</v>
      </c>
      <c r="F1290" s="42" t="s">
        <v>173</v>
      </c>
      <c r="G1290" s="42" t="s">
        <v>198</v>
      </c>
      <c r="H1290" s="42" t="s">
        <v>175</v>
      </c>
      <c r="I1290" s="42" t="s">
        <v>152</v>
      </c>
      <c r="J1290" s="42" t="s">
        <v>159</v>
      </c>
      <c r="K1290" s="42" t="s">
        <v>145</v>
      </c>
      <c r="L1290" s="44" t="n">
        <v>11114.53</v>
      </c>
      <c r="M1290" s="42" t="n">
        <v>4</v>
      </c>
      <c r="N1290" s="42" t="s">
        <v>146</v>
      </c>
      <c r="O1290" s="42" t="s">
        <v>147</v>
      </c>
      <c r="P1290" s="39" t="n">
        <f aca="false">C1290-B1290</f>
        <v>4</v>
      </c>
      <c r="Q1290" s="40" t="str">
        <f aca="false">CHOOSE(MONTH(B1290),"يناير","فبراير","مارس","أبريل","مايو","يونيو","يوليو","أغسطس","سبتمبر","أكتوبر","نوفمبر","ديسمبر")</f>
        <v>أغسطس</v>
      </c>
      <c r="R1290" s="40" t="str">
        <f aca="false">"الربع "&amp;ROUNDUP(MONTH(B1290)/3,0)</f>
        <v>الربع 3</v>
      </c>
      <c r="S1290" s="40" t="str">
        <f aca="false">IF(D1290&lt;=12,"أطفال (0-12)",IF(D1290&lt;=24,"شباب (13-24)",IF(D1290&lt;=44,"بالغون (25-44)",IF(D1290&lt;=64,"متوسطو العمر (45-64)","كبار السن (+65)"))))</f>
        <v>كبار السن (+65)</v>
      </c>
      <c r="T1290" s="41" t="n">
        <f aca="false">IFERROR(L1290/P1290,0)</f>
        <v>2778.6325</v>
      </c>
    </row>
    <row r="1291" customFormat="false" ht="15" hidden="false" customHeight="false" outlineLevel="0" collapsed="false">
      <c r="A1291" s="33" t="s">
        <v>1218</v>
      </c>
      <c r="B1291" s="34" t="n">
        <v>45516</v>
      </c>
      <c r="C1291" s="34" t="n">
        <v>45518</v>
      </c>
      <c r="D1291" s="33" t="n">
        <v>1</v>
      </c>
      <c r="E1291" s="33" t="s">
        <v>154</v>
      </c>
      <c r="F1291" s="33" t="s">
        <v>155</v>
      </c>
      <c r="G1291" s="33" t="s">
        <v>302</v>
      </c>
      <c r="H1291" s="33" t="s">
        <v>157</v>
      </c>
      <c r="I1291" s="33" t="s">
        <v>152</v>
      </c>
      <c r="J1291" s="33" t="s">
        <v>159</v>
      </c>
      <c r="K1291" s="33" t="s">
        <v>184</v>
      </c>
      <c r="L1291" s="35" t="n">
        <v>1543.2</v>
      </c>
      <c r="M1291" s="33" t="n">
        <v>3</v>
      </c>
      <c r="N1291" s="33" t="s">
        <v>210</v>
      </c>
      <c r="O1291" s="33" t="s">
        <v>147</v>
      </c>
      <c r="P1291" s="39" t="n">
        <f aca="false">C1291-B1291</f>
        <v>2</v>
      </c>
      <c r="Q1291" s="40" t="str">
        <f aca="false">CHOOSE(MONTH(B1291),"يناير","فبراير","مارس","أبريل","مايو","يونيو","يوليو","أغسطس","سبتمبر","أكتوبر","نوفمبر","ديسمبر")</f>
        <v>أغسطس</v>
      </c>
      <c r="R1291" s="40" t="str">
        <f aca="false">"الربع "&amp;ROUNDUP(MONTH(B1291)/3,0)</f>
        <v>الربع 3</v>
      </c>
      <c r="S1291" s="40" t="str">
        <f aca="false">IF(D1291&lt;=12,"أطفال (0-12)",IF(D1291&lt;=24,"شباب (13-24)",IF(D1291&lt;=44,"بالغون (25-44)",IF(D1291&lt;=64,"متوسطو العمر (45-64)","كبار السن (+65)"))))</f>
        <v>أطفال (0-12)</v>
      </c>
      <c r="T1291" s="41" t="n">
        <f aca="false">IFERROR(L1291/P1291,0)</f>
        <v>771.6</v>
      </c>
    </row>
    <row r="1292" customFormat="false" ht="15" hidden="false" customHeight="false" outlineLevel="0" collapsed="false">
      <c r="A1292" s="42" t="s">
        <v>1506</v>
      </c>
      <c r="B1292" s="43" t="n">
        <v>45516</v>
      </c>
      <c r="C1292" s="43" t="n">
        <v>45521</v>
      </c>
      <c r="D1292" s="42" t="n">
        <v>47</v>
      </c>
      <c r="E1292" s="42" t="s">
        <v>139</v>
      </c>
      <c r="F1292" s="42" t="s">
        <v>169</v>
      </c>
      <c r="G1292" s="42" t="s">
        <v>170</v>
      </c>
      <c r="H1292" s="42" t="s">
        <v>171</v>
      </c>
      <c r="I1292" s="42" t="s">
        <v>143</v>
      </c>
      <c r="J1292" s="42" t="s">
        <v>159</v>
      </c>
      <c r="K1292" s="42" t="s">
        <v>160</v>
      </c>
      <c r="L1292" s="44" t="n">
        <v>5192</v>
      </c>
      <c r="M1292" s="42" t="n">
        <v>3</v>
      </c>
      <c r="N1292" s="42" t="s">
        <v>146</v>
      </c>
      <c r="O1292" s="42" t="s">
        <v>147</v>
      </c>
      <c r="P1292" s="39" t="n">
        <f aca="false">C1292-B1292</f>
        <v>5</v>
      </c>
      <c r="Q1292" s="40" t="str">
        <f aca="false">CHOOSE(MONTH(B1292),"يناير","فبراير","مارس","أبريل","مايو","يونيو","يوليو","أغسطس","سبتمبر","أكتوبر","نوفمبر","ديسمبر")</f>
        <v>أغسطس</v>
      </c>
      <c r="R1292" s="40" t="str">
        <f aca="false">"الربع "&amp;ROUNDUP(MONTH(B1292)/3,0)</f>
        <v>الربع 3</v>
      </c>
      <c r="S1292" s="40" t="str">
        <f aca="false">IF(D1292&lt;=12,"أطفال (0-12)",IF(D1292&lt;=24,"شباب (13-24)",IF(D1292&lt;=44,"بالغون (25-44)",IF(D1292&lt;=64,"متوسطو العمر (45-64)","كبار السن (+65)"))))</f>
        <v>متوسطو العمر (45-64)</v>
      </c>
      <c r="T1292" s="41" t="n">
        <f aca="false">IFERROR(L1292/P1292,0)</f>
        <v>1038.4</v>
      </c>
    </row>
    <row r="1293" customFormat="false" ht="15" hidden="false" customHeight="false" outlineLevel="0" collapsed="false">
      <c r="A1293" s="33" t="s">
        <v>1815</v>
      </c>
      <c r="B1293" s="34" t="n">
        <v>45516</v>
      </c>
      <c r="C1293" s="34" t="n">
        <v>45520</v>
      </c>
      <c r="D1293" s="33" t="n">
        <v>22</v>
      </c>
      <c r="E1293" s="33" t="s">
        <v>154</v>
      </c>
      <c r="F1293" s="33" t="s">
        <v>169</v>
      </c>
      <c r="G1293" s="33" t="s">
        <v>230</v>
      </c>
      <c r="H1293" s="33" t="s">
        <v>164</v>
      </c>
      <c r="I1293" s="33" t="s">
        <v>143</v>
      </c>
      <c r="J1293" s="33" t="s">
        <v>159</v>
      </c>
      <c r="K1293" s="33" t="s">
        <v>160</v>
      </c>
      <c r="L1293" s="35" t="n">
        <v>4102.62</v>
      </c>
      <c r="M1293" s="33" t="n">
        <v>3</v>
      </c>
      <c r="N1293" s="33" t="s">
        <v>146</v>
      </c>
      <c r="O1293" s="33" t="s">
        <v>147</v>
      </c>
      <c r="P1293" s="39" t="n">
        <f aca="false">C1293-B1293</f>
        <v>4</v>
      </c>
      <c r="Q1293" s="40" t="str">
        <f aca="false">CHOOSE(MONTH(B1293),"يناير","فبراير","مارس","أبريل","مايو","يونيو","يوليو","أغسطس","سبتمبر","أكتوبر","نوفمبر","ديسمبر")</f>
        <v>أغسطس</v>
      </c>
      <c r="R1293" s="40" t="str">
        <f aca="false">"الربع "&amp;ROUNDUP(MONTH(B1293)/3,0)</f>
        <v>الربع 3</v>
      </c>
      <c r="S1293" s="40" t="str">
        <f aca="false">IF(D1293&lt;=12,"أطفال (0-12)",IF(D1293&lt;=24,"شباب (13-24)",IF(D1293&lt;=44,"بالغون (25-44)",IF(D1293&lt;=64,"متوسطو العمر (45-64)","كبار السن (+65)"))))</f>
        <v>شباب (13-24)</v>
      </c>
      <c r="T1293" s="41" t="n">
        <f aca="false">IFERROR(L1293/P1293,0)</f>
        <v>1025.655</v>
      </c>
    </row>
    <row r="1294" customFormat="false" ht="15" hidden="false" customHeight="false" outlineLevel="0" collapsed="false">
      <c r="A1294" s="42" t="s">
        <v>1728</v>
      </c>
      <c r="B1294" s="43" t="n">
        <v>45517</v>
      </c>
      <c r="C1294" s="43" t="n">
        <v>45518</v>
      </c>
      <c r="D1294" s="42" t="n">
        <v>16</v>
      </c>
      <c r="E1294" s="42" t="s">
        <v>154</v>
      </c>
      <c r="F1294" s="42" t="s">
        <v>203</v>
      </c>
      <c r="G1294" s="42" t="s">
        <v>192</v>
      </c>
      <c r="H1294" s="42" t="s">
        <v>193</v>
      </c>
      <c r="I1294" s="42" t="s">
        <v>152</v>
      </c>
      <c r="J1294" s="42" t="s">
        <v>159</v>
      </c>
      <c r="K1294" s="42" t="s">
        <v>145</v>
      </c>
      <c r="L1294" s="44" t="n">
        <v>969.92</v>
      </c>
      <c r="M1294" s="42" t="n">
        <v>3</v>
      </c>
      <c r="N1294" s="42" t="s">
        <v>146</v>
      </c>
      <c r="O1294" s="42" t="s">
        <v>147</v>
      </c>
      <c r="P1294" s="39" t="n">
        <f aca="false">C1294-B1294</f>
        <v>1</v>
      </c>
      <c r="Q1294" s="40" t="str">
        <f aca="false">CHOOSE(MONTH(B1294),"يناير","فبراير","مارس","أبريل","مايو","يونيو","يوليو","أغسطس","سبتمبر","أكتوبر","نوفمبر","ديسمبر")</f>
        <v>أغسطس</v>
      </c>
      <c r="R1294" s="40" t="str">
        <f aca="false">"الربع "&amp;ROUNDUP(MONTH(B1294)/3,0)</f>
        <v>الربع 3</v>
      </c>
      <c r="S1294" s="40" t="str">
        <f aca="false">IF(D1294&lt;=12,"أطفال (0-12)",IF(D1294&lt;=24,"شباب (13-24)",IF(D1294&lt;=44,"بالغون (25-44)",IF(D1294&lt;=64,"متوسطو العمر (45-64)","كبار السن (+65)"))))</f>
        <v>شباب (13-24)</v>
      </c>
      <c r="T1294" s="41" t="n">
        <f aca="false">IFERROR(L1294/P1294,0)</f>
        <v>969.92</v>
      </c>
    </row>
    <row r="1295" customFormat="false" ht="15" hidden="false" customHeight="false" outlineLevel="0" collapsed="false">
      <c r="A1295" s="33" t="s">
        <v>249</v>
      </c>
      <c r="B1295" s="34" t="n">
        <v>45517</v>
      </c>
      <c r="C1295" s="34" t="n">
        <v>45527</v>
      </c>
      <c r="D1295" s="33" t="n">
        <v>55</v>
      </c>
      <c r="E1295" s="33" t="s">
        <v>139</v>
      </c>
      <c r="F1295" s="33" t="s">
        <v>181</v>
      </c>
      <c r="G1295" s="33" t="s">
        <v>188</v>
      </c>
      <c r="H1295" s="33" t="s">
        <v>245</v>
      </c>
      <c r="I1295" s="33" t="s">
        <v>143</v>
      </c>
      <c r="J1295" s="33" t="s">
        <v>144</v>
      </c>
      <c r="K1295" s="33" t="s">
        <v>160</v>
      </c>
      <c r="L1295" s="35" t="n">
        <v>20630.25</v>
      </c>
      <c r="M1295" s="33" t="n">
        <v>4</v>
      </c>
      <c r="N1295" s="33" t="s">
        <v>146</v>
      </c>
      <c r="O1295" s="33" t="s">
        <v>147</v>
      </c>
      <c r="P1295" s="39" t="n">
        <f aca="false">C1295-B1295</f>
        <v>10</v>
      </c>
      <c r="Q1295" s="40" t="str">
        <f aca="false">CHOOSE(MONTH(B1295),"يناير","فبراير","مارس","أبريل","مايو","يونيو","يوليو","أغسطس","سبتمبر","أكتوبر","نوفمبر","ديسمبر")</f>
        <v>أغسطس</v>
      </c>
      <c r="R1295" s="40" t="str">
        <f aca="false">"الربع "&amp;ROUNDUP(MONTH(B1295)/3,0)</f>
        <v>الربع 3</v>
      </c>
      <c r="S1295" s="40" t="str">
        <f aca="false">IF(D1295&lt;=12,"أطفال (0-12)",IF(D1295&lt;=24,"شباب (13-24)",IF(D1295&lt;=44,"بالغون (25-44)",IF(D1295&lt;=64,"متوسطو العمر (45-64)","كبار السن (+65)"))))</f>
        <v>متوسطو العمر (45-64)</v>
      </c>
      <c r="T1295" s="41" t="n">
        <f aca="false">IFERROR(L1295/P1295,0)</f>
        <v>2063.025</v>
      </c>
    </row>
    <row r="1296" customFormat="false" ht="15" hidden="false" customHeight="false" outlineLevel="0" collapsed="false">
      <c r="A1296" s="42" t="s">
        <v>236</v>
      </c>
      <c r="B1296" s="43" t="n">
        <v>45517</v>
      </c>
      <c r="C1296" s="43" t="n">
        <v>45521</v>
      </c>
      <c r="D1296" s="42" t="n">
        <v>67</v>
      </c>
      <c r="E1296" s="42" t="s">
        <v>139</v>
      </c>
      <c r="F1296" s="42" t="s">
        <v>181</v>
      </c>
      <c r="G1296" s="42" t="s">
        <v>237</v>
      </c>
      <c r="H1296" s="42" t="s">
        <v>183</v>
      </c>
      <c r="I1296" s="42" t="s">
        <v>152</v>
      </c>
      <c r="J1296" s="42" t="s">
        <v>144</v>
      </c>
      <c r="K1296" s="42" t="s">
        <v>160</v>
      </c>
      <c r="L1296" s="44" t="n">
        <v>19527.71</v>
      </c>
      <c r="M1296" s="42" t="n">
        <v>2</v>
      </c>
      <c r="N1296" s="42" t="s">
        <v>146</v>
      </c>
      <c r="O1296" s="42" t="s">
        <v>147</v>
      </c>
      <c r="P1296" s="39" t="n">
        <f aca="false">C1296-B1296</f>
        <v>4</v>
      </c>
      <c r="Q1296" s="40" t="str">
        <f aca="false">CHOOSE(MONTH(B1296),"يناير","فبراير","مارس","أبريل","مايو","يونيو","يوليو","أغسطس","سبتمبر","أكتوبر","نوفمبر","ديسمبر")</f>
        <v>أغسطس</v>
      </c>
      <c r="R1296" s="40" t="str">
        <f aca="false">"الربع "&amp;ROUNDUP(MONTH(B1296)/3,0)</f>
        <v>الربع 3</v>
      </c>
      <c r="S1296" s="40" t="str">
        <f aca="false">IF(D1296&lt;=12,"أطفال (0-12)",IF(D1296&lt;=24,"شباب (13-24)",IF(D1296&lt;=44,"بالغون (25-44)",IF(D1296&lt;=64,"متوسطو العمر (45-64)","كبار السن (+65)"))))</f>
        <v>كبار السن (+65)</v>
      </c>
      <c r="T1296" s="41" t="n">
        <f aca="false">IFERROR(L1296/P1296,0)</f>
        <v>4881.9275</v>
      </c>
    </row>
    <row r="1297" customFormat="false" ht="15" hidden="false" customHeight="false" outlineLevel="0" collapsed="false">
      <c r="A1297" s="33" t="s">
        <v>1088</v>
      </c>
      <c r="B1297" s="34" t="n">
        <v>45517</v>
      </c>
      <c r="C1297" s="34" t="n">
        <v>45519</v>
      </c>
      <c r="D1297" s="33" t="n">
        <v>43</v>
      </c>
      <c r="E1297" s="33" t="s">
        <v>139</v>
      </c>
      <c r="F1297" s="33" t="s">
        <v>173</v>
      </c>
      <c r="G1297" s="33" t="s">
        <v>178</v>
      </c>
      <c r="H1297" s="33" t="s">
        <v>199</v>
      </c>
      <c r="I1297" s="33" t="s">
        <v>152</v>
      </c>
      <c r="J1297" s="33" t="s">
        <v>144</v>
      </c>
      <c r="K1297" s="33" t="s">
        <v>145</v>
      </c>
      <c r="L1297" s="35" t="n">
        <v>8697.85</v>
      </c>
      <c r="M1297" s="33" t="n">
        <v>4</v>
      </c>
      <c r="N1297" s="33" t="s">
        <v>146</v>
      </c>
      <c r="O1297" s="33" t="s">
        <v>147</v>
      </c>
      <c r="P1297" s="39" t="n">
        <f aca="false">C1297-B1297</f>
        <v>2</v>
      </c>
      <c r="Q1297" s="40" t="str">
        <f aca="false">CHOOSE(MONTH(B1297),"يناير","فبراير","مارس","أبريل","مايو","يونيو","يوليو","أغسطس","سبتمبر","أكتوبر","نوفمبر","ديسمبر")</f>
        <v>أغسطس</v>
      </c>
      <c r="R1297" s="40" t="str">
        <f aca="false">"الربع "&amp;ROUNDUP(MONTH(B1297)/3,0)</f>
        <v>الربع 3</v>
      </c>
      <c r="S1297" s="40" t="str">
        <f aca="false">IF(D1297&lt;=12,"أطفال (0-12)",IF(D1297&lt;=24,"شباب (13-24)",IF(D1297&lt;=44,"بالغون (25-44)",IF(D1297&lt;=64,"متوسطو العمر (45-64)","كبار السن (+65)"))))</f>
        <v>بالغون (25-44)</v>
      </c>
      <c r="T1297" s="41" t="n">
        <f aca="false">IFERROR(L1297/P1297,0)</f>
        <v>4348.925</v>
      </c>
    </row>
    <row r="1298" customFormat="false" ht="15" hidden="false" customHeight="false" outlineLevel="0" collapsed="false">
      <c r="A1298" s="42" t="s">
        <v>1069</v>
      </c>
      <c r="B1298" s="43" t="n">
        <v>45517</v>
      </c>
      <c r="C1298" s="43" t="n">
        <v>45518</v>
      </c>
      <c r="D1298" s="42" t="n">
        <v>76</v>
      </c>
      <c r="E1298" s="42" t="s">
        <v>139</v>
      </c>
      <c r="F1298" s="42" t="s">
        <v>203</v>
      </c>
      <c r="G1298" s="42" t="s">
        <v>232</v>
      </c>
      <c r="H1298" s="42" t="s">
        <v>233</v>
      </c>
      <c r="I1298" s="42" t="s">
        <v>152</v>
      </c>
      <c r="J1298" s="42" t="s">
        <v>144</v>
      </c>
      <c r="K1298" s="42" t="s">
        <v>184</v>
      </c>
      <c r="L1298" s="44" t="n">
        <v>1596.42</v>
      </c>
      <c r="M1298" s="42" t="n">
        <v>3</v>
      </c>
      <c r="N1298" s="42" t="s">
        <v>146</v>
      </c>
      <c r="O1298" s="42" t="s">
        <v>147</v>
      </c>
      <c r="P1298" s="39" t="n">
        <f aca="false">C1298-B1298</f>
        <v>1</v>
      </c>
      <c r="Q1298" s="40" t="str">
        <f aca="false">CHOOSE(MONTH(B1298),"يناير","فبراير","مارس","أبريل","مايو","يونيو","يوليو","أغسطس","سبتمبر","أكتوبر","نوفمبر","ديسمبر")</f>
        <v>أغسطس</v>
      </c>
      <c r="R1298" s="40" t="str">
        <f aca="false">"الربع "&amp;ROUNDUP(MONTH(B1298)/3,0)</f>
        <v>الربع 3</v>
      </c>
      <c r="S1298" s="40" t="str">
        <f aca="false">IF(D1298&lt;=12,"أطفال (0-12)",IF(D1298&lt;=24,"شباب (13-24)",IF(D1298&lt;=44,"بالغون (25-44)",IF(D1298&lt;=64,"متوسطو العمر (45-64)","كبار السن (+65)"))))</f>
        <v>كبار السن (+65)</v>
      </c>
      <c r="T1298" s="41" t="n">
        <f aca="false">IFERROR(L1298/P1298,0)</f>
        <v>1596.42</v>
      </c>
    </row>
    <row r="1299" customFormat="false" ht="15" hidden="false" customHeight="false" outlineLevel="0" collapsed="false">
      <c r="A1299" s="33" t="s">
        <v>1443</v>
      </c>
      <c r="B1299" s="34" t="n">
        <v>45518</v>
      </c>
      <c r="C1299" s="34" t="n">
        <v>45519</v>
      </c>
      <c r="D1299" s="33" t="n">
        <v>84</v>
      </c>
      <c r="E1299" s="33" t="s">
        <v>139</v>
      </c>
      <c r="F1299" s="33" t="s">
        <v>140</v>
      </c>
      <c r="G1299" s="33" t="s">
        <v>316</v>
      </c>
      <c r="H1299" s="33" t="s">
        <v>290</v>
      </c>
      <c r="I1299" s="33" t="s">
        <v>143</v>
      </c>
      <c r="J1299" s="33" t="s">
        <v>144</v>
      </c>
      <c r="K1299" s="33" t="s">
        <v>145</v>
      </c>
      <c r="L1299" s="35" t="n">
        <v>4939.79</v>
      </c>
      <c r="M1299" s="33" t="n">
        <v>4</v>
      </c>
      <c r="N1299" s="33" t="s">
        <v>210</v>
      </c>
      <c r="O1299" s="33" t="s">
        <v>147</v>
      </c>
      <c r="P1299" s="39" t="n">
        <f aca="false">C1299-B1299</f>
        <v>1</v>
      </c>
      <c r="Q1299" s="40" t="str">
        <f aca="false">CHOOSE(MONTH(B1299),"يناير","فبراير","مارس","أبريل","مايو","يونيو","يوليو","أغسطس","سبتمبر","أكتوبر","نوفمبر","ديسمبر")</f>
        <v>أغسطس</v>
      </c>
      <c r="R1299" s="40" t="str">
        <f aca="false">"الربع "&amp;ROUNDUP(MONTH(B1299)/3,0)</f>
        <v>الربع 3</v>
      </c>
      <c r="S1299" s="40" t="str">
        <f aca="false">IF(D1299&lt;=12,"أطفال (0-12)",IF(D1299&lt;=24,"شباب (13-24)",IF(D1299&lt;=44,"بالغون (25-44)",IF(D1299&lt;=64,"متوسطو العمر (45-64)","كبار السن (+65)"))))</f>
        <v>كبار السن (+65)</v>
      </c>
      <c r="T1299" s="41" t="n">
        <f aca="false">IFERROR(L1299/P1299,0)</f>
        <v>4939.79</v>
      </c>
    </row>
    <row r="1300" customFormat="false" ht="15" hidden="false" customHeight="false" outlineLevel="0" collapsed="false">
      <c r="A1300" s="42" t="s">
        <v>1150</v>
      </c>
      <c r="B1300" s="43" t="n">
        <v>45518</v>
      </c>
      <c r="C1300" s="43" t="n">
        <v>45520</v>
      </c>
      <c r="D1300" s="42" t="n">
        <v>17</v>
      </c>
      <c r="E1300" s="42" t="s">
        <v>139</v>
      </c>
      <c r="F1300" s="42" t="s">
        <v>203</v>
      </c>
      <c r="G1300" s="42" t="s">
        <v>241</v>
      </c>
      <c r="H1300" s="42" t="s">
        <v>205</v>
      </c>
      <c r="I1300" s="42" t="s">
        <v>143</v>
      </c>
      <c r="J1300" s="42" t="s">
        <v>159</v>
      </c>
      <c r="K1300" s="42" t="s">
        <v>145</v>
      </c>
      <c r="L1300" s="44" t="n">
        <v>2181.91</v>
      </c>
      <c r="M1300" s="42" t="n">
        <v>3</v>
      </c>
      <c r="N1300" s="42" t="s">
        <v>146</v>
      </c>
      <c r="O1300" s="42" t="s">
        <v>147</v>
      </c>
      <c r="P1300" s="39" t="n">
        <f aca="false">C1300-B1300</f>
        <v>2</v>
      </c>
      <c r="Q1300" s="40" t="str">
        <f aca="false">CHOOSE(MONTH(B1300),"يناير","فبراير","مارس","أبريل","مايو","يونيو","يوليو","أغسطس","سبتمبر","أكتوبر","نوفمبر","ديسمبر")</f>
        <v>أغسطس</v>
      </c>
      <c r="R1300" s="40" t="str">
        <f aca="false">"الربع "&amp;ROUNDUP(MONTH(B1300)/3,0)</f>
        <v>الربع 3</v>
      </c>
      <c r="S1300" s="40" t="str">
        <f aca="false">IF(D1300&lt;=12,"أطفال (0-12)",IF(D1300&lt;=24,"شباب (13-24)",IF(D1300&lt;=44,"بالغون (25-44)",IF(D1300&lt;=64,"متوسطو العمر (45-64)","كبار السن (+65)"))))</f>
        <v>شباب (13-24)</v>
      </c>
      <c r="T1300" s="41" t="n">
        <f aca="false">IFERROR(L1300/P1300,0)</f>
        <v>1090.955</v>
      </c>
    </row>
    <row r="1301" customFormat="false" ht="15" hidden="false" customHeight="false" outlineLevel="0" collapsed="false">
      <c r="A1301" s="33" t="s">
        <v>583</v>
      </c>
      <c r="B1301" s="34" t="n">
        <v>45518</v>
      </c>
      <c r="C1301" s="34" t="n">
        <v>45519</v>
      </c>
      <c r="D1301" s="33" t="n">
        <v>34</v>
      </c>
      <c r="E1301" s="33" t="s">
        <v>154</v>
      </c>
      <c r="F1301" s="33" t="s">
        <v>173</v>
      </c>
      <c r="G1301" s="33" t="s">
        <v>198</v>
      </c>
      <c r="H1301" s="33" t="s">
        <v>175</v>
      </c>
      <c r="I1301" s="33" t="s">
        <v>158</v>
      </c>
      <c r="J1301" s="33" t="s">
        <v>159</v>
      </c>
      <c r="K1301" s="33" t="s">
        <v>145</v>
      </c>
      <c r="L1301" s="35" t="n">
        <v>2648.16</v>
      </c>
      <c r="M1301" s="33" t="n">
        <v>5</v>
      </c>
      <c r="N1301" s="33" t="s">
        <v>146</v>
      </c>
      <c r="O1301" s="33" t="s">
        <v>147</v>
      </c>
      <c r="P1301" s="39" t="n">
        <f aca="false">C1301-B1301</f>
        <v>1</v>
      </c>
      <c r="Q1301" s="40" t="str">
        <f aca="false">CHOOSE(MONTH(B1301),"يناير","فبراير","مارس","أبريل","مايو","يونيو","يوليو","أغسطس","سبتمبر","أكتوبر","نوفمبر","ديسمبر")</f>
        <v>أغسطس</v>
      </c>
      <c r="R1301" s="40" t="str">
        <f aca="false">"الربع "&amp;ROUNDUP(MONTH(B1301)/3,0)</f>
        <v>الربع 3</v>
      </c>
      <c r="S1301" s="40" t="str">
        <f aca="false">IF(D1301&lt;=12,"أطفال (0-12)",IF(D1301&lt;=24,"شباب (13-24)",IF(D1301&lt;=44,"بالغون (25-44)",IF(D1301&lt;=64,"متوسطو العمر (45-64)","كبار السن (+65)"))))</f>
        <v>بالغون (25-44)</v>
      </c>
      <c r="T1301" s="41" t="n">
        <f aca="false">IFERROR(L1301/P1301,0)</f>
        <v>2648.16</v>
      </c>
    </row>
    <row r="1302" customFormat="false" ht="15" hidden="false" customHeight="false" outlineLevel="0" collapsed="false">
      <c r="A1302" s="42" t="s">
        <v>1490</v>
      </c>
      <c r="B1302" s="43" t="n">
        <v>45518</v>
      </c>
      <c r="C1302" s="43" t="n">
        <v>45521</v>
      </c>
      <c r="D1302" s="42" t="n">
        <v>24</v>
      </c>
      <c r="E1302" s="42" t="s">
        <v>139</v>
      </c>
      <c r="F1302" s="42" t="s">
        <v>149</v>
      </c>
      <c r="G1302" s="42" t="s">
        <v>150</v>
      </c>
      <c r="H1302" s="42" t="s">
        <v>186</v>
      </c>
      <c r="I1302" s="42" t="s">
        <v>152</v>
      </c>
      <c r="J1302" s="42" t="s">
        <v>159</v>
      </c>
      <c r="K1302" s="42" t="s">
        <v>145</v>
      </c>
      <c r="L1302" s="44" t="n">
        <v>4472.27</v>
      </c>
      <c r="M1302" s="42" t="n">
        <v>5</v>
      </c>
      <c r="N1302" s="42" t="s">
        <v>146</v>
      </c>
      <c r="O1302" s="42" t="s">
        <v>147</v>
      </c>
      <c r="P1302" s="39" t="n">
        <f aca="false">C1302-B1302</f>
        <v>3</v>
      </c>
      <c r="Q1302" s="40" t="str">
        <f aca="false">CHOOSE(MONTH(B1302),"يناير","فبراير","مارس","أبريل","مايو","يونيو","يوليو","أغسطس","سبتمبر","أكتوبر","نوفمبر","ديسمبر")</f>
        <v>أغسطس</v>
      </c>
      <c r="R1302" s="40" t="str">
        <f aca="false">"الربع "&amp;ROUNDUP(MONTH(B1302)/3,0)</f>
        <v>الربع 3</v>
      </c>
      <c r="S1302" s="40" t="str">
        <f aca="false">IF(D1302&lt;=12,"أطفال (0-12)",IF(D1302&lt;=24,"شباب (13-24)",IF(D1302&lt;=44,"بالغون (25-44)",IF(D1302&lt;=64,"متوسطو العمر (45-64)","كبار السن (+65)"))))</f>
        <v>شباب (13-24)</v>
      </c>
      <c r="T1302" s="41" t="n">
        <f aca="false">IFERROR(L1302/P1302,0)</f>
        <v>1490.75666666667</v>
      </c>
    </row>
    <row r="1303" customFormat="false" ht="15" hidden="false" customHeight="false" outlineLevel="0" collapsed="false">
      <c r="A1303" s="33" t="s">
        <v>1862</v>
      </c>
      <c r="B1303" s="34" t="n">
        <v>45518</v>
      </c>
      <c r="C1303" s="34" t="n">
        <v>45525</v>
      </c>
      <c r="D1303" s="33" t="n">
        <v>44</v>
      </c>
      <c r="E1303" s="33" t="s">
        <v>154</v>
      </c>
      <c r="F1303" s="33" t="s">
        <v>181</v>
      </c>
      <c r="G1303" s="33" t="s">
        <v>182</v>
      </c>
      <c r="H1303" s="33" t="s">
        <v>245</v>
      </c>
      <c r="I1303" s="33" t="s">
        <v>158</v>
      </c>
      <c r="J1303" s="33" t="s">
        <v>176</v>
      </c>
      <c r="K1303" s="33" t="s">
        <v>184</v>
      </c>
      <c r="L1303" s="35" t="n">
        <v>71496.45</v>
      </c>
      <c r="M1303" s="33" t="n">
        <v>3</v>
      </c>
      <c r="N1303" s="33" t="s">
        <v>146</v>
      </c>
      <c r="O1303" s="33" t="s">
        <v>147</v>
      </c>
      <c r="P1303" s="39" t="n">
        <f aca="false">C1303-B1303</f>
        <v>7</v>
      </c>
      <c r="Q1303" s="40" t="str">
        <f aca="false">CHOOSE(MONTH(B1303),"يناير","فبراير","مارس","أبريل","مايو","يونيو","يوليو","أغسطس","سبتمبر","أكتوبر","نوفمبر","ديسمبر")</f>
        <v>أغسطس</v>
      </c>
      <c r="R1303" s="40" t="str">
        <f aca="false">"الربع "&amp;ROUNDUP(MONTH(B1303)/3,0)</f>
        <v>الربع 3</v>
      </c>
      <c r="S1303" s="40" t="str">
        <f aca="false">IF(D1303&lt;=12,"أطفال (0-12)",IF(D1303&lt;=24,"شباب (13-24)",IF(D1303&lt;=44,"بالغون (25-44)",IF(D1303&lt;=64,"متوسطو العمر (45-64)","كبار السن (+65)"))))</f>
        <v>بالغون (25-44)</v>
      </c>
      <c r="T1303" s="41" t="n">
        <f aca="false">IFERROR(L1303/P1303,0)</f>
        <v>10213.7785714286</v>
      </c>
    </row>
    <row r="1304" customFormat="false" ht="15" hidden="false" customHeight="false" outlineLevel="0" collapsed="false">
      <c r="A1304" s="42" t="s">
        <v>1991</v>
      </c>
      <c r="B1304" s="43" t="n">
        <v>45519</v>
      </c>
      <c r="C1304" s="43" t="n">
        <v>45528</v>
      </c>
      <c r="D1304" s="42" t="n">
        <v>30</v>
      </c>
      <c r="E1304" s="42" t="s">
        <v>139</v>
      </c>
      <c r="F1304" s="42" t="s">
        <v>173</v>
      </c>
      <c r="G1304" s="42" t="s">
        <v>178</v>
      </c>
      <c r="H1304" s="42" t="s">
        <v>199</v>
      </c>
      <c r="I1304" s="42" t="s">
        <v>143</v>
      </c>
      <c r="J1304" s="42" t="s">
        <v>176</v>
      </c>
      <c r="K1304" s="42" t="s">
        <v>145</v>
      </c>
      <c r="L1304" s="44" t="n">
        <v>77038.81</v>
      </c>
      <c r="M1304" s="42" t="n">
        <v>4</v>
      </c>
      <c r="N1304" s="42" t="s">
        <v>146</v>
      </c>
      <c r="O1304" s="42" t="s">
        <v>147</v>
      </c>
      <c r="P1304" s="39" t="n">
        <f aca="false">C1304-B1304</f>
        <v>9</v>
      </c>
      <c r="Q1304" s="40" t="str">
        <f aca="false">CHOOSE(MONTH(B1304),"يناير","فبراير","مارس","أبريل","مايو","يونيو","يوليو","أغسطس","سبتمبر","أكتوبر","نوفمبر","ديسمبر")</f>
        <v>أغسطس</v>
      </c>
      <c r="R1304" s="40" t="str">
        <f aca="false">"الربع "&amp;ROUNDUP(MONTH(B1304)/3,0)</f>
        <v>الربع 3</v>
      </c>
      <c r="S1304" s="40" t="str">
        <f aca="false">IF(D1304&lt;=12,"أطفال (0-12)",IF(D1304&lt;=24,"شباب (13-24)",IF(D1304&lt;=44,"بالغون (25-44)",IF(D1304&lt;=64,"متوسطو العمر (45-64)","كبار السن (+65)"))))</f>
        <v>بالغون (25-44)</v>
      </c>
      <c r="T1304" s="41" t="n">
        <f aca="false">IFERROR(L1304/P1304,0)</f>
        <v>8559.86777777778</v>
      </c>
    </row>
    <row r="1305" customFormat="false" ht="15" hidden="false" customHeight="false" outlineLevel="0" collapsed="false">
      <c r="A1305" s="33" t="s">
        <v>300</v>
      </c>
      <c r="B1305" s="34" t="n">
        <v>45519</v>
      </c>
      <c r="C1305" s="34" t="n">
        <v>45521</v>
      </c>
      <c r="D1305" s="33" t="n">
        <v>62</v>
      </c>
      <c r="E1305" s="33" t="s">
        <v>139</v>
      </c>
      <c r="F1305" s="33" t="s">
        <v>181</v>
      </c>
      <c r="G1305" s="33" t="s">
        <v>237</v>
      </c>
      <c r="H1305" s="33" t="s">
        <v>245</v>
      </c>
      <c r="I1305" s="33" t="s">
        <v>152</v>
      </c>
      <c r="J1305" s="33" t="s">
        <v>159</v>
      </c>
      <c r="K1305" s="33" t="s">
        <v>145</v>
      </c>
      <c r="L1305" s="35" t="n">
        <v>4412.95</v>
      </c>
      <c r="M1305" s="33" t="n">
        <v>5</v>
      </c>
      <c r="N1305" s="33" t="s">
        <v>146</v>
      </c>
      <c r="O1305" s="33" t="s">
        <v>147</v>
      </c>
      <c r="P1305" s="39" t="n">
        <f aca="false">C1305-B1305</f>
        <v>2</v>
      </c>
      <c r="Q1305" s="40" t="str">
        <f aca="false">CHOOSE(MONTH(B1305),"يناير","فبراير","مارس","أبريل","مايو","يونيو","يوليو","أغسطس","سبتمبر","أكتوبر","نوفمبر","ديسمبر")</f>
        <v>أغسطس</v>
      </c>
      <c r="R1305" s="40" t="str">
        <f aca="false">"الربع "&amp;ROUNDUP(MONTH(B1305)/3,0)</f>
        <v>الربع 3</v>
      </c>
      <c r="S1305" s="40" t="str">
        <f aca="false">IF(D1305&lt;=12,"أطفال (0-12)",IF(D1305&lt;=24,"شباب (13-24)",IF(D1305&lt;=44,"بالغون (25-44)",IF(D1305&lt;=64,"متوسطو العمر (45-64)","كبار السن (+65)"))))</f>
        <v>متوسطو العمر (45-64)</v>
      </c>
      <c r="T1305" s="41" t="n">
        <f aca="false">IFERROR(L1305/P1305,0)</f>
        <v>2206.475</v>
      </c>
    </row>
    <row r="1306" customFormat="false" ht="15" hidden="false" customHeight="false" outlineLevel="0" collapsed="false">
      <c r="A1306" s="42" t="s">
        <v>1988</v>
      </c>
      <c r="B1306" s="43" t="n">
        <v>45519</v>
      </c>
      <c r="C1306" s="43" t="n">
        <v>45520</v>
      </c>
      <c r="D1306" s="42" t="n">
        <v>37</v>
      </c>
      <c r="E1306" s="42" t="s">
        <v>154</v>
      </c>
      <c r="F1306" s="42" t="s">
        <v>203</v>
      </c>
      <c r="G1306" s="42" t="s">
        <v>204</v>
      </c>
      <c r="H1306" s="42" t="s">
        <v>205</v>
      </c>
      <c r="I1306" s="42" t="s">
        <v>143</v>
      </c>
      <c r="J1306" s="42" t="s">
        <v>159</v>
      </c>
      <c r="K1306" s="42" t="s">
        <v>160</v>
      </c>
      <c r="L1306" s="44" t="n">
        <v>907.34</v>
      </c>
      <c r="M1306" s="42" t="n">
        <v>3</v>
      </c>
      <c r="N1306" s="42" t="s">
        <v>146</v>
      </c>
      <c r="O1306" s="42" t="s">
        <v>147</v>
      </c>
      <c r="P1306" s="39" t="n">
        <f aca="false">C1306-B1306</f>
        <v>1</v>
      </c>
      <c r="Q1306" s="40" t="str">
        <f aca="false">CHOOSE(MONTH(B1306),"يناير","فبراير","مارس","أبريل","مايو","يونيو","يوليو","أغسطس","سبتمبر","أكتوبر","نوفمبر","ديسمبر")</f>
        <v>أغسطس</v>
      </c>
      <c r="R1306" s="40" t="str">
        <f aca="false">"الربع "&amp;ROUNDUP(MONTH(B1306)/3,0)</f>
        <v>الربع 3</v>
      </c>
      <c r="S1306" s="40" t="str">
        <f aca="false">IF(D1306&lt;=12,"أطفال (0-12)",IF(D1306&lt;=24,"شباب (13-24)",IF(D1306&lt;=44,"بالغون (25-44)",IF(D1306&lt;=64,"متوسطو العمر (45-64)","كبار السن (+65)"))))</f>
        <v>بالغون (25-44)</v>
      </c>
      <c r="T1306" s="41" t="n">
        <f aca="false">IFERROR(L1306/P1306,0)</f>
        <v>907.34</v>
      </c>
    </row>
    <row r="1307" customFormat="false" ht="15" hidden="false" customHeight="false" outlineLevel="0" collapsed="false">
      <c r="A1307" s="33" t="s">
        <v>678</v>
      </c>
      <c r="B1307" s="34" t="n">
        <v>45519</v>
      </c>
      <c r="C1307" s="34" t="n">
        <v>45526</v>
      </c>
      <c r="D1307" s="33" t="n">
        <v>55</v>
      </c>
      <c r="E1307" s="33" t="s">
        <v>154</v>
      </c>
      <c r="F1307" s="33" t="s">
        <v>169</v>
      </c>
      <c r="G1307" s="33" t="s">
        <v>213</v>
      </c>
      <c r="H1307" s="33" t="s">
        <v>164</v>
      </c>
      <c r="I1307" s="33" t="s">
        <v>143</v>
      </c>
      <c r="J1307" s="33" t="s">
        <v>159</v>
      </c>
      <c r="K1307" s="33" t="s">
        <v>145</v>
      </c>
      <c r="L1307" s="35" t="n">
        <v>8811.1</v>
      </c>
      <c r="M1307" s="33" t="n">
        <v>5</v>
      </c>
      <c r="N1307" s="33" t="s">
        <v>146</v>
      </c>
      <c r="O1307" s="33" t="s">
        <v>147</v>
      </c>
      <c r="P1307" s="39" t="n">
        <f aca="false">C1307-B1307</f>
        <v>7</v>
      </c>
      <c r="Q1307" s="40" t="str">
        <f aca="false">CHOOSE(MONTH(B1307),"يناير","فبراير","مارس","أبريل","مايو","يونيو","يوليو","أغسطس","سبتمبر","أكتوبر","نوفمبر","ديسمبر")</f>
        <v>أغسطس</v>
      </c>
      <c r="R1307" s="40" t="str">
        <f aca="false">"الربع "&amp;ROUNDUP(MONTH(B1307)/3,0)</f>
        <v>الربع 3</v>
      </c>
      <c r="S1307" s="40" t="str">
        <f aca="false">IF(D1307&lt;=12,"أطفال (0-12)",IF(D1307&lt;=24,"شباب (13-24)",IF(D1307&lt;=44,"بالغون (25-44)",IF(D1307&lt;=64,"متوسطو العمر (45-64)","كبار السن (+65)"))))</f>
        <v>متوسطو العمر (45-64)</v>
      </c>
      <c r="T1307" s="41" t="n">
        <f aca="false">IFERROR(L1307/P1307,0)</f>
        <v>1258.72857142857</v>
      </c>
    </row>
    <row r="1308" customFormat="false" ht="15" hidden="false" customHeight="false" outlineLevel="0" collapsed="false">
      <c r="A1308" s="42" t="s">
        <v>412</v>
      </c>
      <c r="B1308" s="43" t="n">
        <v>45519</v>
      </c>
      <c r="C1308" s="43" t="n">
        <v>45520</v>
      </c>
      <c r="D1308" s="42" t="n">
        <v>28</v>
      </c>
      <c r="E1308" s="42" t="s">
        <v>139</v>
      </c>
      <c r="F1308" s="42" t="s">
        <v>149</v>
      </c>
      <c r="G1308" s="42" t="s">
        <v>224</v>
      </c>
      <c r="H1308" s="42" t="s">
        <v>151</v>
      </c>
      <c r="I1308" s="42" t="s">
        <v>152</v>
      </c>
      <c r="J1308" s="42" t="s">
        <v>144</v>
      </c>
      <c r="K1308" s="42" t="s">
        <v>160</v>
      </c>
      <c r="L1308" s="44" t="n">
        <v>2795.03</v>
      </c>
      <c r="M1308" s="42" t="n">
        <v>4</v>
      </c>
      <c r="N1308" s="42" t="s">
        <v>146</v>
      </c>
      <c r="O1308" s="42" t="s">
        <v>147</v>
      </c>
      <c r="P1308" s="39" t="n">
        <f aca="false">C1308-B1308</f>
        <v>1</v>
      </c>
      <c r="Q1308" s="40" t="str">
        <f aca="false">CHOOSE(MONTH(B1308),"يناير","فبراير","مارس","أبريل","مايو","يونيو","يوليو","أغسطس","سبتمبر","أكتوبر","نوفمبر","ديسمبر")</f>
        <v>أغسطس</v>
      </c>
      <c r="R1308" s="40" t="str">
        <f aca="false">"الربع "&amp;ROUNDUP(MONTH(B1308)/3,0)</f>
        <v>الربع 3</v>
      </c>
      <c r="S1308" s="40" t="str">
        <f aca="false">IF(D1308&lt;=12,"أطفال (0-12)",IF(D1308&lt;=24,"شباب (13-24)",IF(D1308&lt;=44,"بالغون (25-44)",IF(D1308&lt;=64,"متوسطو العمر (45-64)","كبار السن (+65)"))))</f>
        <v>بالغون (25-44)</v>
      </c>
      <c r="T1308" s="41" t="n">
        <f aca="false">IFERROR(L1308/P1308,0)</f>
        <v>2795.03</v>
      </c>
    </row>
    <row r="1309" customFormat="false" ht="15" hidden="false" customHeight="false" outlineLevel="0" collapsed="false">
      <c r="A1309" s="33" t="s">
        <v>479</v>
      </c>
      <c r="B1309" s="34" t="n">
        <v>45519</v>
      </c>
      <c r="C1309" s="34" t="n">
        <v>45524</v>
      </c>
      <c r="D1309" s="33" t="n">
        <v>77</v>
      </c>
      <c r="E1309" s="33" t="s">
        <v>154</v>
      </c>
      <c r="F1309" s="33" t="s">
        <v>181</v>
      </c>
      <c r="G1309" s="33" t="s">
        <v>237</v>
      </c>
      <c r="H1309" s="33" t="s">
        <v>183</v>
      </c>
      <c r="I1309" s="33" t="s">
        <v>152</v>
      </c>
      <c r="J1309" s="33" t="s">
        <v>144</v>
      </c>
      <c r="K1309" s="33" t="s">
        <v>209</v>
      </c>
      <c r="L1309" s="35" t="n">
        <v>20528.99</v>
      </c>
      <c r="M1309" s="33" t="n">
        <v>4</v>
      </c>
      <c r="N1309" s="33" t="s">
        <v>146</v>
      </c>
      <c r="O1309" s="33" t="s">
        <v>147</v>
      </c>
      <c r="P1309" s="39" t="n">
        <f aca="false">C1309-B1309</f>
        <v>5</v>
      </c>
      <c r="Q1309" s="40" t="str">
        <f aca="false">CHOOSE(MONTH(B1309),"يناير","فبراير","مارس","أبريل","مايو","يونيو","يوليو","أغسطس","سبتمبر","أكتوبر","نوفمبر","ديسمبر")</f>
        <v>أغسطس</v>
      </c>
      <c r="R1309" s="40" t="str">
        <f aca="false">"الربع "&amp;ROUNDUP(MONTH(B1309)/3,0)</f>
        <v>الربع 3</v>
      </c>
      <c r="S1309" s="40" t="str">
        <f aca="false">IF(D1309&lt;=12,"أطفال (0-12)",IF(D1309&lt;=24,"شباب (13-24)",IF(D1309&lt;=44,"بالغون (25-44)",IF(D1309&lt;=64,"متوسطو العمر (45-64)","كبار السن (+65)"))))</f>
        <v>كبار السن (+65)</v>
      </c>
      <c r="T1309" s="41" t="n">
        <f aca="false">IFERROR(L1309/P1309,0)</f>
        <v>4105.798</v>
      </c>
    </row>
    <row r="1310" customFormat="false" ht="15" hidden="false" customHeight="false" outlineLevel="0" collapsed="false">
      <c r="A1310" s="42" t="s">
        <v>813</v>
      </c>
      <c r="B1310" s="43" t="n">
        <v>45520</v>
      </c>
      <c r="C1310" s="43" t="n">
        <v>45528</v>
      </c>
      <c r="D1310" s="42" t="n">
        <v>72</v>
      </c>
      <c r="E1310" s="42" t="s">
        <v>154</v>
      </c>
      <c r="F1310" s="42" t="s">
        <v>226</v>
      </c>
      <c r="G1310" s="42" t="s">
        <v>258</v>
      </c>
      <c r="H1310" s="42" t="s">
        <v>228</v>
      </c>
      <c r="I1310" s="42" t="s">
        <v>143</v>
      </c>
      <c r="J1310" s="42" t="s">
        <v>159</v>
      </c>
      <c r="K1310" s="42" t="s">
        <v>160</v>
      </c>
      <c r="L1310" s="44" t="n">
        <v>27861.04</v>
      </c>
      <c r="M1310" s="42" t="n">
        <v>5</v>
      </c>
      <c r="N1310" s="42" t="s">
        <v>146</v>
      </c>
      <c r="O1310" s="42" t="s">
        <v>147</v>
      </c>
      <c r="P1310" s="39" t="n">
        <f aca="false">C1310-B1310</f>
        <v>8</v>
      </c>
      <c r="Q1310" s="40" t="str">
        <f aca="false">CHOOSE(MONTH(B1310),"يناير","فبراير","مارس","أبريل","مايو","يونيو","يوليو","أغسطس","سبتمبر","أكتوبر","نوفمبر","ديسمبر")</f>
        <v>أغسطس</v>
      </c>
      <c r="R1310" s="40" t="str">
        <f aca="false">"الربع "&amp;ROUNDUP(MONTH(B1310)/3,0)</f>
        <v>الربع 3</v>
      </c>
      <c r="S1310" s="40" t="str">
        <f aca="false">IF(D1310&lt;=12,"أطفال (0-12)",IF(D1310&lt;=24,"شباب (13-24)",IF(D1310&lt;=44,"بالغون (25-44)",IF(D1310&lt;=64,"متوسطو العمر (45-64)","كبار السن (+65)"))))</f>
        <v>كبار السن (+65)</v>
      </c>
      <c r="T1310" s="41" t="n">
        <f aca="false">IFERROR(L1310/P1310,0)</f>
        <v>3482.63</v>
      </c>
    </row>
    <row r="1311" customFormat="false" ht="15" hidden="false" customHeight="false" outlineLevel="0" collapsed="false">
      <c r="A1311" s="33" t="s">
        <v>287</v>
      </c>
      <c r="B1311" s="34" t="n">
        <v>45520</v>
      </c>
      <c r="C1311" s="34" t="n">
        <v>45521</v>
      </c>
      <c r="D1311" s="33" t="n">
        <v>1</v>
      </c>
      <c r="E1311" s="33" t="s">
        <v>139</v>
      </c>
      <c r="F1311" s="33" t="s">
        <v>155</v>
      </c>
      <c r="G1311" s="33" t="s">
        <v>220</v>
      </c>
      <c r="H1311" s="33" t="s">
        <v>222</v>
      </c>
      <c r="I1311" s="33" t="s">
        <v>152</v>
      </c>
      <c r="J1311" s="33" t="s">
        <v>159</v>
      </c>
      <c r="K1311" s="33" t="s">
        <v>160</v>
      </c>
      <c r="L1311" s="35" t="n">
        <v>773.33</v>
      </c>
      <c r="M1311" s="33" t="n">
        <v>3</v>
      </c>
      <c r="N1311" s="33" t="s">
        <v>146</v>
      </c>
      <c r="O1311" s="33" t="s">
        <v>147</v>
      </c>
      <c r="P1311" s="39" t="n">
        <f aca="false">C1311-B1311</f>
        <v>1</v>
      </c>
      <c r="Q1311" s="40" t="str">
        <f aca="false">CHOOSE(MONTH(B1311),"يناير","فبراير","مارس","أبريل","مايو","يونيو","يوليو","أغسطس","سبتمبر","أكتوبر","نوفمبر","ديسمبر")</f>
        <v>أغسطس</v>
      </c>
      <c r="R1311" s="40" t="str">
        <f aca="false">"الربع "&amp;ROUNDUP(MONTH(B1311)/3,0)</f>
        <v>الربع 3</v>
      </c>
      <c r="S1311" s="40" t="str">
        <f aca="false">IF(D1311&lt;=12,"أطفال (0-12)",IF(D1311&lt;=24,"شباب (13-24)",IF(D1311&lt;=44,"بالغون (25-44)",IF(D1311&lt;=64,"متوسطو العمر (45-64)","كبار السن (+65)"))))</f>
        <v>أطفال (0-12)</v>
      </c>
      <c r="T1311" s="41" t="n">
        <f aca="false">IFERROR(L1311/P1311,0)</f>
        <v>773.33</v>
      </c>
    </row>
    <row r="1312" customFormat="false" ht="15" hidden="false" customHeight="false" outlineLevel="0" collapsed="false">
      <c r="A1312" s="42" t="s">
        <v>1394</v>
      </c>
      <c r="B1312" s="43" t="n">
        <v>45521</v>
      </c>
      <c r="C1312" s="43" t="n">
        <v>45524</v>
      </c>
      <c r="D1312" s="42" t="n">
        <v>31</v>
      </c>
      <c r="E1312" s="42" t="s">
        <v>139</v>
      </c>
      <c r="F1312" s="42" t="s">
        <v>149</v>
      </c>
      <c r="G1312" s="42" t="s">
        <v>150</v>
      </c>
      <c r="H1312" s="42" t="s">
        <v>151</v>
      </c>
      <c r="I1312" s="42" t="s">
        <v>143</v>
      </c>
      <c r="J1312" s="42" t="s">
        <v>144</v>
      </c>
      <c r="K1312" s="42" t="s">
        <v>145</v>
      </c>
      <c r="L1312" s="44" t="n">
        <v>8309.47</v>
      </c>
      <c r="M1312" s="42" t="n">
        <v>4</v>
      </c>
      <c r="N1312" s="42" t="s">
        <v>146</v>
      </c>
      <c r="O1312" s="42" t="s">
        <v>147</v>
      </c>
      <c r="P1312" s="39" t="n">
        <f aca="false">C1312-B1312</f>
        <v>3</v>
      </c>
      <c r="Q1312" s="40" t="str">
        <f aca="false">CHOOSE(MONTH(B1312),"يناير","فبراير","مارس","أبريل","مايو","يونيو","يوليو","أغسطس","سبتمبر","أكتوبر","نوفمبر","ديسمبر")</f>
        <v>أغسطس</v>
      </c>
      <c r="R1312" s="40" t="str">
        <f aca="false">"الربع "&amp;ROUNDUP(MONTH(B1312)/3,0)</f>
        <v>الربع 3</v>
      </c>
      <c r="S1312" s="40" t="str">
        <f aca="false">IF(D1312&lt;=12,"أطفال (0-12)",IF(D1312&lt;=24,"شباب (13-24)",IF(D1312&lt;=44,"بالغون (25-44)",IF(D1312&lt;=64,"متوسطو العمر (45-64)","كبار السن (+65)"))))</f>
        <v>بالغون (25-44)</v>
      </c>
      <c r="T1312" s="41" t="n">
        <f aca="false">IFERROR(L1312/P1312,0)</f>
        <v>2769.82333333333</v>
      </c>
    </row>
    <row r="1313" customFormat="false" ht="15" hidden="false" customHeight="false" outlineLevel="0" collapsed="false">
      <c r="A1313" s="33" t="s">
        <v>1342</v>
      </c>
      <c r="B1313" s="34" t="n">
        <v>45521</v>
      </c>
      <c r="C1313" s="34" t="n">
        <v>45530</v>
      </c>
      <c r="D1313" s="33" t="n">
        <v>34</v>
      </c>
      <c r="E1313" s="33" t="s">
        <v>139</v>
      </c>
      <c r="F1313" s="33" t="s">
        <v>173</v>
      </c>
      <c r="G1313" s="33" t="s">
        <v>198</v>
      </c>
      <c r="H1313" s="33" t="s">
        <v>175</v>
      </c>
      <c r="I1313" s="33" t="s">
        <v>152</v>
      </c>
      <c r="J1313" s="33" t="s">
        <v>159</v>
      </c>
      <c r="K1313" s="33" t="s">
        <v>145</v>
      </c>
      <c r="L1313" s="35" t="n">
        <v>20041.97</v>
      </c>
      <c r="M1313" s="33" t="n">
        <v>3</v>
      </c>
      <c r="N1313" s="33" t="s">
        <v>146</v>
      </c>
      <c r="O1313" s="33" t="s">
        <v>147</v>
      </c>
      <c r="P1313" s="39" t="n">
        <f aca="false">C1313-B1313</f>
        <v>9</v>
      </c>
      <c r="Q1313" s="40" t="str">
        <f aca="false">CHOOSE(MONTH(B1313),"يناير","فبراير","مارس","أبريل","مايو","يونيو","يوليو","أغسطس","سبتمبر","أكتوبر","نوفمبر","ديسمبر")</f>
        <v>أغسطس</v>
      </c>
      <c r="R1313" s="40" t="str">
        <f aca="false">"الربع "&amp;ROUNDUP(MONTH(B1313)/3,0)</f>
        <v>الربع 3</v>
      </c>
      <c r="S1313" s="40" t="str">
        <f aca="false">IF(D1313&lt;=12,"أطفال (0-12)",IF(D1313&lt;=24,"شباب (13-24)",IF(D1313&lt;=44,"بالغون (25-44)",IF(D1313&lt;=64,"متوسطو العمر (45-64)","كبار السن (+65)"))))</f>
        <v>بالغون (25-44)</v>
      </c>
      <c r="T1313" s="41" t="n">
        <f aca="false">IFERROR(L1313/P1313,0)</f>
        <v>2226.88555555556</v>
      </c>
    </row>
    <row r="1314" customFormat="false" ht="15" hidden="false" customHeight="false" outlineLevel="0" collapsed="false">
      <c r="A1314" s="42" t="s">
        <v>553</v>
      </c>
      <c r="B1314" s="43" t="n">
        <v>45521</v>
      </c>
      <c r="C1314" s="43" t="n">
        <v>45529</v>
      </c>
      <c r="D1314" s="42" t="n">
        <v>30</v>
      </c>
      <c r="E1314" s="42" t="s">
        <v>154</v>
      </c>
      <c r="F1314" s="42" t="s">
        <v>169</v>
      </c>
      <c r="G1314" s="42" t="s">
        <v>163</v>
      </c>
      <c r="H1314" s="42" t="s">
        <v>164</v>
      </c>
      <c r="I1314" s="42" t="s">
        <v>143</v>
      </c>
      <c r="J1314" s="42" t="s">
        <v>159</v>
      </c>
      <c r="K1314" s="42" t="s">
        <v>145</v>
      </c>
      <c r="L1314" s="44" t="n">
        <v>8248.52</v>
      </c>
      <c r="M1314" s="42" t="n">
        <v>4</v>
      </c>
      <c r="N1314" s="42" t="s">
        <v>146</v>
      </c>
      <c r="O1314" s="42" t="s">
        <v>147</v>
      </c>
      <c r="P1314" s="39" t="n">
        <f aca="false">C1314-B1314</f>
        <v>8</v>
      </c>
      <c r="Q1314" s="40" t="str">
        <f aca="false">CHOOSE(MONTH(B1314),"يناير","فبراير","مارس","أبريل","مايو","يونيو","يوليو","أغسطس","سبتمبر","أكتوبر","نوفمبر","ديسمبر")</f>
        <v>أغسطس</v>
      </c>
      <c r="R1314" s="40" t="str">
        <f aca="false">"الربع "&amp;ROUNDUP(MONTH(B1314)/3,0)</f>
        <v>الربع 3</v>
      </c>
      <c r="S1314" s="40" t="str">
        <f aca="false">IF(D1314&lt;=12,"أطفال (0-12)",IF(D1314&lt;=24,"شباب (13-24)",IF(D1314&lt;=44,"بالغون (25-44)",IF(D1314&lt;=64,"متوسطو العمر (45-64)","كبار السن (+65)"))))</f>
        <v>بالغون (25-44)</v>
      </c>
      <c r="T1314" s="41" t="n">
        <f aca="false">IFERROR(L1314/P1314,0)</f>
        <v>1031.065</v>
      </c>
    </row>
    <row r="1315" customFormat="false" ht="15" hidden="false" customHeight="false" outlineLevel="0" collapsed="false">
      <c r="A1315" s="33" t="s">
        <v>1619</v>
      </c>
      <c r="B1315" s="34" t="n">
        <v>45521</v>
      </c>
      <c r="C1315" s="34" t="n">
        <v>45528</v>
      </c>
      <c r="D1315" s="33" t="n">
        <v>36</v>
      </c>
      <c r="E1315" s="33" t="s">
        <v>154</v>
      </c>
      <c r="F1315" s="33" t="s">
        <v>169</v>
      </c>
      <c r="G1315" s="33" t="s">
        <v>163</v>
      </c>
      <c r="H1315" s="33" t="s">
        <v>195</v>
      </c>
      <c r="I1315" s="33" t="s">
        <v>152</v>
      </c>
      <c r="J1315" s="33" t="s">
        <v>176</v>
      </c>
      <c r="K1315" s="33" t="s">
        <v>145</v>
      </c>
      <c r="L1315" s="35" t="n">
        <v>29403.88</v>
      </c>
      <c r="M1315" s="33" t="n">
        <v>3</v>
      </c>
      <c r="N1315" s="33" t="s">
        <v>146</v>
      </c>
      <c r="O1315" s="33" t="s">
        <v>147</v>
      </c>
      <c r="P1315" s="39" t="n">
        <f aca="false">C1315-B1315</f>
        <v>7</v>
      </c>
      <c r="Q1315" s="40" t="str">
        <f aca="false">CHOOSE(MONTH(B1315),"يناير","فبراير","مارس","أبريل","مايو","يونيو","يوليو","أغسطس","سبتمبر","أكتوبر","نوفمبر","ديسمبر")</f>
        <v>أغسطس</v>
      </c>
      <c r="R1315" s="40" t="str">
        <f aca="false">"الربع "&amp;ROUNDUP(MONTH(B1315)/3,0)</f>
        <v>الربع 3</v>
      </c>
      <c r="S1315" s="40" t="str">
        <f aca="false">IF(D1315&lt;=12,"أطفال (0-12)",IF(D1315&lt;=24,"شباب (13-24)",IF(D1315&lt;=44,"بالغون (25-44)",IF(D1315&lt;=64,"متوسطو العمر (45-64)","كبار السن (+65)"))))</f>
        <v>بالغون (25-44)</v>
      </c>
      <c r="T1315" s="41" t="n">
        <f aca="false">IFERROR(L1315/P1315,0)</f>
        <v>4200.55428571429</v>
      </c>
    </row>
    <row r="1316" customFormat="false" ht="15" hidden="false" customHeight="false" outlineLevel="0" collapsed="false">
      <c r="A1316" s="42" t="s">
        <v>906</v>
      </c>
      <c r="B1316" s="43" t="n">
        <v>45522</v>
      </c>
      <c r="C1316" s="43" t="n">
        <v>45523</v>
      </c>
      <c r="D1316" s="42" t="n">
        <v>31</v>
      </c>
      <c r="E1316" s="42" t="s">
        <v>139</v>
      </c>
      <c r="F1316" s="42" t="s">
        <v>149</v>
      </c>
      <c r="G1316" s="42" t="s">
        <v>243</v>
      </c>
      <c r="H1316" s="42" t="s">
        <v>186</v>
      </c>
      <c r="I1316" s="42" t="s">
        <v>152</v>
      </c>
      <c r="J1316" s="42" t="s">
        <v>176</v>
      </c>
      <c r="K1316" s="42" t="s">
        <v>145</v>
      </c>
      <c r="L1316" s="44" t="n">
        <v>6179.76</v>
      </c>
      <c r="M1316" s="42" t="n">
        <v>4</v>
      </c>
      <c r="N1316" s="42" t="s">
        <v>146</v>
      </c>
      <c r="O1316" s="42" t="s">
        <v>147</v>
      </c>
      <c r="P1316" s="39" t="n">
        <f aca="false">C1316-B1316</f>
        <v>1</v>
      </c>
      <c r="Q1316" s="40" t="str">
        <f aca="false">CHOOSE(MONTH(B1316),"يناير","فبراير","مارس","أبريل","مايو","يونيو","يوليو","أغسطس","سبتمبر","أكتوبر","نوفمبر","ديسمبر")</f>
        <v>أغسطس</v>
      </c>
      <c r="R1316" s="40" t="str">
        <f aca="false">"الربع "&amp;ROUNDUP(MONTH(B1316)/3,0)</f>
        <v>الربع 3</v>
      </c>
      <c r="S1316" s="40" t="str">
        <f aca="false">IF(D1316&lt;=12,"أطفال (0-12)",IF(D1316&lt;=24,"شباب (13-24)",IF(D1316&lt;=44,"بالغون (25-44)",IF(D1316&lt;=64,"متوسطو العمر (45-64)","كبار السن (+65)"))))</f>
        <v>بالغون (25-44)</v>
      </c>
      <c r="T1316" s="41" t="n">
        <f aca="false">IFERROR(L1316/P1316,0)</f>
        <v>6179.76</v>
      </c>
    </row>
    <row r="1317" customFormat="false" ht="15" hidden="false" customHeight="false" outlineLevel="0" collapsed="false">
      <c r="A1317" s="33" t="s">
        <v>1623</v>
      </c>
      <c r="B1317" s="34" t="n">
        <v>45522</v>
      </c>
      <c r="C1317" s="34" t="n">
        <v>45524</v>
      </c>
      <c r="D1317" s="33" t="n">
        <v>24</v>
      </c>
      <c r="E1317" s="33" t="s">
        <v>139</v>
      </c>
      <c r="F1317" s="33" t="s">
        <v>203</v>
      </c>
      <c r="G1317" s="33" t="s">
        <v>217</v>
      </c>
      <c r="H1317" s="33" t="s">
        <v>233</v>
      </c>
      <c r="I1317" s="33" t="s">
        <v>143</v>
      </c>
      <c r="J1317" s="33" t="s">
        <v>159</v>
      </c>
      <c r="K1317" s="33" t="s">
        <v>160</v>
      </c>
      <c r="L1317" s="35" t="n">
        <v>1515.95</v>
      </c>
      <c r="M1317" s="33" t="n">
        <v>4</v>
      </c>
      <c r="N1317" s="33" t="s">
        <v>146</v>
      </c>
      <c r="O1317" s="33" t="s">
        <v>147</v>
      </c>
      <c r="P1317" s="39" t="n">
        <f aca="false">C1317-B1317</f>
        <v>2</v>
      </c>
      <c r="Q1317" s="40" t="str">
        <f aca="false">CHOOSE(MONTH(B1317),"يناير","فبراير","مارس","أبريل","مايو","يونيو","يوليو","أغسطس","سبتمبر","أكتوبر","نوفمبر","ديسمبر")</f>
        <v>أغسطس</v>
      </c>
      <c r="R1317" s="40" t="str">
        <f aca="false">"الربع "&amp;ROUNDUP(MONTH(B1317)/3,0)</f>
        <v>الربع 3</v>
      </c>
      <c r="S1317" s="40" t="str">
        <f aca="false">IF(D1317&lt;=12,"أطفال (0-12)",IF(D1317&lt;=24,"شباب (13-24)",IF(D1317&lt;=44,"بالغون (25-44)",IF(D1317&lt;=64,"متوسطو العمر (45-64)","كبار السن (+65)"))))</f>
        <v>شباب (13-24)</v>
      </c>
      <c r="T1317" s="41" t="n">
        <f aca="false">IFERROR(L1317/P1317,0)</f>
        <v>757.975</v>
      </c>
    </row>
    <row r="1318" customFormat="false" ht="15" hidden="false" customHeight="false" outlineLevel="0" collapsed="false">
      <c r="A1318" s="42" t="s">
        <v>568</v>
      </c>
      <c r="B1318" s="43" t="n">
        <v>45522</v>
      </c>
      <c r="C1318" s="43" t="n">
        <v>45527</v>
      </c>
      <c r="D1318" s="42" t="n">
        <v>71</v>
      </c>
      <c r="E1318" s="42" t="s">
        <v>154</v>
      </c>
      <c r="F1318" s="42" t="s">
        <v>181</v>
      </c>
      <c r="G1318" s="42" t="s">
        <v>237</v>
      </c>
      <c r="H1318" s="42" t="s">
        <v>245</v>
      </c>
      <c r="I1318" s="42" t="s">
        <v>143</v>
      </c>
      <c r="J1318" s="42" t="s">
        <v>159</v>
      </c>
      <c r="K1318" s="42" t="s">
        <v>145</v>
      </c>
      <c r="L1318" s="44" t="n">
        <v>13964</v>
      </c>
      <c r="M1318" s="42" t="n">
        <v>3</v>
      </c>
      <c r="N1318" s="42" t="s">
        <v>146</v>
      </c>
      <c r="O1318" s="42" t="s">
        <v>247</v>
      </c>
      <c r="P1318" s="39" t="n">
        <f aca="false">C1318-B1318</f>
        <v>5</v>
      </c>
      <c r="Q1318" s="40" t="str">
        <f aca="false">CHOOSE(MONTH(B1318),"يناير","فبراير","مارس","أبريل","مايو","يونيو","يوليو","أغسطس","سبتمبر","أكتوبر","نوفمبر","ديسمبر")</f>
        <v>أغسطس</v>
      </c>
      <c r="R1318" s="40" t="str">
        <f aca="false">"الربع "&amp;ROUNDUP(MONTH(B1318)/3,0)</f>
        <v>الربع 3</v>
      </c>
      <c r="S1318" s="40" t="str">
        <f aca="false">IF(D1318&lt;=12,"أطفال (0-12)",IF(D1318&lt;=24,"شباب (13-24)",IF(D1318&lt;=44,"بالغون (25-44)",IF(D1318&lt;=64,"متوسطو العمر (45-64)","كبار السن (+65)"))))</f>
        <v>كبار السن (+65)</v>
      </c>
      <c r="T1318" s="41" t="n">
        <f aca="false">IFERROR(L1318/P1318,0)</f>
        <v>2792.8</v>
      </c>
    </row>
    <row r="1319" customFormat="false" ht="15" hidden="false" customHeight="false" outlineLevel="0" collapsed="false">
      <c r="A1319" s="33" t="s">
        <v>1850</v>
      </c>
      <c r="B1319" s="34" t="n">
        <v>45522</v>
      </c>
      <c r="C1319" s="34" t="n">
        <v>45526</v>
      </c>
      <c r="D1319" s="33" t="n">
        <v>6</v>
      </c>
      <c r="E1319" s="33" t="s">
        <v>154</v>
      </c>
      <c r="F1319" s="33" t="s">
        <v>155</v>
      </c>
      <c r="G1319" s="33" t="s">
        <v>156</v>
      </c>
      <c r="H1319" s="33" t="s">
        <v>222</v>
      </c>
      <c r="I1319" s="33" t="s">
        <v>152</v>
      </c>
      <c r="J1319" s="33" t="s">
        <v>176</v>
      </c>
      <c r="K1319" s="33" t="s">
        <v>209</v>
      </c>
      <c r="L1319" s="35" t="n">
        <v>9051.74</v>
      </c>
      <c r="M1319" s="33" t="n">
        <v>4</v>
      </c>
      <c r="N1319" s="33" t="s">
        <v>210</v>
      </c>
      <c r="O1319" s="33" t="s">
        <v>147</v>
      </c>
      <c r="P1319" s="39" t="n">
        <f aca="false">C1319-B1319</f>
        <v>4</v>
      </c>
      <c r="Q1319" s="40" t="str">
        <f aca="false">CHOOSE(MONTH(B1319),"يناير","فبراير","مارس","أبريل","مايو","يونيو","يوليو","أغسطس","سبتمبر","أكتوبر","نوفمبر","ديسمبر")</f>
        <v>أغسطس</v>
      </c>
      <c r="R1319" s="40" t="str">
        <f aca="false">"الربع "&amp;ROUNDUP(MONTH(B1319)/3,0)</f>
        <v>الربع 3</v>
      </c>
      <c r="S1319" s="40" t="str">
        <f aca="false">IF(D1319&lt;=12,"أطفال (0-12)",IF(D1319&lt;=24,"شباب (13-24)",IF(D1319&lt;=44,"بالغون (25-44)",IF(D1319&lt;=64,"متوسطو العمر (45-64)","كبار السن (+65)"))))</f>
        <v>أطفال (0-12)</v>
      </c>
      <c r="T1319" s="41" t="n">
        <f aca="false">IFERROR(L1319/P1319,0)</f>
        <v>2262.935</v>
      </c>
    </row>
    <row r="1320" customFormat="false" ht="15" hidden="false" customHeight="false" outlineLevel="0" collapsed="false">
      <c r="A1320" s="42" t="s">
        <v>577</v>
      </c>
      <c r="B1320" s="43" t="n">
        <v>45522</v>
      </c>
      <c r="C1320" s="43" t="n">
        <v>45532</v>
      </c>
      <c r="D1320" s="42" t="n">
        <v>69</v>
      </c>
      <c r="E1320" s="42" t="s">
        <v>154</v>
      </c>
      <c r="F1320" s="42" t="s">
        <v>173</v>
      </c>
      <c r="G1320" s="42" t="s">
        <v>198</v>
      </c>
      <c r="H1320" s="42" t="s">
        <v>2322</v>
      </c>
      <c r="I1320" s="42" t="s">
        <v>143</v>
      </c>
      <c r="J1320" s="42" t="s">
        <v>159</v>
      </c>
      <c r="K1320" s="42" t="s">
        <v>209</v>
      </c>
      <c r="L1320" s="44" t="n">
        <v>24539.34</v>
      </c>
      <c r="M1320" s="42" t="n">
        <v>4</v>
      </c>
      <c r="N1320" s="42" t="s">
        <v>210</v>
      </c>
      <c r="O1320" s="42" t="s">
        <v>147</v>
      </c>
      <c r="P1320" s="39" t="n">
        <f aca="false">C1320-B1320</f>
        <v>10</v>
      </c>
      <c r="Q1320" s="40" t="str">
        <f aca="false">CHOOSE(MONTH(B1320),"يناير","فبراير","مارس","أبريل","مايو","يونيو","يوليو","أغسطس","سبتمبر","أكتوبر","نوفمبر","ديسمبر")</f>
        <v>أغسطس</v>
      </c>
      <c r="R1320" s="40" t="str">
        <f aca="false">"الربع "&amp;ROUNDUP(MONTH(B1320)/3,0)</f>
        <v>الربع 3</v>
      </c>
      <c r="S1320" s="40" t="str">
        <f aca="false">IF(D1320&lt;=12,"أطفال (0-12)",IF(D1320&lt;=24,"شباب (13-24)",IF(D1320&lt;=44,"بالغون (25-44)",IF(D1320&lt;=64,"متوسطو العمر (45-64)","كبار السن (+65)"))))</f>
        <v>كبار السن (+65)</v>
      </c>
      <c r="T1320" s="41" t="n">
        <f aca="false">IFERROR(L1320/P1320,0)</f>
        <v>2453.934</v>
      </c>
    </row>
    <row r="1321" customFormat="false" ht="15" hidden="false" customHeight="false" outlineLevel="0" collapsed="false">
      <c r="A1321" s="33" t="s">
        <v>1647</v>
      </c>
      <c r="B1321" s="34" t="n">
        <v>45522</v>
      </c>
      <c r="C1321" s="34" t="n">
        <v>45523</v>
      </c>
      <c r="D1321" s="33" t="n">
        <v>51</v>
      </c>
      <c r="E1321" s="33" t="s">
        <v>139</v>
      </c>
      <c r="F1321" s="33" t="s">
        <v>140</v>
      </c>
      <c r="G1321" s="33" t="s">
        <v>316</v>
      </c>
      <c r="H1321" s="33" t="s">
        <v>142</v>
      </c>
      <c r="I1321" s="33" t="s">
        <v>143</v>
      </c>
      <c r="J1321" s="33" t="s">
        <v>159</v>
      </c>
      <c r="K1321" s="33" t="s">
        <v>160</v>
      </c>
      <c r="L1321" s="35" t="n">
        <v>1743.31</v>
      </c>
      <c r="M1321" s="33" t="n">
        <v>4</v>
      </c>
      <c r="N1321" s="33" t="s">
        <v>146</v>
      </c>
      <c r="O1321" s="33" t="s">
        <v>147</v>
      </c>
      <c r="P1321" s="39" t="n">
        <f aca="false">C1321-B1321</f>
        <v>1</v>
      </c>
      <c r="Q1321" s="40" t="str">
        <f aca="false">CHOOSE(MONTH(B1321),"يناير","فبراير","مارس","أبريل","مايو","يونيو","يوليو","أغسطس","سبتمبر","أكتوبر","نوفمبر","ديسمبر")</f>
        <v>أغسطس</v>
      </c>
      <c r="R1321" s="40" t="str">
        <f aca="false">"الربع "&amp;ROUNDUP(MONTH(B1321)/3,0)</f>
        <v>الربع 3</v>
      </c>
      <c r="S1321" s="40" t="str">
        <f aca="false">IF(D1321&lt;=12,"أطفال (0-12)",IF(D1321&lt;=24,"شباب (13-24)",IF(D1321&lt;=44,"بالغون (25-44)",IF(D1321&lt;=64,"متوسطو العمر (45-64)","كبار السن (+65)"))))</f>
        <v>متوسطو العمر (45-64)</v>
      </c>
      <c r="T1321" s="41" t="n">
        <f aca="false">IFERROR(L1321/P1321,0)</f>
        <v>1743.31</v>
      </c>
    </row>
    <row r="1322" customFormat="false" ht="15" hidden="false" customHeight="false" outlineLevel="0" collapsed="false">
      <c r="A1322" s="42" t="s">
        <v>1348</v>
      </c>
      <c r="B1322" s="43" t="n">
        <v>45522</v>
      </c>
      <c r="C1322" s="43" t="n">
        <v>45527</v>
      </c>
      <c r="D1322" s="42" t="n">
        <v>30</v>
      </c>
      <c r="E1322" s="42" t="s">
        <v>139</v>
      </c>
      <c r="F1322" s="42" t="s">
        <v>149</v>
      </c>
      <c r="G1322" s="42" t="s">
        <v>243</v>
      </c>
      <c r="H1322" s="42" t="s">
        <v>186</v>
      </c>
      <c r="I1322" s="42" t="s">
        <v>152</v>
      </c>
      <c r="J1322" s="42" t="s">
        <v>159</v>
      </c>
      <c r="K1322" s="42" t="s">
        <v>145</v>
      </c>
      <c r="L1322" s="44" t="n">
        <v>9294.99</v>
      </c>
      <c r="M1322" s="42" t="n">
        <v>3</v>
      </c>
      <c r="N1322" s="42" t="s">
        <v>210</v>
      </c>
      <c r="O1322" s="42" t="s">
        <v>147</v>
      </c>
      <c r="P1322" s="39" t="n">
        <f aca="false">C1322-B1322</f>
        <v>5</v>
      </c>
      <c r="Q1322" s="40" t="str">
        <f aca="false">CHOOSE(MONTH(B1322),"يناير","فبراير","مارس","أبريل","مايو","يونيو","يوليو","أغسطس","سبتمبر","أكتوبر","نوفمبر","ديسمبر")</f>
        <v>أغسطس</v>
      </c>
      <c r="R1322" s="40" t="str">
        <f aca="false">"الربع "&amp;ROUNDUP(MONTH(B1322)/3,0)</f>
        <v>الربع 3</v>
      </c>
      <c r="S1322" s="40" t="str">
        <f aca="false">IF(D1322&lt;=12,"أطفال (0-12)",IF(D1322&lt;=24,"شباب (13-24)",IF(D1322&lt;=44,"بالغون (25-44)",IF(D1322&lt;=64,"متوسطو العمر (45-64)","كبار السن (+65)"))))</f>
        <v>بالغون (25-44)</v>
      </c>
      <c r="T1322" s="41" t="n">
        <f aca="false">IFERROR(L1322/P1322,0)</f>
        <v>1858.998</v>
      </c>
    </row>
    <row r="1323" customFormat="false" ht="15" hidden="false" customHeight="false" outlineLevel="0" collapsed="false">
      <c r="A1323" s="33" t="s">
        <v>250</v>
      </c>
      <c r="B1323" s="34" t="n">
        <v>45523</v>
      </c>
      <c r="C1323" s="34" t="n">
        <v>45528</v>
      </c>
      <c r="D1323" s="33" t="n">
        <v>64</v>
      </c>
      <c r="E1323" s="33" t="s">
        <v>139</v>
      </c>
      <c r="F1323" s="33" t="s">
        <v>181</v>
      </c>
      <c r="G1323" s="33" t="s">
        <v>182</v>
      </c>
      <c r="H1323" s="33" t="s">
        <v>183</v>
      </c>
      <c r="I1323" s="33" t="s">
        <v>158</v>
      </c>
      <c r="J1323" s="33" t="s">
        <v>159</v>
      </c>
      <c r="K1323" s="33" t="s">
        <v>209</v>
      </c>
      <c r="L1323" s="35" t="n">
        <v>12253.85</v>
      </c>
      <c r="M1323" s="33" t="n">
        <v>2</v>
      </c>
      <c r="N1323" s="33" t="s">
        <v>146</v>
      </c>
      <c r="O1323" s="33" t="s">
        <v>147</v>
      </c>
      <c r="P1323" s="39" t="n">
        <f aca="false">C1323-B1323</f>
        <v>5</v>
      </c>
      <c r="Q1323" s="40" t="str">
        <f aca="false">CHOOSE(MONTH(B1323),"يناير","فبراير","مارس","أبريل","مايو","يونيو","يوليو","أغسطس","سبتمبر","أكتوبر","نوفمبر","ديسمبر")</f>
        <v>أغسطس</v>
      </c>
      <c r="R1323" s="40" t="str">
        <f aca="false">"الربع "&amp;ROUNDUP(MONTH(B1323)/3,0)</f>
        <v>الربع 3</v>
      </c>
      <c r="S1323" s="40" t="str">
        <f aca="false">IF(D1323&lt;=12,"أطفال (0-12)",IF(D1323&lt;=24,"شباب (13-24)",IF(D1323&lt;=44,"بالغون (25-44)",IF(D1323&lt;=64,"متوسطو العمر (45-64)","كبار السن (+65)"))))</f>
        <v>متوسطو العمر (45-64)</v>
      </c>
      <c r="T1323" s="41" t="n">
        <f aca="false">IFERROR(L1323/P1323,0)</f>
        <v>2450.77</v>
      </c>
    </row>
    <row r="1324" customFormat="false" ht="15" hidden="false" customHeight="false" outlineLevel="0" collapsed="false">
      <c r="A1324" s="42" t="s">
        <v>1896</v>
      </c>
      <c r="B1324" s="43" t="n">
        <v>45523</v>
      </c>
      <c r="C1324" s="43" t="n">
        <v>45531</v>
      </c>
      <c r="D1324" s="42" t="n">
        <v>31</v>
      </c>
      <c r="E1324" s="42" t="s">
        <v>139</v>
      </c>
      <c r="F1324" s="42" t="s">
        <v>173</v>
      </c>
      <c r="G1324" s="42" t="s">
        <v>198</v>
      </c>
      <c r="H1324" s="42" t="s">
        <v>199</v>
      </c>
      <c r="I1324" s="42" t="s">
        <v>152</v>
      </c>
      <c r="J1324" s="42" t="s">
        <v>159</v>
      </c>
      <c r="K1324" s="42" t="s">
        <v>145</v>
      </c>
      <c r="L1324" s="44" t="n">
        <v>20698.58</v>
      </c>
      <c r="M1324" s="42" t="n">
        <v>5</v>
      </c>
      <c r="N1324" s="42" t="s">
        <v>146</v>
      </c>
      <c r="O1324" s="42" t="s">
        <v>147</v>
      </c>
      <c r="P1324" s="39" t="n">
        <f aca="false">C1324-B1324</f>
        <v>8</v>
      </c>
      <c r="Q1324" s="40" t="str">
        <f aca="false">CHOOSE(MONTH(B1324),"يناير","فبراير","مارس","أبريل","مايو","يونيو","يوليو","أغسطس","سبتمبر","أكتوبر","نوفمبر","ديسمبر")</f>
        <v>أغسطس</v>
      </c>
      <c r="R1324" s="40" t="str">
        <f aca="false">"الربع "&amp;ROUNDUP(MONTH(B1324)/3,0)</f>
        <v>الربع 3</v>
      </c>
      <c r="S1324" s="40" t="str">
        <f aca="false">IF(D1324&lt;=12,"أطفال (0-12)",IF(D1324&lt;=24,"شباب (13-24)",IF(D1324&lt;=44,"بالغون (25-44)",IF(D1324&lt;=64,"متوسطو العمر (45-64)","كبار السن (+65)"))))</f>
        <v>بالغون (25-44)</v>
      </c>
      <c r="T1324" s="41" t="n">
        <f aca="false">IFERROR(L1324/P1324,0)</f>
        <v>2587.3225</v>
      </c>
    </row>
    <row r="1325" customFormat="false" ht="15" hidden="false" customHeight="false" outlineLevel="0" collapsed="false">
      <c r="A1325" s="33" t="s">
        <v>719</v>
      </c>
      <c r="B1325" s="34" t="n">
        <v>45523</v>
      </c>
      <c r="C1325" s="34" t="n">
        <v>45524</v>
      </c>
      <c r="D1325" s="33" t="n">
        <v>0</v>
      </c>
      <c r="E1325" s="33" t="s">
        <v>154</v>
      </c>
      <c r="F1325" s="33" t="s">
        <v>155</v>
      </c>
      <c r="G1325" s="33" t="s">
        <v>156</v>
      </c>
      <c r="H1325" s="33" t="s">
        <v>157</v>
      </c>
      <c r="I1325" s="33" t="s">
        <v>152</v>
      </c>
      <c r="J1325" s="33" t="s">
        <v>159</v>
      </c>
      <c r="K1325" s="33" t="s">
        <v>160</v>
      </c>
      <c r="L1325" s="35" t="n">
        <v>744.16</v>
      </c>
      <c r="M1325" s="33" t="n">
        <v>4</v>
      </c>
      <c r="N1325" s="33" t="s">
        <v>146</v>
      </c>
      <c r="O1325" s="33" t="s">
        <v>147</v>
      </c>
      <c r="P1325" s="39" t="n">
        <f aca="false">C1325-B1325</f>
        <v>1</v>
      </c>
      <c r="Q1325" s="40" t="str">
        <f aca="false">CHOOSE(MONTH(B1325),"يناير","فبراير","مارس","أبريل","مايو","يونيو","يوليو","أغسطس","سبتمبر","أكتوبر","نوفمبر","ديسمبر")</f>
        <v>أغسطس</v>
      </c>
      <c r="R1325" s="40" t="str">
        <f aca="false">"الربع "&amp;ROUNDUP(MONTH(B1325)/3,0)</f>
        <v>الربع 3</v>
      </c>
      <c r="S1325" s="40" t="str">
        <f aca="false">IF(D1325&lt;=12,"أطفال (0-12)",IF(D1325&lt;=24,"شباب (13-24)",IF(D1325&lt;=44,"بالغون (25-44)",IF(D1325&lt;=64,"متوسطو العمر (45-64)","كبار السن (+65)"))))</f>
        <v>أطفال (0-12)</v>
      </c>
      <c r="T1325" s="41" t="n">
        <f aca="false">IFERROR(L1325/P1325,0)</f>
        <v>744.16</v>
      </c>
    </row>
    <row r="1326" customFormat="false" ht="15" hidden="false" customHeight="false" outlineLevel="0" collapsed="false">
      <c r="A1326" s="42" t="s">
        <v>2243</v>
      </c>
      <c r="B1326" s="43" t="n">
        <v>45523</v>
      </c>
      <c r="C1326" s="43" t="n">
        <v>45532</v>
      </c>
      <c r="D1326" s="42" t="n">
        <v>49</v>
      </c>
      <c r="E1326" s="42" t="s">
        <v>154</v>
      </c>
      <c r="F1326" s="42" t="s">
        <v>169</v>
      </c>
      <c r="G1326" s="42" t="s">
        <v>230</v>
      </c>
      <c r="H1326" s="42" t="s">
        <v>195</v>
      </c>
      <c r="I1326" s="42" t="s">
        <v>158</v>
      </c>
      <c r="J1326" s="42" t="s">
        <v>144</v>
      </c>
      <c r="K1326" s="42" t="s">
        <v>160</v>
      </c>
      <c r="L1326" s="44" t="n">
        <v>15108.48</v>
      </c>
      <c r="M1326" s="42" t="n">
        <v>4</v>
      </c>
      <c r="N1326" s="42" t="s">
        <v>146</v>
      </c>
      <c r="O1326" s="42" t="s">
        <v>147</v>
      </c>
      <c r="P1326" s="39" t="n">
        <f aca="false">C1326-B1326</f>
        <v>9</v>
      </c>
      <c r="Q1326" s="40" t="str">
        <f aca="false">CHOOSE(MONTH(B1326),"يناير","فبراير","مارس","أبريل","مايو","يونيو","يوليو","أغسطس","سبتمبر","أكتوبر","نوفمبر","ديسمبر")</f>
        <v>أغسطس</v>
      </c>
      <c r="R1326" s="40" t="str">
        <f aca="false">"الربع "&amp;ROUNDUP(MONTH(B1326)/3,0)</f>
        <v>الربع 3</v>
      </c>
      <c r="S1326" s="40" t="str">
        <f aca="false">IF(D1326&lt;=12,"أطفال (0-12)",IF(D1326&lt;=24,"شباب (13-24)",IF(D1326&lt;=44,"بالغون (25-44)",IF(D1326&lt;=64,"متوسطو العمر (45-64)","كبار السن (+65)"))))</f>
        <v>متوسطو العمر (45-64)</v>
      </c>
      <c r="T1326" s="41" t="n">
        <f aca="false">IFERROR(L1326/P1326,0)</f>
        <v>1678.72</v>
      </c>
    </row>
    <row r="1327" customFormat="false" ht="15" hidden="false" customHeight="false" outlineLevel="0" collapsed="false">
      <c r="A1327" s="33" t="s">
        <v>717</v>
      </c>
      <c r="B1327" s="34" t="n">
        <v>45523</v>
      </c>
      <c r="C1327" s="34" t="n">
        <v>45524</v>
      </c>
      <c r="D1327" s="33" t="n">
        <v>5</v>
      </c>
      <c r="E1327" s="33" t="s">
        <v>154</v>
      </c>
      <c r="F1327" s="33" t="s">
        <v>140</v>
      </c>
      <c r="G1327" s="33" t="s">
        <v>141</v>
      </c>
      <c r="H1327" s="33" t="s">
        <v>290</v>
      </c>
      <c r="I1327" s="33" t="s">
        <v>143</v>
      </c>
      <c r="J1327" s="33" t="s">
        <v>176</v>
      </c>
      <c r="K1327" s="33" t="s">
        <v>145</v>
      </c>
      <c r="L1327" s="35" t="n">
        <v>8372.15</v>
      </c>
      <c r="M1327" s="33" t="n">
        <v>4</v>
      </c>
      <c r="N1327" s="33" t="s">
        <v>146</v>
      </c>
      <c r="O1327" s="33" t="s">
        <v>147</v>
      </c>
      <c r="P1327" s="39" t="n">
        <f aca="false">C1327-B1327</f>
        <v>1</v>
      </c>
      <c r="Q1327" s="40" t="str">
        <f aca="false">CHOOSE(MONTH(B1327),"يناير","فبراير","مارس","أبريل","مايو","يونيو","يوليو","أغسطس","سبتمبر","أكتوبر","نوفمبر","ديسمبر")</f>
        <v>أغسطس</v>
      </c>
      <c r="R1327" s="40" t="str">
        <f aca="false">"الربع "&amp;ROUNDUP(MONTH(B1327)/3,0)</f>
        <v>الربع 3</v>
      </c>
      <c r="S1327" s="40" t="str">
        <f aca="false">IF(D1327&lt;=12,"أطفال (0-12)",IF(D1327&lt;=24,"شباب (13-24)",IF(D1327&lt;=44,"بالغون (25-44)",IF(D1327&lt;=64,"متوسطو العمر (45-64)","كبار السن (+65)"))))</f>
        <v>أطفال (0-12)</v>
      </c>
      <c r="T1327" s="41" t="n">
        <f aca="false">IFERROR(L1327/P1327,0)</f>
        <v>8372.15</v>
      </c>
    </row>
    <row r="1328" customFormat="false" ht="15" hidden="false" customHeight="false" outlineLevel="0" collapsed="false">
      <c r="A1328" s="42" t="s">
        <v>665</v>
      </c>
      <c r="B1328" s="43" t="n">
        <v>45524</v>
      </c>
      <c r="C1328" s="43" t="n">
        <v>45528</v>
      </c>
      <c r="D1328" s="42" t="n">
        <v>96</v>
      </c>
      <c r="E1328" s="42" t="s">
        <v>139</v>
      </c>
      <c r="F1328" s="42" t="s">
        <v>169</v>
      </c>
      <c r="G1328" s="42" t="s">
        <v>213</v>
      </c>
      <c r="H1328" s="42" t="s">
        <v>171</v>
      </c>
      <c r="I1328" s="42" t="s">
        <v>143</v>
      </c>
      <c r="J1328" s="42" t="s">
        <v>144</v>
      </c>
      <c r="K1328" s="42" t="s">
        <v>145</v>
      </c>
      <c r="L1328" s="44" t="n">
        <v>8514.71</v>
      </c>
      <c r="M1328" s="42" t="n">
        <v>5</v>
      </c>
      <c r="N1328" s="42" t="s">
        <v>146</v>
      </c>
      <c r="O1328" s="42" t="s">
        <v>147</v>
      </c>
      <c r="P1328" s="39" t="n">
        <f aca="false">C1328-B1328</f>
        <v>4</v>
      </c>
      <c r="Q1328" s="40" t="str">
        <f aca="false">CHOOSE(MONTH(B1328),"يناير","فبراير","مارس","أبريل","مايو","يونيو","يوليو","أغسطس","سبتمبر","أكتوبر","نوفمبر","ديسمبر")</f>
        <v>أغسطس</v>
      </c>
      <c r="R1328" s="40" t="str">
        <f aca="false">"الربع "&amp;ROUNDUP(MONTH(B1328)/3,0)</f>
        <v>الربع 3</v>
      </c>
      <c r="S1328" s="40" t="str">
        <f aca="false">IF(D1328&lt;=12,"أطفال (0-12)",IF(D1328&lt;=24,"شباب (13-24)",IF(D1328&lt;=44,"بالغون (25-44)",IF(D1328&lt;=64,"متوسطو العمر (45-64)","كبار السن (+65)"))))</f>
        <v>كبار السن (+65)</v>
      </c>
      <c r="T1328" s="41" t="n">
        <f aca="false">IFERROR(L1328/P1328,0)</f>
        <v>2128.6775</v>
      </c>
    </row>
    <row r="1329" customFormat="false" ht="15" hidden="false" customHeight="false" outlineLevel="0" collapsed="false">
      <c r="A1329" s="33" t="s">
        <v>446</v>
      </c>
      <c r="B1329" s="34" t="n">
        <v>45524</v>
      </c>
      <c r="C1329" s="34" t="n">
        <v>45526</v>
      </c>
      <c r="D1329" s="33" t="n">
        <v>28</v>
      </c>
      <c r="E1329" s="33" t="s">
        <v>139</v>
      </c>
      <c r="F1329" s="33" t="s">
        <v>149</v>
      </c>
      <c r="G1329" s="33" t="s">
        <v>150</v>
      </c>
      <c r="H1329" s="33" t="s">
        <v>186</v>
      </c>
      <c r="I1329" s="33" t="s">
        <v>143</v>
      </c>
      <c r="J1329" s="33" t="s">
        <v>159</v>
      </c>
      <c r="K1329" s="33" t="s">
        <v>145</v>
      </c>
      <c r="L1329" s="35" t="n">
        <v>3105.02</v>
      </c>
      <c r="M1329" s="33" t="n">
        <v>4</v>
      </c>
      <c r="N1329" s="33" t="s">
        <v>146</v>
      </c>
      <c r="O1329" s="33" t="s">
        <v>147</v>
      </c>
      <c r="P1329" s="39" t="n">
        <f aca="false">C1329-B1329</f>
        <v>2</v>
      </c>
      <c r="Q1329" s="40" t="str">
        <f aca="false">CHOOSE(MONTH(B1329),"يناير","فبراير","مارس","أبريل","مايو","يونيو","يوليو","أغسطس","سبتمبر","أكتوبر","نوفمبر","ديسمبر")</f>
        <v>أغسطس</v>
      </c>
      <c r="R1329" s="40" t="str">
        <f aca="false">"الربع "&amp;ROUNDUP(MONTH(B1329)/3,0)</f>
        <v>الربع 3</v>
      </c>
      <c r="S1329" s="40" t="str">
        <f aca="false">IF(D1329&lt;=12,"أطفال (0-12)",IF(D1329&lt;=24,"شباب (13-24)",IF(D1329&lt;=44,"بالغون (25-44)",IF(D1329&lt;=64,"متوسطو العمر (45-64)","كبار السن (+65)"))))</f>
        <v>بالغون (25-44)</v>
      </c>
      <c r="T1329" s="41" t="n">
        <f aca="false">IFERROR(L1329/P1329,0)</f>
        <v>1552.51</v>
      </c>
    </row>
    <row r="1330" customFormat="false" ht="15" hidden="false" customHeight="false" outlineLevel="0" collapsed="false">
      <c r="A1330" s="42" t="s">
        <v>1940</v>
      </c>
      <c r="B1330" s="43" t="n">
        <v>45524</v>
      </c>
      <c r="C1330" s="43" t="n">
        <v>45527</v>
      </c>
      <c r="D1330" s="42" t="n">
        <v>34</v>
      </c>
      <c r="E1330" s="42" t="s">
        <v>139</v>
      </c>
      <c r="F1330" s="42" t="s">
        <v>169</v>
      </c>
      <c r="G1330" s="42" t="s">
        <v>230</v>
      </c>
      <c r="H1330" s="42" t="s">
        <v>171</v>
      </c>
      <c r="I1330" s="42" t="s">
        <v>143</v>
      </c>
      <c r="J1330" s="42" t="s">
        <v>144</v>
      </c>
      <c r="K1330" s="42" t="s">
        <v>145</v>
      </c>
      <c r="L1330" s="44" t="n">
        <v>6302.57</v>
      </c>
      <c r="M1330" s="42" t="n">
        <v>4</v>
      </c>
      <c r="N1330" s="42" t="s">
        <v>146</v>
      </c>
      <c r="O1330" s="42" t="s">
        <v>147</v>
      </c>
      <c r="P1330" s="39" t="n">
        <f aca="false">C1330-B1330</f>
        <v>3</v>
      </c>
      <c r="Q1330" s="40" t="str">
        <f aca="false">CHOOSE(MONTH(B1330),"يناير","فبراير","مارس","أبريل","مايو","يونيو","يوليو","أغسطس","سبتمبر","أكتوبر","نوفمبر","ديسمبر")</f>
        <v>أغسطس</v>
      </c>
      <c r="R1330" s="40" t="str">
        <f aca="false">"الربع "&amp;ROUNDUP(MONTH(B1330)/3,0)</f>
        <v>الربع 3</v>
      </c>
      <c r="S1330" s="40" t="str">
        <f aca="false">IF(D1330&lt;=12,"أطفال (0-12)",IF(D1330&lt;=24,"شباب (13-24)",IF(D1330&lt;=44,"بالغون (25-44)",IF(D1330&lt;=64,"متوسطو العمر (45-64)","كبار السن (+65)"))))</f>
        <v>بالغون (25-44)</v>
      </c>
      <c r="T1330" s="41" t="n">
        <f aca="false">IFERROR(L1330/P1330,0)</f>
        <v>2100.85666666667</v>
      </c>
    </row>
    <row r="1331" customFormat="false" ht="15" hidden="false" customHeight="false" outlineLevel="0" collapsed="false">
      <c r="A1331" s="33" t="s">
        <v>897</v>
      </c>
      <c r="B1331" s="34" t="n">
        <v>45524</v>
      </c>
      <c r="C1331" s="34" t="n">
        <v>45528</v>
      </c>
      <c r="D1331" s="33" t="n">
        <v>66</v>
      </c>
      <c r="E1331" s="33" t="s">
        <v>154</v>
      </c>
      <c r="F1331" s="33" t="s">
        <v>226</v>
      </c>
      <c r="G1331" s="33" t="s">
        <v>227</v>
      </c>
      <c r="H1331" s="33" t="s">
        <v>228</v>
      </c>
      <c r="I1331" s="33" t="s">
        <v>152</v>
      </c>
      <c r="J1331" s="33" t="s">
        <v>144</v>
      </c>
      <c r="K1331" s="33" t="s">
        <v>160</v>
      </c>
      <c r="L1331" s="35" t="n">
        <v>17969.22</v>
      </c>
      <c r="M1331" s="33" t="n">
        <v>4</v>
      </c>
      <c r="N1331" s="33" t="s">
        <v>146</v>
      </c>
      <c r="O1331" s="33" t="s">
        <v>147</v>
      </c>
      <c r="P1331" s="39" t="n">
        <f aca="false">C1331-B1331</f>
        <v>4</v>
      </c>
      <c r="Q1331" s="40" t="str">
        <f aca="false">CHOOSE(MONTH(B1331),"يناير","فبراير","مارس","أبريل","مايو","يونيو","يوليو","أغسطس","سبتمبر","أكتوبر","نوفمبر","ديسمبر")</f>
        <v>أغسطس</v>
      </c>
      <c r="R1331" s="40" t="str">
        <f aca="false">"الربع "&amp;ROUNDUP(MONTH(B1331)/3,0)</f>
        <v>الربع 3</v>
      </c>
      <c r="S1331" s="40" t="str">
        <f aca="false">IF(D1331&lt;=12,"أطفال (0-12)",IF(D1331&lt;=24,"شباب (13-24)",IF(D1331&lt;=44,"بالغون (25-44)",IF(D1331&lt;=64,"متوسطو العمر (45-64)","كبار السن (+65)"))))</f>
        <v>كبار السن (+65)</v>
      </c>
      <c r="T1331" s="41" t="n">
        <f aca="false">IFERROR(L1331/P1331,0)</f>
        <v>4492.305</v>
      </c>
    </row>
    <row r="1332" customFormat="false" ht="15" hidden="false" customHeight="false" outlineLevel="0" collapsed="false">
      <c r="A1332" s="42" t="s">
        <v>2315</v>
      </c>
      <c r="B1332" s="43" t="n">
        <v>45524</v>
      </c>
      <c r="C1332" s="43" t="n">
        <v>45528</v>
      </c>
      <c r="D1332" s="42" t="n">
        <v>85</v>
      </c>
      <c r="E1332" s="42" t="s">
        <v>139</v>
      </c>
      <c r="F1332" s="42" t="s">
        <v>226</v>
      </c>
      <c r="G1332" s="42" t="s">
        <v>386</v>
      </c>
      <c r="H1332" s="42" t="s">
        <v>228</v>
      </c>
      <c r="I1332" s="42" t="s">
        <v>158</v>
      </c>
      <c r="J1332" s="42" t="s">
        <v>144</v>
      </c>
      <c r="K1332" s="42" t="s">
        <v>145</v>
      </c>
      <c r="L1332" s="44" t="n">
        <v>26915.88</v>
      </c>
      <c r="M1332" s="42" t="n">
        <v>4</v>
      </c>
      <c r="N1332" s="42" t="s">
        <v>146</v>
      </c>
      <c r="O1332" s="42" t="s">
        <v>147</v>
      </c>
      <c r="P1332" s="39" t="n">
        <f aca="false">C1332-B1332</f>
        <v>4</v>
      </c>
      <c r="Q1332" s="40" t="str">
        <f aca="false">CHOOSE(MONTH(B1332),"يناير","فبراير","مارس","أبريل","مايو","يونيو","يوليو","أغسطس","سبتمبر","أكتوبر","نوفمبر","ديسمبر")</f>
        <v>أغسطس</v>
      </c>
      <c r="R1332" s="40" t="str">
        <f aca="false">"الربع "&amp;ROUNDUP(MONTH(B1332)/3,0)</f>
        <v>الربع 3</v>
      </c>
      <c r="S1332" s="40" t="str">
        <f aca="false">IF(D1332&lt;=12,"أطفال (0-12)",IF(D1332&lt;=24,"شباب (13-24)",IF(D1332&lt;=44,"بالغون (25-44)",IF(D1332&lt;=64,"متوسطو العمر (45-64)","كبار السن (+65)"))))</f>
        <v>كبار السن (+65)</v>
      </c>
      <c r="T1332" s="41" t="n">
        <f aca="false">IFERROR(L1332/P1332,0)</f>
        <v>6728.97</v>
      </c>
    </row>
    <row r="1333" customFormat="false" ht="15" hidden="false" customHeight="false" outlineLevel="0" collapsed="false">
      <c r="A1333" s="33" t="s">
        <v>349</v>
      </c>
      <c r="B1333" s="34" t="n">
        <v>45524</v>
      </c>
      <c r="C1333" s="34" t="n">
        <v>45530</v>
      </c>
      <c r="D1333" s="33" t="n">
        <v>43</v>
      </c>
      <c r="E1333" s="33" t="s">
        <v>139</v>
      </c>
      <c r="F1333" s="33" t="s">
        <v>173</v>
      </c>
      <c r="G1333" s="33" t="s">
        <v>198</v>
      </c>
      <c r="H1333" s="33" t="s">
        <v>175</v>
      </c>
      <c r="I1333" s="33" t="s">
        <v>152</v>
      </c>
      <c r="J1333" s="33" t="s">
        <v>144</v>
      </c>
      <c r="K1333" s="33" t="s">
        <v>209</v>
      </c>
      <c r="L1333" s="35" t="n">
        <v>28208.55</v>
      </c>
      <c r="M1333" s="33" t="n">
        <v>4</v>
      </c>
      <c r="N1333" s="33" t="s">
        <v>210</v>
      </c>
      <c r="O1333" s="33" t="s">
        <v>147</v>
      </c>
      <c r="P1333" s="39" t="n">
        <f aca="false">C1333-B1333</f>
        <v>6</v>
      </c>
      <c r="Q1333" s="40" t="str">
        <f aca="false">CHOOSE(MONTH(B1333),"يناير","فبراير","مارس","أبريل","مايو","يونيو","يوليو","أغسطس","سبتمبر","أكتوبر","نوفمبر","ديسمبر")</f>
        <v>أغسطس</v>
      </c>
      <c r="R1333" s="40" t="str">
        <f aca="false">"الربع "&amp;ROUNDUP(MONTH(B1333)/3,0)</f>
        <v>الربع 3</v>
      </c>
      <c r="S1333" s="40" t="str">
        <f aca="false">IF(D1333&lt;=12,"أطفال (0-12)",IF(D1333&lt;=24,"شباب (13-24)",IF(D1333&lt;=44,"بالغون (25-44)",IF(D1333&lt;=64,"متوسطو العمر (45-64)","كبار السن (+65)"))))</f>
        <v>بالغون (25-44)</v>
      </c>
      <c r="T1333" s="41" t="n">
        <f aca="false">IFERROR(L1333/P1333,0)</f>
        <v>4701.425</v>
      </c>
    </row>
    <row r="1334" customFormat="false" ht="15" hidden="false" customHeight="false" outlineLevel="0" collapsed="false">
      <c r="A1334" s="42" t="s">
        <v>733</v>
      </c>
      <c r="B1334" s="43" t="n">
        <v>45524</v>
      </c>
      <c r="C1334" s="43" t="n">
        <v>45525</v>
      </c>
      <c r="D1334" s="42" t="n">
        <v>37</v>
      </c>
      <c r="E1334" s="42" t="s">
        <v>139</v>
      </c>
      <c r="F1334" s="42" t="s">
        <v>149</v>
      </c>
      <c r="G1334" s="42" t="s">
        <v>150</v>
      </c>
      <c r="H1334" s="42" t="s">
        <v>186</v>
      </c>
      <c r="I1334" s="42" t="s">
        <v>143</v>
      </c>
      <c r="J1334" s="42" t="s">
        <v>144</v>
      </c>
      <c r="K1334" s="42" t="s">
        <v>145</v>
      </c>
      <c r="L1334" s="44" t="n">
        <v>2104.44</v>
      </c>
      <c r="M1334" s="42" t="n">
        <v>3</v>
      </c>
      <c r="N1334" s="42" t="s">
        <v>146</v>
      </c>
      <c r="O1334" s="42" t="s">
        <v>147</v>
      </c>
      <c r="P1334" s="39" t="n">
        <f aca="false">C1334-B1334</f>
        <v>1</v>
      </c>
      <c r="Q1334" s="40" t="str">
        <f aca="false">CHOOSE(MONTH(B1334),"يناير","فبراير","مارس","أبريل","مايو","يونيو","يوليو","أغسطس","سبتمبر","أكتوبر","نوفمبر","ديسمبر")</f>
        <v>أغسطس</v>
      </c>
      <c r="R1334" s="40" t="str">
        <f aca="false">"الربع "&amp;ROUNDUP(MONTH(B1334)/3,0)</f>
        <v>الربع 3</v>
      </c>
      <c r="S1334" s="40" t="str">
        <f aca="false">IF(D1334&lt;=12,"أطفال (0-12)",IF(D1334&lt;=24,"شباب (13-24)",IF(D1334&lt;=44,"بالغون (25-44)",IF(D1334&lt;=64,"متوسطو العمر (45-64)","كبار السن (+65)"))))</f>
        <v>بالغون (25-44)</v>
      </c>
      <c r="T1334" s="41" t="n">
        <f aca="false">IFERROR(L1334/P1334,0)</f>
        <v>2104.44</v>
      </c>
    </row>
    <row r="1335" customFormat="false" ht="15" hidden="false" customHeight="false" outlineLevel="0" collapsed="false">
      <c r="A1335" s="33" t="s">
        <v>402</v>
      </c>
      <c r="B1335" s="34" t="n">
        <v>45524</v>
      </c>
      <c r="C1335" s="34" t="n">
        <v>45526</v>
      </c>
      <c r="D1335" s="33" t="n">
        <v>75</v>
      </c>
      <c r="E1335" s="33" t="s">
        <v>139</v>
      </c>
      <c r="F1335" s="33" t="s">
        <v>181</v>
      </c>
      <c r="G1335" s="33" t="s">
        <v>182</v>
      </c>
      <c r="H1335" s="33" t="s">
        <v>245</v>
      </c>
      <c r="I1335" s="33" t="s">
        <v>143</v>
      </c>
      <c r="J1335" s="33" t="s">
        <v>159</v>
      </c>
      <c r="K1335" s="33" t="s">
        <v>184</v>
      </c>
      <c r="L1335" s="35" t="n">
        <v>4566.69</v>
      </c>
      <c r="M1335" s="33" t="n">
        <v>3</v>
      </c>
      <c r="N1335" s="33" t="s">
        <v>146</v>
      </c>
      <c r="O1335" s="33" t="s">
        <v>247</v>
      </c>
      <c r="P1335" s="39" t="n">
        <f aca="false">C1335-B1335</f>
        <v>2</v>
      </c>
      <c r="Q1335" s="40" t="str">
        <f aca="false">CHOOSE(MONTH(B1335),"يناير","فبراير","مارس","أبريل","مايو","يونيو","يوليو","أغسطس","سبتمبر","أكتوبر","نوفمبر","ديسمبر")</f>
        <v>أغسطس</v>
      </c>
      <c r="R1335" s="40" t="str">
        <f aca="false">"الربع "&amp;ROUNDUP(MONTH(B1335)/3,0)</f>
        <v>الربع 3</v>
      </c>
      <c r="S1335" s="40" t="str">
        <f aca="false">IF(D1335&lt;=12,"أطفال (0-12)",IF(D1335&lt;=24,"شباب (13-24)",IF(D1335&lt;=44,"بالغون (25-44)",IF(D1335&lt;=64,"متوسطو العمر (45-64)","كبار السن (+65)"))))</f>
        <v>كبار السن (+65)</v>
      </c>
      <c r="T1335" s="41" t="n">
        <f aca="false">IFERROR(L1335/P1335,0)</f>
        <v>2283.345</v>
      </c>
    </row>
    <row r="1336" customFormat="false" ht="15" hidden="false" customHeight="false" outlineLevel="0" collapsed="false">
      <c r="A1336" s="42" t="s">
        <v>1822</v>
      </c>
      <c r="B1336" s="43" t="n">
        <v>45524</v>
      </c>
      <c r="C1336" s="43" t="n">
        <v>45532</v>
      </c>
      <c r="D1336" s="42" t="n">
        <v>37</v>
      </c>
      <c r="E1336" s="42" t="s">
        <v>154</v>
      </c>
      <c r="F1336" s="42" t="s">
        <v>173</v>
      </c>
      <c r="G1336" s="42" t="s">
        <v>174</v>
      </c>
      <c r="H1336" s="42" t="s">
        <v>199</v>
      </c>
      <c r="I1336" s="42" t="s">
        <v>152</v>
      </c>
      <c r="J1336" s="42" t="s">
        <v>159</v>
      </c>
      <c r="K1336" s="42" t="s">
        <v>160</v>
      </c>
      <c r="L1336" s="44" t="n">
        <v>20784</v>
      </c>
      <c r="M1336" s="42" t="n">
        <v>4</v>
      </c>
      <c r="N1336" s="42" t="s">
        <v>146</v>
      </c>
      <c r="O1336" s="42" t="s">
        <v>147</v>
      </c>
      <c r="P1336" s="39" t="n">
        <f aca="false">C1336-B1336</f>
        <v>8</v>
      </c>
      <c r="Q1336" s="40" t="str">
        <f aca="false">CHOOSE(MONTH(B1336),"يناير","فبراير","مارس","أبريل","مايو","يونيو","يوليو","أغسطس","سبتمبر","أكتوبر","نوفمبر","ديسمبر")</f>
        <v>أغسطس</v>
      </c>
      <c r="R1336" s="40" t="str">
        <f aca="false">"الربع "&amp;ROUNDUP(MONTH(B1336)/3,0)</f>
        <v>الربع 3</v>
      </c>
      <c r="S1336" s="40" t="str">
        <f aca="false">IF(D1336&lt;=12,"أطفال (0-12)",IF(D1336&lt;=24,"شباب (13-24)",IF(D1336&lt;=44,"بالغون (25-44)",IF(D1336&lt;=64,"متوسطو العمر (45-64)","كبار السن (+65)"))))</f>
        <v>بالغون (25-44)</v>
      </c>
      <c r="T1336" s="41" t="n">
        <f aca="false">IFERROR(L1336/P1336,0)</f>
        <v>2598</v>
      </c>
    </row>
    <row r="1337" customFormat="false" ht="15" hidden="false" customHeight="false" outlineLevel="0" collapsed="false">
      <c r="A1337" s="33" t="s">
        <v>1277</v>
      </c>
      <c r="B1337" s="34" t="n">
        <v>45524</v>
      </c>
      <c r="C1337" s="34" t="n">
        <v>45530</v>
      </c>
      <c r="D1337" s="33" t="n">
        <v>61</v>
      </c>
      <c r="E1337" s="33" t="s">
        <v>139</v>
      </c>
      <c r="F1337" s="33" t="s">
        <v>169</v>
      </c>
      <c r="G1337" s="33" t="s">
        <v>230</v>
      </c>
      <c r="H1337" s="33" t="s">
        <v>195</v>
      </c>
      <c r="I1337" s="33" t="s">
        <v>143</v>
      </c>
      <c r="J1337" s="33" t="s">
        <v>176</v>
      </c>
      <c r="K1337" s="33" t="s">
        <v>145</v>
      </c>
      <c r="L1337" s="35" t="n">
        <v>14192.31</v>
      </c>
      <c r="M1337" s="33" t="n">
        <v>5</v>
      </c>
      <c r="N1337" s="33" t="s">
        <v>146</v>
      </c>
      <c r="O1337" s="33" t="s">
        <v>147</v>
      </c>
      <c r="P1337" s="39" t="n">
        <f aca="false">C1337-B1337</f>
        <v>6</v>
      </c>
      <c r="Q1337" s="40" t="str">
        <f aca="false">CHOOSE(MONTH(B1337),"يناير","فبراير","مارس","أبريل","مايو","يونيو","يوليو","أغسطس","سبتمبر","أكتوبر","نوفمبر","ديسمبر")</f>
        <v>أغسطس</v>
      </c>
      <c r="R1337" s="40" t="str">
        <f aca="false">"الربع "&amp;ROUNDUP(MONTH(B1337)/3,0)</f>
        <v>الربع 3</v>
      </c>
      <c r="S1337" s="40" t="str">
        <f aca="false">IF(D1337&lt;=12,"أطفال (0-12)",IF(D1337&lt;=24,"شباب (13-24)",IF(D1337&lt;=44,"بالغون (25-44)",IF(D1337&lt;=64,"متوسطو العمر (45-64)","كبار السن (+65)"))))</f>
        <v>متوسطو العمر (45-64)</v>
      </c>
      <c r="T1337" s="41" t="n">
        <f aca="false">IFERROR(L1337/P1337,0)</f>
        <v>2365.385</v>
      </c>
    </row>
    <row r="1338" customFormat="false" ht="15" hidden="false" customHeight="false" outlineLevel="0" collapsed="false">
      <c r="A1338" s="42" t="s">
        <v>713</v>
      </c>
      <c r="B1338" s="43" t="n">
        <v>45524</v>
      </c>
      <c r="C1338" s="43" t="n">
        <v>45526</v>
      </c>
      <c r="D1338" s="42" t="n">
        <v>4</v>
      </c>
      <c r="E1338" s="42" t="s">
        <v>139</v>
      </c>
      <c r="F1338" s="42" t="s">
        <v>155</v>
      </c>
      <c r="G1338" s="42" t="s">
        <v>302</v>
      </c>
      <c r="H1338" s="42" t="s">
        <v>222</v>
      </c>
      <c r="I1338" s="42" t="s">
        <v>143</v>
      </c>
      <c r="J1338" s="42" t="s">
        <v>176</v>
      </c>
      <c r="K1338" s="42" t="s">
        <v>184</v>
      </c>
      <c r="L1338" s="44" t="n">
        <v>5855.06</v>
      </c>
      <c r="M1338" s="42" t="n">
        <v>5</v>
      </c>
      <c r="N1338" s="42" t="s">
        <v>146</v>
      </c>
      <c r="O1338" s="42" t="s">
        <v>147</v>
      </c>
      <c r="P1338" s="39" t="n">
        <f aca="false">C1338-B1338</f>
        <v>2</v>
      </c>
      <c r="Q1338" s="40" t="str">
        <f aca="false">CHOOSE(MONTH(B1338),"يناير","فبراير","مارس","أبريل","مايو","يونيو","يوليو","أغسطس","سبتمبر","أكتوبر","نوفمبر","ديسمبر")</f>
        <v>أغسطس</v>
      </c>
      <c r="R1338" s="40" t="str">
        <f aca="false">"الربع "&amp;ROUNDUP(MONTH(B1338)/3,0)</f>
        <v>الربع 3</v>
      </c>
      <c r="S1338" s="40" t="str">
        <f aca="false">IF(D1338&lt;=12,"أطفال (0-12)",IF(D1338&lt;=24,"شباب (13-24)",IF(D1338&lt;=44,"بالغون (25-44)",IF(D1338&lt;=64,"متوسطو العمر (45-64)","كبار السن (+65)"))))</f>
        <v>أطفال (0-12)</v>
      </c>
      <c r="T1338" s="41" t="n">
        <f aca="false">IFERROR(L1338/P1338,0)</f>
        <v>2927.53</v>
      </c>
    </row>
    <row r="1339" customFormat="false" ht="15" hidden="false" customHeight="false" outlineLevel="0" collapsed="false">
      <c r="A1339" s="33" t="s">
        <v>1080</v>
      </c>
      <c r="B1339" s="34" t="n">
        <v>45524</v>
      </c>
      <c r="C1339" s="34" t="n">
        <v>45525</v>
      </c>
      <c r="D1339" s="33" t="n">
        <v>50</v>
      </c>
      <c r="E1339" s="33" t="s">
        <v>139</v>
      </c>
      <c r="F1339" s="33" t="s">
        <v>203</v>
      </c>
      <c r="G1339" s="33" t="s">
        <v>192</v>
      </c>
      <c r="H1339" s="33" t="s">
        <v>193</v>
      </c>
      <c r="I1339" s="33" t="s">
        <v>143</v>
      </c>
      <c r="J1339" s="33" t="s">
        <v>144</v>
      </c>
      <c r="K1339" s="33" t="s">
        <v>209</v>
      </c>
      <c r="L1339" s="35" t="n">
        <v>1344.89</v>
      </c>
      <c r="M1339" s="33" t="n">
        <v>3</v>
      </c>
      <c r="N1339" s="33" t="s">
        <v>146</v>
      </c>
      <c r="O1339" s="33" t="s">
        <v>147</v>
      </c>
      <c r="P1339" s="39" t="n">
        <f aca="false">C1339-B1339</f>
        <v>1</v>
      </c>
      <c r="Q1339" s="40" t="str">
        <f aca="false">CHOOSE(MONTH(B1339),"يناير","فبراير","مارس","أبريل","مايو","يونيو","يوليو","أغسطس","سبتمبر","أكتوبر","نوفمبر","ديسمبر")</f>
        <v>أغسطس</v>
      </c>
      <c r="R1339" s="40" t="str">
        <f aca="false">"الربع "&amp;ROUNDUP(MONTH(B1339)/3,0)</f>
        <v>الربع 3</v>
      </c>
      <c r="S1339" s="40" t="str">
        <f aca="false">IF(D1339&lt;=12,"أطفال (0-12)",IF(D1339&lt;=24,"شباب (13-24)",IF(D1339&lt;=44,"بالغون (25-44)",IF(D1339&lt;=64,"متوسطو العمر (45-64)","كبار السن (+65)"))))</f>
        <v>متوسطو العمر (45-64)</v>
      </c>
      <c r="T1339" s="41" t="n">
        <f aca="false">IFERROR(L1339/P1339,0)</f>
        <v>1344.89</v>
      </c>
    </row>
    <row r="1340" customFormat="false" ht="15" hidden="false" customHeight="false" outlineLevel="0" collapsed="false">
      <c r="A1340" s="42" t="s">
        <v>2201</v>
      </c>
      <c r="B1340" s="43" t="n">
        <v>45525</v>
      </c>
      <c r="C1340" s="43" t="n">
        <v>45526</v>
      </c>
      <c r="D1340" s="42" t="n">
        <v>60</v>
      </c>
      <c r="E1340" s="42" t="s">
        <v>139</v>
      </c>
      <c r="F1340" s="42" t="s">
        <v>203</v>
      </c>
      <c r="G1340" s="42" t="s">
        <v>232</v>
      </c>
      <c r="H1340" s="42" t="s">
        <v>205</v>
      </c>
      <c r="I1340" s="42" t="s">
        <v>143</v>
      </c>
      <c r="J1340" s="42" t="s">
        <v>144</v>
      </c>
      <c r="K1340" s="42" t="s">
        <v>184</v>
      </c>
      <c r="L1340" s="44" t="n">
        <v>1501.81</v>
      </c>
      <c r="M1340" s="42" t="n">
        <v>3</v>
      </c>
      <c r="N1340" s="42" t="s">
        <v>146</v>
      </c>
      <c r="O1340" s="42" t="s">
        <v>206</v>
      </c>
      <c r="P1340" s="39" t="n">
        <f aca="false">C1340-B1340</f>
        <v>1</v>
      </c>
      <c r="Q1340" s="40" t="str">
        <f aca="false">CHOOSE(MONTH(B1340),"يناير","فبراير","مارس","أبريل","مايو","يونيو","يوليو","أغسطس","سبتمبر","أكتوبر","نوفمبر","ديسمبر")</f>
        <v>أغسطس</v>
      </c>
      <c r="R1340" s="40" t="str">
        <f aca="false">"الربع "&amp;ROUNDUP(MONTH(B1340)/3,0)</f>
        <v>الربع 3</v>
      </c>
      <c r="S1340" s="40" t="str">
        <f aca="false">IF(D1340&lt;=12,"أطفال (0-12)",IF(D1340&lt;=24,"شباب (13-24)",IF(D1340&lt;=44,"بالغون (25-44)",IF(D1340&lt;=64,"متوسطو العمر (45-64)","كبار السن (+65)"))))</f>
        <v>متوسطو العمر (45-64)</v>
      </c>
      <c r="T1340" s="41" t="n">
        <f aca="false">IFERROR(L1340/P1340,0)</f>
        <v>1501.81</v>
      </c>
    </row>
    <row r="1341" customFormat="false" ht="15" hidden="false" customHeight="false" outlineLevel="0" collapsed="false">
      <c r="A1341" s="33" t="s">
        <v>2111</v>
      </c>
      <c r="B1341" s="34" t="n">
        <v>45525</v>
      </c>
      <c r="C1341" s="34" t="n">
        <v>45526</v>
      </c>
      <c r="D1341" s="33" t="n">
        <v>17</v>
      </c>
      <c r="E1341" s="33" t="s">
        <v>139</v>
      </c>
      <c r="F1341" s="33" t="s">
        <v>149</v>
      </c>
      <c r="G1341" s="33" t="s">
        <v>243</v>
      </c>
      <c r="H1341" s="33" t="s">
        <v>186</v>
      </c>
      <c r="I1341" s="33" t="s">
        <v>143</v>
      </c>
      <c r="J1341" s="33" t="s">
        <v>159</v>
      </c>
      <c r="K1341" s="33" t="s">
        <v>145</v>
      </c>
      <c r="L1341" s="35" t="n">
        <v>1416.58</v>
      </c>
      <c r="M1341" s="33" t="n">
        <v>4</v>
      </c>
      <c r="N1341" s="33" t="s">
        <v>146</v>
      </c>
      <c r="O1341" s="33" t="s">
        <v>147</v>
      </c>
      <c r="P1341" s="39" t="n">
        <f aca="false">C1341-B1341</f>
        <v>1</v>
      </c>
      <c r="Q1341" s="40" t="str">
        <f aca="false">CHOOSE(MONTH(B1341),"يناير","فبراير","مارس","أبريل","مايو","يونيو","يوليو","أغسطس","سبتمبر","أكتوبر","نوفمبر","ديسمبر")</f>
        <v>أغسطس</v>
      </c>
      <c r="R1341" s="40" t="str">
        <f aca="false">"الربع "&amp;ROUNDUP(MONTH(B1341)/3,0)</f>
        <v>الربع 3</v>
      </c>
      <c r="S1341" s="40" t="str">
        <f aca="false">IF(D1341&lt;=12,"أطفال (0-12)",IF(D1341&lt;=24,"شباب (13-24)",IF(D1341&lt;=44,"بالغون (25-44)",IF(D1341&lt;=64,"متوسطو العمر (45-64)","كبار السن (+65)"))))</f>
        <v>شباب (13-24)</v>
      </c>
      <c r="T1341" s="41" t="n">
        <f aca="false">IFERROR(L1341/P1341,0)</f>
        <v>1416.58</v>
      </c>
    </row>
    <row r="1342" customFormat="false" ht="15" hidden="false" customHeight="false" outlineLevel="0" collapsed="false">
      <c r="A1342" s="42" t="s">
        <v>753</v>
      </c>
      <c r="B1342" s="43" t="n">
        <v>45525</v>
      </c>
      <c r="C1342" s="43" t="n">
        <v>45532</v>
      </c>
      <c r="D1342" s="42" t="n">
        <v>72</v>
      </c>
      <c r="E1342" s="42" t="s">
        <v>139</v>
      </c>
      <c r="F1342" s="42" t="s">
        <v>140</v>
      </c>
      <c r="G1342" s="42" t="s">
        <v>141</v>
      </c>
      <c r="H1342" s="42" t="s">
        <v>142</v>
      </c>
      <c r="I1342" s="42" t="s">
        <v>143</v>
      </c>
      <c r="J1342" s="42" t="s">
        <v>159</v>
      </c>
      <c r="K1342" s="42" t="s">
        <v>184</v>
      </c>
      <c r="L1342" s="44" t="n">
        <v>16070.84</v>
      </c>
      <c r="M1342" s="42" t="n">
        <v>5</v>
      </c>
      <c r="N1342" s="42" t="s">
        <v>146</v>
      </c>
      <c r="O1342" s="42" t="s">
        <v>147</v>
      </c>
      <c r="P1342" s="39" t="n">
        <f aca="false">C1342-B1342</f>
        <v>7</v>
      </c>
      <c r="Q1342" s="40" t="str">
        <f aca="false">CHOOSE(MONTH(B1342),"يناير","فبراير","مارس","أبريل","مايو","يونيو","يوليو","أغسطس","سبتمبر","أكتوبر","نوفمبر","ديسمبر")</f>
        <v>أغسطس</v>
      </c>
      <c r="R1342" s="40" t="str">
        <f aca="false">"الربع "&amp;ROUNDUP(MONTH(B1342)/3,0)</f>
        <v>الربع 3</v>
      </c>
      <c r="S1342" s="40" t="str">
        <f aca="false">IF(D1342&lt;=12,"أطفال (0-12)",IF(D1342&lt;=24,"شباب (13-24)",IF(D1342&lt;=44,"بالغون (25-44)",IF(D1342&lt;=64,"متوسطو العمر (45-64)","كبار السن (+65)"))))</f>
        <v>كبار السن (+65)</v>
      </c>
      <c r="T1342" s="41" t="n">
        <f aca="false">IFERROR(L1342/P1342,0)</f>
        <v>2295.83428571429</v>
      </c>
    </row>
    <row r="1343" customFormat="false" ht="15" hidden="false" customHeight="false" outlineLevel="0" collapsed="false">
      <c r="A1343" s="33" t="s">
        <v>388</v>
      </c>
      <c r="B1343" s="34" t="n">
        <v>45525</v>
      </c>
      <c r="C1343" s="34" t="n">
        <v>45531</v>
      </c>
      <c r="D1343" s="33" t="n">
        <v>48</v>
      </c>
      <c r="E1343" s="33" t="s">
        <v>154</v>
      </c>
      <c r="F1343" s="33" t="s">
        <v>140</v>
      </c>
      <c r="G1343" s="33" t="s">
        <v>167</v>
      </c>
      <c r="H1343" s="33" t="s">
        <v>290</v>
      </c>
      <c r="I1343" s="33" t="s">
        <v>158</v>
      </c>
      <c r="J1343" s="33" t="s">
        <v>144</v>
      </c>
      <c r="K1343" s="33" t="s">
        <v>184</v>
      </c>
      <c r="L1343" s="35" t="n">
        <v>20521.15</v>
      </c>
      <c r="M1343" s="33" t="n">
        <v>4</v>
      </c>
      <c r="N1343" s="33" t="s">
        <v>146</v>
      </c>
      <c r="O1343" s="33" t="s">
        <v>147</v>
      </c>
      <c r="P1343" s="39" t="n">
        <f aca="false">C1343-B1343</f>
        <v>6</v>
      </c>
      <c r="Q1343" s="40" t="str">
        <f aca="false">CHOOSE(MONTH(B1343),"يناير","فبراير","مارس","أبريل","مايو","يونيو","يوليو","أغسطس","سبتمبر","أكتوبر","نوفمبر","ديسمبر")</f>
        <v>أغسطس</v>
      </c>
      <c r="R1343" s="40" t="str">
        <f aca="false">"الربع "&amp;ROUNDUP(MONTH(B1343)/3,0)</f>
        <v>الربع 3</v>
      </c>
      <c r="S1343" s="40" t="str">
        <f aca="false">IF(D1343&lt;=12,"أطفال (0-12)",IF(D1343&lt;=24,"شباب (13-24)",IF(D1343&lt;=44,"بالغون (25-44)",IF(D1343&lt;=64,"متوسطو العمر (45-64)","كبار السن (+65)"))))</f>
        <v>متوسطو العمر (45-64)</v>
      </c>
      <c r="T1343" s="41" t="n">
        <f aca="false">IFERROR(L1343/P1343,0)</f>
        <v>3420.19166666667</v>
      </c>
    </row>
    <row r="1344" customFormat="false" ht="15" hidden="false" customHeight="false" outlineLevel="0" collapsed="false">
      <c r="A1344" s="42" t="s">
        <v>1485</v>
      </c>
      <c r="B1344" s="43" t="n">
        <v>45525</v>
      </c>
      <c r="C1344" s="43" t="n">
        <v>45527</v>
      </c>
      <c r="D1344" s="42" t="n">
        <v>67</v>
      </c>
      <c r="E1344" s="42" t="s">
        <v>154</v>
      </c>
      <c r="F1344" s="42" t="s">
        <v>203</v>
      </c>
      <c r="G1344" s="42" t="s">
        <v>217</v>
      </c>
      <c r="H1344" s="42" t="s">
        <v>193</v>
      </c>
      <c r="I1344" s="42" t="s">
        <v>143</v>
      </c>
      <c r="J1344" s="42" t="s">
        <v>144</v>
      </c>
      <c r="K1344" s="42" t="s">
        <v>145</v>
      </c>
      <c r="L1344" s="44" t="n">
        <v>3467.25</v>
      </c>
      <c r="M1344" s="42" t="n">
        <v>2</v>
      </c>
      <c r="N1344" s="42" t="s">
        <v>146</v>
      </c>
      <c r="O1344" s="42" t="s">
        <v>147</v>
      </c>
      <c r="P1344" s="39" t="n">
        <f aca="false">C1344-B1344</f>
        <v>2</v>
      </c>
      <c r="Q1344" s="40" t="str">
        <f aca="false">CHOOSE(MONTH(B1344),"يناير","فبراير","مارس","أبريل","مايو","يونيو","يوليو","أغسطس","سبتمبر","أكتوبر","نوفمبر","ديسمبر")</f>
        <v>أغسطس</v>
      </c>
      <c r="R1344" s="40" t="str">
        <f aca="false">"الربع "&amp;ROUNDUP(MONTH(B1344)/3,0)</f>
        <v>الربع 3</v>
      </c>
      <c r="S1344" s="40" t="str">
        <f aca="false">IF(D1344&lt;=12,"أطفال (0-12)",IF(D1344&lt;=24,"شباب (13-24)",IF(D1344&lt;=44,"بالغون (25-44)",IF(D1344&lt;=64,"متوسطو العمر (45-64)","كبار السن (+65)"))))</f>
        <v>كبار السن (+65)</v>
      </c>
      <c r="T1344" s="41" t="n">
        <f aca="false">IFERROR(L1344/P1344,0)</f>
        <v>1733.625</v>
      </c>
    </row>
    <row r="1345" customFormat="false" ht="15" hidden="false" customHeight="false" outlineLevel="0" collapsed="false">
      <c r="A1345" s="33" t="s">
        <v>430</v>
      </c>
      <c r="B1345" s="34" t="n">
        <v>45525</v>
      </c>
      <c r="C1345" s="34" t="n">
        <v>45528</v>
      </c>
      <c r="D1345" s="33" t="n">
        <v>70</v>
      </c>
      <c r="E1345" s="33" t="s">
        <v>139</v>
      </c>
      <c r="F1345" s="33" t="s">
        <v>140</v>
      </c>
      <c r="G1345" s="33" t="s">
        <v>167</v>
      </c>
      <c r="H1345" s="33" t="s">
        <v>142</v>
      </c>
      <c r="I1345" s="33" t="s">
        <v>143</v>
      </c>
      <c r="J1345" s="33" t="s">
        <v>144</v>
      </c>
      <c r="K1345" s="33" t="s">
        <v>160</v>
      </c>
      <c r="L1345" s="35" t="n">
        <v>9434.86</v>
      </c>
      <c r="M1345" s="33" t="n">
        <v>4</v>
      </c>
      <c r="N1345" s="33" t="s">
        <v>146</v>
      </c>
      <c r="O1345" s="33" t="s">
        <v>147</v>
      </c>
      <c r="P1345" s="39" t="n">
        <f aca="false">C1345-B1345</f>
        <v>3</v>
      </c>
      <c r="Q1345" s="40" t="str">
        <f aca="false">CHOOSE(MONTH(B1345),"يناير","فبراير","مارس","أبريل","مايو","يونيو","يوليو","أغسطس","سبتمبر","أكتوبر","نوفمبر","ديسمبر")</f>
        <v>أغسطس</v>
      </c>
      <c r="R1345" s="40" t="str">
        <f aca="false">"الربع "&amp;ROUNDUP(MONTH(B1345)/3,0)</f>
        <v>الربع 3</v>
      </c>
      <c r="S1345" s="40" t="str">
        <f aca="false">IF(D1345&lt;=12,"أطفال (0-12)",IF(D1345&lt;=24,"شباب (13-24)",IF(D1345&lt;=44,"بالغون (25-44)",IF(D1345&lt;=64,"متوسطو العمر (45-64)","كبار السن (+65)"))))</f>
        <v>كبار السن (+65)</v>
      </c>
      <c r="T1345" s="41" t="n">
        <f aca="false">IFERROR(L1345/P1345,0)</f>
        <v>3144.95333333333</v>
      </c>
    </row>
    <row r="1346" customFormat="false" ht="15" hidden="false" customHeight="false" outlineLevel="0" collapsed="false">
      <c r="A1346" s="42" t="s">
        <v>1319</v>
      </c>
      <c r="B1346" s="43" t="n">
        <v>45525</v>
      </c>
      <c r="C1346" s="43" t="n">
        <v>45528</v>
      </c>
      <c r="D1346" s="42" t="n">
        <v>0</v>
      </c>
      <c r="E1346" s="42" t="s">
        <v>139</v>
      </c>
      <c r="F1346" s="42" t="s">
        <v>155</v>
      </c>
      <c r="G1346" s="42" t="s">
        <v>302</v>
      </c>
      <c r="H1346" s="42" t="s">
        <v>222</v>
      </c>
      <c r="I1346" s="42" t="s">
        <v>143</v>
      </c>
      <c r="J1346" s="42" t="s">
        <v>159</v>
      </c>
      <c r="K1346" s="42" t="s">
        <v>160</v>
      </c>
      <c r="L1346" s="44" t="n">
        <v>2478.55</v>
      </c>
      <c r="M1346" s="42" t="n">
        <v>4</v>
      </c>
      <c r="N1346" s="42" t="s">
        <v>146</v>
      </c>
      <c r="O1346" s="42" t="s">
        <v>147</v>
      </c>
      <c r="P1346" s="39" t="n">
        <f aca="false">C1346-B1346</f>
        <v>3</v>
      </c>
      <c r="Q1346" s="40" t="str">
        <f aca="false">CHOOSE(MONTH(B1346),"يناير","فبراير","مارس","أبريل","مايو","يونيو","يوليو","أغسطس","سبتمبر","أكتوبر","نوفمبر","ديسمبر")</f>
        <v>أغسطس</v>
      </c>
      <c r="R1346" s="40" t="str">
        <f aca="false">"الربع "&amp;ROUNDUP(MONTH(B1346)/3,0)</f>
        <v>الربع 3</v>
      </c>
      <c r="S1346" s="40" t="str">
        <f aca="false">IF(D1346&lt;=12,"أطفال (0-12)",IF(D1346&lt;=24,"شباب (13-24)",IF(D1346&lt;=44,"بالغون (25-44)",IF(D1346&lt;=64,"متوسطو العمر (45-64)","كبار السن (+65)"))))</f>
        <v>أطفال (0-12)</v>
      </c>
      <c r="T1346" s="41" t="n">
        <f aca="false">IFERROR(L1346/P1346,0)</f>
        <v>826.183333333333</v>
      </c>
    </row>
    <row r="1347" customFormat="false" ht="15" hidden="false" customHeight="false" outlineLevel="0" collapsed="false">
      <c r="A1347" s="33" t="s">
        <v>307</v>
      </c>
      <c r="B1347" s="34" t="n">
        <v>45526</v>
      </c>
      <c r="C1347" s="34" t="n">
        <v>45527</v>
      </c>
      <c r="D1347" s="33" t="n">
        <v>52</v>
      </c>
      <c r="E1347" s="33" t="s">
        <v>139</v>
      </c>
      <c r="F1347" s="33" t="s">
        <v>203</v>
      </c>
      <c r="G1347" s="33" t="s">
        <v>192</v>
      </c>
      <c r="H1347" s="33" t="s">
        <v>193</v>
      </c>
      <c r="I1347" s="33" t="s">
        <v>143</v>
      </c>
      <c r="J1347" s="33" t="s">
        <v>176</v>
      </c>
      <c r="K1347" s="33" t="s">
        <v>160</v>
      </c>
      <c r="L1347" s="35" t="n">
        <v>2901.87</v>
      </c>
      <c r="M1347" s="33" t="n">
        <v>4</v>
      </c>
      <c r="N1347" s="33" t="s">
        <v>146</v>
      </c>
      <c r="O1347" s="33" t="s">
        <v>147</v>
      </c>
      <c r="P1347" s="39" t="n">
        <f aca="false">C1347-B1347</f>
        <v>1</v>
      </c>
      <c r="Q1347" s="40" t="str">
        <f aca="false">CHOOSE(MONTH(B1347),"يناير","فبراير","مارس","أبريل","مايو","يونيو","يوليو","أغسطس","سبتمبر","أكتوبر","نوفمبر","ديسمبر")</f>
        <v>أغسطس</v>
      </c>
      <c r="R1347" s="40" t="str">
        <f aca="false">"الربع "&amp;ROUNDUP(MONTH(B1347)/3,0)</f>
        <v>الربع 3</v>
      </c>
      <c r="S1347" s="40" t="str">
        <f aca="false">IF(D1347&lt;=12,"أطفال (0-12)",IF(D1347&lt;=24,"شباب (13-24)",IF(D1347&lt;=44,"بالغون (25-44)",IF(D1347&lt;=64,"متوسطو العمر (45-64)","كبار السن (+65)"))))</f>
        <v>متوسطو العمر (45-64)</v>
      </c>
      <c r="T1347" s="41" t="n">
        <f aca="false">IFERROR(L1347/P1347,0)</f>
        <v>2901.87</v>
      </c>
    </row>
    <row r="1348" customFormat="false" ht="15" hidden="false" customHeight="false" outlineLevel="0" collapsed="false">
      <c r="A1348" s="42" t="s">
        <v>1759</v>
      </c>
      <c r="B1348" s="43" t="n">
        <v>45526</v>
      </c>
      <c r="C1348" s="43" t="n">
        <v>45527</v>
      </c>
      <c r="D1348" s="42" t="n">
        <v>75</v>
      </c>
      <c r="E1348" s="42" t="s">
        <v>139</v>
      </c>
      <c r="F1348" s="42" t="s">
        <v>203</v>
      </c>
      <c r="G1348" s="42" t="s">
        <v>192</v>
      </c>
      <c r="H1348" s="42" t="s">
        <v>205</v>
      </c>
      <c r="I1348" s="42" t="s">
        <v>143</v>
      </c>
      <c r="J1348" s="42" t="s">
        <v>159</v>
      </c>
      <c r="K1348" s="42" t="s">
        <v>145</v>
      </c>
      <c r="L1348" s="44" t="n">
        <v>1057.95</v>
      </c>
      <c r="M1348" s="42" t="n">
        <v>4</v>
      </c>
      <c r="N1348" s="42" t="s">
        <v>210</v>
      </c>
      <c r="O1348" s="42" t="s">
        <v>147</v>
      </c>
      <c r="P1348" s="39" t="n">
        <f aca="false">C1348-B1348</f>
        <v>1</v>
      </c>
      <c r="Q1348" s="40" t="str">
        <f aca="false">CHOOSE(MONTH(B1348),"يناير","فبراير","مارس","أبريل","مايو","يونيو","يوليو","أغسطس","سبتمبر","أكتوبر","نوفمبر","ديسمبر")</f>
        <v>أغسطس</v>
      </c>
      <c r="R1348" s="40" t="str">
        <f aca="false">"الربع "&amp;ROUNDUP(MONTH(B1348)/3,0)</f>
        <v>الربع 3</v>
      </c>
      <c r="S1348" s="40" t="str">
        <f aca="false">IF(D1348&lt;=12,"أطفال (0-12)",IF(D1348&lt;=24,"شباب (13-24)",IF(D1348&lt;=44,"بالغون (25-44)",IF(D1348&lt;=64,"متوسطو العمر (45-64)","كبار السن (+65)"))))</f>
        <v>كبار السن (+65)</v>
      </c>
      <c r="T1348" s="41" t="n">
        <f aca="false">IFERROR(L1348/P1348,0)</f>
        <v>1057.95</v>
      </c>
    </row>
    <row r="1349" customFormat="false" ht="15" hidden="false" customHeight="false" outlineLevel="0" collapsed="false">
      <c r="A1349" s="33" t="s">
        <v>2200</v>
      </c>
      <c r="B1349" s="34" t="n">
        <v>45527</v>
      </c>
      <c r="C1349" s="34" t="n">
        <v>45529</v>
      </c>
      <c r="D1349" s="33" t="n">
        <v>51</v>
      </c>
      <c r="E1349" s="33" t="s">
        <v>154</v>
      </c>
      <c r="F1349" s="33" t="s">
        <v>203</v>
      </c>
      <c r="G1349" s="33" t="s">
        <v>232</v>
      </c>
      <c r="H1349" s="33" t="s">
        <v>233</v>
      </c>
      <c r="I1349" s="33" t="s">
        <v>143</v>
      </c>
      <c r="J1349" s="33" t="s">
        <v>144</v>
      </c>
      <c r="K1349" s="33" t="s">
        <v>184</v>
      </c>
      <c r="L1349" s="35" t="n">
        <v>3203.28</v>
      </c>
      <c r="M1349" s="33" t="n">
        <v>4</v>
      </c>
      <c r="N1349" s="33" t="s">
        <v>146</v>
      </c>
      <c r="O1349" s="33" t="s">
        <v>147</v>
      </c>
      <c r="P1349" s="39" t="n">
        <f aca="false">C1349-B1349</f>
        <v>2</v>
      </c>
      <c r="Q1349" s="40" t="str">
        <f aca="false">CHOOSE(MONTH(B1349),"يناير","فبراير","مارس","أبريل","مايو","يونيو","يوليو","أغسطس","سبتمبر","أكتوبر","نوفمبر","ديسمبر")</f>
        <v>أغسطس</v>
      </c>
      <c r="R1349" s="40" t="str">
        <f aca="false">"الربع "&amp;ROUNDUP(MONTH(B1349)/3,0)</f>
        <v>الربع 3</v>
      </c>
      <c r="S1349" s="40" t="str">
        <f aca="false">IF(D1349&lt;=12,"أطفال (0-12)",IF(D1349&lt;=24,"شباب (13-24)",IF(D1349&lt;=44,"بالغون (25-44)",IF(D1349&lt;=64,"متوسطو العمر (45-64)","كبار السن (+65)"))))</f>
        <v>متوسطو العمر (45-64)</v>
      </c>
      <c r="T1349" s="41" t="n">
        <f aca="false">IFERROR(L1349/P1349,0)</f>
        <v>1601.64</v>
      </c>
    </row>
    <row r="1350" customFormat="false" ht="15" hidden="false" customHeight="false" outlineLevel="0" collapsed="false">
      <c r="A1350" s="42" t="s">
        <v>785</v>
      </c>
      <c r="B1350" s="43" t="n">
        <v>45527</v>
      </c>
      <c r="C1350" s="43" t="n">
        <v>45532</v>
      </c>
      <c r="D1350" s="42" t="n">
        <v>67</v>
      </c>
      <c r="E1350" s="42" t="s">
        <v>139</v>
      </c>
      <c r="F1350" s="42" t="s">
        <v>226</v>
      </c>
      <c r="G1350" s="42" t="s">
        <v>227</v>
      </c>
      <c r="H1350" s="42" t="s">
        <v>263</v>
      </c>
      <c r="I1350" s="42" t="s">
        <v>152</v>
      </c>
      <c r="J1350" s="42" t="s">
        <v>159</v>
      </c>
      <c r="K1350" s="42" t="s">
        <v>160</v>
      </c>
      <c r="L1350" s="44" t="n">
        <v>16842.86</v>
      </c>
      <c r="M1350" s="42" t="n">
        <v>3</v>
      </c>
      <c r="N1350" s="42" t="s">
        <v>146</v>
      </c>
      <c r="O1350" s="42" t="s">
        <v>147</v>
      </c>
      <c r="P1350" s="39" t="n">
        <f aca="false">C1350-B1350</f>
        <v>5</v>
      </c>
      <c r="Q1350" s="40" t="str">
        <f aca="false">CHOOSE(MONTH(B1350),"يناير","فبراير","مارس","أبريل","مايو","يونيو","يوليو","أغسطس","سبتمبر","أكتوبر","نوفمبر","ديسمبر")</f>
        <v>أغسطس</v>
      </c>
      <c r="R1350" s="40" t="str">
        <f aca="false">"الربع "&amp;ROUNDUP(MONTH(B1350)/3,0)</f>
        <v>الربع 3</v>
      </c>
      <c r="S1350" s="40" t="str">
        <f aca="false">IF(D1350&lt;=12,"أطفال (0-12)",IF(D1350&lt;=24,"شباب (13-24)",IF(D1350&lt;=44,"بالغون (25-44)",IF(D1350&lt;=64,"متوسطو العمر (45-64)","كبار السن (+65)"))))</f>
        <v>كبار السن (+65)</v>
      </c>
      <c r="T1350" s="41" t="n">
        <f aca="false">IFERROR(L1350/P1350,0)</f>
        <v>3368.572</v>
      </c>
    </row>
    <row r="1351" customFormat="false" ht="15" hidden="false" customHeight="false" outlineLevel="0" collapsed="false">
      <c r="A1351" s="33" t="s">
        <v>1133</v>
      </c>
      <c r="B1351" s="34" t="n">
        <v>45527</v>
      </c>
      <c r="C1351" s="34" t="n">
        <v>45531</v>
      </c>
      <c r="D1351" s="33" t="n">
        <v>28</v>
      </c>
      <c r="E1351" s="33" t="s">
        <v>139</v>
      </c>
      <c r="F1351" s="33" t="s">
        <v>173</v>
      </c>
      <c r="G1351" s="33" t="s">
        <v>198</v>
      </c>
      <c r="H1351" s="33" t="s">
        <v>175</v>
      </c>
      <c r="I1351" s="33" t="s">
        <v>152</v>
      </c>
      <c r="J1351" s="33" t="s">
        <v>159</v>
      </c>
      <c r="K1351" s="33" t="s">
        <v>145</v>
      </c>
      <c r="L1351" s="35" t="n">
        <v>10342.89</v>
      </c>
      <c r="M1351" s="33" t="n">
        <v>4</v>
      </c>
      <c r="N1351" s="33" t="s">
        <v>146</v>
      </c>
      <c r="O1351" s="33" t="s">
        <v>147</v>
      </c>
      <c r="P1351" s="39" t="n">
        <f aca="false">C1351-B1351</f>
        <v>4</v>
      </c>
      <c r="Q1351" s="40" t="str">
        <f aca="false">CHOOSE(MONTH(B1351),"يناير","فبراير","مارس","أبريل","مايو","يونيو","يوليو","أغسطس","سبتمبر","أكتوبر","نوفمبر","ديسمبر")</f>
        <v>أغسطس</v>
      </c>
      <c r="R1351" s="40" t="str">
        <f aca="false">"الربع "&amp;ROUNDUP(MONTH(B1351)/3,0)</f>
        <v>الربع 3</v>
      </c>
      <c r="S1351" s="40" t="str">
        <f aca="false">IF(D1351&lt;=12,"أطفال (0-12)",IF(D1351&lt;=24,"شباب (13-24)",IF(D1351&lt;=44,"بالغون (25-44)",IF(D1351&lt;=64,"متوسطو العمر (45-64)","كبار السن (+65)"))))</f>
        <v>بالغون (25-44)</v>
      </c>
      <c r="T1351" s="41" t="n">
        <f aca="false">IFERROR(L1351/P1351,0)</f>
        <v>2585.7225</v>
      </c>
    </row>
    <row r="1352" customFormat="false" ht="15" hidden="false" customHeight="false" outlineLevel="0" collapsed="false">
      <c r="A1352" s="42" t="s">
        <v>1705</v>
      </c>
      <c r="B1352" s="43" t="n">
        <v>45527</v>
      </c>
      <c r="C1352" s="43" t="n">
        <v>45531</v>
      </c>
      <c r="D1352" s="42" t="n">
        <v>17</v>
      </c>
      <c r="E1352" s="42" t="s">
        <v>154</v>
      </c>
      <c r="F1352" s="42" t="s">
        <v>140</v>
      </c>
      <c r="G1352" s="42" t="s">
        <v>167</v>
      </c>
      <c r="H1352" s="42" t="s">
        <v>142</v>
      </c>
      <c r="I1352" s="42" t="s">
        <v>143</v>
      </c>
      <c r="J1352" s="42" t="s">
        <v>159</v>
      </c>
      <c r="K1352" s="42" t="s">
        <v>145</v>
      </c>
      <c r="L1352" s="44" t="n">
        <v>9208.65</v>
      </c>
      <c r="M1352" s="42" t="n">
        <v>5</v>
      </c>
      <c r="N1352" s="42" t="s">
        <v>146</v>
      </c>
      <c r="O1352" s="42" t="s">
        <v>147</v>
      </c>
      <c r="P1352" s="39" t="n">
        <f aca="false">C1352-B1352</f>
        <v>4</v>
      </c>
      <c r="Q1352" s="40" t="str">
        <f aca="false">CHOOSE(MONTH(B1352),"يناير","فبراير","مارس","أبريل","مايو","يونيو","يوليو","أغسطس","سبتمبر","أكتوبر","نوفمبر","ديسمبر")</f>
        <v>أغسطس</v>
      </c>
      <c r="R1352" s="40" t="str">
        <f aca="false">"الربع "&amp;ROUNDUP(MONTH(B1352)/3,0)</f>
        <v>الربع 3</v>
      </c>
      <c r="S1352" s="40" t="str">
        <f aca="false">IF(D1352&lt;=12,"أطفال (0-12)",IF(D1352&lt;=24,"شباب (13-24)",IF(D1352&lt;=44,"بالغون (25-44)",IF(D1352&lt;=64,"متوسطو العمر (45-64)","كبار السن (+65)"))))</f>
        <v>شباب (13-24)</v>
      </c>
      <c r="T1352" s="41" t="n">
        <f aca="false">IFERROR(L1352/P1352,0)</f>
        <v>2302.1625</v>
      </c>
    </row>
    <row r="1353" customFormat="false" ht="15" hidden="false" customHeight="false" outlineLevel="0" collapsed="false">
      <c r="A1353" s="33" t="s">
        <v>223</v>
      </c>
      <c r="B1353" s="34" t="n">
        <v>45528</v>
      </c>
      <c r="C1353" s="34" t="n">
        <v>45530</v>
      </c>
      <c r="D1353" s="33" t="n">
        <v>35</v>
      </c>
      <c r="E1353" s="33" t="s">
        <v>139</v>
      </c>
      <c r="F1353" s="33" t="s">
        <v>149</v>
      </c>
      <c r="G1353" s="33" t="s">
        <v>224</v>
      </c>
      <c r="H1353" s="33" t="s">
        <v>186</v>
      </c>
      <c r="I1353" s="33" t="s">
        <v>152</v>
      </c>
      <c r="J1353" s="33" t="s">
        <v>176</v>
      </c>
      <c r="K1353" s="33" t="s">
        <v>160</v>
      </c>
      <c r="L1353" s="35" t="n">
        <v>8534.42</v>
      </c>
      <c r="M1353" s="33" t="n">
        <v>4</v>
      </c>
      <c r="N1353" s="33" t="s">
        <v>146</v>
      </c>
      <c r="O1353" s="33" t="s">
        <v>147</v>
      </c>
      <c r="P1353" s="39" t="n">
        <f aca="false">C1353-B1353</f>
        <v>2</v>
      </c>
      <c r="Q1353" s="40" t="str">
        <f aca="false">CHOOSE(MONTH(B1353),"يناير","فبراير","مارس","أبريل","مايو","يونيو","يوليو","أغسطس","سبتمبر","أكتوبر","نوفمبر","ديسمبر")</f>
        <v>أغسطس</v>
      </c>
      <c r="R1353" s="40" t="str">
        <f aca="false">"الربع "&amp;ROUNDUP(MONTH(B1353)/3,0)</f>
        <v>الربع 3</v>
      </c>
      <c r="S1353" s="40" t="str">
        <f aca="false">IF(D1353&lt;=12,"أطفال (0-12)",IF(D1353&lt;=24,"شباب (13-24)",IF(D1353&lt;=44,"بالغون (25-44)",IF(D1353&lt;=64,"متوسطو العمر (45-64)","كبار السن (+65)"))))</f>
        <v>بالغون (25-44)</v>
      </c>
      <c r="T1353" s="41" t="n">
        <f aca="false">IFERROR(L1353/P1353,0)</f>
        <v>4267.21</v>
      </c>
    </row>
    <row r="1354" customFormat="false" ht="15" hidden="false" customHeight="false" outlineLevel="0" collapsed="false">
      <c r="A1354" s="42" t="s">
        <v>2047</v>
      </c>
      <c r="B1354" s="43" t="n">
        <v>45528</v>
      </c>
      <c r="C1354" s="43" t="n">
        <v>45535</v>
      </c>
      <c r="D1354" s="42" t="n">
        <v>39</v>
      </c>
      <c r="E1354" s="42" t="s">
        <v>154</v>
      </c>
      <c r="F1354" s="42" t="s">
        <v>181</v>
      </c>
      <c r="G1354" s="42" t="s">
        <v>188</v>
      </c>
      <c r="H1354" s="42" t="s">
        <v>245</v>
      </c>
      <c r="I1354" s="42" t="s">
        <v>143</v>
      </c>
      <c r="J1354" s="42" t="s">
        <v>159</v>
      </c>
      <c r="K1354" s="42" t="s">
        <v>184</v>
      </c>
      <c r="L1354" s="44" t="n">
        <v>14291.27</v>
      </c>
      <c r="M1354" s="42" t="n">
        <v>4</v>
      </c>
      <c r="N1354" s="42" t="s">
        <v>146</v>
      </c>
      <c r="O1354" s="42" t="s">
        <v>147</v>
      </c>
      <c r="P1354" s="39" t="n">
        <f aca="false">C1354-B1354</f>
        <v>7</v>
      </c>
      <c r="Q1354" s="40" t="str">
        <f aca="false">CHOOSE(MONTH(B1354),"يناير","فبراير","مارس","أبريل","مايو","يونيو","يوليو","أغسطس","سبتمبر","أكتوبر","نوفمبر","ديسمبر")</f>
        <v>أغسطس</v>
      </c>
      <c r="R1354" s="40" t="str">
        <f aca="false">"الربع "&amp;ROUNDUP(MONTH(B1354)/3,0)</f>
        <v>الربع 3</v>
      </c>
      <c r="S1354" s="40" t="str">
        <f aca="false">IF(D1354&lt;=12,"أطفال (0-12)",IF(D1354&lt;=24,"شباب (13-24)",IF(D1354&lt;=44,"بالغون (25-44)",IF(D1354&lt;=64,"متوسطو العمر (45-64)","كبار السن (+65)"))))</f>
        <v>بالغون (25-44)</v>
      </c>
      <c r="T1354" s="41" t="n">
        <f aca="false">IFERROR(L1354/P1354,0)</f>
        <v>2041.61</v>
      </c>
    </row>
    <row r="1355" customFormat="false" ht="15" hidden="false" customHeight="false" outlineLevel="0" collapsed="false">
      <c r="A1355" s="33" t="s">
        <v>1582</v>
      </c>
      <c r="B1355" s="34" t="n">
        <v>45529</v>
      </c>
      <c r="C1355" s="34" t="n">
        <v>45531</v>
      </c>
      <c r="D1355" s="33" t="n">
        <v>60</v>
      </c>
      <c r="E1355" s="33" t="s">
        <v>139</v>
      </c>
      <c r="F1355" s="33" t="s">
        <v>140</v>
      </c>
      <c r="G1355" s="33" t="s">
        <v>316</v>
      </c>
      <c r="H1355" s="33" t="s">
        <v>290</v>
      </c>
      <c r="I1355" s="33" t="s">
        <v>152</v>
      </c>
      <c r="J1355" s="33" t="s">
        <v>159</v>
      </c>
      <c r="K1355" s="33" t="s">
        <v>209</v>
      </c>
      <c r="L1355" s="35" t="n">
        <v>4225.85</v>
      </c>
      <c r="M1355" s="33" t="n">
        <v>3</v>
      </c>
      <c r="N1355" s="33" t="s">
        <v>146</v>
      </c>
      <c r="O1355" s="33" t="s">
        <v>147</v>
      </c>
      <c r="P1355" s="39" t="n">
        <f aca="false">C1355-B1355</f>
        <v>2</v>
      </c>
      <c r="Q1355" s="40" t="str">
        <f aca="false">CHOOSE(MONTH(B1355),"يناير","فبراير","مارس","أبريل","مايو","يونيو","يوليو","أغسطس","سبتمبر","أكتوبر","نوفمبر","ديسمبر")</f>
        <v>أغسطس</v>
      </c>
      <c r="R1355" s="40" t="str">
        <f aca="false">"الربع "&amp;ROUNDUP(MONTH(B1355)/3,0)</f>
        <v>الربع 3</v>
      </c>
      <c r="S1355" s="40" t="str">
        <f aca="false">IF(D1355&lt;=12,"أطفال (0-12)",IF(D1355&lt;=24,"شباب (13-24)",IF(D1355&lt;=44,"بالغون (25-44)",IF(D1355&lt;=64,"متوسطو العمر (45-64)","كبار السن (+65)"))))</f>
        <v>متوسطو العمر (45-64)</v>
      </c>
      <c r="T1355" s="41" t="n">
        <f aca="false">IFERROR(L1355/P1355,0)</f>
        <v>2112.925</v>
      </c>
    </row>
    <row r="1356" customFormat="false" ht="15" hidden="false" customHeight="false" outlineLevel="0" collapsed="false">
      <c r="A1356" s="42" t="s">
        <v>2173</v>
      </c>
      <c r="B1356" s="43" t="n">
        <v>45529</v>
      </c>
      <c r="C1356" s="43" t="n">
        <v>45533</v>
      </c>
      <c r="D1356" s="42" t="n">
        <v>40</v>
      </c>
      <c r="E1356" s="42" t="s">
        <v>139</v>
      </c>
      <c r="F1356" s="42" t="s">
        <v>149</v>
      </c>
      <c r="G1356" s="42" t="s">
        <v>224</v>
      </c>
      <c r="H1356" s="42" t="s">
        <v>186</v>
      </c>
      <c r="I1356" s="42" t="s">
        <v>152</v>
      </c>
      <c r="J1356" s="42" t="s">
        <v>159</v>
      </c>
      <c r="K1356" s="42" t="s">
        <v>145</v>
      </c>
      <c r="L1356" s="44" t="n">
        <v>4281.79</v>
      </c>
      <c r="M1356" s="42" t="n">
        <v>5</v>
      </c>
      <c r="N1356" s="42" t="s">
        <v>146</v>
      </c>
      <c r="O1356" s="42" t="s">
        <v>147</v>
      </c>
      <c r="P1356" s="39" t="n">
        <f aca="false">C1356-B1356</f>
        <v>4</v>
      </c>
      <c r="Q1356" s="40" t="str">
        <f aca="false">CHOOSE(MONTH(B1356),"يناير","فبراير","مارس","أبريل","مايو","يونيو","يوليو","أغسطس","سبتمبر","أكتوبر","نوفمبر","ديسمبر")</f>
        <v>أغسطس</v>
      </c>
      <c r="R1356" s="40" t="str">
        <f aca="false">"الربع "&amp;ROUNDUP(MONTH(B1356)/3,0)</f>
        <v>الربع 3</v>
      </c>
      <c r="S1356" s="40" t="str">
        <f aca="false">IF(D1356&lt;=12,"أطفال (0-12)",IF(D1356&lt;=24,"شباب (13-24)",IF(D1356&lt;=44,"بالغون (25-44)",IF(D1356&lt;=64,"متوسطو العمر (45-64)","كبار السن (+65)"))))</f>
        <v>بالغون (25-44)</v>
      </c>
      <c r="T1356" s="41" t="n">
        <f aca="false">IFERROR(L1356/P1356,0)</f>
        <v>1070.4475</v>
      </c>
    </row>
    <row r="1357" customFormat="false" ht="15" hidden="false" customHeight="false" outlineLevel="0" collapsed="false">
      <c r="A1357" s="33" t="s">
        <v>1832</v>
      </c>
      <c r="B1357" s="34" t="n">
        <v>45529</v>
      </c>
      <c r="C1357" s="34" t="n">
        <v>45530</v>
      </c>
      <c r="D1357" s="33" t="n">
        <v>23</v>
      </c>
      <c r="E1357" s="33" t="s">
        <v>139</v>
      </c>
      <c r="F1357" s="33" t="s">
        <v>203</v>
      </c>
      <c r="G1357" s="33" t="s">
        <v>241</v>
      </c>
      <c r="H1357" s="33" t="s">
        <v>205</v>
      </c>
      <c r="I1357" s="33" t="s">
        <v>143</v>
      </c>
      <c r="J1357" s="33" t="s">
        <v>176</v>
      </c>
      <c r="K1357" s="33" t="s">
        <v>184</v>
      </c>
      <c r="L1357" s="35" t="n">
        <v>2836.34</v>
      </c>
      <c r="M1357" s="33" t="n">
        <v>4</v>
      </c>
      <c r="N1357" s="33" t="s">
        <v>210</v>
      </c>
      <c r="O1357" s="33" t="s">
        <v>147</v>
      </c>
      <c r="P1357" s="39" t="n">
        <f aca="false">C1357-B1357</f>
        <v>1</v>
      </c>
      <c r="Q1357" s="40" t="str">
        <f aca="false">CHOOSE(MONTH(B1357),"يناير","فبراير","مارس","أبريل","مايو","يونيو","يوليو","أغسطس","سبتمبر","أكتوبر","نوفمبر","ديسمبر")</f>
        <v>أغسطس</v>
      </c>
      <c r="R1357" s="40" t="str">
        <f aca="false">"الربع "&amp;ROUNDUP(MONTH(B1357)/3,0)</f>
        <v>الربع 3</v>
      </c>
      <c r="S1357" s="40" t="str">
        <f aca="false">IF(D1357&lt;=12,"أطفال (0-12)",IF(D1357&lt;=24,"شباب (13-24)",IF(D1357&lt;=44,"بالغون (25-44)",IF(D1357&lt;=64,"متوسطو العمر (45-64)","كبار السن (+65)"))))</f>
        <v>شباب (13-24)</v>
      </c>
      <c r="T1357" s="41" t="n">
        <f aca="false">IFERROR(L1357/P1357,0)</f>
        <v>2836.34</v>
      </c>
    </row>
    <row r="1358" customFormat="false" ht="15" hidden="false" customHeight="false" outlineLevel="0" collapsed="false">
      <c r="A1358" s="42" t="s">
        <v>2071</v>
      </c>
      <c r="B1358" s="43" t="n">
        <v>45529</v>
      </c>
      <c r="C1358" s="43" t="n">
        <v>45530</v>
      </c>
      <c r="D1358" s="42" t="n">
        <v>50</v>
      </c>
      <c r="E1358" s="42" t="s">
        <v>154</v>
      </c>
      <c r="F1358" s="42" t="s">
        <v>203</v>
      </c>
      <c r="G1358" s="42" t="s">
        <v>232</v>
      </c>
      <c r="H1358" s="42" t="s">
        <v>233</v>
      </c>
      <c r="I1358" s="42" t="s">
        <v>143</v>
      </c>
      <c r="J1358" s="42" t="s">
        <v>159</v>
      </c>
      <c r="K1358" s="42" t="s">
        <v>160</v>
      </c>
      <c r="L1358" s="44" t="n">
        <v>937.35</v>
      </c>
      <c r="M1358" s="42" t="n">
        <v>4</v>
      </c>
      <c r="N1358" s="42" t="s">
        <v>210</v>
      </c>
      <c r="O1358" s="42" t="s">
        <v>147</v>
      </c>
      <c r="P1358" s="39" t="n">
        <f aca="false">C1358-B1358</f>
        <v>1</v>
      </c>
      <c r="Q1358" s="40" t="str">
        <f aca="false">CHOOSE(MONTH(B1358),"يناير","فبراير","مارس","أبريل","مايو","يونيو","يوليو","أغسطس","سبتمبر","أكتوبر","نوفمبر","ديسمبر")</f>
        <v>أغسطس</v>
      </c>
      <c r="R1358" s="40" t="str">
        <f aca="false">"الربع "&amp;ROUNDUP(MONTH(B1358)/3,0)</f>
        <v>الربع 3</v>
      </c>
      <c r="S1358" s="40" t="str">
        <f aca="false">IF(D1358&lt;=12,"أطفال (0-12)",IF(D1358&lt;=24,"شباب (13-24)",IF(D1358&lt;=44,"بالغون (25-44)",IF(D1358&lt;=64,"متوسطو العمر (45-64)","كبار السن (+65)"))))</f>
        <v>متوسطو العمر (45-64)</v>
      </c>
      <c r="T1358" s="41" t="n">
        <f aca="false">IFERROR(L1358/P1358,0)</f>
        <v>937.35</v>
      </c>
    </row>
    <row r="1359" customFormat="false" ht="15" hidden="false" customHeight="false" outlineLevel="0" collapsed="false">
      <c r="A1359" s="33" t="s">
        <v>400</v>
      </c>
      <c r="B1359" s="34" t="n">
        <v>45529</v>
      </c>
      <c r="C1359" s="34" t="n">
        <v>45530</v>
      </c>
      <c r="D1359" s="33" t="n">
        <v>45</v>
      </c>
      <c r="E1359" s="33" t="s">
        <v>154</v>
      </c>
      <c r="F1359" s="33" t="s">
        <v>203</v>
      </c>
      <c r="G1359" s="33" t="s">
        <v>217</v>
      </c>
      <c r="H1359" s="33" t="s">
        <v>193</v>
      </c>
      <c r="I1359" s="33" t="s">
        <v>143</v>
      </c>
      <c r="J1359" s="33" t="s">
        <v>144</v>
      </c>
      <c r="K1359" s="33" t="s">
        <v>160</v>
      </c>
      <c r="L1359" s="35" t="n">
        <v>1732.77</v>
      </c>
      <c r="M1359" s="33" t="n">
        <v>5</v>
      </c>
      <c r="N1359" s="33" t="s">
        <v>146</v>
      </c>
      <c r="O1359" s="33" t="s">
        <v>147</v>
      </c>
      <c r="P1359" s="39" t="n">
        <f aca="false">C1359-B1359</f>
        <v>1</v>
      </c>
      <c r="Q1359" s="40" t="str">
        <f aca="false">CHOOSE(MONTH(B1359),"يناير","فبراير","مارس","أبريل","مايو","يونيو","يوليو","أغسطس","سبتمبر","أكتوبر","نوفمبر","ديسمبر")</f>
        <v>أغسطس</v>
      </c>
      <c r="R1359" s="40" t="str">
        <f aca="false">"الربع "&amp;ROUNDUP(MONTH(B1359)/3,0)</f>
        <v>الربع 3</v>
      </c>
      <c r="S1359" s="40" t="str">
        <f aca="false">IF(D1359&lt;=12,"أطفال (0-12)",IF(D1359&lt;=24,"شباب (13-24)",IF(D1359&lt;=44,"بالغون (25-44)",IF(D1359&lt;=64,"متوسطو العمر (45-64)","كبار السن (+65)"))))</f>
        <v>متوسطو العمر (45-64)</v>
      </c>
      <c r="T1359" s="41" t="n">
        <f aca="false">IFERROR(L1359/P1359,0)</f>
        <v>1732.77</v>
      </c>
    </row>
    <row r="1360" customFormat="false" ht="15" hidden="false" customHeight="false" outlineLevel="0" collapsed="false">
      <c r="A1360" s="42" t="s">
        <v>423</v>
      </c>
      <c r="B1360" s="43" t="n">
        <v>45529</v>
      </c>
      <c r="C1360" s="43" t="n">
        <v>45531</v>
      </c>
      <c r="D1360" s="42" t="n">
        <v>35</v>
      </c>
      <c r="E1360" s="42" t="s">
        <v>139</v>
      </c>
      <c r="F1360" s="42" t="s">
        <v>140</v>
      </c>
      <c r="G1360" s="42" t="s">
        <v>316</v>
      </c>
      <c r="H1360" s="42" t="s">
        <v>290</v>
      </c>
      <c r="I1360" s="42" t="s">
        <v>152</v>
      </c>
      <c r="J1360" s="42" t="s">
        <v>176</v>
      </c>
      <c r="K1360" s="42" t="s">
        <v>184</v>
      </c>
      <c r="L1360" s="44" t="n">
        <v>14821.3</v>
      </c>
      <c r="M1360" s="42" t="n">
        <v>5</v>
      </c>
      <c r="N1360" s="42" t="s">
        <v>146</v>
      </c>
      <c r="O1360" s="42" t="s">
        <v>147</v>
      </c>
      <c r="P1360" s="39" t="n">
        <f aca="false">C1360-B1360</f>
        <v>2</v>
      </c>
      <c r="Q1360" s="40" t="str">
        <f aca="false">CHOOSE(MONTH(B1360),"يناير","فبراير","مارس","أبريل","مايو","يونيو","يوليو","أغسطس","سبتمبر","أكتوبر","نوفمبر","ديسمبر")</f>
        <v>أغسطس</v>
      </c>
      <c r="R1360" s="40" t="str">
        <f aca="false">"الربع "&amp;ROUNDUP(MONTH(B1360)/3,0)</f>
        <v>الربع 3</v>
      </c>
      <c r="S1360" s="40" t="str">
        <f aca="false">IF(D1360&lt;=12,"أطفال (0-12)",IF(D1360&lt;=24,"شباب (13-24)",IF(D1360&lt;=44,"بالغون (25-44)",IF(D1360&lt;=64,"متوسطو العمر (45-64)","كبار السن (+65)"))))</f>
        <v>بالغون (25-44)</v>
      </c>
      <c r="T1360" s="41" t="n">
        <f aca="false">IFERROR(L1360/P1360,0)</f>
        <v>7410.65</v>
      </c>
    </row>
    <row r="1361" customFormat="false" ht="15" hidden="false" customHeight="false" outlineLevel="0" collapsed="false">
      <c r="A1361" s="33" t="s">
        <v>2319</v>
      </c>
      <c r="B1361" s="34" t="n">
        <v>45529</v>
      </c>
      <c r="C1361" s="34" t="n">
        <v>45534</v>
      </c>
      <c r="D1361" s="33" t="n">
        <v>66</v>
      </c>
      <c r="E1361" s="33" t="s">
        <v>139</v>
      </c>
      <c r="F1361" s="33" t="s">
        <v>181</v>
      </c>
      <c r="G1361" s="33" t="s">
        <v>182</v>
      </c>
      <c r="H1361" s="33" t="s">
        <v>245</v>
      </c>
      <c r="I1361" s="33" t="s">
        <v>158</v>
      </c>
      <c r="J1361" s="33" t="s">
        <v>159</v>
      </c>
      <c r="K1361" s="33" t="s">
        <v>145</v>
      </c>
      <c r="L1361" s="35" t="n">
        <v>13190.74</v>
      </c>
      <c r="M1361" s="33" t="n">
        <v>4</v>
      </c>
      <c r="N1361" s="33" t="s">
        <v>146</v>
      </c>
      <c r="O1361" s="33" t="s">
        <v>147</v>
      </c>
      <c r="P1361" s="39" t="n">
        <f aca="false">C1361-B1361</f>
        <v>5</v>
      </c>
      <c r="Q1361" s="40" t="str">
        <f aca="false">CHOOSE(MONTH(B1361),"يناير","فبراير","مارس","أبريل","مايو","يونيو","يوليو","أغسطس","سبتمبر","أكتوبر","نوفمبر","ديسمبر")</f>
        <v>أغسطس</v>
      </c>
      <c r="R1361" s="40" t="str">
        <f aca="false">"الربع "&amp;ROUNDUP(MONTH(B1361)/3,0)</f>
        <v>الربع 3</v>
      </c>
      <c r="S1361" s="40" t="str">
        <f aca="false">IF(D1361&lt;=12,"أطفال (0-12)",IF(D1361&lt;=24,"شباب (13-24)",IF(D1361&lt;=44,"بالغون (25-44)",IF(D1361&lt;=64,"متوسطو العمر (45-64)","كبار السن (+65)"))))</f>
        <v>كبار السن (+65)</v>
      </c>
      <c r="T1361" s="41" t="n">
        <f aca="false">IFERROR(L1361/P1361,0)</f>
        <v>2638.148</v>
      </c>
    </row>
    <row r="1362" customFormat="false" ht="15" hidden="false" customHeight="false" outlineLevel="0" collapsed="false">
      <c r="A1362" s="42" t="s">
        <v>551</v>
      </c>
      <c r="B1362" s="43" t="n">
        <v>45529</v>
      </c>
      <c r="C1362" s="43" t="n">
        <v>45530</v>
      </c>
      <c r="D1362" s="42" t="n">
        <v>32</v>
      </c>
      <c r="E1362" s="42" t="s">
        <v>139</v>
      </c>
      <c r="F1362" s="42" t="s">
        <v>173</v>
      </c>
      <c r="G1362" s="42" t="s">
        <v>198</v>
      </c>
      <c r="H1362" s="42" t="s">
        <v>199</v>
      </c>
      <c r="I1362" s="42" t="s">
        <v>152</v>
      </c>
      <c r="J1362" s="42" t="s">
        <v>159</v>
      </c>
      <c r="K1362" s="42" t="s">
        <v>160</v>
      </c>
      <c r="L1362" s="44" t="n">
        <v>2546.66</v>
      </c>
      <c r="M1362" s="42" t="n">
        <v>4</v>
      </c>
      <c r="N1362" s="42" t="s">
        <v>146</v>
      </c>
      <c r="O1362" s="42" t="s">
        <v>147</v>
      </c>
      <c r="P1362" s="39" t="n">
        <f aca="false">C1362-B1362</f>
        <v>1</v>
      </c>
      <c r="Q1362" s="40" t="str">
        <f aca="false">CHOOSE(MONTH(B1362),"يناير","فبراير","مارس","أبريل","مايو","يونيو","يوليو","أغسطس","سبتمبر","أكتوبر","نوفمبر","ديسمبر")</f>
        <v>أغسطس</v>
      </c>
      <c r="R1362" s="40" t="str">
        <f aca="false">"الربع "&amp;ROUNDUP(MONTH(B1362)/3,0)</f>
        <v>الربع 3</v>
      </c>
      <c r="S1362" s="40" t="str">
        <f aca="false">IF(D1362&lt;=12,"أطفال (0-12)",IF(D1362&lt;=24,"شباب (13-24)",IF(D1362&lt;=44,"بالغون (25-44)",IF(D1362&lt;=64,"متوسطو العمر (45-64)","كبار السن (+65)"))))</f>
        <v>بالغون (25-44)</v>
      </c>
      <c r="T1362" s="41" t="n">
        <f aca="false">IFERROR(L1362/P1362,0)</f>
        <v>2546.66</v>
      </c>
    </row>
    <row r="1363" customFormat="false" ht="15" hidden="false" customHeight="false" outlineLevel="0" collapsed="false">
      <c r="A1363" s="33" t="s">
        <v>779</v>
      </c>
      <c r="B1363" s="34" t="n">
        <v>45530</v>
      </c>
      <c r="C1363" s="34" t="n">
        <v>45536</v>
      </c>
      <c r="D1363" s="33" t="n">
        <v>6</v>
      </c>
      <c r="E1363" s="33" t="s">
        <v>154</v>
      </c>
      <c r="F1363" s="33" t="s">
        <v>155</v>
      </c>
      <c r="G1363" s="33" t="s">
        <v>302</v>
      </c>
      <c r="H1363" s="33" t="s">
        <v>157</v>
      </c>
      <c r="I1363" s="33" t="s">
        <v>143</v>
      </c>
      <c r="J1363" s="33" t="s">
        <v>159</v>
      </c>
      <c r="K1363" s="33" t="s">
        <v>209</v>
      </c>
      <c r="L1363" s="35" t="n">
        <v>6816.33</v>
      </c>
      <c r="M1363" s="33" t="n">
        <v>2</v>
      </c>
      <c r="N1363" s="33" t="s">
        <v>146</v>
      </c>
      <c r="O1363" s="33" t="s">
        <v>147</v>
      </c>
      <c r="P1363" s="39" t="n">
        <f aca="false">C1363-B1363</f>
        <v>6</v>
      </c>
      <c r="Q1363" s="40" t="str">
        <f aca="false">CHOOSE(MONTH(B1363),"يناير","فبراير","مارس","أبريل","مايو","يونيو","يوليو","أغسطس","سبتمبر","أكتوبر","نوفمبر","ديسمبر")</f>
        <v>أغسطس</v>
      </c>
      <c r="R1363" s="40" t="str">
        <f aca="false">"الربع "&amp;ROUNDUP(MONTH(B1363)/3,0)</f>
        <v>الربع 3</v>
      </c>
      <c r="S1363" s="40" t="str">
        <f aca="false">IF(D1363&lt;=12,"أطفال (0-12)",IF(D1363&lt;=24,"شباب (13-24)",IF(D1363&lt;=44,"بالغون (25-44)",IF(D1363&lt;=64,"متوسطو العمر (45-64)","كبار السن (+65)"))))</f>
        <v>أطفال (0-12)</v>
      </c>
      <c r="T1363" s="41" t="n">
        <f aca="false">IFERROR(L1363/P1363,0)</f>
        <v>1136.055</v>
      </c>
    </row>
    <row r="1364" customFormat="false" ht="15" hidden="false" customHeight="false" outlineLevel="0" collapsed="false">
      <c r="A1364" s="42" t="s">
        <v>1657</v>
      </c>
      <c r="B1364" s="43" t="n">
        <v>45530</v>
      </c>
      <c r="C1364" s="43" t="n">
        <v>45531</v>
      </c>
      <c r="D1364" s="42" t="n">
        <v>53</v>
      </c>
      <c r="E1364" s="42" t="s">
        <v>154</v>
      </c>
      <c r="F1364" s="42" t="s">
        <v>203</v>
      </c>
      <c r="G1364" s="42" t="s">
        <v>217</v>
      </c>
      <c r="H1364" s="42" t="s">
        <v>205</v>
      </c>
      <c r="I1364" s="42" t="s">
        <v>143</v>
      </c>
      <c r="J1364" s="42" t="s">
        <v>159</v>
      </c>
      <c r="K1364" s="42" t="s">
        <v>160</v>
      </c>
      <c r="L1364" s="44" t="n">
        <v>921.19</v>
      </c>
      <c r="M1364" s="42" t="n">
        <v>4</v>
      </c>
      <c r="N1364" s="42" t="s">
        <v>146</v>
      </c>
      <c r="O1364" s="42" t="s">
        <v>147</v>
      </c>
      <c r="P1364" s="39" t="n">
        <f aca="false">C1364-B1364</f>
        <v>1</v>
      </c>
      <c r="Q1364" s="40" t="str">
        <f aca="false">CHOOSE(MONTH(B1364),"يناير","فبراير","مارس","أبريل","مايو","يونيو","يوليو","أغسطس","سبتمبر","أكتوبر","نوفمبر","ديسمبر")</f>
        <v>أغسطس</v>
      </c>
      <c r="R1364" s="40" t="str">
        <f aca="false">"الربع "&amp;ROUNDUP(MONTH(B1364)/3,0)</f>
        <v>الربع 3</v>
      </c>
      <c r="S1364" s="40" t="str">
        <f aca="false">IF(D1364&lt;=12,"أطفال (0-12)",IF(D1364&lt;=24,"شباب (13-24)",IF(D1364&lt;=44,"بالغون (25-44)",IF(D1364&lt;=64,"متوسطو العمر (45-64)","كبار السن (+65)"))))</f>
        <v>متوسطو العمر (45-64)</v>
      </c>
      <c r="T1364" s="41" t="n">
        <f aca="false">IFERROR(L1364/P1364,0)</f>
        <v>921.19</v>
      </c>
    </row>
    <row r="1365" customFormat="false" ht="15" hidden="false" customHeight="false" outlineLevel="0" collapsed="false">
      <c r="A1365" s="33" t="s">
        <v>1631</v>
      </c>
      <c r="B1365" s="34" t="n">
        <v>45530</v>
      </c>
      <c r="C1365" s="34" t="n">
        <v>45531</v>
      </c>
      <c r="D1365" s="33" t="n">
        <v>47</v>
      </c>
      <c r="E1365" s="33" t="s">
        <v>139</v>
      </c>
      <c r="F1365" s="33" t="s">
        <v>169</v>
      </c>
      <c r="G1365" s="33" t="s">
        <v>170</v>
      </c>
      <c r="H1365" s="33" t="s">
        <v>171</v>
      </c>
      <c r="I1365" s="33" t="s">
        <v>152</v>
      </c>
      <c r="J1365" s="33" t="s">
        <v>159</v>
      </c>
      <c r="K1365" s="33" t="s">
        <v>160</v>
      </c>
      <c r="L1365" s="35" t="n">
        <v>1125.83</v>
      </c>
      <c r="M1365" s="33" t="n">
        <v>4</v>
      </c>
      <c r="N1365" s="33" t="s">
        <v>146</v>
      </c>
      <c r="O1365" s="33" t="s">
        <v>247</v>
      </c>
      <c r="P1365" s="39" t="n">
        <f aca="false">C1365-B1365</f>
        <v>1</v>
      </c>
      <c r="Q1365" s="40" t="str">
        <f aca="false">CHOOSE(MONTH(B1365),"يناير","فبراير","مارس","أبريل","مايو","يونيو","يوليو","أغسطس","سبتمبر","أكتوبر","نوفمبر","ديسمبر")</f>
        <v>أغسطس</v>
      </c>
      <c r="R1365" s="40" t="str">
        <f aca="false">"الربع "&amp;ROUNDUP(MONTH(B1365)/3,0)</f>
        <v>الربع 3</v>
      </c>
      <c r="S1365" s="40" t="str">
        <f aca="false">IF(D1365&lt;=12,"أطفال (0-12)",IF(D1365&lt;=24,"شباب (13-24)",IF(D1365&lt;=44,"بالغون (25-44)",IF(D1365&lt;=64,"متوسطو العمر (45-64)","كبار السن (+65)"))))</f>
        <v>متوسطو العمر (45-64)</v>
      </c>
      <c r="T1365" s="41" t="n">
        <f aca="false">IFERROR(L1365/P1365,0)</f>
        <v>1125.83</v>
      </c>
    </row>
    <row r="1366" customFormat="false" ht="15" hidden="false" customHeight="false" outlineLevel="0" collapsed="false">
      <c r="A1366" s="42" t="s">
        <v>244</v>
      </c>
      <c r="B1366" s="43" t="n">
        <v>45530</v>
      </c>
      <c r="C1366" s="43" t="n">
        <v>45535</v>
      </c>
      <c r="D1366" s="42" t="n">
        <v>48</v>
      </c>
      <c r="E1366" s="42" t="s">
        <v>139</v>
      </c>
      <c r="F1366" s="42" t="s">
        <v>181</v>
      </c>
      <c r="G1366" s="42" t="s">
        <v>237</v>
      </c>
      <c r="H1366" s="42" t="s">
        <v>245</v>
      </c>
      <c r="I1366" s="42" t="s">
        <v>143</v>
      </c>
      <c r="J1366" s="42" t="s">
        <v>176</v>
      </c>
      <c r="K1366" s="42" t="s">
        <v>145</v>
      </c>
      <c r="L1366" s="44" t="n">
        <v>44034.66</v>
      </c>
      <c r="M1366" s="42" t="n">
        <v>5</v>
      </c>
      <c r="N1366" s="42" t="s">
        <v>146</v>
      </c>
      <c r="O1366" s="42" t="s">
        <v>147</v>
      </c>
      <c r="P1366" s="39" t="n">
        <f aca="false">C1366-B1366</f>
        <v>5</v>
      </c>
      <c r="Q1366" s="40" t="str">
        <f aca="false">CHOOSE(MONTH(B1366),"يناير","فبراير","مارس","أبريل","مايو","يونيو","يوليو","أغسطس","سبتمبر","أكتوبر","نوفمبر","ديسمبر")</f>
        <v>أغسطس</v>
      </c>
      <c r="R1366" s="40" t="str">
        <f aca="false">"الربع "&amp;ROUNDUP(MONTH(B1366)/3,0)</f>
        <v>الربع 3</v>
      </c>
      <c r="S1366" s="40" t="str">
        <f aca="false">IF(D1366&lt;=12,"أطفال (0-12)",IF(D1366&lt;=24,"شباب (13-24)",IF(D1366&lt;=44,"بالغون (25-44)",IF(D1366&lt;=64,"متوسطو العمر (45-64)","كبار السن (+65)"))))</f>
        <v>متوسطو العمر (45-64)</v>
      </c>
      <c r="T1366" s="41" t="n">
        <f aca="false">IFERROR(L1366/P1366,0)</f>
        <v>8806.932</v>
      </c>
    </row>
    <row r="1367" customFormat="false" ht="15" hidden="false" customHeight="false" outlineLevel="0" collapsed="false">
      <c r="A1367" s="33" t="s">
        <v>648</v>
      </c>
      <c r="B1367" s="34" t="n">
        <v>45530</v>
      </c>
      <c r="C1367" s="34" t="n">
        <v>45533</v>
      </c>
      <c r="D1367" s="33" t="n">
        <v>1</v>
      </c>
      <c r="E1367" s="33" t="s">
        <v>139</v>
      </c>
      <c r="F1367" s="33" t="s">
        <v>155</v>
      </c>
      <c r="G1367" s="33" t="s">
        <v>156</v>
      </c>
      <c r="H1367" s="33" t="s">
        <v>222</v>
      </c>
      <c r="I1367" s="33" t="s">
        <v>152</v>
      </c>
      <c r="J1367" s="33" t="s">
        <v>159</v>
      </c>
      <c r="K1367" s="33" t="s">
        <v>209</v>
      </c>
      <c r="L1367" s="35" t="n">
        <v>2783.68</v>
      </c>
      <c r="M1367" s="33" t="n">
        <v>3</v>
      </c>
      <c r="N1367" s="33" t="s">
        <v>146</v>
      </c>
      <c r="O1367" s="33" t="s">
        <v>147</v>
      </c>
      <c r="P1367" s="39" t="n">
        <f aca="false">C1367-B1367</f>
        <v>3</v>
      </c>
      <c r="Q1367" s="40" t="str">
        <f aca="false">CHOOSE(MONTH(B1367),"يناير","فبراير","مارس","أبريل","مايو","يونيو","يوليو","أغسطس","سبتمبر","أكتوبر","نوفمبر","ديسمبر")</f>
        <v>أغسطس</v>
      </c>
      <c r="R1367" s="40" t="str">
        <f aca="false">"الربع "&amp;ROUNDUP(MONTH(B1367)/3,0)</f>
        <v>الربع 3</v>
      </c>
      <c r="S1367" s="40" t="str">
        <f aca="false">IF(D1367&lt;=12,"أطفال (0-12)",IF(D1367&lt;=24,"شباب (13-24)",IF(D1367&lt;=44,"بالغون (25-44)",IF(D1367&lt;=64,"متوسطو العمر (45-64)","كبار السن (+65)"))))</f>
        <v>أطفال (0-12)</v>
      </c>
      <c r="T1367" s="41" t="n">
        <f aca="false">IFERROR(L1367/P1367,0)</f>
        <v>927.893333333333</v>
      </c>
    </row>
    <row r="1368" customFormat="false" ht="15" hidden="false" customHeight="false" outlineLevel="0" collapsed="false">
      <c r="A1368" s="42" t="s">
        <v>1511</v>
      </c>
      <c r="B1368" s="43" t="n">
        <v>45530</v>
      </c>
      <c r="C1368" s="43" t="n">
        <v>45532</v>
      </c>
      <c r="D1368" s="42" t="n">
        <v>5</v>
      </c>
      <c r="E1368" s="42" t="s">
        <v>154</v>
      </c>
      <c r="F1368" s="42" t="s">
        <v>155</v>
      </c>
      <c r="G1368" s="42" t="s">
        <v>302</v>
      </c>
      <c r="H1368" s="42" t="s">
        <v>222</v>
      </c>
      <c r="I1368" s="42" t="s">
        <v>143</v>
      </c>
      <c r="J1368" s="42" t="s">
        <v>159</v>
      </c>
      <c r="K1368" s="42" t="s">
        <v>160</v>
      </c>
      <c r="L1368" s="44" t="n">
        <v>1724.18</v>
      </c>
      <c r="M1368" s="42" t="n">
        <v>4</v>
      </c>
      <c r="N1368" s="42" t="s">
        <v>146</v>
      </c>
      <c r="O1368" s="42" t="s">
        <v>147</v>
      </c>
      <c r="P1368" s="39" t="n">
        <f aca="false">C1368-B1368</f>
        <v>2</v>
      </c>
      <c r="Q1368" s="40" t="str">
        <f aca="false">CHOOSE(MONTH(B1368),"يناير","فبراير","مارس","أبريل","مايو","يونيو","يوليو","أغسطس","سبتمبر","أكتوبر","نوفمبر","ديسمبر")</f>
        <v>أغسطس</v>
      </c>
      <c r="R1368" s="40" t="str">
        <f aca="false">"الربع "&amp;ROUNDUP(MONTH(B1368)/3,0)</f>
        <v>الربع 3</v>
      </c>
      <c r="S1368" s="40" t="str">
        <f aca="false">IF(D1368&lt;=12,"أطفال (0-12)",IF(D1368&lt;=24,"شباب (13-24)",IF(D1368&lt;=44,"بالغون (25-44)",IF(D1368&lt;=64,"متوسطو العمر (45-64)","كبار السن (+65)"))))</f>
        <v>أطفال (0-12)</v>
      </c>
      <c r="T1368" s="41" t="n">
        <f aca="false">IFERROR(L1368/P1368,0)</f>
        <v>862.09</v>
      </c>
    </row>
    <row r="1369" customFormat="false" ht="15" hidden="false" customHeight="false" outlineLevel="0" collapsed="false">
      <c r="A1369" s="33" t="s">
        <v>629</v>
      </c>
      <c r="B1369" s="34" t="n">
        <v>45530</v>
      </c>
      <c r="C1369" s="34" t="n">
        <v>45532</v>
      </c>
      <c r="D1369" s="33" t="n">
        <v>24</v>
      </c>
      <c r="E1369" s="33" t="s">
        <v>139</v>
      </c>
      <c r="F1369" s="33" t="s">
        <v>149</v>
      </c>
      <c r="G1369" s="33" t="s">
        <v>150</v>
      </c>
      <c r="H1369" s="33" t="s">
        <v>151</v>
      </c>
      <c r="I1369" s="33" t="s">
        <v>143</v>
      </c>
      <c r="J1369" s="33" t="s">
        <v>159</v>
      </c>
      <c r="K1369" s="33" t="s">
        <v>209</v>
      </c>
      <c r="L1369" s="35" t="n">
        <v>3364.43</v>
      </c>
      <c r="M1369" s="33" t="n">
        <v>3</v>
      </c>
      <c r="N1369" s="33" t="s">
        <v>146</v>
      </c>
      <c r="O1369" s="33" t="s">
        <v>147</v>
      </c>
      <c r="P1369" s="39" t="n">
        <f aca="false">C1369-B1369</f>
        <v>2</v>
      </c>
      <c r="Q1369" s="40" t="str">
        <f aca="false">CHOOSE(MONTH(B1369),"يناير","فبراير","مارس","أبريل","مايو","يونيو","يوليو","أغسطس","سبتمبر","أكتوبر","نوفمبر","ديسمبر")</f>
        <v>أغسطس</v>
      </c>
      <c r="R1369" s="40" t="str">
        <f aca="false">"الربع "&amp;ROUNDUP(MONTH(B1369)/3,0)</f>
        <v>الربع 3</v>
      </c>
      <c r="S1369" s="40" t="str">
        <f aca="false">IF(D1369&lt;=12,"أطفال (0-12)",IF(D1369&lt;=24,"شباب (13-24)",IF(D1369&lt;=44,"بالغون (25-44)",IF(D1369&lt;=64,"متوسطو العمر (45-64)","كبار السن (+65)"))))</f>
        <v>شباب (13-24)</v>
      </c>
      <c r="T1369" s="41" t="n">
        <f aca="false">IFERROR(L1369/P1369,0)</f>
        <v>1682.215</v>
      </c>
    </row>
    <row r="1370" customFormat="false" ht="15" hidden="false" customHeight="false" outlineLevel="0" collapsed="false">
      <c r="A1370" s="42" t="s">
        <v>165</v>
      </c>
      <c r="B1370" s="43" t="n">
        <v>45530</v>
      </c>
      <c r="C1370" s="43" t="n">
        <v>45534</v>
      </c>
      <c r="D1370" s="42" t="n">
        <v>52</v>
      </c>
      <c r="E1370" s="42" t="s">
        <v>139</v>
      </c>
      <c r="F1370" s="42" t="s">
        <v>140</v>
      </c>
      <c r="G1370" s="42" t="s">
        <v>141</v>
      </c>
      <c r="H1370" s="42" t="s">
        <v>142</v>
      </c>
      <c r="I1370" s="42" t="s">
        <v>152</v>
      </c>
      <c r="J1370" s="42" t="s">
        <v>144</v>
      </c>
      <c r="K1370" s="42" t="s">
        <v>145</v>
      </c>
      <c r="L1370" s="44" t="n">
        <v>16134.25</v>
      </c>
      <c r="M1370" s="42" t="n">
        <v>5</v>
      </c>
      <c r="N1370" s="42" t="s">
        <v>146</v>
      </c>
      <c r="O1370" s="42" t="s">
        <v>147</v>
      </c>
      <c r="P1370" s="39" t="n">
        <f aca="false">C1370-B1370</f>
        <v>4</v>
      </c>
      <c r="Q1370" s="40" t="str">
        <f aca="false">CHOOSE(MONTH(B1370),"يناير","فبراير","مارس","أبريل","مايو","يونيو","يوليو","أغسطس","سبتمبر","أكتوبر","نوفمبر","ديسمبر")</f>
        <v>أغسطس</v>
      </c>
      <c r="R1370" s="40" t="str">
        <f aca="false">"الربع "&amp;ROUNDUP(MONTH(B1370)/3,0)</f>
        <v>الربع 3</v>
      </c>
      <c r="S1370" s="40" t="str">
        <f aca="false">IF(D1370&lt;=12,"أطفال (0-12)",IF(D1370&lt;=24,"شباب (13-24)",IF(D1370&lt;=44,"بالغون (25-44)",IF(D1370&lt;=64,"متوسطو العمر (45-64)","كبار السن (+65)"))))</f>
        <v>متوسطو العمر (45-64)</v>
      </c>
      <c r="T1370" s="41" t="n">
        <f aca="false">IFERROR(L1370/P1370,0)</f>
        <v>4033.5625</v>
      </c>
    </row>
    <row r="1371" customFormat="false" ht="15" hidden="false" customHeight="false" outlineLevel="0" collapsed="false">
      <c r="A1371" s="33" t="s">
        <v>1217</v>
      </c>
      <c r="B1371" s="34" t="n">
        <v>45530</v>
      </c>
      <c r="C1371" s="34" t="n">
        <v>45534</v>
      </c>
      <c r="D1371" s="33" t="n">
        <v>20</v>
      </c>
      <c r="E1371" s="33" t="s">
        <v>154</v>
      </c>
      <c r="F1371" s="33" t="s">
        <v>169</v>
      </c>
      <c r="G1371" s="33" t="s">
        <v>213</v>
      </c>
      <c r="H1371" s="33" t="s">
        <v>164</v>
      </c>
      <c r="I1371" s="33" t="s">
        <v>152</v>
      </c>
      <c r="J1371" s="33" t="s">
        <v>159</v>
      </c>
      <c r="K1371" s="33" t="s">
        <v>209</v>
      </c>
      <c r="L1371" s="35" t="n">
        <v>3988.84</v>
      </c>
      <c r="M1371" s="33" t="n">
        <v>4</v>
      </c>
      <c r="N1371" s="33" t="s">
        <v>146</v>
      </c>
      <c r="O1371" s="33" t="s">
        <v>147</v>
      </c>
      <c r="P1371" s="39" t="n">
        <f aca="false">C1371-B1371</f>
        <v>4</v>
      </c>
      <c r="Q1371" s="40" t="str">
        <f aca="false">CHOOSE(MONTH(B1371),"يناير","فبراير","مارس","أبريل","مايو","يونيو","يوليو","أغسطس","سبتمبر","أكتوبر","نوفمبر","ديسمبر")</f>
        <v>أغسطس</v>
      </c>
      <c r="R1371" s="40" t="str">
        <f aca="false">"الربع "&amp;ROUNDUP(MONTH(B1371)/3,0)</f>
        <v>الربع 3</v>
      </c>
      <c r="S1371" s="40" t="str">
        <f aca="false">IF(D1371&lt;=12,"أطفال (0-12)",IF(D1371&lt;=24,"شباب (13-24)",IF(D1371&lt;=44,"بالغون (25-44)",IF(D1371&lt;=64,"متوسطو العمر (45-64)","كبار السن (+65)"))))</f>
        <v>شباب (13-24)</v>
      </c>
      <c r="T1371" s="41" t="n">
        <f aca="false">IFERROR(L1371/P1371,0)</f>
        <v>997.21</v>
      </c>
    </row>
    <row r="1372" customFormat="false" ht="15" hidden="false" customHeight="false" outlineLevel="0" collapsed="false">
      <c r="A1372" s="42" t="s">
        <v>2175</v>
      </c>
      <c r="B1372" s="43" t="n">
        <v>45530</v>
      </c>
      <c r="C1372" s="43" t="n">
        <v>45532</v>
      </c>
      <c r="D1372" s="42" t="n">
        <v>44</v>
      </c>
      <c r="E1372" s="42" t="s">
        <v>139</v>
      </c>
      <c r="F1372" s="42" t="s">
        <v>149</v>
      </c>
      <c r="G1372" s="42" t="s">
        <v>150</v>
      </c>
      <c r="H1372" s="42" t="s">
        <v>151</v>
      </c>
      <c r="I1372" s="42" t="s">
        <v>143</v>
      </c>
      <c r="J1372" s="42" t="s">
        <v>159</v>
      </c>
      <c r="K1372" s="42" t="s">
        <v>184</v>
      </c>
      <c r="L1372" s="44" t="n">
        <v>2967.71</v>
      </c>
      <c r="M1372" s="42" t="n">
        <v>4</v>
      </c>
      <c r="N1372" s="42" t="s">
        <v>210</v>
      </c>
      <c r="O1372" s="42" t="s">
        <v>147</v>
      </c>
      <c r="P1372" s="39" t="n">
        <f aca="false">C1372-B1372</f>
        <v>2</v>
      </c>
      <c r="Q1372" s="40" t="str">
        <f aca="false">CHOOSE(MONTH(B1372),"يناير","فبراير","مارس","أبريل","مايو","يونيو","يوليو","أغسطس","سبتمبر","أكتوبر","نوفمبر","ديسمبر")</f>
        <v>أغسطس</v>
      </c>
      <c r="R1372" s="40" t="str">
        <f aca="false">"الربع "&amp;ROUNDUP(MONTH(B1372)/3,0)</f>
        <v>الربع 3</v>
      </c>
      <c r="S1372" s="40" t="str">
        <f aca="false">IF(D1372&lt;=12,"أطفال (0-12)",IF(D1372&lt;=24,"شباب (13-24)",IF(D1372&lt;=44,"بالغون (25-44)",IF(D1372&lt;=64,"متوسطو العمر (45-64)","كبار السن (+65)"))))</f>
        <v>بالغون (25-44)</v>
      </c>
      <c r="T1372" s="41" t="n">
        <f aca="false">IFERROR(L1372/P1372,0)</f>
        <v>1483.855</v>
      </c>
    </row>
    <row r="1373" customFormat="false" ht="15" hidden="false" customHeight="false" outlineLevel="0" collapsed="false">
      <c r="A1373" s="33" t="s">
        <v>919</v>
      </c>
      <c r="B1373" s="34" t="n">
        <v>45531</v>
      </c>
      <c r="C1373" s="34" t="n">
        <v>45532</v>
      </c>
      <c r="D1373" s="33" t="n">
        <v>4</v>
      </c>
      <c r="E1373" s="33" t="s">
        <v>154</v>
      </c>
      <c r="F1373" s="33" t="s">
        <v>155</v>
      </c>
      <c r="G1373" s="33" t="s">
        <v>302</v>
      </c>
      <c r="H1373" s="33" t="s">
        <v>157</v>
      </c>
      <c r="I1373" s="33" t="s">
        <v>143</v>
      </c>
      <c r="J1373" s="33" t="s">
        <v>144</v>
      </c>
      <c r="K1373" s="33" t="s">
        <v>145</v>
      </c>
      <c r="L1373" s="35" t="n">
        <v>1520.36</v>
      </c>
      <c r="M1373" s="33" t="n">
        <v>4</v>
      </c>
      <c r="N1373" s="33" t="s">
        <v>146</v>
      </c>
      <c r="O1373" s="33" t="s">
        <v>147</v>
      </c>
      <c r="P1373" s="39" t="n">
        <f aca="false">C1373-B1373</f>
        <v>1</v>
      </c>
      <c r="Q1373" s="40" t="str">
        <f aca="false">CHOOSE(MONTH(B1373),"يناير","فبراير","مارس","أبريل","مايو","يونيو","يوليو","أغسطس","سبتمبر","أكتوبر","نوفمبر","ديسمبر")</f>
        <v>أغسطس</v>
      </c>
      <c r="R1373" s="40" t="str">
        <f aca="false">"الربع "&amp;ROUNDUP(MONTH(B1373)/3,0)</f>
        <v>الربع 3</v>
      </c>
      <c r="S1373" s="40" t="str">
        <f aca="false">IF(D1373&lt;=12,"أطفال (0-12)",IF(D1373&lt;=24,"شباب (13-24)",IF(D1373&lt;=44,"بالغون (25-44)",IF(D1373&lt;=64,"متوسطو العمر (45-64)","كبار السن (+65)"))))</f>
        <v>أطفال (0-12)</v>
      </c>
      <c r="T1373" s="41" t="n">
        <f aca="false">IFERROR(L1373/P1373,0)</f>
        <v>1520.36</v>
      </c>
    </row>
    <row r="1374" customFormat="false" ht="15" hidden="false" customHeight="false" outlineLevel="0" collapsed="false">
      <c r="A1374" s="42" t="s">
        <v>1723</v>
      </c>
      <c r="B1374" s="43" t="n">
        <v>45531</v>
      </c>
      <c r="C1374" s="43" t="n">
        <v>45532</v>
      </c>
      <c r="D1374" s="42" t="n">
        <v>46</v>
      </c>
      <c r="E1374" s="42" t="s">
        <v>139</v>
      </c>
      <c r="F1374" s="42" t="s">
        <v>203</v>
      </c>
      <c r="G1374" s="42" t="s">
        <v>204</v>
      </c>
      <c r="H1374" s="42" t="s">
        <v>233</v>
      </c>
      <c r="I1374" s="42" t="s">
        <v>143</v>
      </c>
      <c r="J1374" s="42" t="s">
        <v>176</v>
      </c>
      <c r="K1374" s="42" t="s">
        <v>184</v>
      </c>
      <c r="L1374" s="44" t="n">
        <v>2872.32</v>
      </c>
      <c r="M1374" s="42" t="n">
        <v>4</v>
      </c>
      <c r="N1374" s="42" t="s">
        <v>146</v>
      </c>
      <c r="O1374" s="42" t="s">
        <v>147</v>
      </c>
      <c r="P1374" s="39" t="n">
        <f aca="false">C1374-B1374</f>
        <v>1</v>
      </c>
      <c r="Q1374" s="40" t="str">
        <f aca="false">CHOOSE(MONTH(B1374),"يناير","فبراير","مارس","أبريل","مايو","يونيو","يوليو","أغسطس","سبتمبر","أكتوبر","نوفمبر","ديسمبر")</f>
        <v>أغسطس</v>
      </c>
      <c r="R1374" s="40" t="str">
        <f aca="false">"الربع "&amp;ROUNDUP(MONTH(B1374)/3,0)</f>
        <v>الربع 3</v>
      </c>
      <c r="S1374" s="40" t="str">
        <f aca="false">IF(D1374&lt;=12,"أطفال (0-12)",IF(D1374&lt;=24,"شباب (13-24)",IF(D1374&lt;=44,"بالغون (25-44)",IF(D1374&lt;=64,"متوسطو العمر (45-64)","كبار السن (+65)"))))</f>
        <v>متوسطو العمر (45-64)</v>
      </c>
      <c r="T1374" s="41" t="n">
        <f aca="false">IFERROR(L1374/P1374,0)</f>
        <v>2872.32</v>
      </c>
    </row>
    <row r="1375" customFormat="false" ht="15" hidden="false" customHeight="false" outlineLevel="0" collapsed="false">
      <c r="A1375" s="33" t="s">
        <v>321</v>
      </c>
      <c r="B1375" s="34" t="n">
        <v>45531</v>
      </c>
      <c r="C1375" s="34" t="n">
        <v>45533</v>
      </c>
      <c r="D1375" s="33" t="n">
        <v>60</v>
      </c>
      <c r="E1375" s="33" t="s">
        <v>154</v>
      </c>
      <c r="F1375" s="33" t="s">
        <v>173</v>
      </c>
      <c r="G1375" s="33" t="s">
        <v>178</v>
      </c>
      <c r="H1375" s="33" t="s">
        <v>199</v>
      </c>
      <c r="I1375" s="33" t="s">
        <v>143</v>
      </c>
      <c r="J1375" s="33" t="s">
        <v>176</v>
      </c>
      <c r="K1375" s="33" t="s">
        <v>209</v>
      </c>
      <c r="L1375" s="35" t="n">
        <v>15652.55</v>
      </c>
      <c r="M1375" s="33" t="n">
        <v>3</v>
      </c>
      <c r="N1375" s="33" t="s">
        <v>146</v>
      </c>
      <c r="O1375" s="33" t="s">
        <v>147</v>
      </c>
      <c r="P1375" s="39" t="n">
        <f aca="false">C1375-B1375</f>
        <v>2</v>
      </c>
      <c r="Q1375" s="40" t="str">
        <f aca="false">CHOOSE(MONTH(B1375),"يناير","فبراير","مارس","أبريل","مايو","يونيو","يوليو","أغسطس","سبتمبر","أكتوبر","نوفمبر","ديسمبر")</f>
        <v>أغسطس</v>
      </c>
      <c r="R1375" s="40" t="str">
        <f aca="false">"الربع "&amp;ROUNDUP(MONTH(B1375)/3,0)</f>
        <v>الربع 3</v>
      </c>
      <c r="S1375" s="40" t="str">
        <f aca="false">IF(D1375&lt;=12,"أطفال (0-12)",IF(D1375&lt;=24,"شباب (13-24)",IF(D1375&lt;=44,"بالغون (25-44)",IF(D1375&lt;=64,"متوسطو العمر (45-64)","كبار السن (+65)"))))</f>
        <v>متوسطو العمر (45-64)</v>
      </c>
      <c r="T1375" s="41" t="n">
        <f aca="false">IFERROR(L1375/P1375,0)</f>
        <v>7826.275</v>
      </c>
    </row>
    <row r="1376" customFormat="false" ht="15" hidden="false" customHeight="false" outlineLevel="0" collapsed="false">
      <c r="A1376" s="42" t="s">
        <v>354</v>
      </c>
      <c r="B1376" s="43" t="n">
        <v>45531</v>
      </c>
      <c r="C1376" s="43" t="n">
        <v>45532</v>
      </c>
      <c r="D1376" s="42" t="n">
        <v>39</v>
      </c>
      <c r="E1376" s="42" t="s">
        <v>139</v>
      </c>
      <c r="F1376" s="42" t="s">
        <v>203</v>
      </c>
      <c r="G1376" s="42" t="s">
        <v>217</v>
      </c>
      <c r="H1376" s="42" t="s">
        <v>193</v>
      </c>
      <c r="I1376" s="42" t="s">
        <v>143</v>
      </c>
      <c r="J1376" s="42" t="s">
        <v>159</v>
      </c>
      <c r="K1376" s="42" t="s">
        <v>184</v>
      </c>
      <c r="L1376" s="44" t="n">
        <v>897.45</v>
      </c>
      <c r="M1376" s="42" t="n">
        <v>4</v>
      </c>
      <c r="N1376" s="42" t="s">
        <v>146</v>
      </c>
      <c r="O1376" s="42" t="s">
        <v>147</v>
      </c>
      <c r="P1376" s="39" t="n">
        <f aca="false">C1376-B1376</f>
        <v>1</v>
      </c>
      <c r="Q1376" s="40" t="str">
        <f aca="false">CHOOSE(MONTH(B1376),"يناير","فبراير","مارس","أبريل","مايو","يونيو","يوليو","أغسطس","سبتمبر","أكتوبر","نوفمبر","ديسمبر")</f>
        <v>أغسطس</v>
      </c>
      <c r="R1376" s="40" t="str">
        <f aca="false">"الربع "&amp;ROUNDUP(MONTH(B1376)/3,0)</f>
        <v>الربع 3</v>
      </c>
      <c r="S1376" s="40" t="str">
        <f aca="false">IF(D1376&lt;=12,"أطفال (0-12)",IF(D1376&lt;=24,"شباب (13-24)",IF(D1376&lt;=44,"بالغون (25-44)",IF(D1376&lt;=64,"متوسطو العمر (45-64)","كبار السن (+65)"))))</f>
        <v>بالغون (25-44)</v>
      </c>
      <c r="T1376" s="41" t="n">
        <f aca="false">IFERROR(L1376/P1376,0)</f>
        <v>897.45</v>
      </c>
    </row>
    <row r="1377" customFormat="false" ht="15" hidden="false" customHeight="false" outlineLevel="0" collapsed="false">
      <c r="A1377" s="33" t="s">
        <v>1113</v>
      </c>
      <c r="B1377" s="34" t="n">
        <v>45531</v>
      </c>
      <c r="C1377" s="34" t="n">
        <v>45532</v>
      </c>
      <c r="D1377" s="33" t="n">
        <v>30</v>
      </c>
      <c r="E1377" s="33" t="s">
        <v>139</v>
      </c>
      <c r="F1377" s="33" t="s">
        <v>149</v>
      </c>
      <c r="G1377" s="33" t="s">
        <v>243</v>
      </c>
      <c r="H1377" s="33" t="s">
        <v>186</v>
      </c>
      <c r="I1377" s="33" t="s">
        <v>152</v>
      </c>
      <c r="J1377" s="33" t="s">
        <v>159</v>
      </c>
      <c r="K1377" s="33" t="s">
        <v>184</v>
      </c>
      <c r="L1377" s="35" t="n">
        <v>1628.34</v>
      </c>
      <c r="M1377" s="33" t="n">
        <v>3</v>
      </c>
      <c r="N1377" s="33" t="s">
        <v>146</v>
      </c>
      <c r="O1377" s="33" t="s">
        <v>147</v>
      </c>
      <c r="P1377" s="39" t="n">
        <f aca="false">C1377-B1377</f>
        <v>1</v>
      </c>
      <c r="Q1377" s="40" t="str">
        <f aca="false">CHOOSE(MONTH(B1377),"يناير","فبراير","مارس","أبريل","مايو","يونيو","يوليو","أغسطس","سبتمبر","أكتوبر","نوفمبر","ديسمبر")</f>
        <v>أغسطس</v>
      </c>
      <c r="R1377" s="40" t="str">
        <f aca="false">"الربع "&amp;ROUNDUP(MONTH(B1377)/3,0)</f>
        <v>الربع 3</v>
      </c>
      <c r="S1377" s="40" t="str">
        <f aca="false">IF(D1377&lt;=12,"أطفال (0-12)",IF(D1377&lt;=24,"شباب (13-24)",IF(D1377&lt;=44,"بالغون (25-44)",IF(D1377&lt;=64,"متوسطو العمر (45-64)","كبار السن (+65)"))))</f>
        <v>بالغون (25-44)</v>
      </c>
      <c r="T1377" s="41" t="n">
        <f aca="false">IFERROR(L1377/P1377,0)</f>
        <v>1628.34</v>
      </c>
    </row>
    <row r="1378" customFormat="false" ht="15" hidden="false" customHeight="false" outlineLevel="0" collapsed="false">
      <c r="A1378" s="42" t="s">
        <v>2309</v>
      </c>
      <c r="B1378" s="43" t="n">
        <v>45532</v>
      </c>
      <c r="C1378" s="43" t="n">
        <v>45540</v>
      </c>
      <c r="D1378" s="42" t="n">
        <v>42</v>
      </c>
      <c r="E1378" s="42" t="s">
        <v>154</v>
      </c>
      <c r="F1378" s="42" t="s">
        <v>169</v>
      </c>
      <c r="G1378" s="42" t="s">
        <v>163</v>
      </c>
      <c r="H1378" s="42" t="s">
        <v>171</v>
      </c>
      <c r="I1378" s="42" t="s">
        <v>143</v>
      </c>
      <c r="J1378" s="42" t="s">
        <v>176</v>
      </c>
      <c r="K1378" s="42" t="s">
        <v>184</v>
      </c>
      <c r="L1378" s="44" t="n">
        <v>31164.42</v>
      </c>
      <c r="M1378" s="42" t="n">
        <v>5</v>
      </c>
      <c r="N1378" s="42" t="s">
        <v>146</v>
      </c>
      <c r="O1378" s="42" t="s">
        <v>147</v>
      </c>
      <c r="P1378" s="39" t="n">
        <f aca="false">C1378-B1378</f>
        <v>8</v>
      </c>
      <c r="Q1378" s="40" t="str">
        <f aca="false">CHOOSE(MONTH(B1378),"يناير","فبراير","مارس","أبريل","مايو","يونيو","يوليو","أغسطس","سبتمبر","أكتوبر","نوفمبر","ديسمبر")</f>
        <v>أغسطس</v>
      </c>
      <c r="R1378" s="40" t="str">
        <f aca="false">"الربع "&amp;ROUNDUP(MONTH(B1378)/3,0)</f>
        <v>الربع 3</v>
      </c>
      <c r="S1378" s="40" t="str">
        <f aca="false">IF(D1378&lt;=12,"أطفال (0-12)",IF(D1378&lt;=24,"شباب (13-24)",IF(D1378&lt;=44,"بالغون (25-44)",IF(D1378&lt;=64,"متوسطو العمر (45-64)","كبار السن (+65)"))))</f>
        <v>بالغون (25-44)</v>
      </c>
      <c r="T1378" s="41" t="n">
        <f aca="false">IFERROR(L1378/P1378,0)</f>
        <v>3895.5525</v>
      </c>
    </row>
    <row r="1379" customFormat="false" ht="15" hidden="false" customHeight="false" outlineLevel="0" collapsed="false">
      <c r="A1379" s="33" t="s">
        <v>1030</v>
      </c>
      <c r="B1379" s="34" t="n">
        <v>45532</v>
      </c>
      <c r="C1379" s="34" t="n">
        <v>45539</v>
      </c>
      <c r="D1379" s="33" t="n">
        <v>83</v>
      </c>
      <c r="E1379" s="33" t="s">
        <v>154</v>
      </c>
      <c r="F1379" s="33" t="s">
        <v>226</v>
      </c>
      <c r="G1379" s="33" t="s">
        <v>386</v>
      </c>
      <c r="H1379" s="33" t="s">
        <v>263</v>
      </c>
      <c r="I1379" s="33" t="s">
        <v>143</v>
      </c>
      <c r="J1379" s="33" t="s">
        <v>176</v>
      </c>
      <c r="K1379" s="33" t="s">
        <v>145</v>
      </c>
      <c r="L1379" s="35" t="n">
        <v>53064.98</v>
      </c>
      <c r="M1379" s="33" t="n">
        <v>4</v>
      </c>
      <c r="N1379" s="33" t="s">
        <v>146</v>
      </c>
      <c r="O1379" s="33" t="s">
        <v>147</v>
      </c>
      <c r="P1379" s="39" t="n">
        <f aca="false">C1379-B1379</f>
        <v>7</v>
      </c>
      <c r="Q1379" s="40" t="str">
        <f aca="false">CHOOSE(MONTH(B1379),"يناير","فبراير","مارس","أبريل","مايو","يونيو","يوليو","أغسطس","سبتمبر","أكتوبر","نوفمبر","ديسمبر")</f>
        <v>أغسطس</v>
      </c>
      <c r="R1379" s="40" t="str">
        <f aca="false">"الربع "&amp;ROUNDUP(MONTH(B1379)/3,0)</f>
        <v>الربع 3</v>
      </c>
      <c r="S1379" s="40" t="str">
        <f aca="false">IF(D1379&lt;=12,"أطفال (0-12)",IF(D1379&lt;=24,"شباب (13-24)",IF(D1379&lt;=44,"بالغون (25-44)",IF(D1379&lt;=64,"متوسطو العمر (45-64)","كبار السن (+65)"))))</f>
        <v>كبار السن (+65)</v>
      </c>
      <c r="T1379" s="41" t="n">
        <f aca="false">IFERROR(L1379/P1379,0)</f>
        <v>7580.71142857143</v>
      </c>
    </row>
    <row r="1380" customFormat="false" ht="15" hidden="false" customHeight="false" outlineLevel="0" collapsed="false">
      <c r="A1380" s="42" t="s">
        <v>668</v>
      </c>
      <c r="B1380" s="43" t="n">
        <v>45532</v>
      </c>
      <c r="C1380" s="43" t="n">
        <v>45533</v>
      </c>
      <c r="D1380" s="42" t="n">
        <v>63</v>
      </c>
      <c r="E1380" s="42" t="s">
        <v>139</v>
      </c>
      <c r="F1380" s="42" t="s">
        <v>140</v>
      </c>
      <c r="G1380" s="42" t="s">
        <v>316</v>
      </c>
      <c r="H1380" s="42" t="s">
        <v>290</v>
      </c>
      <c r="I1380" s="42" t="s">
        <v>143</v>
      </c>
      <c r="J1380" s="42" t="s">
        <v>159</v>
      </c>
      <c r="K1380" s="42" t="s">
        <v>145</v>
      </c>
      <c r="L1380" s="44" t="n">
        <v>2000.67</v>
      </c>
      <c r="M1380" s="42" t="n">
        <v>5</v>
      </c>
      <c r="N1380" s="42" t="s">
        <v>146</v>
      </c>
      <c r="O1380" s="42" t="s">
        <v>147</v>
      </c>
      <c r="P1380" s="39" t="n">
        <f aca="false">C1380-B1380</f>
        <v>1</v>
      </c>
      <c r="Q1380" s="40" t="str">
        <f aca="false">CHOOSE(MONTH(B1380),"يناير","فبراير","مارس","أبريل","مايو","يونيو","يوليو","أغسطس","سبتمبر","أكتوبر","نوفمبر","ديسمبر")</f>
        <v>أغسطس</v>
      </c>
      <c r="R1380" s="40" t="str">
        <f aca="false">"الربع "&amp;ROUNDUP(MONTH(B1380)/3,0)</f>
        <v>الربع 3</v>
      </c>
      <c r="S1380" s="40" t="str">
        <f aca="false">IF(D1380&lt;=12,"أطفال (0-12)",IF(D1380&lt;=24,"شباب (13-24)",IF(D1380&lt;=44,"بالغون (25-44)",IF(D1380&lt;=64,"متوسطو العمر (45-64)","كبار السن (+65)"))))</f>
        <v>متوسطو العمر (45-64)</v>
      </c>
      <c r="T1380" s="41" t="n">
        <f aca="false">IFERROR(L1380/P1380,0)</f>
        <v>2000.67</v>
      </c>
    </row>
    <row r="1381" customFormat="false" ht="15" hidden="false" customHeight="false" outlineLevel="0" collapsed="false">
      <c r="A1381" s="33" t="s">
        <v>1406</v>
      </c>
      <c r="B1381" s="34" t="n">
        <v>45532</v>
      </c>
      <c r="C1381" s="34" t="n">
        <v>45533</v>
      </c>
      <c r="D1381" s="33" t="n">
        <v>49</v>
      </c>
      <c r="E1381" s="33" t="s">
        <v>154</v>
      </c>
      <c r="F1381" s="33" t="s">
        <v>203</v>
      </c>
      <c r="G1381" s="33" t="s">
        <v>232</v>
      </c>
      <c r="H1381" s="33" t="s">
        <v>193</v>
      </c>
      <c r="I1381" s="33" t="s">
        <v>143</v>
      </c>
      <c r="J1381" s="33" t="s">
        <v>159</v>
      </c>
      <c r="K1381" s="33" t="s">
        <v>145</v>
      </c>
      <c r="L1381" s="35" t="n">
        <v>1086.13</v>
      </c>
      <c r="M1381" s="33" t="n">
        <v>3</v>
      </c>
      <c r="N1381" s="33" t="s">
        <v>146</v>
      </c>
      <c r="O1381" s="33" t="s">
        <v>147</v>
      </c>
      <c r="P1381" s="39" t="n">
        <f aca="false">C1381-B1381</f>
        <v>1</v>
      </c>
      <c r="Q1381" s="40" t="str">
        <f aca="false">CHOOSE(MONTH(B1381),"يناير","فبراير","مارس","أبريل","مايو","يونيو","يوليو","أغسطس","سبتمبر","أكتوبر","نوفمبر","ديسمبر")</f>
        <v>أغسطس</v>
      </c>
      <c r="R1381" s="40" t="str">
        <f aca="false">"الربع "&amp;ROUNDUP(MONTH(B1381)/3,0)</f>
        <v>الربع 3</v>
      </c>
      <c r="S1381" s="40" t="str">
        <f aca="false">IF(D1381&lt;=12,"أطفال (0-12)",IF(D1381&lt;=24,"شباب (13-24)",IF(D1381&lt;=44,"بالغون (25-44)",IF(D1381&lt;=64,"متوسطو العمر (45-64)","كبار السن (+65)"))))</f>
        <v>متوسطو العمر (45-64)</v>
      </c>
      <c r="T1381" s="41" t="n">
        <f aca="false">IFERROR(L1381/P1381,0)</f>
        <v>1086.13</v>
      </c>
    </row>
    <row r="1382" customFormat="false" ht="15" hidden="false" customHeight="false" outlineLevel="0" collapsed="false">
      <c r="A1382" s="42" t="s">
        <v>1045</v>
      </c>
      <c r="B1382" s="43" t="n">
        <v>45532</v>
      </c>
      <c r="C1382" s="43" t="n">
        <v>45533</v>
      </c>
      <c r="D1382" s="42" t="n">
        <v>60</v>
      </c>
      <c r="E1382" s="42" t="s">
        <v>139</v>
      </c>
      <c r="F1382" s="42" t="s">
        <v>203</v>
      </c>
      <c r="G1382" s="42" t="s">
        <v>204</v>
      </c>
      <c r="H1382" s="42" t="s">
        <v>205</v>
      </c>
      <c r="I1382" s="42" t="s">
        <v>143</v>
      </c>
      <c r="J1382" s="42" t="s">
        <v>144</v>
      </c>
      <c r="K1382" s="42" t="s">
        <v>160</v>
      </c>
      <c r="L1382" s="44" t="n">
        <v>1592.94</v>
      </c>
      <c r="M1382" s="42" t="n">
        <v>4</v>
      </c>
      <c r="N1382" s="42" t="s">
        <v>146</v>
      </c>
      <c r="O1382" s="42" t="s">
        <v>147</v>
      </c>
      <c r="P1382" s="39" t="n">
        <f aca="false">C1382-B1382</f>
        <v>1</v>
      </c>
      <c r="Q1382" s="40" t="str">
        <f aca="false">CHOOSE(MONTH(B1382),"يناير","فبراير","مارس","أبريل","مايو","يونيو","يوليو","أغسطس","سبتمبر","أكتوبر","نوفمبر","ديسمبر")</f>
        <v>أغسطس</v>
      </c>
      <c r="R1382" s="40" t="str">
        <f aca="false">"الربع "&amp;ROUNDUP(MONTH(B1382)/3,0)</f>
        <v>الربع 3</v>
      </c>
      <c r="S1382" s="40" t="str">
        <f aca="false">IF(D1382&lt;=12,"أطفال (0-12)",IF(D1382&lt;=24,"شباب (13-24)",IF(D1382&lt;=44,"بالغون (25-44)",IF(D1382&lt;=64,"متوسطو العمر (45-64)","كبار السن (+65)"))))</f>
        <v>متوسطو العمر (45-64)</v>
      </c>
      <c r="T1382" s="41" t="n">
        <f aca="false">IFERROR(L1382/P1382,0)</f>
        <v>1592.94</v>
      </c>
    </row>
    <row r="1383" customFormat="false" ht="15" hidden="false" customHeight="false" outlineLevel="0" collapsed="false">
      <c r="A1383" s="33" t="s">
        <v>660</v>
      </c>
      <c r="B1383" s="34" t="n">
        <v>45532</v>
      </c>
      <c r="C1383" s="34" t="n">
        <v>45535</v>
      </c>
      <c r="D1383" s="33" t="n">
        <v>2</v>
      </c>
      <c r="E1383" s="33" t="s">
        <v>139</v>
      </c>
      <c r="F1383" s="33" t="s">
        <v>155</v>
      </c>
      <c r="G1383" s="33" t="s">
        <v>156</v>
      </c>
      <c r="H1383" s="33" t="s">
        <v>157</v>
      </c>
      <c r="I1383" s="33" t="s">
        <v>143</v>
      </c>
      <c r="J1383" s="33" t="s">
        <v>159</v>
      </c>
      <c r="K1383" s="33" t="s">
        <v>184</v>
      </c>
      <c r="L1383" s="35" t="n">
        <v>2885.77</v>
      </c>
      <c r="M1383" s="33" t="n">
        <v>3</v>
      </c>
      <c r="N1383" s="33" t="s">
        <v>210</v>
      </c>
      <c r="O1383" s="33" t="s">
        <v>147</v>
      </c>
      <c r="P1383" s="39" t="n">
        <f aca="false">C1383-B1383</f>
        <v>3</v>
      </c>
      <c r="Q1383" s="40" t="str">
        <f aca="false">CHOOSE(MONTH(B1383),"يناير","فبراير","مارس","أبريل","مايو","يونيو","يوليو","أغسطس","سبتمبر","أكتوبر","نوفمبر","ديسمبر")</f>
        <v>أغسطس</v>
      </c>
      <c r="R1383" s="40" t="str">
        <f aca="false">"الربع "&amp;ROUNDUP(MONTH(B1383)/3,0)</f>
        <v>الربع 3</v>
      </c>
      <c r="S1383" s="40" t="str">
        <f aca="false">IF(D1383&lt;=12,"أطفال (0-12)",IF(D1383&lt;=24,"شباب (13-24)",IF(D1383&lt;=44,"بالغون (25-44)",IF(D1383&lt;=64,"متوسطو العمر (45-64)","كبار السن (+65)"))))</f>
        <v>أطفال (0-12)</v>
      </c>
      <c r="T1383" s="41" t="n">
        <f aca="false">IFERROR(L1383/P1383,0)</f>
        <v>961.923333333333</v>
      </c>
    </row>
    <row r="1384" customFormat="false" ht="15" hidden="false" customHeight="false" outlineLevel="0" collapsed="false">
      <c r="A1384" s="42" t="s">
        <v>411</v>
      </c>
      <c r="B1384" s="43" t="n">
        <v>45533</v>
      </c>
      <c r="C1384" s="43" t="n">
        <v>45535</v>
      </c>
      <c r="D1384" s="42" t="n">
        <v>4</v>
      </c>
      <c r="E1384" s="42" t="s">
        <v>139</v>
      </c>
      <c r="F1384" s="42" t="s">
        <v>155</v>
      </c>
      <c r="G1384" s="42" t="s">
        <v>156</v>
      </c>
      <c r="H1384" s="42" t="s">
        <v>157</v>
      </c>
      <c r="I1384" s="42" t="s">
        <v>152</v>
      </c>
      <c r="J1384" s="42" t="s">
        <v>144</v>
      </c>
      <c r="K1384" s="42" t="s">
        <v>145</v>
      </c>
      <c r="L1384" s="44" t="n">
        <v>3017.24</v>
      </c>
      <c r="M1384" s="42" t="n">
        <v>5</v>
      </c>
      <c r="N1384" s="42" t="s">
        <v>146</v>
      </c>
      <c r="O1384" s="42" t="s">
        <v>147</v>
      </c>
      <c r="P1384" s="39" t="n">
        <f aca="false">C1384-B1384</f>
        <v>2</v>
      </c>
      <c r="Q1384" s="40" t="str">
        <f aca="false">CHOOSE(MONTH(B1384),"يناير","فبراير","مارس","أبريل","مايو","يونيو","يوليو","أغسطس","سبتمبر","أكتوبر","نوفمبر","ديسمبر")</f>
        <v>أغسطس</v>
      </c>
      <c r="R1384" s="40" t="str">
        <f aca="false">"الربع "&amp;ROUNDUP(MONTH(B1384)/3,0)</f>
        <v>الربع 3</v>
      </c>
      <c r="S1384" s="40" t="str">
        <f aca="false">IF(D1384&lt;=12,"أطفال (0-12)",IF(D1384&lt;=24,"شباب (13-24)",IF(D1384&lt;=44,"بالغون (25-44)",IF(D1384&lt;=64,"متوسطو العمر (45-64)","كبار السن (+65)"))))</f>
        <v>أطفال (0-12)</v>
      </c>
      <c r="T1384" s="41" t="n">
        <f aca="false">IFERROR(L1384/P1384,0)</f>
        <v>1508.62</v>
      </c>
    </row>
    <row r="1385" customFormat="false" ht="15" hidden="false" customHeight="false" outlineLevel="0" collapsed="false">
      <c r="A1385" s="33" t="s">
        <v>829</v>
      </c>
      <c r="B1385" s="34" t="n">
        <v>45533</v>
      </c>
      <c r="C1385" s="34" t="n">
        <v>45536</v>
      </c>
      <c r="D1385" s="33" t="n">
        <v>28</v>
      </c>
      <c r="E1385" s="33" t="s">
        <v>139</v>
      </c>
      <c r="F1385" s="33" t="s">
        <v>140</v>
      </c>
      <c r="G1385" s="33" t="s">
        <v>316</v>
      </c>
      <c r="H1385" s="33" t="s">
        <v>2322</v>
      </c>
      <c r="I1385" s="33" t="s">
        <v>158</v>
      </c>
      <c r="J1385" s="33" t="s">
        <v>159</v>
      </c>
      <c r="K1385" s="33" t="s">
        <v>145</v>
      </c>
      <c r="L1385" s="35" t="n">
        <v>5167.88</v>
      </c>
      <c r="M1385" s="33" t="n">
        <v>4</v>
      </c>
      <c r="N1385" s="33" t="s">
        <v>146</v>
      </c>
      <c r="O1385" s="33" t="s">
        <v>147</v>
      </c>
      <c r="P1385" s="39" t="n">
        <f aca="false">C1385-B1385</f>
        <v>3</v>
      </c>
      <c r="Q1385" s="40" t="str">
        <f aca="false">CHOOSE(MONTH(B1385),"يناير","فبراير","مارس","أبريل","مايو","يونيو","يوليو","أغسطس","سبتمبر","أكتوبر","نوفمبر","ديسمبر")</f>
        <v>أغسطس</v>
      </c>
      <c r="R1385" s="40" t="str">
        <f aca="false">"الربع "&amp;ROUNDUP(MONTH(B1385)/3,0)</f>
        <v>الربع 3</v>
      </c>
      <c r="S1385" s="40" t="str">
        <f aca="false">IF(D1385&lt;=12,"أطفال (0-12)",IF(D1385&lt;=24,"شباب (13-24)",IF(D1385&lt;=44,"بالغون (25-44)",IF(D1385&lt;=64,"متوسطو العمر (45-64)","كبار السن (+65)"))))</f>
        <v>بالغون (25-44)</v>
      </c>
      <c r="T1385" s="41" t="n">
        <f aca="false">IFERROR(L1385/P1385,0)</f>
        <v>1722.62666666667</v>
      </c>
    </row>
    <row r="1386" customFormat="false" ht="15" hidden="false" customHeight="false" outlineLevel="0" collapsed="false">
      <c r="A1386" s="42" t="s">
        <v>416</v>
      </c>
      <c r="B1386" s="43" t="n">
        <v>45533</v>
      </c>
      <c r="C1386" s="43" t="n">
        <v>45534</v>
      </c>
      <c r="D1386" s="42" t="n">
        <v>14</v>
      </c>
      <c r="E1386" s="42" t="s">
        <v>139</v>
      </c>
      <c r="F1386" s="42" t="s">
        <v>203</v>
      </c>
      <c r="G1386" s="42" t="s">
        <v>241</v>
      </c>
      <c r="H1386" s="42" t="s">
        <v>233</v>
      </c>
      <c r="I1386" s="42" t="s">
        <v>143</v>
      </c>
      <c r="J1386" s="42" t="s">
        <v>144</v>
      </c>
      <c r="K1386" s="42" t="s">
        <v>145</v>
      </c>
      <c r="L1386" s="44" t="n">
        <v>1664.84</v>
      </c>
      <c r="M1386" s="42" t="n">
        <v>4</v>
      </c>
      <c r="N1386" s="42" t="s">
        <v>146</v>
      </c>
      <c r="O1386" s="42" t="s">
        <v>295</v>
      </c>
      <c r="P1386" s="39" t="n">
        <f aca="false">C1386-B1386</f>
        <v>1</v>
      </c>
      <c r="Q1386" s="40" t="str">
        <f aca="false">CHOOSE(MONTH(B1386),"يناير","فبراير","مارس","أبريل","مايو","يونيو","يوليو","أغسطس","سبتمبر","أكتوبر","نوفمبر","ديسمبر")</f>
        <v>أغسطس</v>
      </c>
      <c r="R1386" s="40" t="str">
        <f aca="false">"الربع "&amp;ROUNDUP(MONTH(B1386)/3,0)</f>
        <v>الربع 3</v>
      </c>
      <c r="S1386" s="40" t="str">
        <f aca="false">IF(D1386&lt;=12,"أطفال (0-12)",IF(D1386&lt;=24,"شباب (13-24)",IF(D1386&lt;=44,"بالغون (25-44)",IF(D1386&lt;=64,"متوسطو العمر (45-64)","كبار السن (+65)"))))</f>
        <v>شباب (13-24)</v>
      </c>
      <c r="T1386" s="41" t="n">
        <f aca="false">IFERROR(L1386/P1386,0)</f>
        <v>1664.84</v>
      </c>
    </row>
    <row r="1387" customFormat="false" ht="15" hidden="false" customHeight="false" outlineLevel="0" collapsed="false">
      <c r="A1387" s="33" t="s">
        <v>1190</v>
      </c>
      <c r="B1387" s="34" t="n">
        <v>45533</v>
      </c>
      <c r="C1387" s="34" t="n">
        <v>45537</v>
      </c>
      <c r="D1387" s="33" t="n">
        <v>42</v>
      </c>
      <c r="E1387" s="33" t="s">
        <v>154</v>
      </c>
      <c r="F1387" s="33" t="s">
        <v>226</v>
      </c>
      <c r="G1387" s="33" t="s">
        <v>386</v>
      </c>
      <c r="H1387" s="33" t="s">
        <v>263</v>
      </c>
      <c r="I1387" s="33" t="s">
        <v>143</v>
      </c>
      <c r="J1387" s="33" t="s">
        <v>159</v>
      </c>
      <c r="K1387" s="33" t="s">
        <v>145</v>
      </c>
      <c r="L1387" s="35" t="n">
        <v>10838.63</v>
      </c>
      <c r="M1387" s="33" t="n">
        <v>5</v>
      </c>
      <c r="N1387" s="33" t="s">
        <v>146</v>
      </c>
      <c r="O1387" s="33" t="s">
        <v>147</v>
      </c>
      <c r="P1387" s="39" t="n">
        <f aca="false">C1387-B1387</f>
        <v>4</v>
      </c>
      <c r="Q1387" s="40" t="str">
        <f aca="false">CHOOSE(MONTH(B1387),"يناير","فبراير","مارس","أبريل","مايو","يونيو","يوليو","أغسطس","سبتمبر","أكتوبر","نوفمبر","ديسمبر")</f>
        <v>أغسطس</v>
      </c>
      <c r="R1387" s="40" t="str">
        <f aca="false">"الربع "&amp;ROUNDUP(MONTH(B1387)/3,0)</f>
        <v>الربع 3</v>
      </c>
      <c r="S1387" s="40" t="str">
        <f aca="false">IF(D1387&lt;=12,"أطفال (0-12)",IF(D1387&lt;=24,"شباب (13-24)",IF(D1387&lt;=44,"بالغون (25-44)",IF(D1387&lt;=64,"متوسطو العمر (45-64)","كبار السن (+65)"))))</f>
        <v>بالغون (25-44)</v>
      </c>
      <c r="T1387" s="41" t="n">
        <f aca="false">IFERROR(L1387/P1387,0)</f>
        <v>2709.6575</v>
      </c>
    </row>
    <row r="1388" customFormat="false" ht="15" hidden="false" customHeight="false" outlineLevel="0" collapsed="false">
      <c r="A1388" s="42" t="s">
        <v>1921</v>
      </c>
      <c r="B1388" s="43" t="n">
        <v>45533</v>
      </c>
      <c r="C1388" s="43" t="n">
        <v>45541</v>
      </c>
      <c r="D1388" s="42" t="n">
        <v>34</v>
      </c>
      <c r="E1388" s="42" t="s">
        <v>139</v>
      </c>
      <c r="F1388" s="42" t="s">
        <v>173</v>
      </c>
      <c r="G1388" s="42" t="s">
        <v>178</v>
      </c>
      <c r="H1388" s="42" t="s">
        <v>175</v>
      </c>
      <c r="I1388" s="42" t="s">
        <v>143</v>
      </c>
      <c r="J1388" s="42" t="s">
        <v>159</v>
      </c>
      <c r="K1388" s="42" t="s">
        <v>145</v>
      </c>
      <c r="L1388" s="44" t="n">
        <v>18097.56</v>
      </c>
      <c r="M1388" s="42" t="n">
        <v>5</v>
      </c>
      <c r="N1388" s="42" t="s">
        <v>146</v>
      </c>
      <c r="O1388" s="42" t="s">
        <v>147</v>
      </c>
      <c r="P1388" s="39" t="n">
        <f aca="false">C1388-B1388</f>
        <v>8</v>
      </c>
      <c r="Q1388" s="40" t="str">
        <f aca="false">CHOOSE(MONTH(B1388),"يناير","فبراير","مارس","أبريل","مايو","يونيو","يوليو","أغسطس","سبتمبر","أكتوبر","نوفمبر","ديسمبر")</f>
        <v>أغسطس</v>
      </c>
      <c r="R1388" s="40" t="str">
        <f aca="false">"الربع "&amp;ROUNDUP(MONTH(B1388)/3,0)</f>
        <v>الربع 3</v>
      </c>
      <c r="S1388" s="40" t="str">
        <f aca="false">IF(D1388&lt;=12,"أطفال (0-12)",IF(D1388&lt;=24,"شباب (13-24)",IF(D1388&lt;=44,"بالغون (25-44)",IF(D1388&lt;=64,"متوسطو العمر (45-64)","كبار السن (+65)"))))</f>
        <v>بالغون (25-44)</v>
      </c>
      <c r="T1388" s="41" t="n">
        <f aca="false">IFERROR(L1388/P1388,0)</f>
        <v>2262.195</v>
      </c>
    </row>
    <row r="1389" customFormat="false" ht="15" hidden="false" customHeight="false" outlineLevel="0" collapsed="false">
      <c r="A1389" s="33" t="s">
        <v>683</v>
      </c>
      <c r="B1389" s="34" t="n">
        <v>45533</v>
      </c>
      <c r="C1389" s="34" t="n">
        <v>45534</v>
      </c>
      <c r="D1389" s="33" t="n">
        <v>26</v>
      </c>
      <c r="E1389" s="33" t="s">
        <v>139</v>
      </c>
      <c r="F1389" s="33" t="s">
        <v>149</v>
      </c>
      <c r="G1389" s="33" t="s">
        <v>243</v>
      </c>
      <c r="H1389" s="33" t="s">
        <v>186</v>
      </c>
      <c r="I1389" s="33" t="s">
        <v>152</v>
      </c>
      <c r="J1389" s="33" t="s">
        <v>159</v>
      </c>
      <c r="K1389" s="33" t="s">
        <v>145</v>
      </c>
      <c r="L1389" s="35" t="n">
        <v>1592.93</v>
      </c>
      <c r="M1389" s="33" t="n">
        <v>4</v>
      </c>
      <c r="N1389" s="33" t="s">
        <v>146</v>
      </c>
      <c r="O1389" s="33" t="s">
        <v>295</v>
      </c>
      <c r="P1389" s="39" t="n">
        <f aca="false">C1389-B1389</f>
        <v>1</v>
      </c>
      <c r="Q1389" s="40" t="str">
        <f aca="false">CHOOSE(MONTH(B1389),"يناير","فبراير","مارس","أبريل","مايو","يونيو","يوليو","أغسطس","سبتمبر","أكتوبر","نوفمبر","ديسمبر")</f>
        <v>أغسطس</v>
      </c>
      <c r="R1389" s="40" t="str">
        <f aca="false">"الربع "&amp;ROUNDUP(MONTH(B1389)/3,0)</f>
        <v>الربع 3</v>
      </c>
      <c r="S1389" s="40" t="str">
        <f aca="false">IF(D1389&lt;=12,"أطفال (0-12)",IF(D1389&lt;=24,"شباب (13-24)",IF(D1389&lt;=44,"بالغون (25-44)",IF(D1389&lt;=64,"متوسطو العمر (45-64)","كبار السن (+65)"))))</f>
        <v>بالغون (25-44)</v>
      </c>
      <c r="T1389" s="41" t="n">
        <f aca="false">IFERROR(L1389/P1389,0)</f>
        <v>1592.93</v>
      </c>
    </row>
    <row r="1390" customFormat="false" ht="15" hidden="false" customHeight="false" outlineLevel="0" collapsed="false">
      <c r="A1390" s="42" t="s">
        <v>1726</v>
      </c>
      <c r="B1390" s="43" t="n">
        <v>45534</v>
      </c>
      <c r="C1390" s="43" t="n">
        <v>45535</v>
      </c>
      <c r="D1390" s="42" t="n">
        <v>0</v>
      </c>
      <c r="E1390" s="42" t="s">
        <v>154</v>
      </c>
      <c r="F1390" s="42" t="s">
        <v>155</v>
      </c>
      <c r="G1390" s="42" t="s">
        <v>220</v>
      </c>
      <c r="H1390" s="42" t="s">
        <v>157</v>
      </c>
      <c r="I1390" s="42" t="s">
        <v>143</v>
      </c>
      <c r="J1390" s="42" t="s">
        <v>159</v>
      </c>
      <c r="K1390" s="42" t="s">
        <v>145</v>
      </c>
      <c r="L1390" s="44" t="n">
        <v>925.44</v>
      </c>
      <c r="M1390" s="42" t="n">
        <v>4</v>
      </c>
      <c r="N1390" s="42" t="s">
        <v>146</v>
      </c>
      <c r="O1390" s="42" t="s">
        <v>147</v>
      </c>
      <c r="P1390" s="39" t="n">
        <f aca="false">C1390-B1390</f>
        <v>1</v>
      </c>
      <c r="Q1390" s="40" t="str">
        <f aca="false">CHOOSE(MONTH(B1390),"يناير","فبراير","مارس","أبريل","مايو","يونيو","يوليو","أغسطس","سبتمبر","أكتوبر","نوفمبر","ديسمبر")</f>
        <v>أغسطس</v>
      </c>
      <c r="R1390" s="40" t="str">
        <f aca="false">"الربع "&amp;ROUNDUP(MONTH(B1390)/3,0)</f>
        <v>الربع 3</v>
      </c>
      <c r="S1390" s="40" t="str">
        <f aca="false">IF(D1390&lt;=12,"أطفال (0-12)",IF(D1390&lt;=24,"شباب (13-24)",IF(D1390&lt;=44,"بالغون (25-44)",IF(D1390&lt;=64,"متوسطو العمر (45-64)","كبار السن (+65)"))))</f>
        <v>أطفال (0-12)</v>
      </c>
      <c r="T1390" s="41" t="n">
        <f aca="false">IFERROR(L1390/P1390,0)</f>
        <v>925.44</v>
      </c>
    </row>
    <row r="1391" customFormat="false" ht="15" hidden="false" customHeight="false" outlineLevel="0" collapsed="false">
      <c r="A1391" s="33" t="s">
        <v>1078</v>
      </c>
      <c r="B1391" s="34" t="n">
        <v>45534</v>
      </c>
      <c r="C1391" s="34" t="n">
        <v>45535</v>
      </c>
      <c r="D1391" s="33" t="n">
        <v>32</v>
      </c>
      <c r="E1391" s="33" t="s">
        <v>139</v>
      </c>
      <c r="F1391" s="33" t="s">
        <v>149</v>
      </c>
      <c r="G1391" s="33" t="s">
        <v>150</v>
      </c>
      <c r="H1391" s="33" t="s">
        <v>151</v>
      </c>
      <c r="I1391" s="33" t="s">
        <v>143</v>
      </c>
      <c r="J1391" s="33" t="s">
        <v>159</v>
      </c>
      <c r="K1391" s="33" t="s">
        <v>184</v>
      </c>
      <c r="L1391" s="35" t="n">
        <v>1533.49</v>
      </c>
      <c r="M1391" s="33" t="n">
        <v>4</v>
      </c>
      <c r="N1391" s="33" t="s">
        <v>146</v>
      </c>
      <c r="O1391" s="33" t="s">
        <v>247</v>
      </c>
      <c r="P1391" s="39" t="n">
        <f aca="false">C1391-B1391</f>
        <v>1</v>
      </c>
      <c r="Q1391" s="40" t="str">
        <f aca="false">CHOOSE(MONTH(B1391),"يناير","فبراير","مارس","أبريل","مايو","يونيو","يوليو","أغسطس","سبتمبر","أكتوبر","نوفمبر","ديسمبر")</f>
        <v>أغسطس</v>
      </c>
      <c r="R1391" s="40" t="str">
        <f aca="false">"الربع "&amp;ROUNDUP(MONTH(B1391)/3,0)</f>
        <v>الربع 3</v>
      </c>
      <c r="S1391" s="40" t="str">
        <f aca="false">IF(D1391&lt;=12,"أطفال (0-12)",IF(D1391&lt;=24,"شباب (13-24)",IF(D1391&lt;=44,"بالغون (25-44)",IF(D1391&lt;=64,"متوسطو العمر (45-64)","كبار السن (+65)"))))</f>
        <v>بالغون (25-44)</v>
      </c>
      <c r="T1391" s="41" t="n">
        <f aca="false">IFERROR(L1391/P1391,0)</f>
        <v>1533.49</v>
      </c>
    </row>
    <row r="1392" customFormat="false" ht="15" hidden="false" customHeight="false" outlineLevel="0" collapsed="false">
      <c r="A1392" s="42" t="s">
        <v>1605</v>
      </c>
      <c r="B1392" s="43" t="n">
        <v>45534</v>
      </c>
      <c r="C1392" s="43" t="n">
        <v>45535</v>
      </c>
      <c r="D1392" s="42" t="n">
        <v>60</v>
      </c>
      <c r="E1392" s="42" t="s">
        <v>154</v>
      </c>
      <c r="F1392" s="42" t="s">
        <v>203</v>
      </c>
      <c r="G1392" s="42" t="s">
        <v>192</v>
      </c>
      <c r="H1392" s="42" t="s">
        <v>205</v>
      </c>
      <c r="I1392" s="42" t="s">
        <v>152</v>
      </c>
      <c r="J1392" s="42" t="s">
        <v>144</v>
      </c>
      <c r="K1392" s="42" t="s">
        <v>160</v>
      </c>
      <c r="L1392" s="44" t="n">
        <v>1441.77</v>
      </c>
      <c r="M1392" s="42" t="n">
        <v>3</v>
      </c>
      <c r="N1392" s="42" t="s">
        <v>146</v>
      </c>
      <c r="O1392" s="42" t="s">
        <v>147</v>
      </c>
      <c r="P1392" s="39" t="n">
        <f aca="false">C1392-B1392</f>
        <v>1</v>
      </c>
      <c r="Q1392" s="40" t="str">
        <f aca="false">CHOOSE(MONTH(B1392),"يناير","فبراير","مارس","أبريل","مايو","يونيو","يوليو","أغسطس","سبتمبر","أكتوبر","نوفمبر","ديسمبر")</f>
        <v>أغسطس</v>
      </c>
      <c r="R1392" s="40" t="str">
        <f aca="false">"الربع "&amp;ROUNDUP(MONTH(B1392)/3,0)</f>
        <v>الربع 3</v>
      </c>
      <c r="S1392" s="40" t="str">
        <f aca="false">IF(D1392&lt;=12,"أطفال (0-12)",IF(D1392&lt;=24,"شباب (13-24)",IF(D1392&lt;=44,"بالغون (25-44)",IF(D1392&lt;=64,"متوسطو العمر (45-64)","كبار السن (+65)"))))</f>
        <v>متوسطو العمر (45-64)</v>
      </c>
      <c r="T1392" s="41" t="n">
        <f aca="false">IFERROR(L1392/P1392,0)</f>
        <v>1441.77</v>
      </c>
    </row>
    <row r="1393" customFormat="false" ht="15" hidden="false" customHeight="false" outlineLevel="0" collapsed="false">
      <c r="A1393" s="33" t="s">
        <v>1679</v>
      </c>
      <c r="B1393" s="34" t="n">
        <v>45534</v>
      </c>
      <c r="C1393" s="34" t="n">
        <v>45535</v>
      </c>
      <c r="D1393" s="33" t="n">
        <v>41</v>
      </c>
      <c r="E1393" s="33" t="s">
        <v>139</v>
      </c>
      <c r="F1393" s="33" t="s">
        <v>140</v>
      </c>
      <c r="G1393" s="33" t="s">
        <v>141</v>
      </c>
      <c r="H1393" s="33" t="s">
        <v>142</v>
      </c>
      <c r="I1393" s="33" t="s">
        <v>143</v>
      </c>
      <c r="J1393" s="33" t="s">
        <v>144</v>
      </c>
      <c r="K1393" s="33" t="s">
        <v>160</v>
      </c>
      <c r="L1393" s="35" t="n">
        <v>3881.46</v>
      </c>
      <c r="M1393" s="33" t="n">
        <v>4</v>
      </c>
      <c r="N1393" s="33" t="s">
        <v>146</v>
      </c>
      <c r="O1393" s="33" t="s">
        <v>147</v>
      </c>
      <c r="P1393" s="39" t="n">
        <f aca="false">C1393-B1393</f>
        <v>1</v>
      </c>
      <c r="Q1393" s="40" t="str">
        <f aca="false">CHOOSE(MONTH(B1393),"يناير","فبراير","مارس","أبريل","مايو","يونيو","يوليو","أغسطس","سبتمبر","أكتوبر","نوفمبر","ديسمبر")</f>
        <v>أغسطس</v>
      </c>
      <c r="R1393" s="40" t="str">
        <f aca="false">"الربع "&amp;ROUNDUP(MONTH(B1393)/3,0)</f>
        <v>الربع 3</v>
      </c>
      <c r="S1393" s="40" t="str">
        <f aca="false">IF(D1393&lt;=12,"أطفال (0-12)",IF(D1393&lt;=24,"شباب (13-24)",IF(D1393&lt;=44,"بالغون (25-44)",IF(D1393&lt;=64,"متوسطو العمر (45-64)","كبار السن (+65)"))))</f>
        <v>بالغون (25-44)</v>
      </c>
      <c r="T1393" s="41" t="n">
        <f aca="false">IFERROR(L1393/P1393,0)</f>
        <v>3881.46</v>
      </c>
    </row>
    <row r="1394" customFormat="false" ht="15" hidden="false" customHeight="false" outlineLevel="0" collapsed="false">
      <c r="A1394" s="42" t="s">
        <v>936</v>
      </c>
      <c r="B1394" s="43" t="n">
        <v>45534</v>
      </c>
      <c r="C1394" s="43" t="n">
        <v>45539</v>
      </c>
      <c r="D1394" s="42" t="n">
        <v>77</v>
      </c>
      <c r="E1394" s="42" t="s">
        <v>154</v>
      </c>
      <c r="F1394" s="42" t="s">
        <v>169</v>
      </c>
      <c r="G1394" s="42" t="s">
        <v>213</v>
      </c>
      <c r="H1394" s="42" t="s">
        <v>164</v>
      </c>
      <c r="I1394" s="42" t="s">
        <v>143</v>
      </c>
      <c r="J1394" s="42" t="s">
        <v>159</v>
      </c>
      <c r="K1394" s="42" t="s">
        <v>145</v>
      </c>
      <c r="L1394" s="44" t="n">
        <v>5171.19</v>
      </c>
      <c r="M1394" s="42" t="n">
        <v>4</v>
      </c>
      <c r="N1394" s="42" t="s">
        <v>210</v>
      </c>
      <c r="O1394" s="42" t="s">
        <v>147</v>
      </c>
      <c r="P1394" s="39" t="n">
        <f aca="false">C1394-B1394</f>
        <v>5</v>
      </c>
      <c r="Q1394" s="40" t="str">
        <f aca="false">CHOOSE(MONTH(B1394),"يناير","فبراير","مارس","أبريل","مايو","يونيو","يوليو","أغسطس","سبتمبر","أكتوبر","نوفمبر","ديسمبر")</f>
        <v>أغسطس</v>
      </c>
      <c r="R1394" s="40" t="str">
        <f aca="false">"الربع "&amp;ROUNDUP(MONTH(B1394)/3,0)</f>
        <v>الربع 3</v>
      </c>
      <c r="S1394" s="40" t="str">
        <f aca="false">IF(D1394&lt;=12,"أطفال (0-12)",IF(D1394&lt;=24,"شباب (13-24)",IF(D1394&lt;=44,"بالغون (25-44)",IF(D1394&lt;=64,"متوسطو العمر (45-64)","كبار السن (+65)"))))</f>
        <v>كبار السن (+65)</v>
      </c>
      <c r="T1394" s="41" t="n">
        <f aca="false">IFERROR(L1394/P1394,0)</f>
        <v>1034.238</v>
      </c>
    </row>
    <row r="1395" customFormat="false" ht="15" hidden="false" customHeight="false" outlineLevel="0" collapsed="false">
      <c r="A1395" s="33" t="s">
        <v>1656</v>
      </c>
      <c r="B1395" s="34" t="n">
        <v>45534</v>
      </c>
      <c r="C1395" s="34" t="n">
        <v>45535</v>
      </c>
      <c r="D1395" s="33" t="n">
        <v>70</v>
      </c>
      <c r="E1395" s="33" t="s">
        <v>139</v>
      </c>
      <c r="F1395" s="33" t="s">
        <v>203</v>
      </c>
      <c r="G1395" s="33" t="s">
        <v>241</v>
      </c>
      <c r="H1395" s="33" t="s">
        <v>205</v>
      </c>
      <c r="I1395" s="33" t="s">
        <v>143</v>
      </c>
      <c r="J1395" s="33" t="s">
        <v>144</v>
      </c>
      <c r="K1395" s="33" t="s">
        <v>184</v>
      </c>
      <c r="L1395" s="35" t="n">
        <v>957.35</v>
      </c>
      <c r="M1395" s="33" t="n">
        <v>4</v>
      </c>
      <c r="N1395" s="33" t="s">
        <v>210</v>
      </c>
      <c r="O1395" s="33" t="s">
        <v>147</v>
      </c>
      <c r="P1395" s="39" t="n">
        <f aca="false">C1395-B1395</f>
        <v>1</v>
      </c>
      <c r="Q1395" s="40" t="str">
        <f aca="false">CHOOSE(MONTH(B1395),"يناير","فبراير","مارس","أبريل","مايو","يونيو","يوليو","أغسطس","سبتمبر","أكتوبر","نوفمبر","ديسمبر")</f>
        <v>أغسطس</v>
      </c>
      <c r="R1395" s="40" t="str">
        <f aca="false">"الربع "&amp;ROUNDUP(MONTH(B1395)/3,0)</f>
        <v>الربع 3</v>
      </c>
      <c r="S1395" s="40" t="str">
        <f aca="false">IF(D1395&lt;=12,"أطفال (0-12)",IF(D1395&lt;=24,"شباب (13-24)",IF(D1395&lt;=44,"بالغون (25-44)",IF(D1395&lt;=64,"متوسطو العمر (45-64)","كبار السن (+65)"))))</f>
        <v>كبار السن (+65)</v>
      </c>
      <c r="T1395" s="41" t="n">
        <f aca="false">IFERROR(L1395/P1395,0)</f>
        <v>957.35</v>
      </c>
    </row>
    <row r="1396" customFormat="false" ht="15" hidden="false" customHeight="false" outlineLevel="0" collapsed="false">
      <c r="A1396" s="42" t="s">
        <v>1180</v>
      </c>
      <c r="B1396" s="43" t="n">
        <v>45534</v>
      </c>
      <c r="C1396" s="43" t="n">
        <v>45540</v>
      </c>
      <c r="D1396" s="42" t="n">
        <v>59</v>
      </c>
      <c r="E1396" s="42" t="s">
        <v>139</v>
      </c>
      <c r="F1396" s="42" t="s">
        <v>140</v>
      </c>
      <c r="G1396" s="42" t="s">
        <v>316</v>
      </c>
      <c r="H1396" s="42" t="s">
        <v>142</v>
      </c>
      <c r="I1396" s="42" t="s">
        <v>152</v>
      </c>
      <c r="J1396" s="42" t="s">
        <v>159</v>
      </c>
      <c r="K1396" s="42" t="s">
        <v>145</v>
      </c>
      <c r="L1396" s="44" t="n">
        <v>14044.65</v>
      </c>
      <c r="M1396" s="42" t="n">
        <v>5</v>
      </c>
      <c r="N1396" s="42" t="s">
        <v>146</v>
      </c>
      <c r="O1396" s="42" t="s">
        <v>147</v>
      </c>
      <c r="P1396" s="39" t="n">
        <f aca="false">C1396-B1396</f>
        <v>6</v>
      </c>
      <c r="Q1396" s="40" t="str">
        <f aca="false">CHOOSE(MONTH(B1396),"يناير","فبراير","مارس","أبريل","مايو","يونيو","يوليو","أغسطس","سبتمبر","أكتوبر","نوفمبر","ديسمبر")</f>
        <v>أغسطس</v>
      </c>
      <c r="R1396" s="40" t="str">
        <f aca="false">"الربع "&amp;ROUNDUP(MONTH(B1396)/3,0)</f>
        <v>الربع 3</v>
      </c>
      <c r="S1396" s="40" t="str">
        <f aca="false">IF(D1396&lt;=12,"أطفال (0-12)",IF(D1396&lt;=24,"شباب (13-24)",IF(D1396&lt;=44,"بالغون (25-44)",IF(D1396&lt;=64,"متوسطو العمر (45-64)","كبار السن (+65)"))))</f>
        <v>متوسطو العمر (45-64)</v>
      </c>
      <c r="T1396" s="41" t="n">
        <f aca="false">IFERROR(L1396/P1396,0)</f>
        <v>2340.775</v>
      </c>
    </row>
    <row r="1397" customFormat="false" ht="15" hidden="false" customHeight="false" outlineLevel="0" collapsed="false">
      <c r="A1397" s="33" t="s">
        <v>1787</v>
      </c>
      <c r="B1397" s="34" t="n">
        <v>45535</v>
      </c>
      <c r="C1397" s="34" t="n">
        <v>45537</v>
      </c>
      <c r="D1397" s="33" t="n">
        <v>19</v>
      </c>
      <c r="E1397" s="33" t="s">
        <v>154</v>
      </c>
      <c r="F1397" s="33" t="s">
        <v>140</v>
      </c>
      <c r="G1397" s="33" t="s">
        <v>141</v>
      </c>
      <c r="H1397" s="33" t="s">
        <v>142</v>
      </c>
      <c r="I1397" s="33" t="s">
        <v>143</v>
      </c>
      <c r="J1397" s="33" t="s">
        <v>159</v>
      </c>
      <c r="K1397" s="33" t="s">
        <v>160</v>
      </c>
      <c r="L1397" s="35" t="n">
        <v>4917.54</v>
      </c>
      <c r="M1397" s="33" t="n">
        <v>4</v>
      </c>
      <c r="N1397" s="33" t="s">
        <v>146</v>
      </c>
      <c r="O1397" s="33" t="s">
        <v>147</v>
      </c>
      <c r="P1397" s="39" t="n">
        <f aca="false">C1397-B1397</f>
        <v>2</v>
      </c>
      <c r="Q1397" s="40" t="str">
        <f aca="false">CHOOSE(MONTH(B1397),"يناير","فبراير","مارس","أبريل","مايو","يونيو","يوليو","أغسطس","سبتمبر","أكتوبر","نوفمبر","ديسمبر")</f>
        <v>أغسطس</v>
      </c>
      <c r="R1397" s="40" t="str">
        <f aca="false">"الربع "&amp;ROUNDUP(MONTH(B1397)/3,0)</f>
        <v>الربع 3</v>
      </c>
      <c r="S1397" s="40" t="str">
        <f aca="false">IF(D1397&lt;=12,"أطفال (0-12)",IF(D1397&lt;=24,"شباب (13-24)",IF(D1397&lt;=44,"بالغون (25-44)",IF(D1397&lt;=64,"متوسطو العمر (45-64)","كبار السن (+65)"))))</f>
        <v>شباب (13-24)</v>
      </c>
      <c r="T1397" s="41" t="n">
        <f aca="false">IFERROR(L1397/P1397,0)</f>
        <v>2458.77</v>
      </c>
    </row>
    <row r="1398" customFormat="false" ht="15" hidden="false" customHeight="false" outlineLevel="0" collapsed="false">
      <c r="A1398" s="42" t="s">
        <v>1969</v>
      </c>
      <c r="B1398" s="43" t="n">
        <v>45535</v>
      </c>
      <c r="C1398" s="43" t="n">
        <v>45540</v>
      </c>
      <c r="D1398" s="42" t="n">
        <v>42</v>
      </c>
      <c r="E1398" s="42" t="s">
        <v>139</v>
      </c>
      <c r="F1398" s="42" t="s">
        <v>169</v>
      </c>
      <c r="G1398" s="42" t="s">
        <v>213</v>
      </c>
      <c r="H1398" s="42" t="s">
        <v>164</v>
      </c>
      <c r="I1398" s="42" t="s">
        <v>143</v>
      </c>
      <c r="J1398" s="42" t="s">
        <v>159</v>
      </c>
      <c r="K1398" s="42" t="s">
        <v>209</v>
      </c>
      <c r="L1398" s="44" t="n">
        <v>6020.38</v>
      </c>
      <c r="M1398" s="42" t="n">
        <v>4</v>
      </c>
      <c r="N1398" s="42" t="s">
        <v>146</v>
      </c>
      <c r="O1398" s="42" t="s">
        <v>147</v>
      </c>
      <c r="P1398" s="39" t="n">
        <f aca="false">C1398-B1398</f>
        <v>5</v>
      </c>
      <c r="Q1398" s="40" t="str">
        <f aca="false">CHOOSE(MONTH(B1398),"يناير","فبراير","مارس","أبريل","مايو","يونيو","يوليو","أغسطس","سبتمبر","أكتوبر","نوفمبر","ديسمبر")</f>
        <v>أغسطس</v>
      </c>
      <c r="R1398" s="40" t="str">
        <f aca="false">"الربع "&amp;ROUNDUP(MONTH(B1398)/3,0)</f>
        <v>الربع 3</v>
      </c>
      <c r="S1398" s="40" t="str">
        <f aca="false">IF(D1398&lt;=12,"أطفال (0-12)",IF(D1398&lt;=24,"شباب (13-24)",IF(D1398&lt;=44,"بالغون (25-44)",IF(D1398&lt;=64,"متوسطو العمر (45-64)","كبار السن (+65)"))))</f>
        <v>بالغون (25-44)</v>
      </c>
      <c r="T1398" s="41" t="n">
        <f aca="false">IFERROR(L1398/P1398,0)</f>
        <v>1204.076</v>
      </c>
    </row>
    <row r="1399" customFormat="false" ht="15" hidden="false" customHeight="false" outlineLevel="0" collapsed="false">
      <c r="A1399" s="33" t="s">
        <v>1724</v>
      </c>
      <c r="B1399" s="34" t="n">
        <v>45535</v>
      </c>
      <c r="C1399" s="34" t="n">
        <v>45536</v>
      </c>
      <c r="D1399" s="33" t="n">
        <v>10</v>
      </c>
      <c r="E1399" s="33" t="s">
        <v>139</v>
      </c>
      <c r="F1399" s="33" t="s">
        <v>169</v>
      </c>
      <c r="G1399" s="33" t="s">
        <v>230</v>
      </c>
      <c r="H1399" s="33" t="s">
        <v>171</v>
      </c>
      <c r="I1399" s="33" t="s">
        <v>143</v>
      </c>
      <c r="J1399" s="33" t="s">
        <v>159</v>
      </c>
      <c r="K1399" s="33" t="s">
        <v>160</v>
      </c>
      <c r="L1399" s="35" t="n">
        <v>954.87</v>
      </c>
      <c r="M1399" s="33" t="n">
        <v>4</v>
      </c>
      <c r="N1399" s="33" t="s">
        <v>146</v>
      </c>
      <c r="O1399" s="33" t="s">
        <v>147</v>
      </c>
      <c r="P1399" s="39" t="n">
        <f aca="false">C1399-B1399</f>
        <v>1</v>
      </c>
      <c r="Q1399" s="40" t="str">
        <f aca="false">CHOOSE(MONTH(B1399),"يناير","فبراير","مارس","أبريل","مايو","يونيو","يوليو","أغسطس","سبتمبر","أكتوبر","نوفمبر","ديسمبر")</f>
        <v>أغسطس</v>
      </c>
      <c r="R1399" s="40" t="str">
        <f aca="false">"الربع "&amp;ROUNDUP(MONTH(B1399)/3,0)</f>
        <v>الربع 3</v>
      </c>
      <c r="S1399" s="40" t="str">
        <f aca="false">IF(D1399&lt;=12,"أطفال (0-12)",IF(D1399&lt;=24,"شباب (13-24)",IF(D1399&lt;=44,"بالغون (25-44)",IF(D1399&lt;=64,"متوسطو العمر (45-64)","كبار السن (+65)"))))</f>
        <v>أطفال (0-12)</v>
      </c>
      <c r="T1399" s="41" t="n">
        <f aca="false">IFERROR(L1399/P1399,0)</f>
        <v>954.87</v>
      </c>
    </row>
    <row r="1400" customFormat="false" ht="15" hidden="false" customHeight="false" outlineLevel="0" collapsed="false">
      <c r="A1400" s="42" t="s">
        <v>1824</v>
      </c>
      <c r="B1400" s="43" t="n">
        <v>45535</v>
      </c>
      <c r="C1400" s="43" t="n">
        <v>45537</v>
      </c>
      <c r="D1400" s="42" t="n">
        <v>0</v>
      </c>
      <c r="E1400" s="42" t="s">
        <v>154</v>
      </c>
      <c r="F1400" s="42" t="s">
        <v>169</v>
      </c>
      <c r="G1400" s="42" t="s">
        <v>163</v>
      </c>
      <c r="H1400" s="42" t="s">
        <v>171</v>
      </c>
      <c r="I1400" s="42" t="s">
        <v>152</v>
      </c>
      <c r="J1400" s="42" t="s">
        <v>144</v>
      </c>
      <c r="K1400" s="42" t="s">
        <v>160</v>
      </c>
      <c r="L1400" s="44" t="n">
        <v>4495.44</v>
      </c>
      <c r="M1400" s="42" t="n">
        <v>5</v>
      </c>
      <c r="N1400" s="42" t="s">
        <v>210</v>
      </c>
      <c r="O1400" s="42" t="s">
        <v>147</v>
      </c>
      <c r="P1400" s="39" t="n">
        <f aca="false">C1400-B1400</f>
        <v>2</v>
      </c>
      <c r="Q1400" s="40" t="str">
        <f aca="false">CHOOSE(MONTH(B1400),"يناير","فبراير","مارس","أبريل","مايو","يونيو","يوليو","أغسطس","سبتمبر","أكتوبر","نوفمبر","ديسمبر")</f>
        <v>أغسطس</v>
      </c>
      <c r="R1400" s="40" t="str">
        <f aca="false">"الربع "&amp;ROUNDUP(MONTH(B1400)/3,0)</f>
        <v>الربع 3</v>
      </c>
      <c r="S1400" s="40" t="str">
        <f aca="false">IF(D1400&lt;=12,"أطفال (0-12)",IF(D1400&lt;=24,"شباب (13-24)",IF(D1400&lt;=44,"بالغون (25-44)",IF(D1400&lt;=64,"متوسطو العمر (45-64)","كبار السن (+65)"))))</f>
        <v>أطفال (0-12)</v>
      </c>
      <c r="T1400" s="41" t="n">
        <f aca="false">IFERROR(L1400/P1400,0)</f>
        <v>2247.72</v>
      </c>
    </row>
    <row r="1401" customFormat="false" ht="15" hidden="false" customHeight="false" outlineLevel="0" collapsed="false">
      <c r="A1401" s="33" t="s">
        <v>2158</v>
      </c>
      <c r="B1401" s="34" t="n">
        <v>45535</v>
      </c>
      <c r="C1401" s="34" t="n">
        <v>45536</v>
      </c>
      <c r="D1401" s="33" t="n">
        <v>44</v>
      </c>
      <c r="E1401" s="33" t="s">
        <v>139</v>
      </c>
      <c r="F1401" s="33" t="s">
        <v>203</v>
      </c>
      <c r="G1401" s="33" t="s">
        <v>217</v>
      </c>
      <c r="H1401" s="33" t="s">
        <v>193</v>
      </c>
      <c r="I1401" s="33" t="s">
        <v>143</v>
      </c>
      <c r="J1401" s="33" t="s">
        <v>159</v>
      </c>
      <c r="K1401" s="33" t="s">
        <v>145</v>
      </c>
      <c r="L1401" s="35" t="n">
        <v>780.25</v>
      </c>
      <c r="M1401" s="33" t="n">
        <v>3</v>
      </c>
      <c r="N1401" s="33" t="s">
        <v>146</v>
      </c>
      <c r="O1401" s="33" t="s">
        <v>147</v>
      </c>
      <c r="P1401" s="39" t="n">
        <f aca="false">C1401-B1401</f>
        <v>1</v>
      </c>
      <c r="Q1401" s="40" t="str">
        <f aca="false">CHOOSE(MONTH(B1401),"يناير","فبراير","مارس","أبريل","مايو","يونيو","يوليو","أغسطس","سبتمبر","أكتوبر","نوفمبر","ديسمبر")</f>
        <v>أغسطس</v>
      </c>
      <c r="R1401" s="40" t="str">
        <f aca="false">"الربع "&amp;ROUNDUP(MONTH(B1401)/3,0)</f>
        <v>الربع 3</v>
      </c>
      <c r="S1401" s="40" t="str">
        <f aca="false">IF(D1401&lt;=12,"أطفال (0-12)",IF(D1401&lt;=24,"شباب (13-24)",IF(D1401&lt;=44,"بالغون (25-44)",IF(D1401&lt;=64,"متوسطو العمر (45-64)","كبار السن (+65)"))))</f>
        <v>بالغون (25-44)</v>
      </c>
      <c r="T1401" s="41" t="n">
        <f aca="false">IFERROR(L1401/P1401,0)</f>
        <v>780.25</v>
      </c>
    </row>
    <row r="1402" customFormat="false" ht="15" hidden="false" customHeight="false" outlineLevel="0" collapsed="false">
      <c r="A1402" s="42" t="s">
        <v>2030</v>
      </c>
      <c r="B1402" s="43" t="n">
        <v>45536</v>
      </c>
      <c r="C1402" s="43" t="n">
        <v>45537</v>
      </c>
      <c r="D1402" s="42" t="n">
        <v>31</v>
      </c>
      <c r="E1402" s="42" t="s">
        <v>139</v>
      </c>
      <c r="F1402" s="42" t="s">
        <v>149</v>
      </c>
      <c r="G1402" s="42" t="s">
        <v>224</v>
      </c>
      <c r="H1402" s="42" t="s">
        <v>186</v>
      </c>
      <c r="I1402" s="42" t="s">
        <v>143</v>
      </c>
      <c r="J1402" s="42" t="s">
        <v>144</v>
      </c>
      <c r="K1402" s="42" t="s">
        <v>184</v>
      </c>
      <c r="L1402" s="44" t="n">
        <v>2378.88</v>
      </c>
      <c r="M1402" s="42" t="n">
        <v>4</v>
      </c>
      <c r="N1402" s="42" t="s">
        <v>146</v>
      </c>
      <c r="O1402" s="42" t="s">
        <v>147</v>
      </c>
      <c r="P1402" s="39" t="n">
        <f aca="false">C1402-B1402</f>
        <v>1</v>
      </c>
      <c r="Q1402" s="40" t="str">
        <f aca="false">CHOOSE(MONTH(B1402),"يناير","فبراير","مارس","أبريل","مايو","يونيو","يوليو","أغسطس","سبتمبر","أكتوبر","نوفمبر","ديسمبر")</f>
        <v>سبتمبر</v>
      </c>
      <c r="R1402" s="40" t="str">
        <f aca="false">"الربع "&amp;ROUNDUP(MONTH(B1402)/3,0)</f>
        <v>الربع 3</v>
      </c>
      <c r="S1402" s="40" t="str">
        <f aca="false">IF(D1402&lt;=12,"أطفال (0-12)",IF(D1402&lt;=24,"شباب (13-24)",IF(D1402&lt;=44,"بالغون (25-44)",IF(D1402&lt;=64,"متوسطو العمر (45-64)","كبار السن (+65)"))))</f>
        <v>بالغون (25-44)</v>
      </c>
      <c r="T1402" s="41" t="n">
        <f aca="false">IFERROR(L1402/P1402,0)</f>
        <v>2378.88</v>
      </c>
    </row>
    <row r="1403" customFormat="false" ht="15" hidden="false" customHeight="false" outlineLevel="0" collapsed="false">
      <c r="A1403" s="33" t="s">
        <v>531</v>
      </c>
      <c r="B1403" s="34" t="n">
        <v>45536</v>
      </c>
      <c r="C1403" s="34" t="n">
        <v>45539</v>
      </c>
      <c r="D1403" s="33" t="n">
        <v>1</v>
      </c>
      <c r="E1403" s="33" t="s">
        <v>139</v>
      </c>
      <c r="F1403" s="33" t="s">
        <v>155</v>
      </c>
      <c r="G1403" s="33" t="s">
        <v>302</v>
      </c>
      <c r="H1403" s="33" t="s">
        <v>222</v>
      </c>
      <c r="I1403" s="33" t="s">
        <v>152</v>
      </c>
      <c r="J1403" s="33" t="s">
        <v>176</v>
      </c>
      <c r="K1403" s="33" t="s">
        <v>145</v>
      </c>
      <c r="L1403" s="35" t="n">
        <v>8812.01</v>
      </c>
      <c r="M1403" s="33" t="n">
        <v>4</v>
      </c>
      <c r="N1403" s="33" t="s">
        <v>146</v>
      </c>
      <c r="O1403" s="33" t="s">
        <v>147</v>
      </c>
      <c r="P1403" s="39" t="n">
        <f aca="false">C1403-B1403</f>
        <v>3</v>
      </c>
      <c r="Q1403" s="40" t="str">
        <f aca="false">CHOOSE(MONTH(B1403),"يناير","فبراير","مارس","أبريل","مايو","يونيو","يوليو","أغسطس","سبتمبر","أكتوبر","نوفمبر","ديسمبر")</f>
        <v>سبتمبر</v>
      </c>
      <c r="R1403" s="40" t="str">
        <f aca="false">"الربع "&amp;ROUNDUP(MONTH(B1403)/3,0)</f>
        <v>الربع 3</v>
      </c>
      <c r="S1403" s="40" t="str">
        <f aca="false">IF(D1403&lt;=12,"أطفال (0-12)",IF(D1403&lt;=24,"شباب (13-24)",IF(D1403&lt;=44,"بالغون (25-44)",IF(D1403&lt;=64,"متوسطو العمر (45-64)","كبار السن (+65)"))))</f>
        <v>أطفال (0-12)</v>
      </c>
      <c r="T1403" s="41" t="n">
        <f aca="false">IFERROR(L1403/P1403,0)</f>
        <v>2937.33666666667</v>
      </c>
    </row>
    <row r="1404" customFormat="false" ht="15" hidden="false" customHeight="false" outlineLevel="0" collapsed="false">
      <c r="A1404" s="42" t="s">
        <v>1070</v>
      </c>
      <c r="B1404" s="43" t="n">
        <v>45536</v>
      </c>
      <c r="C1404" s="43" t="n">
        <v>45538</v>
      </c>
      <c r="D1404" s="42" t="n">
        <v>29</v>
      </c>
      <c r="E1404" s="42" t="s">
        <v>139</v>
      </c>
      <c r="F1404" s="42" t="s">
        <v>149</v>
      </c>
      <c r="G1404" s="42" t="s">
        <v>150</v>
      </c>
      <c r="H1404" s="42" t="s">
        <v>186</v>
      </c>
      <c r="I1404" s="42" t="s">
        <v>143</v>
      </c>
      <c r="J1404" s="42" t="s">
        <v>159</v>
      </c>
      <c r="K1404" s="42" t="s">
        <v>145</v>
      </c>
      <c r="L1404" s="44" t="n">
        <v>2358.93</v>
      </c>
      <c r="M1404" s="42" t="n">
        <v>5</v>
      </c>
      <c r="N1404" s="42" t="s">
        <v>146</v>
      </c>
      <c r="O1404" s="42" t="s">
        <v>147</v>
      </c>
      <c r="P1404" s="39" t="n">
        <f aca="false">C1404-B1404</f>
        <v>2</v>
      </c>
      <c r="Q1404" s="40" t="str">
        <f aca="false">CHOOSE(MONTH(B1404),"يناير","فبراير","مارس","أبريل","مايو","يونيو","يوليو","أغسطس","سبتمبر","أكتوبر","نوفمبر","ديسمبر")</f>
        <v>سبتمبر</v>
      </c>
      <c r="R1404" s="40" t="str">
        <f aca="false">"الربع "&amp;ROUNDUP(MONTH(B1404)/3,0)</f>
        <v>الربع 3</v>
      </c>
      <c r="S1404" s="40" t="str">
        <f aca="false">IF(D1404&lt;=12,"أطفال (0-12)",IF(D1404&lt;=24,"شباب (13-24)",IF(D1404&lt;=44,"بالغون (25-44)",IF(D1404&lt;=64,"متوسطو العمر (45-64)","كبار السن (+65)"))))</f>
        <v>بالغون (25-44)</v>
      </c>
      <c r="T1404" s="41" t="n">
        <f aca="false">IFERROR(L1404/P1404,0)</f>
        <v>1179.465</v>
      </c>
    </row>
    <row r="1405" customFormat="false" ht="15" hidden="false" customHeight="false" outlineLevel="0" collapsed="false">
      <c r="A1405" s="33" t="s">
        <v>800</v>
      </c>
      <c r="B1405" s="34" t="n">
        <v>45536</v>
      </c>
      <c r="C1405" s="34" t="n">
        <v>45539</v>
      </c>
      <c r="D1405" s="33" t="n">
        <v>25</v>
      </c>
      <c r="E1405" s="33" t="s">
        <v>154</v>
      </c>
      <c r="F1405" s="33" t="s">
        <v>181</v>
      </c>
      <c r="G1405" s="33" t="s">
        <v>188</v>
      </c>
      <c r="H1405" s="33" t="s">
        <v>183</v>
      </c>
      <c r="I1405" s="33" t="s">
        <v>143</v>
      </c>
      <c r="J1405" s="33" t="s">
        <v>159</v>
      </c>
      <c r="K1405" s="33" t="s">
        <v>160</v>
      </c>
      <c r="L1405" s="35" t="n">
        <v>7545.82</v>
      </c>
      <c r="M1405" s="33" t="n">
        <v>5</v>
      </c>
      <c r="N1405" s="33" t="s">
        <v>146</v>
      </c>
      <c r="O1405" s="33" t="s">
        <v>147</v>
      </c>
      <c r="P1405" s="39" t="n">
        <f aca="false">C1405-B1405</f>
        <v>3</v>
      </c>
      <c r="Q1405" s="40" t="str">
        <f aca="false">CHOOSE(MONTH(B1405),"يناير","فبراير","مارس","أبريل","مايو","يونيو","يوليو","أغسطس","سبتمبر","أكتوبر","نوفمبر","ديسمبر")</f>
        <v>سبتمبر</v>
      </c>
      <c r="R1405" s="40" t="str">
        <f aca="false">"الربع "&amp;ROUNDUP(MONTH(B1405)/3,0)</f>
        <v>الربع 3</v>
      </c>
      <c r="S1405" s="40" t="str">
        <f aca="false">IF(D1405&lt;=12,"أطفال (0-12)",IF(D1405&lt;=24,"شباب (13-24)",IF(D1405&lt;=44,"بالغون (25-44)",IF(D1405&lt;=64,"متوسطو العمر (45-64)","كبار السن (+65)"))))</f>
        <v>بالغون (25-44)</v>
      </c>
      <c r="T1405" s="41" t="n">
        <f aca="false">IFERROR(L1405/P1405,0)</f>
        <v>2515.27333333333</v>
      </c>
    </row>
    <row r="1406" customFormat="false" ht="15" hidden="false" customHeight="false" outlineLevel="0" collapsed="false">
      <c r="A1406" s="42" t="s">
        <v>1914</v>
      </c>
      <c r="B1406" s="43" t="n">
        <v>45537</v>
      </c>
      <c r="C1406" s="43" t="n">
        <v>45538</v>
      </c>
      <c r="D1406" s="42" t="n">
        <v>26</v>
      </c>
      <c r="E1406" s="42" t="s">
        <v>139</v>
      </c>
      <c r="F1406" s="42" t="s">
        <v>149</v>
      </c>
      <c r="G1406" s="42" t="s">
        <v>224</v>
      </c>
      <c r="H1406" s="42" t="s">
        <v>186</v>
      </c>
      <c r="I1406" s="42" t="s">
        <v>158</v>
      </c>
      <c r="J1406" s="42" t="s">
        <v>159</v>
      </c>
      <c r="K1406" s="42" t="s">
        <v>145</v>
      </c>
      <c r="L1406" s="44" t="n">
        <v>1520.47</v>
      </c>
      <c r="M1406" s="42" t="n">
        <v>4</v>
      </c>
      <c r="N1406" s="42" t="s">
        <v>146</v>
      </c>
      <c r="O1406" s="42" t="s">
        <v>147</v>
      </c>
      <c r="P1406" s="39" t="n">
        <f aca="false">C1406-B1406</f>
        <v>1</v>
      </c>
      <c r="Q1406" s="40" t="str">
        <f aca="false">CHOOSE(MONTH(B1406),"يناير","فبراير","مارس","أبريل","مايو","يونيو","يوليو","أغسطس","سبتمبر","أكتوبر","نوفمبر","ديسمبر")</f>
        <v>سبتمبر</v>
      </c>
      <c r="R1406" s="40" t="str">
        <f aca="false">"الربع "&amp;ROUNDUP(MONTH(B1406)/3,0)</f>
        <v>الربع 3</v>
      </c>
      <c r="S1406" s="40" t="str">
        <f aca="false">IF(D1406&lt;=12,"أطفال (0-12)",IF(D1406&lt;=24,"شباب (13-24)",IF(D1406&lt;=44,"بالغون (25-44)",IF(D1406&lt;=64,"متوسطو العمر (45-64)","كبار السن (+65)"))))</f>
        <v>بالغون (25-44)</v>
      </c>
      <c r="T1406" s="41" t="n">
        <f aca="false">IFERROR(L1406/P1406,0)</f>
        <v>1520.47</v>
      </c>
    </row>
    <row r="1407" customFormat="false" ht="15" hidden="false" customHeight="false" outlineLevel="0" collapsed="false">
      <c r="A1407" s="33" t="s">
        <v>2055</v>
      </c>
      <c r="B1407" s="34" t="n">
        <v>45537</v>
      </c>
      <c r="C1407" s="34" t="n">
        <v>45538</v>
      </c>
      <c r="D1407" s="33" t="n">
        <v>3</v>
      </c>
      <c r="E1407" s="33" t="s">
        <v>154</v>
      </c>
      <c r="F1407" s="33" t="s">
        <v>155</v>
      </c>
      <c r="G1407" s="33" t="s">
        <v>156</v>
      </c>
      <c r="H1407" s="33" t="s">
        <v>222</v>
      </c>
      <c r="I1407" s="33" t="s">
        <v>152</v>
      </c>
      <c r="J1407" s="33" t="s">
        <v>159</v>
      </c>
      <c r="K1407" s="33" t="s">
        <v>184</v>
      </c>
      <c r="L1407" s="35" t="n">
        <v>889.07</v>
      </c>
      <c r="M1407" s="33" t="n">
        <v>4</v>
      </c>
      <c r="N1407" s="33" t="s">
        <v>146</v>
      </c>
      <c r="O1407" s="33" t="s">
        <v>147</v>
      </c>
      <c r="P1407" s="39" t="n">
        <f aca="false">C1407-B1407</f>
        <v>1</v>
      </c>
      <c r="Q1407" s="40" t="str">
        <f aca="false">CHOOSE(MONTH(B1407),"يناير","فبراير","مارس","أبريل","مايو","يونيو","يوليو","أغسطس","سبتمبر","أكتوبر","نوفمبر","ديسمبر")</f>
        <v>سبتمبر</v>
      </c>
      <c r="R1407" s="40" t="str">
        <f aca="false">"الربع "&amp;ROUNDUP(MONTH(B1407)/3,0)</f>
        <v>الربع 3</v>
      </c>
      <c r="S1407" s="40" t="str">
        <f aca="false">IF(D1407&lt;=12,"أطفال (0-12)",IF(D1407&lt;=24,"شباب (13-24)",IF(D1407&lt;=44,"بالغون (25-44)",IF(D1407&lt;=64,"متوسطو العمر (45-64)","كبار السن (+65)"))))</f>
        <v>أطفال (0-12)</v>
      </c>
      <c r="T1407" s="41" t="n">
        <f aca="false">IFERROR(L1407/P1407,0)</f>
        <v>889.07</v>
      </c>
    </row>
    <row r="1408" customFormat="false" ht="15" hidden="false" customHeight="false" outlineLevel="0" collapsed="false">
      <c r="A1408" s="42" t="s">
        <v>2229</v>
      </c>
      <c r="B1408" s="43" t="n">
        <v>45537</v>
      </c>
      <c r="C1408" s="43" t="n">
        <v>45546</v>
      </c>
      <c r="D1408" s="42" t="n">
        <v>15</v>
      </c>
      <c r="E1408" s="42" t="s">
        <v>139</v>
      </c>
      <c r="F1408" s="42" t="s">
        <v>149</v>
      </c>
      <c r="G1408" s="42" t="s">
        <v>224</v>
      </c>
      <c r="H1408" s="42" t="s">
        <v>186</v>
      </c>
      <c r="I1408" s="42" t="s">
        <v>158</v>
      </c>
      <c r="J1408" s="42" t="s">
        <v>159</v>
      </c>
      <c r="K1408" s="42" t="s">
        <v>160</v>
      </c>
      <c r="L1408" s="44" t="n">
        <v>13432.09</v>
      </c>
      <c r="M1408" s="42" t="n">
        <v>4</v>
      </c>
      <c r="N1408" s="42" t="s">
        <v>146</v>
      </c>
      <c r="O1408" s="42" t="s">
        <v>147</v>
      </c>
      <c r="P1408" s="39" t="n">
        <f aca="false">C1408-B1408</f>
        <v>9</v>
      </c>
      <c r="Q1408" s="40" t="str">
        <f aca="false">CHOOSE(MONTH(B1408),"يناير","فبراير","مارس","أبريل","مايو","يونيو","يوليو","أغسطس","سبتمبر","أكتوبر","نوفمبر","ديسمبر")</f>
        <v>سبتمبر</v>
      </c>
      <c r="R1408" s="40" t="str">
        <f aca="false">"الربع "&amp;ROUNDUP(MONTH(B1408)/3,0)</f>
        <v>الربع 3</v>
      </c>
      <c r="S1408" s="40" t="str">
        <f aca="false">IF(D1408&lt;=12,"أطفال (0-12)",IF(D1408&lt;=24,"شباب (13-24)",IF(D1408&lt;=44,"بالغون (25-44)",IF(D1408&lt;=64,"متوسطو العمر (45-64)","كبار السن (+65)"))))</f>
        <v>شباب (13-24)</v>
      </c>
      <c r="T1408" s="41" t="n">
        <f aca="false">IFERROR(L1408/P1408,0)</f>
        <v>1492.45444444444</v>
      </c>
    </row>
    <row r="1409" customFormat="false" ht="15" hidden="false" customHeight="false" outlineLevel="0" collapsed="false">
      <c r="A1409" s="33" t="s">
        <v>317</v>
      </c>
      <c r="B1409" s="34" t="n">
        <v>45537</v>
      </c>
      <c r="C1409" s="34" t="n">
        <v>45541</v>
      </c>
      <c r="D1409" s="33" t="n">
        <v>69</v>
      </c>
      <c r="E1409" s="33" t="s">
        <v>139</v>
      </c>
      <c r="F1409" s="33" t="s">
        <v>226</v>
      </c>
      <c r="G1409" s="33" t="s">
        <v>227</v>
      </c>
      <c r="H1409" s="33" t="s">
        <v>263</v>
      </c>
      <c r="I1409" s="33" t="s">
        <v>152</v>
      </c>
      <c r="J1409" s="33" t="s">
        <v>144</v>
      </c>
      <c r="K1409" s="33" t="s">
        <v>184</v>
      </c>
      <c r="L1409" s="35" t="n">
        <v>22004.22</v>
      </c>
      <c r="M1409" s="33" t="n">
        <v>4</v>
      </c>
      <c r="N1409" s="33" t="s">
        <v>146</v>
      </c>
      <c r="O1409" s="33" t="s">
        <v>147</v>
      </c>
      <c r="P1409" s="39" t="n">
        <f aca="false">C1409-B1409</f>
        <v>4</v>
      </c>
      <c r="Q1409" s="40" t="str">
        <f aca="false">CHOOSE(MONTH(B1409),"يناير","فبراير","مارس","أبريل","مايو","يونيو","يوليو","أغسطس","سبتمبر","أكتوبر","نوفمبر","ديسمبر")</f>
        <v>سبتمبر</v>
      </c>
      <c r="R1409" s="40" t="str">
        <f aca="false">"الربع "&amp;ROUNDUP(MONTH(B1409)/3,0)</f>
        <v>الربع 3</v>
      </c>
      <c r="S1409" s="40" t="str">
        <f aca="false">IF(D1409&lt;=12,"أطفال (0-12)",IF(D1409&lt;=24,"شباب (13-24)",IF(D1409&lt;=44,"بالغون (25-44)",IF(D1409&lt;=64,"متوسطو العمر (45-64)","كبار السن (+65)"))))</f>
        <v>كبار السن (+65)</v>
      </c>
      <c r="T1409" s="41" t="n">
        <f aca="false">IFERROR(L1409/P1409,0)</f>
        <v>5501.055</v>
      </c>
    </row>
    <row r="1410" customFormat="false" ht="15" hidden="false" customHeight="false" outlineLevel="0" collapsed="false">
      <c r="A1410" s="42" t="s">
        <v>647</v>
      </c>
      <c r="B1410" s="43" t="n">
        <v>45537</v>
      </c>
      <c r="C1410" s="43" t="n">
        <v>45542</v>
      </c>
      <c r="D1410" s="42" t="n">
        <v>79</v>
      </c>
      <c r="E1410" s="42" t="s">
        <v>154</v>
      </c>
      <c r="F1410" s="42" t="s">
        <v>173</v>
      </c>
      <c r="G1410" s="42" t="s">
        <v>198</v>
      </c>
      <c r="H1410" s="42" t="s">
        <v>199</v>
      </c>
      <c r="I1410" s="42" t="s">
        <v>152</v>
      </c>
      <c r="J1410" s="42" t="s">
        <v>159</v>
      </c>
      <c r="K1410" s="42" t="s">
        <v>184</v>
      </c>
      <c r="L1410" s="44" t="n">
        <v>14367.19</v>
      </c>
      <c r="M1410" s="42" t="n">
        <v>3</v>
      </c>
      <c r="N1410" s="42" t="s">
        <v>146</v>
      </c>
      <c r="O1410" s="42" t="s">
        <v>147</v>
      </c>
      <c r="P1410" s="39" t="n">
        <f aca="false">C1410-B1410</f>
        <v>5</v>
      </c>
      <c r="Q1410" s="40" t="str">
        <f aca="false">CHOOSE(MONTH(B1410),"يناير","فبراير","مارس","أبريل","مايو","يونيو","يوليو","أغسطس","سبتمبر","أكتوبر","نوفمبر","ديسمبر")</f>
        <v>سبتمبر</v>
      </c>
      <c r="R1410" s="40" t="str">
        <f aca="false">"الربع "&amp;ROUNDUP(MONTH(B1410)/3,0)</f>
        <v>الربع 3</v>
      </c>
      <c r="S1410" s="40" t="str">
        <f aca="false">IF(D1410&lt;=12,"أطفال (0-12)",IF(D1410&lt;=24,"شباب (13-24)",IF(D1410&lt;=44,"بالغون (25-44)",IF(D1410&lt;=64,"متوسطو العمر (45-64)","كبار السن (+65)"))))</f>
        <v>كبار السن (+65)</v>
      </c>
      <c r="T1410" s="41" t="n">
        <f aca="false">IFERROR(L1410/P1410,0)</f>
        <v>2873.438</v>
      </c>
    </row>
    <row r="1411" customFormat="false" ht="15" hidden="false" customHeight="false" outlineLevel="0" collapsed="false">
      <c r="A1411" s="33" t="s">
        <v>516</v>
      </c>
      <c r="B1411" s="34" t="n">
        <v>45537</v>
      </c>
      <c r="C1411" s="34" t="n">
        <v>45538</v>
      </c>
      <c r="D1411" s="33" t="n">
        <v>6</v>
      </c>
      <c r="E1411" s="33" t="s">
        <v>139</v>
      </c>
      <c r="F1411" s="33" t="s">
        <v>155</v>
      </c>
      <c r="G1411" s="33" t="s">
        <v>302</v>
      </c>
      <c r="H1411" s="33" t="s">
        <v>222</v>
      </c>
      <c r="I1411" s="33" t="s">
        <v>158</v>
      </c>
      <c r="J1411" s="33" t="s">
        <v>159</v>
      </c>
      <c r="K1411" s="33" t="s">
        <v>160</v>
      </c>
      <c r="L1411" s="35" t="n">
        <v>980.86</v>
      </c>
      <c r="M1411" s="33" t="n">
        <v>5</v>
      </c>
      <c r="N1411" s="33" t="s">
        <v>146</v>
      </c>
      <c r="O1411" s="33" t="s">
        <v>147</v>
      </c>
      <c r="P1411" s="39" t="n">
        <f aca="false">C1411-B1411</f>
        <v>1</v>
      </c>
      <c r="Q1411" s="40" t="str">
        <f aca="false">CHOOSE(MONTH(B1411),"يناير","فبراير","مارس","أبريل","مايو","يونيو","يوليو","أغسطس","سبتمبر","أكتوبر","نوفمبر","ديسمبر")</f>
        <v>سبتمبر</v>
      </c>
      <c r="R1411" s="40" t="str">
        <f aca="false">"الربع "&amp;ROUNDUP(MONTH(B1411)/3,0)</f>
        <v>الربع 3</v>
      </c>
      <c r="S1411" s="40" t="str">
        <f aca="false">IF(D1411&lt;=12,"أطفال (0-12)",IF(D1411&lt;=24,"شباب (13-24)",IF(D1411&lt;=44,"بالغون (25-44)",IF(D1411&lt;=64,"متوسطو العمر (45-64)","كبار السن (+65)"))))</f>
        <v>أطفال (0-12)</v>
      </c>
      <c r="T1411" s="41" t="n">
        <f aca="false">IFERROR(L1411/P1411,0)</f>
        <v>980.86</v>
      </c>
    </row>
    <row r="1412" customFormat="false" ht="15" hidden="false" customHeight="false" outlineLevel="0" collapsed="false">
      <c r="A1412" s="42" t="s">
        <v>1620</v>
      </c>
      <c r="B1412" s="43" t="n">
        <v>45537</v>
      </c>
      <c r="C1412" s="43" t="n">
        <v>45538</v>
      </c>
      <c r="D1412" s="42" t="n">
        <v>82</v>
      </c>
      <c r="E1412" s="42" t="s">
        <v>139</v>
      </c>
      <c r="F1412" s="42" t="s">
        <v>203</v>
      </c>
      <c r="G1412" s="42" t="s">
        <v>192</v>
      </c>
      <c r="H1412" s="42" t="s">
        <v>233</v>
      </c>
      <c r="I1412" s="42" t="s">
        <v>143</v>
      </c>
      <c r="J1412" s="42" t="s">
        <v>144</v>
      </c>
      <c r="K1412" s="42" t="s">
        <v>160</v>
      </c>
      <c r="L1412" s="44" t="n">
        <v>1702.7</v>
      </c>
      <c r="M1412" s="42" t="n">
        <v>4</v>
      </c>
      <c r="N1412" s="42" t="s">
        <v>146</v>
      </c>
      <c r="O1412" s="42" t="s">
        <v>206</v>
      </c>
      <c r="P1412" s="39" t="n">
        <f aca="false">C1412-B1412</f>
        <v>1</v>
      </c>
      <c r="Q1412" s="40" t="str">
        <f aca="false">CHOOSE(MONTH(B1412),"يناير","فبراير","مارس","أبريل","مايو","يونيو","يوليو","أغسطس","سبتمبر","أكتوبر","نوفمبر","ديسمبر")</f>
        <v>سبتمبر</v>
      </c>
      <c r="R1412" s="40" t="str">
        <f aca="false">"الربع "&amp;ROUNDUP(MONTH(B1412)/3,0)</f>
        <v>الربع 3</v>
      </c>
      <c r="S1412" s="40" t="str">
        <f aca="false">IF(D1412&lt;=12,"أطفال (0-12)",IF(D1412&lt;=24,"شباب (13-24)",IF(D1412&lt;=44,"بالغون (25-44)",IF(D1412&lt;=64,"متوسطو العمر (45-64)","كبار السن (+65)"))))</f>
        <v>كبار السن (+65)</v>
      </c>
      <c r="T1412" s="41" t="n">
        <f aca="false">IFERROR(L1412/P1412,0)</f>
        <v>1702.7</v>
      </c>
    </row>
    <row r="1413" customFormat="false" ht="15" hidden="false" customHeight="false" outlineLevel="0" collapsed="false">
      <c r="A1413" s="33" t="s">
        <v>1589</v>
      </c>
      <c r="B1413" s="34" t="n">
        <v>45537</v>
      </c>
      <c r="C1413" s="34" t="n">
        <v>45548</v>
      </c>
      <c r="D1413" s="33" t="n">
        <v>75</v>
      </c>
      <c r="E1413" s="33" t="s">
        <v>154</v>
      </c>
      <c r="F1413" s="33" t="s">
        <v>181</v>
      </c>
      <c r="G1413" s="33" t="s">
        <v>237</v>
      </c>
      <c r="H1413" s="33" t="s">
        <v>245</v>
      </c>
      <c r="I1413" s="33" t="s">
        <v>152</v>
      </c>
      <c r="J1413" s="33" t="s">
        <v>176</v>
      </c>
      <c r="K1413" s="33" t="s">
        <v>145</v>
      </c>
      <c r="L1413" s="35" t="n">
        <v>96733.56</v>
      </c>
      <c r="M1413" s="33" t="n">
        <v>5</v>
      </c>
      <c r="N1413" s="33" t="s">
        <v>210</v>
      </c>
      <c r="O1413" s="33" t="s">
        <v>147</v>
      </c>
      <c r="P1413" s="39" t="n">
        <f aca="false">C1413-B1413</f>
        <v>11</v>
      </c>
      <c r="Q1413" s="40" t="str">
        <f aca="false">CHOOSE(MONTH(B1413),"يناير","فبراير","مارس","أبريل","مايو","يونيو","يوليو","أغسطس","سبتمبر","أكتوبر","نوفمبر","ديسمبر")</f>
        <v>سبتمبر</v>
      </c>
      <c r="R1413" s="40" t="str">
        <f aca="false">"الربع "&amp;ROUNDUP(MONTH(B1413)/3,0)</f>
        <v>الربع 3</v>
      </c>
      <c r="S1413" s="40" t="str">
        <f aca="false">IF(D1413&lt;=12,"أطفال (0-12)",IF(D1413&lt;=24,"شباب (13-24)",IF(D1413&lt;=44,"بالغون (25-44)",IF(D1413&lt;=64,"متوسطو العمر (45-64)","كبار السن (+65)"))))</f>
        <v>كبار السن (+65)</v>
      </c>
      <c r="T1413" s="41" t="n">
        <f aca="false">IFERROR(L1413/P1413,0)</f>
        <v>8793.96</v>
      </c>
    </row>
    <row r="1414" customFormat="false" ht="15" hidden="false" customHeight="false" outlineLevel="0" collapsed="false">
      <c r="A1414" s="42" t="s">
        <v>636</v>
      </c>
      <c r="B1414" s="43" t="n">
        <v>45538</v>
      </c>
      <c r="C1414" s="43" t="n">
        <v>45540</v>
      </c>
      <c r="D1414" s="42" t="n">
        <v>54</v>
      </c>
      <c r="E1414" s="42" t="s">
        <v>139</v>
      </c>
      <c r="F1414" s="42" t="s">
        <v>140</v>
      </c>
      <c r="G1414" s="42" t="s">
        <v>167</v>
      </c>
      <c r="H1414" s="42" t="s">
        <v>142</v>
      </c>
      <c r="I1414" s="42" t="s">
        <v>143</v>
      </c>
      <c r="J1414" s="42" t="s">
        <v>159</v>
      </c>
      <c r="K1414" s="42" t="s">
        <v>209</v>
      </c>
      <c r="L1414" s="44" t="n">
        <v>4365.24</v>
      </c>
      <c r="M1414" s="42" t="n">
        <v>3</v>
      </c>
      <c r="N1414" s="42" t="s">
        <v>146</v>
      </c>
      <c r="O1414" s="42" t="s">
        <v>147</v>
      </c>
      <c r="P1414" s="39" t="n">
        <f aca="false">C1414-B1414</f>
        <v>2</v>
      </c>
      <c r="Q1414" s="40" t="str">
        <f aca="false">CHOOSE(MONTH(B1414),"يناير","فبراير","مارس","أبريل","مايو","يونيو","يوليو","أغسطس","سبتمبر","أكتوبر","نوفمبر","ديسمبر")</f>
        <v>سبتمبر</v>
      </c>
      <c r="R1414" s="40" t="str">
        <f aca="false">"الربع "&amp;ROUNDUP(MONTH(B1414)/3,0)</f>
        <v>الربع 3</v>
      </c>
      <c r="S1414" s="40" t="str">
        <f aca="false">IF(D1414&lt;=12,"أطفال (0-12)",IF(D1414&lt;=24,"شباب (13-24)",IF(D1414&lt;=44,"بالغون (25-44)",IF(D1414&lt;=64,"متوسطو العمر (45-64)","كبار السن (+65)"))))</f>
        <v>متوسطو العمر (45-64)</v>
      </c>
      <c r="T1414" s="41" t="n">
        <f aca="false">IFERROR(L1414/P1414,0)</f>
        <v>2182.62</v>
      </c>
    </row>
    <row r="1415" customFormat="false" ht="15" hidden="false" customHeight="false" outlineLevel="0" collapsed="false">
      <c r="A1415" s="33" t="s">
        <v>499</v>
      </c>
      <c r="B1415" s="34" t="n">
        <v>45538</v>
      </c>
      <c r="C1415" s="34" t="n">
        <v>45541</v>
      </c>
      <c r="D1415" s="33" t="n">
        <v>11</v>
      </c>
      <c r="E1415" s="33" t="s">
        <v>139</v>
      </c>
      <c r="F1415" s="33" t="s">
        <v>155</v>
      </c>
      <c r="G1415" s="33" t="s">
        <v>156</v>
      </c>
      <c r="H1415" s="33" t="s">
        <v>222</v>
      </c>
      <c r="I1415" s="33" t="s">
        <v>152</v>
      </c>
      <c r="J1415" s="33" t="s">
        <v>159</v>
      </c>
      <c r="K1415" s="33" t="s">
        <v>160</v>
      </c>
      <c r="L1415" s="35" t="n">
        <v>3072.14</v>
      </c>
      <c r="M1415" s="33" t="n">
        <v>3</v>
      </c>
      <c r="N1415" s="33" t="s">
        <v>146</v>
      </c>
      <c r="O1415" s="33" t="s">
        <v>206</v>
      </c>
      <c r="P1415" s="39" t="n">
        <f aca="false">C1415-B1415</f>
        <v>3</v>
      </c>
      <c r="Q1415" s="40" t="str">
        <f aca="false">CHOOSE(MONTH(B1415),"يناير","فبراير","مارس","أبريل","مايو","يونيو","يوليو","أغسطس","سبتمبر","أكتوبر","نوفمبر","ديسمبر")</f>
        <v>سبتمبر</v>
      </c>
      <c r="R1415" s="40" t="str">
        <f aca="false">"الربع "&amp;ROUNDUP(MONTH(B1415)/3,0)</f>
        <v>الربع 3</v>
      </c>
      <c r="S1415" s="40" t="str">
        <f aca="false">IF(D1415&lt;=12,"أطفال (0-12)",IF(D1415&lt;=24,"شباب (13-24)",IF(D1415&lt;=44,"بالغون (25-44)",IF(D1415&lt;=64,"متوسطو العمر (45-64)","كبار السن (+65)"))))</f>
        <v>أطفال (0-12)</v>
      </c>
      <c r="T1415" s="41" t="n">
        <f aca="false">IFERROR(L1415/P1415,0)</f>
        <v>1024.04666666667</v>
      </c>
    </row>
    <row r="1416" customFormat="false" ht="15" hidden="false" customHeight="false" outlineLevel="0" collapsed="false">
      <c r="A1416" s="42" t="s">
        <v>1422</v>
      </c>
      <c r="B1416" s="43" t="n">
        <v>45538</v>
      </c>
      <c r="C1416" s="43" t="n">
        <v>45539</v>
      </c>
      <c r="D1416" s="42" t="n">
        <v>14</v>
      </c>
      <c r="E1416" s="42" t="s">
        <v>154</v>
      </c>
      <c r="F1416" s="42" t="s">
        <v>155</v>
      </c>
      <c r="G1416" s="42" t="s">
        <v>220</v>
      </c>
      <c r="H1416" s="42" t="s">
        <v>222</v>
      </c>
      <c r="I1416" s="42" t="s">
        <v>143</v>
      </c>
      <c r="J1416" s="42" t="s">
        <v>144</v>
      </c>
      <c r="K1416" s="42" t="s">
        <v>184</v>
      </c>
      <c r="L1416" s="44" t="n">
        <v>1793.25</v>
      </c>
      <c r="M1416" s="42" t="n">
        <v>2</v>
      </c>
      <c r="N1416" s="42" t="s">
        <v>146</v>
      </c>
      <c r="O1416" s="42" t="s">
        <v>147</v>
      </c>
      <c r="P1416" s="39" t="n">
        <f aca="false">C1416-B1416</f>
        <v>1</v>
      </c>
      <c r="Q1416" s="40" t="str">
        <f aca="false">CHOOSE(MONTH(B1416),"يناير","فبراير","مارس","أبريل","مايو","يونيو","يوليو","أغسطس","سبتمبر","أكتوبر","نوفمبر","ديسمبر")</f>
        <v>سبتمبر</v>
      </c>
      <c r="R1416" s="40" t="str">
        <f aca="false">"الربع "&amp;ROUNDUP(MONTH(B1416)/3,0)</f>
        <v>الربع 3</v>
      </c>
      <c r="S1416" s="40" t="str">
        <f aca="false">IF(D1416&lt;=12,"أطفال (0-12)",IF(D1416&lt;=24,"شباب (13-24)",IF(D1416&lt;=44,"بالغون (25-44)",IF(D1416&lt;=64,"متوسطو العمر (45-64)","كبار السن (+65)"))))</f>
        <v>شباب (13-24)</v>
      </c>
      <c r="T1416" s="41" t="n">
        <f aca="false">IFERROR(L1416/P1416,0)</f>
        <v>1793.25</v>
      </c>
    </row>
    <row r="1417" customFormat="false" ht="15" hidden="false" customHeight="false" outlineLevel="0" collapsed="false">
      <c r="A1417" s="33" t="s">
        <v>1807</v>
      </c>
      <c r="B1417" s="34" t="n">
        <v>45539</v>
      </c>
      <c r="C1417" s="34" t="n">
        <v>45542</v>
      </c>
      <c r="D1417" s="33" t="n">
        <v>13</v>
      </c>
      <c r="E1417" s="33" t="s">
        <v>154</v>
      </c>
      <c r="F1417" s="33" t="s">
        <v>155</v>
      </c>
      <c r="G1417" s="33" t="s">
        <v>302</v>
      </c>
      <c r="H1417" s="33" t="s">
        <v>222</v>
      </c>
      <c r="I1417" s="33" t="s">
        <v>152</v>
      </c>
      <c r="J1417" s="33" t="s">
        <v>176</v>
      </c>
      <c r="K1417" s="33" t="s">
        <v>145</v>
      </c>
      <c r="L1417" s="35" t="n">
        <v>8907.55</v>
      </c>
      <c r="M1417" s="33" t="n">
        <v>4</v>
      </c>
      <c r="N1417" s="33" t="s">
        <v>146</v>
      </c>
      <c r="O1417" s="33" t="s">
        <v>147</v>
      </c>
      <c r="P1417" s="39" t="n">
        <f aca="false">C1417-B1417</f>
        <v>3</v>
      </c>
      <c r="Q1417" s="40" t="str">
        <f aca="false">CHOOSE(MONTH(B1417),"يناير","فبراير","مارس","أبريل","مايو","يونيو","يوليو","أغسطس","سبتمبر","أكتوبر","نوفمبر","ديسمبر")</f>
        <v>سبتمبر</v>
      </c>
      <c r="R1417" s="40" t="str">
        <f aca="false">"الربع "&amp;ROUNDUP(MONTH(B1417)/3,0)</f>
        <v>الربع 3</v>
      </c>
      <c r="S1417" s="40" t="str">
        <f aca="false">IF(D1417&lt;=12,"أطفال (0-12)",IF(D1417&lt;=24,"شباب (13-24)",IF(D1417&lt;=44,"بالغون (25-44)",IF(D1417&lt;=64,"متوسطو العمر (45-64)","كبار السن (+65)"))))</f>
        <v>شباب (13-24)</v>
      </c>
      <c r="T1417" s="41" t="n">
        <f aca="false">IFERROR(L1417/P1417,0)</f>
        <v>2969.18333333333</v>
      </c>
    </row>
    <row r="1418" customFormat="false" ht="15" hidden="false" customHeight="false" outlineLevel="0" collapsed="false">
      <c r="A1418" s="42" t="s">
        <v>378</v>
      </c>
      <c r="B1418" s="43" t="n">
        <v>45539</v>
      </c>
      <c r="C1418" s="43" t="n">
        <v>45543</v>
      </c>
      <c r="D1418" s="42" t="n">
        <v>21</v>
      </c>
      <c r="E1418" s="42" t="s">
        <v>139</v>
      </c>
      <c r="F1418" s="42" t="s">
        <v>140</v>
      </c>
      <c r="G1418" s="42" t="s">
        <v>167</v>
      </c>
      <c r="H1418" s="42" t="s">
        <v>142</v>
      </c>
      <c r="I1418" s="42" t="s">
        <v>143</v>
      </c>
      <c r="J1418" s="42" t="s">
        <v>176</v>
      </c>
      <c r="K1418" s="42" t="s">
        <v>145</v>
      </c>
      <c r="L1418" s="44" t="n">
        <v>31096.53</v>
      </c>
      <c r="M1418" s="42" t="n">
        <v>4</v>
      </c>
      <c r="N1418" s="42" t="s">
        <v>146</v>
      </c>
      <c r="O1418" s="42" t="s">
        <v>147</v>
      </c>
      <c r="P1418" s="39" t="n">
        <f aca="false">C1418-B1418</f>
        <v>4</v>
      </c>
      <c r="Q1418" s="40" t="str">
        <f aca="false">CHOOSE(MONTH(B1418),"يناير","فبراير","مارس","أبريل","مايو","يونيو","يوليو","أغسطس","سبتمبر","أكتوبر","نوفمبر","ديسمبر")</f>
        <v>سبتمبر</v>
      </c>
      <c r="R1418" s="40" t="str">
        <f aca="false">"الربع "&amp;ROUNDUP(MONTH(B1418)/3,0)</f>
        <v>الربع 3</v>
      </c>
      <c r="S1418" s="40" t="str">
        <f aca="false">IF(D1418&lt;=12,"أطفال (0-12)",IF(D1418&lt;=24,"شباب (13-24)",IF(D1418&lt;=44,"بالغون (25-44)",IF(D1418&lt;=64,"متوسطو العمر (45-64)","كبار السن (+65)"))))</f>
        <v>شباب (13-24)</v>
      </c>
      <c r="T1418" s="41" t="n">
        <f aca="false">IFERROR(L1418/P1418,0)</f>
        <v>7774.1325</v>
      </c>
    </row>
    <row r="1419" customFormat="false" ht="15" hidden="false" customHeight="false" outlineLevel="0" collapsed="false">
      <c r="A1419" s="33" t="s">
        <v>615</v>
      </c>
      <c r="B1419" s="34" t="n">
        <v>45539</v>
      </c>
      <c r="C1419" s="34" t="n">
        <v>45544</v>
      </c>
      <c r="D1419" s="33" t="n">
        <v>58</v>
      </c>
      <c r="E1419" s="33" t="s">
        <v>139</v>
      </c>
      <c r="F1419" s="33" t="s">
        <v>173</v>
      </c>
      <c r="G1419" s="33" t="s">
        <v>198</v>
      </c>
      <c r="H1419" s="33" t="s">
        <v>199</v>
      </c>
      <c r="I1419" s="33" t="s">
        <v>143</v>
      </c>
      <c r="J1419" s="33" t="s">
        <v>159</v>
      </c>
      <c r="K1419" s="33" t="s">
        <v>160</v>
      </c>
      <c r="L1419" s="35" t="n">
        <v>14833.94</v>
      </c>
      <c r="M1419" s="33" t="n">
        <v>5</v>
      </c>
      <c r="N1419" s="33" t="s">
        <v>146</v>
      </c>
      <c r="O1419" s="33" t="s">
        <v>147</v>
      </c>
      <c r="P1419" s="39" t="n">
        <f aca="false">C1419-B1419</f>
        <v>5</v>
      </c>
      <c r="Q1419" s="40" t="str">
        <f aca="false">CHOOSE(MONTH(B1419),"يناير","فبراير","مارس","أبريل","مايو","يونيو","يوليو","أغسطس","سبتمبر","أكتوبر","نوفمبر","ديسمبر")</f>
        <v>سبتمبر</v>
      </c>
      <c r="R1419" s="40" t="str">
        <f aca="false">"الربع "&amp;ROUNDUP(MONTH(B1419)/3,0)</f>
        <v>الربع 3</v>
      </c>
      <c r="S1419" s="40" t="str">
        <f aca="false">IF(D1419&lt;=12,"أطفال (0-12)",IF(D1419&lt;=24,"شباب (13-24)",IF(D1419&lt;=44,"بالغون (25-44)",IF(D1419&lt;=64,"متوسطو العمر (45-64)","كبار السن (+65)"))))</f>
        <v>متوسطو العمر (45-64)</v>
      </c>
      <c r="T1419" s="41" t="n">
        <f aca="false">IFERROR(L1419/P1419,0)</f>
        <v>2966.788</v>
      </c>
    </row>
    <row r="1420" customFormat="false" ht="15" hidden="false" customHeight="false" outlineLevel="0" collapsed="false">
      <c r="A1420" s="42" t="s">
        <v>847</v>
      </c>
      <c r="B1420" s="43" t="n">
        <v>45539</v>
      </c>
      <c r="C1420" s="43" t="n">
        <v>45548</v>
      </c>
      <c r="D1420" s="42" t="n">
        <v>28</v>
      </c>
      <c r="E1420" s="42" t="s">
        <v>139</v>
      </c>
      <c r="F1420" s="42" t="s">
        <v>226</v>
      </c>
      <c r="G1420" s="42" t="s">
        <v>386</v>
      </c>
      <c r="H1420" s="42" t="s">
        <v>228</v>
      </c>
      <c r="I1420" s="42" t="s">
        <v>152</v>
      </c>
      <c r="J1420" s="42" t="s">
        <v>159</v>
      </c>
      <c r="K1420" s="42" t="s">
        <v>184</v>
      </c>
      <c r="L1420" s="44" t="n">
        <v>33319.18</v>
      </c>
      <c r="M1420" s="42" t="n">
        <v>5</v>
      </c>
      <c r="N1420" s="42" t="s">
        <v>146</v>
      </c>
      <c r="O1420" s="42" t="s">
        <v>147</v>
      </c>
      <c r="P1420" s="39" t="n">
        <f aca="false">C1420-B1420</f>
        <v>9</v>
      </c>
      <c r="Q1420" s="40" t="str">
        <f aca="false">CHOOSE(MONTH(B1420),"يناير","فبراير","مارس","أبريل","مايو","يونيو","يوليو","أغسطس","سبتمبر","أكتوبر","نوفمبر","ديسمبر")</f>
        <v>سبتمبر</v>
      </c>
      <c r="R1420" s="40" t="str">
        <f aca="false">"الربع "&amp;ROUNDUP(MONTH(B1420)/3,0)</f>
        <v>الربع 3</v>
      </c>
      <c r="S1420" s="40" t="str">
        <f aca="false">IF(D1420&lt;=12,"أطفال (0-12)",IF(D1420&lt;=24,"شباب (13-24)",IF(D1420&lt;=44,"بالغون (25-44)",IF(D1420&lt;=64,"متوسطو العمر (45-64)","كبار السن (+65)"))))</f>
        <v>بالغون (25-44)</v>
      </c>
      <c r="T1420" s="41" t="n">
        <f aca="false">IFERROR(L1420/P1420,0)</f>
        <v>3702.13111111111</v>
      </c>
    </row>
    <row r="1421" customFormat="false" ht="15" hidden="false" customHeight="false" outlineLevel="0" collapsed="false">
      <c r="A1421" s="33" t="s">
        <v>1204</v>
      </c>
      <c r="B1421" s="34" t="n">
        <v>45540</v>
      </c>
      <c r="C1421" s="34" t="n">
        <v>45544</v>
      </c>
      <c r="D1421" s="33" t="n">
        <v>26</v>
      </c>
      <c r="E1421" s="33" t="s">
        <v>139</v>
      </c>
      <c r="F1421" s="33" t="s">
        <v>169</v>
      </c>
      <c r="G1421" s="33" t="s">
        <v>163</v>
      </c>
      <c r="H1421" s="33" t="s">
        <v>164</v>
      </c>
      <c r="I1421" s="33" t="s">
        <v>152</v>
      </c>
      <c r="J1421" s="33" t="s">
        <v>176</v>
      </c>
      <c r="K1421" s="33" t="s">
        <v>160</v>
      </c>
      <c r="L1421" s="35" t="n">
        <v>11791.08</v>
      </c>
      <c r="M1421" s="33" t="n">
        <v>4</v>
      </c>
      <c r="N1421" s="33" t="s">
        <v>146</v>
      </c>
      <c r="O1421" s="33" t="s">
        <v>147</v>
      </c>
      <c r="P1421" s="39" t="n">
        <f aca="false">C1421-B1421</f>
        <v>4</v>
      </c>
      <c r="Q1421" s="40" t="str">
        <f aca="false">CHOOSE(MONTH(B1421),"يناير","فبراير","مارس","أبريل","مايو","يونيو","يوليو","أغسطس","سبتمبر","أكتوبر","نوفمبر","ديسمبر")</f>
        <v>سبتمبر</v>
      </c>
      <c r="R1421" s="40" t="str">
        <f aca="false">"الربع "&amp;ROUNDUP(MONTH(B1421)/3,0)</f>
        <v>الربع 3</v>
      </c>
      <c r="S1421" s="40" t="str">
        <f aca="false">IF(D1421&lt;=12,"أطفال (0-12)",IF(D1421&lt;=24,"شباب (13-24)",IF(D1421&lt;=44,"بالغون (25-44)",IF(D1421&lt;=64,"متوسطو العمر (45-64)","كبار السن (+65)"))))</f>
        <v>بالغون (25-44)</v>
      </c>
      <c r="T1421" s="41" t="n">
        <f aca="false">IFERROR(L1421/P1421,0)</f>
        <v>2947.77</v>
      </c>
    </row>
    <row r="1422" customFormat="false" ht="15" hidden="false" customHeight="false" outlineLevel="0" collapsed="false">
      <c r="A1422" s="42" t="s">
        <v>1054</v>
      </c>
      <c r="B1422" s="43" t="n">
        <v>45540</v>
      </c>
      <c r="C1422" s="43" t="n">
        <v>45541</v>
      </c>
      <c r="D1422" s="42" t="n">
        <v>54</v>
      </c>
      <c r="E1422" s="42" t="s">
        <v>139</v>
      </c>
      <c r="F1422" s="42" t="s">
        <v>203</v>
      </c>
      <c r="G1422" s="42" t="s">
        <v>192</v>
      </c>
      <c r="H1422" s="42" t="s">
        <v>205</v>
      </c>
      <c r="I1422" s="42" t="s">
        <v>143</v>
      </c>
      <c r="J1422" s="42" t="s">
        <v>159</v>
      </c>
      <c r="K1422" s="42" t="s">
        <v>145</v>
      </c>
      <c r="L1422" s="44" t="n">
        <v>816.29</v>
      </c>
      <c r="M1422" s="42" t="n">
        <v>5</v>
      </c>
      <c r="N1422" s="42" t="s">
        <v>146</v>
      </c>
      <c r="O1422" s="42" t="s">
        <v>147</v>
      </c>
      <c r="P1422" s="39" t="n">
        <f aca="false">C1422-B1422</f>
        <v>1</v>
      </c>
      <c r="Q1422" s="40" t="str">
        <f aca="false">CHOOSE(MONTH(B1422),"يناير","فبراير","مارس","أبريل","مايو","يونيو","يوليو","أغسطس","سبتمبر","أكتوبر","نوفمبر","ديسمبر")</f>
        <v>سبتمبر</v>
      </c>
      <c r="R1422" s="40" t="str">
        <f aca="false">"الربع "&amp;ROUNDUP(MONTH(B1422)/3,0)</f>
        <v>الربع 3</v>
      </c>
      <c r="S1422" s="40" t="str">
        <f aca="false">IF(D1422&lt;=12,"أطفال (0-12)",IF(D1422&lt;=24,"شباب (13-24)",IF(D1422&lt;=44,"بالغون (25-44)",IF(D1422&lt;=64,"متوسطو العمر (45-64)","كبار السن (+65)"))))</f>
        <v>متوسطو العمر (45-64)</v>
      </c>
      <c r="T1422" s="41" t="n">
        <f aca="false">IFERROR(L1422/P1422,0)</f>
        <v>816.29</v>
      </c>
    </row>
    <row r="1423" customFormat="false" ht="15" hidden="false" customHeight="false" outlineLevel="0" collapsed="false">
      <c r="A1423" s="33" t="s">
        <v>208</v>
      </c>
      <c r="B1423" s="34" t="n">
        <v>45540</v>
      </c>
      <c r="C1423" s="34" t="n">
        <v>45552</v>
      </c>
      <c r="D1423" s="33" t="n">
        <v>66</v>
      </c>
      <c r="E1423" s="33" t="s">
        <v>154</v>
      </c>
      <c r="F1423" s="33" t="s">
        <v>173</v>
      </c>
      <c r="G1423" s="33" t="s">
        <v>174</v>
      </c>
      <c r="H1423" s="33" t="s">
        <v>175</v>
      </c>
      <c r="I1423" s="33" t="s">
        <v>152</v>
      </c>
      <c r="J1423" s="33" t="s">
        <v>159</v>
      </c>
      <c r="K1423" s="33" t="s">
        <v>209</v>
      </c>
      <c r="L1423" s="35" t="n">
        <v>35935.34</v>
      </c>
      <c r="M1423" s="33" t="n">
        <v>4</v>
      </c>
      <c r="N1423" s="33" t="s">
        <v>210</v>
      </c>
      <c r="O1423" s="33" t="s">
        <v>147</v>
      </c>
      <c r="P1423" s="39" t="n">
        <f aca="false">C1423-B1423</f>
        <v>12</v>
      </c>
      <c r="Q1423" s="40" t="str">
        <f aca="false">CHOOSE(MONTH(B1423),"يناير","فبراير","مارس","أبريل","مايو","يونيو","يوليو","أغسطس","سبتمبر","أكتوبر","نوفمبر","ديسمبر")</f>
        <v>سبتمبر</v>
      </c>
      <c r="R1423" s="40" t="str">
        <f aca="false">"الربع "&amp;ROUNDUP(MONTH(B1423)/3,0)</f>
        <v>الربع 3</v>
      </c>
      <c r="S1423" s="40" t="str">
        <f aca="false">IF(D1423&lt;=12,"أطفال (0-12)",IF(D1423&lt;=24,"شباب (13-24)",IF(D1423&lt;=44,"بالغون (25-44)",IF(D1423&lt;=64,"متوسطو العمر (45-64)","كبار السن (+65)"))))</f>
        <v>كبار السن (+65)</v>
      </c>
      <c r="T1423" s="41" t="n">
        <f aca="false">IFERROR(L1423/P1423,0)</f>
        <v>2994.61166666667</v>
      </c>
    </row>
    <row r="1424" customFormat="false" ht="15" hidden="false" customHeight="false" outlineLevel="0" collapsed="false">
      <c r="A1424" s="42" t="s">
        <v>791</v>
      </c>
      <c r="B1424" s="43" t="n">
        <v>45540</v>
      </c>
      <c r="C1424" s="43" t="n">
        <v>45543</v>
      </c>
      <c r="D1424" s="42" t="n">
        <v>64</v>
      </c>
      <c r="E1424" s="42" t="s">
        <v>139</v>
      </c>
      <c r="F1424" s="42" t="s">
        <v>181</v>
      </c>
      <c r="G1424" s="42" t="s">
        <v>188</v>
      </c>
      <c r="H1424" s="42" t="s">
        <v>183</v>
      </c>
      <c r="I1424" s="42" t="s">
        <v>143</v>
      </c>
      <c r="J1424" s="42" t="s">
        <v>144</v>
      </c>
      <c r="K1424" s="42" t="s">
        <v>145</v>
      </c>
      <c r="L1424" s="44" t="n">
        <v>15615.96</v>
      </c>
      <c r="M1424" s="42" t="n">
        <v>4</v>
      </c>
      <c r="N1424" s="42" t="s">
        <v>146</v>
      </c>
      <c r="O1424" s="42" t="s">
        <v>247</v>
      </c>
      <c r="P1424" s="39" t="n">
        <f aca="false">C1424-B1424</f>
        <v>3</v>
      </c>
      <c r="Q1424" s="40" t="str">
        <f aca="false">CHOOSE(MONTH(B1424),"يناير","فبراير","مارس","أبريل","مايو","يونيو","يوليو","أغسطس","سبتمبر","أكتوبر","نوفمبر","ديسمبر")</f>
        <v>سبتمبر</v>
      </c>
      <c r="R1424" s="40" t="str">
        <f aca="false">"الربع "&amp;ROUNDUP(MONTH(B1424)/3,0)</f>
        <v>الربع 3</v>
      </c>
      <c r="S1424" s="40" t="str">
        <f aca="false">IF(D1424&lt;=12,"أطفال (0-12)",IF(D1424&lt;=24,"شباب (13-24)",IF(D1424&lt;=44,"بالغون (25-44)",IF(D1424&lt;=64,"متوسطو العمر (45-64)","كبار السن (+65)"))))</f>
        <v>متوسطو العمر (45-64)</v>
      </c>
      <c r="T1424" s="41" t="n">
        <f aca="false">IFERROR(L1424/P1424,0)</f>
        <v>5205.32</v>
      </c>
    </row>
    <row r="1425" customFormat="false" ht="15" hidden="false" customHeight="false" outlineLevel="0" collapsed="false">
      <c r="A1425" s="33" t="s">
        <v>1379</v>
      </c>
      <c r="B1425" s="34" t="n">
        <v>45540</v>
      </c>
      <c r="C1425" s="34" t="n">
        <v>45542</v>
      </c>
      <c r="D1425" s="33" t="n">
        <v>10</v>
      </c>
      <c r="E1425" s="33" t="s">
        <v>154</v>
      </c>
      <c r="F1425" s="33" t="s">
        <v>155</v>
      </c>
      <c r="G1425" s="33" t="s">
        <v>220</v>
      </c>
      <c r="H1425" s="33" t="s">
        <v>157</v>
      </c>
      <c r="I1425" s="33" t="s">
        <v>143</v>
      </c>
      <c r="J1425" s="33" t="s">
        <v>159</v>
      </c>
      <c r="K1425" s="33" t="s">
        <v>160</v>
      </c>
      <c r="L1425" s="35" t="n">
        <v>1501.1</v>
      </c>
      <c r="M1425" s="33" t="n">
        <v>3</v>
      </c>
      <c r="N1425" s="33" t="s">
        <v>146</v>
      </c>
      <c r="O1425" s="33" t="s">
        <v>147</v>
      </c>
      <c r="P1425" s="39" t="n">
        <f aca="false">C1425-B1425</f>
        <v>2</v>
      </c>
      <c r="Q1425" s="40" t="str">
        <f aca="false">CHOOSE(MONTH(B1425),"يناير","فبراير","مارس","أبريل","مايو","يونيو","يوليو","أغسطس","سبتمبر","أكتوبر","نوفمبر","ديسمبر")</f>
        <v>سبتمبر</v>
      </c>
      <c r="R1425" s="40" t="str">
        <f aca="false">"الربع "&amp;ROUNDUP(MONTH(B1425)/3,0)</f>
        <v>الربع 3</v>
      </c>
      <c r="S1425" s="40" t="str">
        <f aca="false">IF(D1425&lt;=12,"أطفال (0-12)",IF(D1425&lt;=24,"شباب (13-24)",IF(D1425&lt;=44,"بالغون (25-44)",IF(D1425&lt;=64,"متوسطو العمر (45-64)","كبار السن (+65)"))))</f>
        <v>أطفال (0-12)</v>
      </c>
      <c r="T1425" s="41" t="n">
        <f aca="false">IFERROR(L1425/P1425,0)</f>
        <v>750.55</v>
      </c>
    </row>
    <row r="1426" customFormat="false" ht="15" hidden="false" customHeight="false" outlineLevel="0" collapsed="false">
      <c r="A1426" s="42" t="s">
        <v>1166</v>
      </c>
      <c r="B1426" s="43" t="n">
        <v>45540</v>
      </c>
      <c r="C1426" s="43" t="n">
        <v>45548</v>
      </c>
      <c r="D1426" s="42" t="n">
        <v>35</v>
      </c>
      <c r="E1426" s="42" t="s">
        <v>154</v>
      </c>
      <c r="F1426" s="42" t="s">
        <v>173</v>
      </c>
      <c r="G1426" s="42" t="s">
        <v>174</v>
      </c>
      <c r="H1426" s="42" t="s">
        <v>175</v>
      </c>
      <c r="I1426" s="42" t="s">
        <v>143</v>
      </c>
      <c r="J1426" s="42" t="s">
        <v>159</v>
      </c>
      <c r="K1426" s="42" t="s">
        <v>184</v>
      </c>
      <c r="L1426" s="44" t="n">
        <v>20147.49</v>
      </c>
      <c r="M1426" s="42" t="n">
        <v>5</v>
      </c>
      <c r="N1426" s="42" t="s">
        <v>210</v>
      </c>
      <c r="O1426" s="42" t="s">
        <v>147</v>
      </c>
      <c r="P1426" s="39" t="n">
        <f aca="false">C1426-B1426</f>
        <v>8</v>
      </c>
      <c r="Q1426" s="40" t="str">
        <f aca="false">CHOOSE(MONTH(B1426),"يناير","فبراير","مارس","أبريل","مايو","يونيو","يوليو","أغسطس","سبتمبر","أكتوبر","نوفمبر","ديسمبر")</f>
        <v>سبتمبر</v>
      </c>
      <c r="R1426" s="40" t="str">
        <f aca="false">"الربع "&amp;ROUNDUP(MONTH(B1426)/3,0)</f>
        <v>الربع 3</v>
      </c>
      <c r="S1426" s="40" t="str">
        <f aca="false">IF(D1426&lt;=12,"أطفال (0-12)",IF(D1426&lt;=24,"شباب (13-24)",IF(D1426&lt;=44,"بالغون (25-44)",IF(D1426&lt;=64,"متوسطو العمر (45-64)","كبار السن (+65)"))))</f>
        <v>بالغون (25-44)</v>
      </c>
      <c r="T1426" s="41" t="n">
        <f aca="false">IFERROR(L1426/P1426,0)</f>
        <v>2518.43625</v>
      </c>
    </row>
    <row r="1427" customFormat="false" ht="15" hidden="false" customHeight="false" outlineLevel="0" collapsed="false">
      <c r="A1427" s="33" t="s">
        <v>322</v>
      </c>
      <c r="B1427" s="34" t="n">
        <v>45540</v>
      </c>
      <c r="C1427" s="34" t="n">
        <v>45542</v>
      </c>
      <c r="D1427" s="33" t="n">
        <v>29</v>
      </c>
      <c r="E1427" s="33" t="s">
        <v>139</v>
      </c>
      <c r="F1427" s="33" t="s">
        <v>149</v>
      </c>
      <c r="G1427" s="33" t="s">
        <v>224</v>
      </c>
      <c r="H1427" s="33" t="s">
        <v>186</v>
      </c>
      <c r="I1427" s="33" t="s">
        <v>158</v>
      </c>
      <c r="J1427" s="33" t="s">
        <v>159</v>
      </c>
      <c r="K1427" s="33" t="s">
        <v>160</v>
      </c>
      <c r="L1427" s="35" t="n">
        <v>2796.73</v>
      </c>
      <c r="M1427" s="33" t="n">
        <v>5</v>
      </c>
      <c r="N1427" s="33" t="s">
        <v>210</v>
      </c>
      <c r="O1427" s="33" t="s">
        <v>147</v>
      </c>
      <c r="P1427" s="39" t="n">
        <f aca="false">C1427-B1427</f>
        <v>2</v>
      </c>
      <c r="Q1427" s="40" t="str">
        <f aca="false">CHOOSE(MONTH(B1427),"يناير","فبراير","مارس","أبريل","مايو","يونيو","يوليو","أغسطس","سبتمبر","أكتوبر","نوفمبر","ديسمبر")</f>
        <v>سبتمبر</v>
      </c>
      <c r="R1427" s="40" t="str">
        <f aca="false">"الربع "&amp;ROUNDUP(MONTH(B1427)/3,0)</f>
        <v>الربع 3</v>
      </c>
      <c r="S1427" s="40" t="str">
        <f aca="false">IF(D1427&lt;=12,"أطفال (0-12)",IF(D1427&lt;=24,"شباب (13-24)",IF(D1427&lt;=44,"بالغون (25-44)",IF(D1427&lt;=64,"متوسطو العمر (45-64)","كبار السن (+65)"))))</f>
        <v>بالغون (25-44)</v>
      </c>
      <c r="T1427" s="41" t="n">
        <f aca="false">IFERROR(L1427/P1427,0)</f>
        <v>1398.365</v>
      </c>
    </row>
    <row r="1428" customFormat="false" ht="15" hidden="false" customHeight="false" outlineLevel="0" collapsed="false">
      <c r="A1428" s="42" t="s">
        <v>2152</v>
      </c>
      <c r="B1428" s="43" t="n">
        <v>45541</v>
      </c>
      <c r="C1428" s="43" t="n">
        <v>45547</v>
      </c>
      <c r="D1428" s="42" t="n">
        <v>79</v>
      </c>
      <c r="E1428" s="42" t="s">
        <v>154</v>
      </c>
      <c r="F1428" s="42" t="s">
        <v>140</v>
      </c>
      <c r="G1428" s="42" t="s">
        <v>167</v>
      </c>
      <c r="H1428" s="42" t="s">
        <v>290</v>
      </c>
      <c r="I1428" s="42" t="s">
        <v>143</v>
      </c>
      <c r="J1428" s="42" t="s">
        <v>159</v>
      </c>
      <c r="K1428" s="42" t="s">
        <v>145</v>
      </c>
      <c r="L1428" s="44" t="n">
        <v>11780.79</v>
      </c>
      <c r="M1428" s="42" t="n">
        <v>5</v>
      </c>
      <c r="N1428" s="42" t="s">
        <v>146</v>
      </c>
      <c r="O1428" s="42" t="s">
        <v>147</v>
      </c>
      <c r="P1428" s="39" t="n">
        <f aca="false">C1428-B1428</f>
        <v>6</v>
      </c>
      <c r="Q1428" s="40" t="str">
        <f aca="false">CHOOSE(MONTH(B1428),"يناير","فبراير","مارس","أبريل","مايو","يونيو","يوليو","أغسطس","سبتمبر","أكتوبر","نوفمبر","ديسمبر")</f>
        <v>سبتمبر</v>
      </c>
      <c r="R1428" s="40" t="str">
        <f aca="false">"الربع "&amp;ROUNDUP(MONTH(B1428)/3,0)</f>
        <v>الربع 3</v>
      </c>
      <c r="S1428" s="40" t="str">
        <f aca="false">IF(D1428&lt;=12,"أطفال (0-12)",IF(D1428&lt;=24,"شباب (13-24)",IF(D1428&lt;=44,"بالغون (25-44)",IF(D1428&lt;=64,"متوسطو العمر (45-64)","كبار السن (+65)"))))</f>
        <v>كبار السن (+65)</v>
      </c>
      <c r="T1428" s="41" t="n">
        <f aca="false">IFERROR(L1428/P1428,0)</f>
        <v>1963.465</v>
      </c>
    </row>
    <row r="1429" customFormat="false" ht="15" hidden="false" customHeight="false" outlineLevel="0" collapsed="false">
      <c r="A1429" s="33" t="s">
        <v>1901</v>
      </c>
      <c r="B1429" s="34" t="n">
        <v>45541</v>
      </c>
      <c r="C1429" s="34" t="n">
        <v>45546</v>
      </c>
      <c r="D1429" s="33" t="n">
        <v>6</v>
      </c>
      <c r="E1429" s="33" t="s">
        <v>139</v>
      </c>
      <c r="F1429" s="33" t="s">
        <v>155</v>
      </c>
      <c r="G1429" s="33" t="s">
        <v>302</v>
      </c>
      <c r="H1429" s="33" t="s">
        <v>222</v>
      </c>
      <c r="I1429" s="33" t="s">
        <v>143</v>
      </c>
      <c r="J1429" s="33" t="s">
        <v>159</v>
      </c>
      <c r="K1429" s="33" t="s">
        <v>160</v>
      </c>
      <c r="L1429" s="35" t="n">
        <v>4357.44</v>
      </c>
      <c r="M1429" s="33" t="n">
        <v>5</v>
      </c>
      <c r="N1429" s="33" t="s">
        <v>210</v>
      </c>
      <c r="O1429" s="33" t="s">
        <v>147</v>
      </c>
      <c r="P1429" s="39" t="n">
        <f aca="false">C1429-B1429</f>
        <v>5</v>
      </c>
      <c r="Q1429" s="40" t="str">
        <f aca="false">CHOOSE(MONTH(B1429),"يناير","فبراير","مارس","أبريل","مايو","يونيو","يوليو","أغسطس","سبتمبر","أكتوبر","نوفمبر","ديسمبر")</f>
        <v>سبتمبر</v>
      </c>
      <c r="R1429" s="40" t="str">
        <f aca="false">"الربع "&amp;ROUNDUP(MONTH(B1429)/3,0)</f>
        <v>الربع 3</v>
      </c>
      <c r="S1429" s="40" t="str">
        <f aca="false">IF(D1429&lt;=12,"أطفال (0-12)",IF(D1429&lt;=24,"شباب (13-24)",IF(D1429&lt;=44,"بالغون (25-44)",IF(D1429&lt;=64,"متوسطو العمر (45-64)","كبار السن (+65)"))))</f>
        <v>أطفال (0-12)</v>
      </c>
      <c r="T1429" s="41" t="n">
        <f aca="false">IFERROR(L1429/P1429,0)</f>
        <v>871.488</v>
      </c>
    </row>
    <row r="1430" customFormat="false" ht="15" hidden="false" customHeight="false" outlineLevel="0" collapsed="false">
      <c r="A1430" s="42" t="s">
        <v>978</v>
      </c>
      <c r="B1430" s="43" t="n">
        <v>45541</v>
      </c>
      <c r="C1430" s="43" t="n">
        <v>45546</v>
      </c>
      <c r="D1430" s="42" t="n">
        <v>62</v>
      </c>
      <c r="E1430" s="42" t="s">
        <v>154</v>
      </c>
      <c r="F1430" s="42" t="s">
        <v>169</v>
      </c>
      <c r="G1430" s="42" t="s">
        <v>170</v>
      </c>
      <c r="H1430" s="42" t="s">
        <v>164</v>
      </c>
      <c r="I1430" s="42" t="s">
        <v>152</v>
      </c>
      <c r="J1430" s="42" t="s">
        <v>159</v>
      </c>
      <c r="K1430" s="42" t="s">
        <v>145</v>
      </c>
      <c r="L1430" s="44" t="n">
        <v>6099.54</v>
      </c>
      <c r="M1430" s="42" t="n">
        <v>2</v>
      </c>
      <c r="N1430" s="42" t="s">
        <v>146</v>
      </c>
      <c r="O1430" s="42" t="s">
        <v>147</v>
      </c>
      <c r="P1430" s="39" t="n">
        <f aca="false">C1430-B1430</f>
        <v>5</v>
      </c>
      <c r="Q1430" s="40" t="str">
        <f aca="false">CHOOSE(MONTH(B1430),"يناير","فبراير","مارس","أبريل","مايو","يونيو","يوليو","أغسطس","سبتمبر","أكتوبر","نوفمبر","ديسمبر")</f>
        <v>سبتمبر</v>
      </c>
      <c r="R1430" s="40" t="str">
        <f aca="false">"الربع "&amp;ROUNDUP(MONTH(B1430)/3,0)</f>
        <v>الربع 3</v>
      </c>
      <c r="S1430" s="40" t="str">
        <f aca="false">IF(D1430&lt;=12,"أطفال (0-12)",IF(D1430&lt;=24,"شباب (13-24)",IF(D1430&lt;=44,"بالغون (25-44)",IF(D1430&lt;=64,"متوسطو العمر (45-64)","كبار السن (+65)"))))</f>
        <v>متوسطو العمر (45-64)</v>
      </c>
      <c r="T1430" s="41" t="n">
        <f aca="false">IFERROR(L1430/P1430,0)</f>
        <v>1219.908</v>
      </c>
    </row>
    <row r="1431" customFormat="false" ht="15" hidden="false" customHeight="false" outlineLevel="0" collapsed="false">
      <c r="A1431" s="33" t="s">
        <v>1992</v>
      </c>
      <c r="B1431" s="34" t="n">
        <v>45541</v>
      </c>
      <c r="C1431" s="34" t="n">
        <v>45553</v>
      </c>
      <c r="D1431" s="33" t="n">
        <v>81</v>
      </c>
      <c r="E1431" s="33" t="s">
        <v>139</v>
      </c>
      <c r="F1431" s="33" t="s">
        <v>181</v>
      </c>
      <c r="G1431" s="33" t="s">
        <v>237</v>
      </c>
      <c r="H1431" s="33" t="s">
        <v>245</v>
      </c>
      <c r="I1431" s="33" t="s">
        <v>143</v>
      </c>
      <c r="J1431" s="33" t="s">
        <v>159</v>
      </c>
      <c r="K1431" s="33" t="s">
        <v>145</v>
      </c>
      <c r="L1431" s="35" t="n">
        <v>27095.02</v>
      </c>
      <c r="M1431" s="33" t="n">
        <v>4</v>
      </c>
      <c r="N1431" s="33" t="s">
        <v>146</v>
      </c>
      <c r="O1431" s="33" t="s">
        <v>206</v>
      </c>
      <c r="P1431" s="39" t="n">
        <f aca="false">C1431-B1431</f>
        <v>12</v>
      </c>
      <c r="Q1431" s="40" t="str">
        <f aca="false">CHOOSE(MONTH(B1431),"يناير","فبراير","مارس","أبريل","مايو","يونيو","يوليو","أغسطس","سبتمبر","أكتوبر","نوفمبر","ديسمبر")</f>
        <v>سبتمبر</v>
      </c>
      <c r="R1431" s="40" t="str">
        <f aca="false">"الربع "&amp;ROUNDUP(MONTH(B1431)/3,0)</f>
        <v>الربع 3</v>
      </c>
      <c r="S1431" s="40" t="str">
        <f aca="false">IF(D1431&lt;=12,"أطفال (0-12)",IF(D1431&lt;=24,"شباب (13-24)",IF(D1431&lt;=44,"بالغون (25-44)",IF(D1431&lt;=64,"متوسطو العمر (45-64)","كبار السن (+65)"))))</f>
        <v>كبار السن (+65)</v>
      </c>
      <c r="T1431" s="41" t="n">
        <f aca="false">IFERROR(L1431/P1431,0)</f>
        <v>2257.91833333333</v>
      </c>
    </row>
    <row r="1432" customFormat="false" ht="15" hidden="false" customHeight="false" outlineLevel="0" collapsed="false">
      <c r="A1432" s="42" t="s">
        <v>844</v>
      </c>
      <c r="B1432" s="43" t="n">
        <v>45541</v>
      </c>
      <c r="C1432" s="43" t="n">
        <v>45542</v>
      </c>
      <c r="D1432" s="42" t="n">
        <v>30</v>
      </c>
      <c r="E1432" s="42" t="s">
        <v>139</v>
      </c>
      <c r="F1432" s="42" t="s">
        <v>149</v>
      </c>
      <c r="G1432" s="42" t="s">
        <v>150</v>
      </c>
      <c r="H1432" s="42" t="s">
        <v>186</v>
      </c>
      <c r="I1432" s="42" t="s">
        <v>143</v>
      </c>
      <c r="J1432" s="42" t="s">
        <v>144</v>
      </c>
      <c r="K1432" s="42" t="s">
        <v>145</v>
      </c>
      <c r="L1432" s="44" t="n">
        <v>2094.01</v>
      </c>
      <c r="M1432" s="42" t="n">
        <v>4</v>
      </c>
      <c r="N1432" s="42" t="s">
        <v>146</v>
      </c>
      <c r="O1432" s="42" t="s">
        <v>147</v>
      </c>
      <c r="P1432" s="39" t="n">
        <f aca="false">C1432-B1432</f>
        <v>1</v>
      </c>
      <c r="Q1432" s="40" t="str">
        <f aca="false">CHOOSE(MONTH(B1432),"يناير","فبراير","مارس","أبريل","مايو","يونيو","يوليو","أغسطس","سبتمبر","أكتوبر","نوفمبر","ديسمبر")</f>
        <v>سبتمبر</v>
      </c>
      <c r="R1432" s="40" t="str">
        <f aca="false">"الربع "&amp;ROUNDUP(MONTH(B1432)/3,0)</f>
        <v>الربع 3</v>
      </c>
      <c r="S1432" s="40" t="str">
        <f aca="false">IF(D1432&lt;=12,"أطفال (0-12)",IF(D1432&lt;=24,"شباب (13-24)",IF(D1432&lt;=44,"بالغون (25-44)",IF(D1432&lt;=64,"متوسطو العمر (45-64)","كبار السن (+65)"))))</f>
        <v>بالغون (25-44)</v>
      </c>
      <c r="T1432" s="41" t="n">
        <f aca="false">IFERROR(L1432/P1432,0)</f>
        <v>2094.01</v>
      </c>
    </row>
    <row r="1433" customFormat="false" ht="15" hidden="false" customHeight="false" outlineLevel="0" collapsed="false">
      <c r="A1433" s="33" t="s">
        <v>1872</v>
      </c>
      <c r="B1433" s="34" t="n">
        <v>45541</v>
      </c>
      <c r="C1433" s="34" t="n">
        <v>45547</v>
      </c>
      <c r="D1433" s="33" t="n">
        <v>63</v>
      </c>
      <c r="E1433" s="33" t="s">
        <v>154</v>
      </c>
      <c r="F1433" s="33" t="s">
        <v>181</v>
      </c>
      <c r="G1433" s="33" t="s">
        <v>237</v>
      </c>
      <c r="H1433" s="33" t="s">
        <v>183</v>
      </c>
      <c r="I1433" s="33" t="s">
        <v>152</v>
      </c>
      <c r="J1433" s="33" t="s">
        <v>159</v>
      </c>
      <c r="K1433" s="33" t="s">
        <v>160</v>
      </c>
      <c r="L1433" s="35" t="n">
        <v>13909.49</v>
      </c>
      <c r="M1433" s="33" t="n">
        <v>5</v>
      </c>
      <c r="N1433" s="33" t="s">
        <v>210</v>
      </c>
      <c r="O1433" s="33" t="s">
        <v>147</v>
      </c>
      <c r="P1433" s="39" t="n">
        <f aca="false">C1433-B1433</f>
        <v>6</v>
      </c>
      <c r="Q1433" s="40" t="str">
        <f aca="false">CHOOSE(MONTH(B1433),"يناير","فبراير","مارس","أبريل","مايو","يونيو","يوليو","أغسطس","سبتمبر","أكتوبر","نوفمبر","ديسمبر")</f>
        <v>سبتمبر</v>
      </c>
      <c r="R1433" s="40" t="str">
        <f aca="false">"الربع "&amp;ROUNDUP(MONTH(B1433)/3,0)</f>
        <v>الربع 3</v>
      </c>
      <c r="S1433" s="40" t="str">
        <f aca="false">IF(D1433&lt;=12,"أطفال (0-12)",IF(D1433&lt;=24,"شباب (13-24)",IF(D1433&lt;=44,"بالغون (25-44)",IF(D1433&lt;=64,"متوسطو العمر (45-64)","كبار السن (+65)"))))</f>
        <v>متوسطو العمر (45-64)</v>
      </c>
      <c r="T1433" s="41" t="n">
        <f aca="false">IFERROR(L1433/P1433,0)</f>
        <v>2318.24833333333</v>
      </c>
    </row>
    <row r="1434" customFormat="false" ht="15" hidden="false" customHeight="false" outlineLevel="0" collapsed="false">
      <c r="A1434" s="42" t="s">
        <v>419</v>
      </c>
      <c r="B1434" s="43" t="n">
        <v>45541</v>
      </c>
      <c r="C1434" s="43" t="n">
        <v>45544</v>
      </c>
      <c r="D1434" s="42" t="n">
        <v>71</v>
      </c>
      <c r="E1434" s="42" t="s">
        <v>139</v>
      </c>
      <c r="F1434" s="42" t="s">
        <v>169</v>
      </c>
      <c r="G1434" s="42" t="s">
        <v>230</v>
      </c>
      <c r="H1434" s="42" t="s">
        <v>164</v>
      </c>
      <c r="I1434" s="42" t="s">
        <v>152</v>
      </c>
      <c r="J1434" s="42" t="s">
        <v>159</v>
      </c>
      <c r="K1434" s="42" t="s">
        <v>160</v>
      </c>
      <c r="L1434" s="44" t="n">
        <v>3484.68</v>
      </c>
      <c r="M1434" s="42" t="n">
        <v>4</v>
      </c>
      <c r="N1434" s="42" t="s">
        <v>146</v>
      </c>
      <c r="O1434" s="42" t="s">
        <v>147</v>
      </c>
      <c r="P1434" s="39" t="n">
        <f aca="false">C1434-B1434</f>
        <v>3</v>
      </c>
      <c r="Q1434" s="40" t="str">
        <f aca="false">CHOOSE(MONTH(B1434),"يناير","فبراير","مارس","أبريل","مايو","يونيو","يوليو","أغسطس","سبتمبر","أكتوبر","نوفمبر","ديسمبر")</f>
        <v>سبتمبر</v>
      </c>
      <c r="R1434" s="40" t="str">
        <f aca="false">"الربع "&amp;ROUNDUP(MONTH(B1434)/3,0)</f>
        <v>الربع 3</v>
      </c>
      <c r="S1434" s="40" t="str">
        <f aca="false">IF(D1434&lt;=12,"أطفال (0-12)",IF(D1434&lt;=24,"شباب (13-24)",IF(D1434&lt;=44,"بالغون (25-44)",IF(D1434&lt;=64,"متوسطو العمر (45-64)","كبار السن (+65)"))))</f>
        <v>كبار السن (+65)</v>
      </c>
      <c r="T1434" s="41" t="n">
        <f aca="false">IFERROR(L1434/P1434,0)</f>
        <v>1161.56</v>
      </c>
    </row>
    <row r="1435" customFormat="false" ht="15" hidden="false" customHeight="false" outlineLevel="0" collapsed="false">
      <c r="A1435" s="33" t="s">
        <v>2226</v>
      </c>
      <c r="B1435" s="34" t="n">
        <v>45542</v>
      </c>
      <c r="C1435" s="34" t="n">
        <v>45548</v>
      </c>
      <c r="D1435" s="33" t="n">
        <v>69</v>
      </c>
      <c r="E1435" s="33" t="s">
        <v>139</v>
      </c>
      <c r="F1435" s="33" t="s">
        <v>140</v>
      </c>
      <c r="G1435" s="33" t="s">
        <v>167</v>
      </c>
      <c r="H1435" s="33" t="s">
        <v>142</v>
      </c>
      <c r="I1435" s="33" t="s">
        <v>152</v>
      </c>
      <c r="J1435" s="33" t="s">
        <v>159</v>
      </c>
      <c r="K1435" s="33" t="s">
        <v>145</v>
      </c>
      <c r="L1435" s="35" t="n">
        <v>10695.2</v>
      </c>
      <c r="M1435" s="33" t="n">
        <v>5</v>
      </c>
      <c r="N1435" s="33" t="s">
        <v>146</v>
      </c>
      <c r="O1435" s="33" t="s">
        <v>147</v>
      </c>
      <c r="P1435" s="39" t="n">
        <f aca="false">C1435-B1435</f>
        <v>6</v>
      </c>
      <c r="Q1435" s="40" t="str">
        <f aca="false">CHOOSE(MONTH(B1435),"يناير","فبراير","مارس","أبريل","مايو","يونيو","يوليو","أغسطس","سبتمبر","أكتوبر","نوفمبر","ديسمبر")</f>
        <v>سبتمبر</v>
      </c>
      <c r="R1435" s="40" t="str">
        <f aca="false">"الربع "&amp;ROUNDUP(MONTH(B1435)/3,0)</f>
        <v>الربع 3</v>
      </c>
      <c r="S1435" s="40" t="str">
        <f aca="false">IF(D1435&lt;=12,"أطفال (0-12)",IF(D1435&lt;=24,"شباب (13-24)",IF(D1435&lt;=44,"بالغون (25-44)",IF(D1435&lt;=64,"متوسطو العمر (45-64)","كبار السن (+65)"))))</f>
        <v>كبار السن (+65)</v>
      </c>
      <c r="T1435" s="41" t="n">
        <f aca="false">IFERROR(L1435/P1435,0)</f>
        <v>1782.53333333333</v>
      </c>
    </row>
    <row r="1436" customFormat="false" ht="15" hidden="false" customHeight="false" outlineLevel="0" collapsed="false">
      <c r="A1436" s="42" t="s">
        <v>1666</v>
      </c>
      <c r="B1436" s="43" t="n">
        <v>45542</v>
      </c>
      <c r="C1436" s="43" t="n">
        <v>45543</v>
      </c>
      <c r="D1436" s="42" t="n">
        <v>37</v>
      </c>
      <c r="E1436" s="42" t="s">
        <v>154</v>
      </c>
      <c r="F1436" s="42" t="s">
        <v>203</v>
      </c>
      <c r="G1436" s="42" t="s">
        <v>192</v>
      </c>
      <c r="H1436" s="42" t="s">
        <v>233</v>
      </c>
      <c r="I1436" s="42" t="s">
        <v>143</v>
      </c>
      <c r="J1436" s="42" t="s">
        <v>176</v>
      </c>
      <c r="K1436" s="42" t="s">
        <v>145</v>
      </c>
      <c r="L1436" s="44" t="n">
        <v>3439.25</v>
      </c>
      <c r="M1436" s="42" t="n">
        <v>5</v>
      </c>
      <c r="N1436" s="42" t="s">
        <v>146</v>
      </c>
      <c r="O1436" s="42" t="s">
        <v>147</v>
      </c>
      <c r="P1436" s="39" t="n">
        <f aca="false">C1436-B1436</f>
        <v>1</v>
      </c>
      <c r="Q1436" s="40" t="str">
        <f aca="false">CHOOSE(MONTH(B1436),"يناير","فبراير","مارس","أبريل","مايو","يونيو","يوليو","أغسطس","سبتمبر","أكتوبر","نوفمبر","ديسمبر")</f>
        <v>سبتمبر</v>
      </c>
      <c r="R1436" s="40" t="str">
        <f aca="false">"الربع "&amp;ROUNDUP(MONTH(B1436)/3,0)</f>
        <v>الربع 3</v>
      </c>
      <c r="S1436" s="40" t="str">
        <f aca="false">IF(D1436&lt;=12,"أطفال (0-12)",IF(D1436&lt;=24,"شباب (13-24)",IF(D1436&lt;=44,"بالغون (25-44)",IF(D1436&lt;=64,"متوسطو العمر (45-64)","كبار السن (+65)"))))</f>
        <v>بالغون (25-44)</v>
      </c>
      <c r="T1436" s="41" t="n">
        <f aca="false">IFERROR(L1436/P1436,0)</f>
        <v>3439.25</v>
      </c>
    </row>
    <row r="1437" customFormat="false" ht="15" hidden="false" customHeight="false" outlineLevel="0" collapsed="false">
      <c r="A1437" s="33" t="s">
        <v>350</v>
      </c>
      <c r="B1437" s="34" t="n">
        <v>45542</v>
      </c>
      <c r="C1437" s="34" t="n">
        <v>45543</v>
      </c>
      <c r="D1437" s="33" t="n">
        <v>26</v>
      </c>
      <c r="E1437" s="33" t="s">
        <v>154</v>
      </c>
      <c r="F1437" s="33" t="s">
        <v>169</v>
      </c>
      <c r="G1437" s="33" t="s">
        <v>170</v>
      </c>
      <c r="H1437" s="33" t="s">
        <v>195</v>
      </c>
      <c r="I1437" s="33" t="s">
        <v>152</v>
      </c>
      <c r="J1437" s="33" t="s">
        <v>159</v>
      </c>
      <c r="K1437" s="33" t="s">
        <v>145</v>
      </c>
      <c r="L1437" s="35" t="n">
        <v>964.06</v>
      </c>
      <c r="M1437" s="33" t="n">
        <v>4</v>
      </c>
      <c r="N1437" s="33" t="s">
        <v>210</v>
      </c>
      <c r="O1437" s="33" t="s">
        <v>147</v>
      </c>
      <c r="P1437" s="39" t="n">
        <f aca="false">C1437-B1437</f>
        <v>1</v>
      </c>
      <c r="Q1437" s="40" t="str">
        <f aca="false">CHOOSE(MONTH(B1437),"يناير","فبراير","مارس","أبريل","مايو","يونيو","يوليو","أغسطس","سبتمبر","أكتوبر","نوفمبر","ديسمبر")</f>
        <v>سبتمبر</v>
      </c>
      <c r="R1437" s="40" t="str">
        <f aca="false">"الربع "&amp;ROUNDUP(MONTH(B1437)/3,0)</f>
        <v>الربع 3</v>
      </c>
      <c r="S1437" s="40" t="str">
        <f aca="false">IF(D1437&lt;=12,"أطفال (0-12)",IF(D1437&lt;=24,"شباب (13-24)",IF(D1437&lt;=44,"بالغون (25-44)",IF(D1437&lt;=64,"متوسطو العمر (45-64)","كبار السن (+65)"))))</f>
        <v>بالغون (25-44)</v>
      </c>
      <c r="T1437" s="41" t="n">
        <f aca="false">IFERROR(L1437/P1437,0)</f>
        <v>964.06</v>
      </c>
    </row>
    <row r="1438" customFormat="false" ht="15" hidden="false" customHeight="false" outlineLevel="0" collapsed="false">
      <c r="A1438" s="42" t="s">
        <v>1676</v>
      </c>
      <c r="B1438" s="43" t="n">
        <v>45542</v>
      </c>
      <c r="C1438" s="43" t="n">
        <v>45543</v>
      </c>
      <c r="D1438" s="42" t="n">
        <v>35</v>
      </c>
      <c r="E1438" s="42" t="s">
        <v>139</v>
      </c>
      <c r="F1438" s="42" t="s">
        <v>169</v>
      </c>
      <c r="G1438" s="42" t="s">
        <v>163</v>
      </c>
      <c r="H1438" s="42" t="s">
        <v>195</v>
      </c>
      <c r="I1438" s="42" t="s">
        <v>143</v>
      </c>
      <c r="J1438" s="42" t="s">
        <v>159</v>
      </c>
      <c r="K1438" s="42" t="s">
        <v>145</v>
      </c>
      <c r="L1438" s="44" t="n">
        <v>1129.78</v>
      </c>
      <c r="M1438" s="42" t="n">
        <v>4</v>
      </c>
      <c r="N1438" s="42" t="s">
        <v>146</v>
      </c>
      <c r="O1438" s="42" t="s">
        <v>147</v>
      </c>
      <c r="P1438" s="39" t="n">
        <f aca="false">C1438-B1438</f>
        <v>1</v>
      </c>
      <c r="Q1438" s="40" t="str">
        <f aca="false">CHOOSE(MONTH(B1438),"يناير","فبراير","مارس","أبريل","مايو","يونيو","يوليو","أغسطس","سبتمبر","أكتوبر","نوفمبر","ديسمبر")</f>
        <v>سبتمبر</v>
      </c>
      <c r="R1438" s="40" t="str">
        <f aca="false">"الربع "&amp;ROUNDUP(MONTH(B1438)/3,0)</f>
        <v>الربع 3</v>
      </c>
      <c r="S1438" s="40" t="str">
        <f aca="false">IF(D1438&lt;=12,"أطفال (0-12)",IF(D1438&lt;=24,"شباب (13-24)",IF(D1438&lt;=44,"بالغون (25-44)",IF(D1438&lt;=64,"متوسطو العمر (45-64)","كبار السن (+65)"))))</f>
        <v>بالغون (25-44)</v>
      </c>
      <c r="T1438" s="41" t="n">
        <f aca="false">IFERROR(L1438/P1438,0)</f>
        <v>1129.78</v>
      </c>
    </row>
    <row r="1439" customFormat="false" ht="15" hidden="false" customHeight="false" outlineLevel="0" collapsed="false">
      <c r="A1439" s="33" t="s">
        <v>1361</v>
      </c>
      <c r="B1439" s="34" t="n">
        <v>45542</v>
      </c>
      <c r="C1439" s="34" t="n">
        <v>45545</v>
      </c>
      <c r="D1439" s="33" t="n">
        <v>16</v>
      </c>
      <c r="E1439" s="33" t="s">
        <v>139</v>
      </c>
      <c r="F1439" s="33" t="s">
        <v>140</v>
      </c>
      <c r="G1439" s="33" t="s">
        <v>316</v>
      </c>
      <c r="H1439" s="33" t="s">
        <v>290</v>
      </c>
      <c r="I1439" s="33" t="s">
        <v>143</v>
      </c>
      <c r="J1439" s="33" t="s">
        <v>159</v>
      </c>
      <c r="K1439" s="33" t="s">
        <v>209</v>
      </c>
      <c r="L1439" s="35" t="n">
        <v>7473.18</v>
      </c>
      <c r="M1439" s="33" t="n">
        <v>2</v>
      </c>
      <c r="N1439" s="33" t="s">
        <v>146</v>
      </c>
      <c r="O1439" s="33" t="s">
        <v>147</v>
      </c>
      <c r="P1439" s="39" t="n">
        <f aca="false">C1439-B1439</f>
        <v>3</v>
      </c>
      <c r="Q1439" s="40" t="str">
        <f aca="false">CHOOSE(MONTH(B1439),"يناير","فبراير","مارس","أبريل","مايو","يونيو","يوليو","أغسطس","سبتمبر","أكتوبر","نوفمبر","ديسمبر")</f>
        <v>سبتمبر</v>
      </c>
      <c r="R1439" s="40" t="str">
        <f aca="false">"الربع "&amp;ROUNDUP(MONTH(B1439)/3,0)</f>
        <v>الربع 3</v>
      </c>
      <c r="S1439" s="40" t="str">
        <f aca="false">IF(D1439&lt;=12,"أطفال (0-12)",IF(D1439&lt;=24,"شباب (13-24)",IF(D1439&lt;=44,"بالغون (25-44)",IF(D1439&lt;=64,"متوسطو العمر (45-64)","كبار السن (+65)"))))</f>
        <v>شباب (13-24)</v>
      </c>
      <c r="T1439" s="41" t="n">
        <f aca="false">IFERROR(L1439/P1439,0)</f>
        <v>2491.06</v>
      </c>
    </row>
    <row r="1440" customFormat="false" ht="15" hidden="false" customHeight="false" outlineLevel="0" collapsed="false">
      <c r="A1440" s="42" t="s">
        <v>1677</v>
      </c>
      <c r="B1440" s="43" t="n">
        <v>45543</v>
      </c>
      <c r="C1440" s="43" t="n">
        <v>45548</v>
      </c>
      <c r="D1440" s="42" t="n">
        <v>0</v>
      </c>
      <c r="E1440" s="42" t="s">
        <v>139</v>
      </c>
      <c r="F1440" s="42" t="s">
        <v>155</v>
      </c>
      <c r="G1440" s="42" t="s">
        <v>156</v>
      </c>
      <c r="H1440" s="42" t="s">
        <v>157</v>
      </c>
      <c r="I1440" s="42" t="s">
        <v>143</v>
      </c>
      <c r="J1440" s="42" t="s">
        <v>159</v>
      </c>
      <c r="K1440" s="42" t="s">
        <v>184</v>
      </c>
      <c r="L1440" s="44" t="n">
        <v>3794.46</v>
      </c>
      <c r="M1440" s="42" t="n">
        <v>5</v>
      </c>
      <c r="N1440" s="42" t="s">
        <v>146</v>
      </c>
      <c r="O1440" s="42" t="s">
        <v>147</v>
      </c>
      <c r="P1440" s="39" t="n">
        <f aca="false">C1440-B1440</f>
        <v>5</v>
      </c>
      <c r="Q1440" s="40" t="str">
        <f aca="false">CHOOSE(MONTH(B1440),"يناير","فبراير","مارس","أبريل","مايو","يونيو","يوليو","أغسطس","سبتمبر","أكتوبر","نوفمبر","ديسمبر")</f>
        <v>سبتمبر</v>
      </c>
      <c r="R1440" s="40" t="str">
        <f aca="false">"الربع "&amp;ROUNDUP(MONTH(B1440)/3,0)</f>
        <v>الربع 3</v>
      </c>
      <c r="S1440" s="40" t="str">
        <f aca="false">IF(D1440&lt;=12,"أطفال (0-12)",IF(D1440&lt;=24,"شباب (13-24)",IF(D1440&lt;=44,"بالغون (25-44)",IF(D1440&lt;=64,"متوسطو العمر (45-64)","كبار السن (+65)"))))</f>
        <v>أطفال (0-12)</v>
      </c>
      <c r="T1440" s="41" t="n">
        <f aca="false">IFERROR(L1440/P1440,0)</f>
        <v>758.892</v>
      </c>
    </row>
    <row r="1441" customFormat="false" ht="15" hidden="false" customHeight="false" outlineLevel="0" collapsed="false">
      <c r="A1441" s="33" t="s">
        <v>1345</v>
      </c>
      <c r="B1441" s="34" t="n">
        <v>45543</v>
      </c>
      <c r="C1441" s="34" t="n">
        <v>45544</v>
      </c>
      <c r="D1441" s="33" t="n">
        <v>50</v>
      </c>
      <c r="E1441" s="33" t="s">
        <v>139</v>
      </c>
      <c r="F1441" s="33" t="s">
        <v>203</v>
      </c>
      <c r="G1441" s="33" t="s">
        <v>204</v>
      </c>
      <c r="H1441" s="33" t="s">
        <v>193</v>
      </c>
      <c r="I1441" s="33" t="s">
        <v>143</v>
      </c>
      <c r="J1441" s="33" t="s">
        <v>159</v>
      </c>
      <c r="K1441" s="33" t="s">
        <v>145</v>
      </c>
      <c r="L1441" s="35" t="n">
        <v>866.88</v>
      </c>
      <c r="M1441" s="33" t="n">
        <v>5</v>
      </c>
      <c r="N1441" s="33" t="s">
        <v>146</v>
      </c>
      <c r="O1441" s="33" t="s">
        <v>147</v>
      </c>
      <c r="P1441" s="39" t="n">
        <f aca="false">C1441-B1441</f>
        <v>1</v>
      </c>
      <c r="Q1441" s="40" t="str">
        <f aca="false">CHOOSE(MONTH(B1441),"يناير","فبراير","مارس","أبريل","مايو","يونيو","يوليو","أغسطس","سبتمبر","أكتوبر","نوفمبر","ديسمبر")</f>
        <v>سبتمبر</v>
      </c>
      <c r="R1441" s="40" t="str">
        <f aca="false">"الربع "&amp;ROUNDUP(MONTH(B1441)/3,0)</f>
        <v>الربع 3</v>
      </c>
      <c r="S1441" s="40" t="str">
        <f aca="false">IF(D1441&lt;=12,"أطفال (0-12)",IF(D1441&lt;=24,"شباب (13-24)",IF(D1441&lt;=44,"بالغون (25-44)",IF(D1441&lt;=64,"متوسطو العمر (45-64)","كبار السن (+65)"))))</f>
        <v>متوسطو العمر (45-64)</v>
      </c>
      <c r="T1441" s="41" t="n">
        <f aca="false">IFERROR(L1441/P1441,0)</f>
        <v>866.88</v>
      </c>
    </row>
    <row r="1442" customFormat="false" ht="15" hidden="false" customHeight="false" outlineLevel="0" collapsed="false">
      <c r="A1442" s="42" t="s">
        <v>2274</v>
      </c>
      <c r="B1442" s="43" t="n">
        <v>45543</v>
      </c>
      <c r="C1442" s="43" t="n">
        <v>45546</v>
      </c>
      <c r="D1442" s="42" t="n">
        <v>52</v>
      </c>
      <c r="E1442" s="42" t="s">
        <v>139</v>
      </c>
      <c r="F1442" s="42" t="s">
        <v>173</v>
      </c>
      <c r="G1442" s="42" t="s">
        <v>178</v>
      </c>
      <c r="H1442" s="42" t="s">
        <v>175</v>
      </c>
      <c r="I1442" s="42" t="s">
        <v>143</v>
      </c>
      <c r="J1442" s="42" t="s">
        <v>159</v>
      </c>
      <c r="K1442" s="42" t="s">
        <v>160</v>
      </c>
      <c r="L1442" s="44" t="n">
        <v>4914.49</v>
      </c>
      <c r="M1442" s="42" t="n">
        <v>4</v>
      </c>
      <c r="N1442" s="42" t="s">
        <v>146</v>
      </c>
      <c r="O1442" s="42" t="s">
        <v>147</v>
      </c>
      <c r="P1442" s="39" t="n">
        <f aca="false">C1442-B1442</f>
        <v>3</v>
      </c>
      <c r="Q1442" s="40" t="str">
        <f aca="false">CHOOSE(MONTH(B1442),"يناير","فبراير","مارس","أبريل","مايو","يونيو","يوليو","أغسطس","سبتمبر","أكتوبر","نوفمبر","ديسمبر")</f>
        <v>سبتمبر</v>
      </c>
      <c r="R1442" s="40" t="str">
        <f aca="false">"الربع "&amp;ROUNDUP(MONTH(B1442)/3,0)</f>
        <v>الربع 3</v>
      </c>
      <c r="S1442" s="40" t="str">
        <f aca="false">IF(D1442&lt;=12,"أطفال (0-12)",IF(D1442&lt;=24,"شباب (13-24)",IF(D1442&lt;=44,"بالغون (25-44)",IF(D1442&lt;=64,"متوسطو العمر (45-64)","كبار السن (+65)"))))</f>
        <v>متوسطو العمر (45-64)</v>
      </c>
      <c r="T1442" s="41" t="n">
        <f aca="false">IFERROR(L1442/P1442,0)</f>
        <v>1638.16333333333</v>
      </c>
    </row>
    <row r="1443" customFormat="false" ht="15" hidden="false" customHeight="false" outlineLevel="0" collapsed="false">
      <c r="A1443" s="33" t="s">
        <v>1788</v>
      </c>
      <c r="B1443" s="34" t="n">
        <v>45543</v>
      </c>
      <c r="C1443" s="34" t="n">
        <v>45544</v>
      </c>
      <c r="D1443" s="33" t="n">
        <v>33</v>
      </c>
      <c r="E1443" s="33" t="s">
        <v>154</v>
      </c>
      <c r="F1443" s="33" t="s">
        <v>140</v>
      </c>
      <c r="G1443" s="33" t="s">
        <v>141</v>
      </c>
      <c r="H1443" s="33" t="s">
        <v>142</v>
      </c>
      <c r="I1443" s="33" t="s">
        <v>152</v>
      </c>
      <c r="J1443" s="33" t="s">
        <v>159</v>
      </c>
      <c r="K1443" s="33" t="s">
        <v>145</v>
      </c>
      <c r="L1443" s="35" t="n">
        <v>1888.02</v>
      </c>
      <c r="M1443" s="33" t="n">
        <v>4</v>
      </c>
      <c r="N1443" s="33" t="s">
        <v>146</v>
      </c>
      <c r="O1443" s="33" t="s">
        <v>147</v>
      </c>
      <c r="P1443" s="39" t="n">
        <f aca="false">C1443-B1443</f>
        <v>1</v>
      </c>
      <c r="Q1443" s="40" t="str">
        <f aca="false">CHOOSE(MONTH(B1443),"يناير","فبراير","مارس","أبريل","مايو","يونيو","يوليو","أغسطس","سبتمبر","أكتوبر","نوفمبر","ديسمبر")</f>
        <v>سبتمبر</v>
      </c>
      <c r="R1443" s="40" t="str">
        <f aca="false">"الربع "&amp;ROUNDUP(MONTH(B1443)/3,0)</f>
        <v>الربع 3</v>
      </c>
      <c r="S1443" s="40" t="str">
        <f aca="false">IF(D1443&lt;=12,"أطفال (0-12)",IF(D1443&lt;=24,"شباب (13-24)",IF(D1443&lt;=44,"بالغون (25-44)",IF(D1443&lt;=64,"متوسطو العمر (45-64)","كبار السن (+65)"))))</f>
        <v>بالغون (25-44)</v>
      </c>
      <c r="T1443" s="41" t="n">
        <f aca="false">IFERROR(L1443/P1443,0)</f>
        <v>1888.02</v>
      </c>
    </row>
    <row r="1444" customFormat="false" ht="15" hidden="false" customHeight="false" outlineLevel="0" collapsed="false">
      <c r="A1444" s="42" t="s">
        <v>768</v>
      </c>
      <c r="B1444" s="43" t="n">
        <v>45543</v>
      </c>
      <c r="C1444" s="43" t="n">
        <v>45546</v>
      </c>
      <c r="D1444" s="42" t="n">
        <v>42</v>
      </c>
      <c r="E1444" s="42" t="s">
        <v>154</v>
      </c>
      <c r="F1444" s="42" t="s">
        <v>173</v>
      </c>
      <c r="G1444" s="42" t="s">
        <v>174</v>
      </c>
      <c r="H1444" s="42" t="s">
        <v>199</v>
      </c>
      <c r="I1444" s="42" t="s">
        <v>143</v>
      </c>
      <c r="J1444" s="42" t="s">
        <v>159</v>
      </c>
      <c r="K1444" s="42" t="s">
        <v>184</v>
      </c>
      <c r="L1444" s="44" t="n">
        <v>7675.3</v>
      </c>
      <c r="M1444" s="42" t="n">
        <v>5</v>
      </c>
      <c r="N1444" s="42" t="s">
        <v>146</v>
      </c>
      <c r="O1444" s="42" t="s">
        <v>147</v>
      </c>
      <c r="P1444" s="39" t="n">
        <f aca="false">C1444-B1444</f>
        <v>3</v>
      </c>
      <c r="Q1444" s="40" t="str">
        <f aca="false">CHOOSE(MONTH(B1444),"يناير","فبراير","مارس","أبريل","مايو","يونيو","يوليو","أغسطس","سبتمبر","أكتوبر","نوفمبر","ديسمبر")</f>
        <v>سبتمبر</v>
      </c>
      <c r="R1444" s="40" t="str">
        <f aca="false">"الربع "&amp;ROUNDUP(MONTH(B1444)/3,0)</f>
        <v>الربع 3</v>
      </c>
      <c r="S1444" s="40" t="str">
        <f aca="false">IF(D1444&lt;=12,"أطفال (0-12)",IF(D1444&lt;=24,"شباب (13-24)",IF(D1444&lt;=44,"بالغون (25-44)",IF(D1444&lt;=64,"متوسطو العمر (45-64)","كبار السن (+65)"))))</f>
        <v>بالغون (25-44)</v>
      </c>
      <c r="T1444" s="41" t="n">
        <f aca="false">IFERROR(L1444/P1444,0)</f>
        <v>2558.43333333333</v>
      </c>
    </row>
    <row r="1445" customFormat="false" ht="15" hidden="false" customHeight="false" outlineLevel="0" collapsed="false">
      <c r="A1445" s="33" t="s">
        <v>1531</v>
      </c>
      <c r="B1445" s="34" t="n">
        <v>45544</v>
      </c>
      <c r="C1445" s="34" t="n">
        <v>45546</v>
      </c>
      <c r="D1445" s="33" t="n">
        <v>64</v>
      </c>
      <c r="E1445" s="33" t="s">
        <v>154</v>
      </c>
      <c r="F1445" s="33" t="s">
        <v>203</v>
      </c>
      <c r="G1445" s="33" t="s">
        <v>192</v>
      </c>
      <c r="H1445" s="33" t="s">
        <v>233</v>
      </c>
      <c r="I1445" s="33" t="s">
        <v>143</v>
      </c>
      <c r="J1445" s="33" t="s">
        <v>144</v>
      </c>
      <c r="K1445" s="33" t="s">
        <v>145</v>
      </c>
      <c r="L1445" s="35" t="n">
        <v>3517.34</v>
      </c>
      <c r="M1445" s="33" t="n">
        <v>4</v>
      </c>
      <c r="N1445" s="33" t="s">
        <v>146</v>
      </c>
      <c r="O1445" s="33" t="s">
        <v>147</v>
      </c>
      <c r="P1445" s="39" t="n">
        <f aca="false">C1445-B1445</f>
        <v>2</v>
      </c>
      <c r="Q1445" s="40" t="str">
        <f aca="false">CHOOSE(MONTH(B1445),"يناير","فبراير","مارس","أبريل","مايو","يونيو","يوليو","أغسطس","سبتمبر","أكتوبر","نوفمبر","ديسمبر")</f>
        <v>سبتمبر</v>
      </c>
      <c r="R1445" s="40" t="str">
        <f aca="false">"الربع "&amp;ROUNDUP(MONTH(B1445)/3,0)</f>
        <v>الربع 3</v>
      </c>
      <c r="S1445" s="40" t="str">
        <f aca="false">IF(D1445&lt;=12,"أطفال (0-12)",IF(D1445&lt;=24,"شباب (13-24)",IF(D1445&lt;=44,"بالغون (25-44)",IF(D1445&lt;=64,"متوسطو العمر (45-64)","كبار السن (+65)"))))</f>
        <v>متوسطو العمر (45-64)</v>
      </c>
      <c r="T1445" s="41" t="n">
        <f aca="false">IFERROR(L1445/P1445,0)</f>
        <v>1758.67</v>
      </c>
    </row>
    <row r="1446" customFormat="false" ht="15" hidden="false" customHeight="false" outlineLevel="0" collapsed="false">
      <c r="A1446" s="42" t="s">
        <v>1459</v>
      </c>
      <c r="B1446" s="43" t="n">
        <v>45544</v>
      </c>
      <c r="C1446" s="43" t="n">
        <v>45547</v>
      </c>
      <c r="D1446" s="42" t="n">
        <v>5</v>
      </c>
      <c r="E1446" s="42" t="s">
        <v>139</v>
      </c>
      <c r="F1446" s="42" t="s">
        <v>155</v>
      </c>
      <c r="G1446" s="42" t="s">
        <v>156</v>
      </c>
      <c r="H1446" s="42" t="s">
        <v>157</v>
      </c>
      <c r="I1446" s="42" t="s">
        <v>152</v>
      </c>
      <c r="J1446" s="42" t="s">
        <v>144</v>
      </c>
      <c r="K1446" s="42" t="s">
        <v>184</v>
      </c>
      <c r="L1446" s="44" t="n">
        <v>5228.5</v>
      </c>
      <c r="M1446" s="42" t="n">
        <v>4</v>
      </c>
      <c r="N1446" s="42" t="s">
        <v>146</v>
      </c>
      <c r="O1446" s="42" t="s">
        <v>147</v>
      </c>
      <c r="P1446" s="39" t="n">
        <f aca="false">C1446-B1446</f>
        <v>3</v>
      </c>
      <c r="Q1446" s="40" t="str">
        <f aca="false">CHOOSE(MONTH(B1446),"يناير","فبراير","مارس","أبريل","مايو","يونيو","يوليو","أغسطس","سبتمبر","أكتوبر","نوفمبر","ديسمبر")</f>
        <v>سبتمبر</v>
      </c>
      <c r="R1446" s="40" t="str">
        <f aca="false">"الربع "&amp;ROUNDUP(MONTH(B1446)/3,0)</f>
        <v>الربع 3</v>
      </c>
      <c r="S1446" s="40" t="str">
        <f aca="false">IF(D1446&lt;=12,"أطفال (0-12)",IF(D1446&lt;=24,"شباب (13-24)",IF(D1446&lt;=44,"بالغون (25-44)",IF(D1446&lt;=64,"متوسطو العمر (45-64)","كبار السن (+65)"))))</f>
        <v>أطفال (0-12)</v>
      </c>
      <c r="T1446" s="41" t="n">
        <f aca="false">IFERROR(L1446/P1446,0)</f>
        <v>1742.83333333333</v>
      </c>
    </row>
    <row r="1447" customFormat="false" ht="15" hidden="false" customHeight="false" outlineLevel="0" collapsed="false">
      <c r="A1447" s="33" t="s">
        <v>514</v>
      </c>
      <c r="B1447" s="34" t="n">
        <v>45544</v>
      </c>
      <c r="C1447" s="34" t="n">
        <v>45545</v>
      </c>
      <c r="D1447" s="33" t="n">
        <v>90</v>
      </c>
      <c r="E1447" s="33" t="s">
        <v>139</v>
      </c>
      <c r="F1447" s="33" t="s">
        <v>203</v>
      </c>
      <c r="G1447" s="33" t="s">
        <v>232</v>
      </c>
      <c r="H1447" s="33" t="s">
        <v>233</v>
      </c>
      <c r="I1447" s="33" t="s">
        <v>143</v>
      </c>
      <c r="J1447" s="33" t="s">
        <v>159</v>
      </c>
      <c r="K1447" s="33" t="s">
        <v>160</v>
      </c>
      <c r="L1447" s="35" t="n">
        <v>1116.94</v>
      </c>
      <c r="M1447" s="33" t="n">
        <v>4</v>
      </c>
      <c r="N1447" s="33" t="s">
        <v>146</v>
      </c>
      <c r="O1447" s="33" t="s">
        <v>147</v>
      </c>
      <c r="P1447" s="39" t="n">
        <f aca="false">C1447-B1447</f>
        <v>1</v>
      </c>
      <c r="Q1447" s="40" t="str">
        <f aca="false">CHOOSE(MONTH(B1447),"يناير","فبراير","مارس","أبريل","مايو","يونيو","يوليو","أغسطس","سبتمبر","أكتوبر","نوفمبر","ديسمبر")</f>
        <v>سبتمبر</v>
      </c>
      <c r="R1447" s="40" t="str">
        <f aca="false">"الربع "&amp;ROUNDUP(MONTH(B1447)/3,0)</f>
        <v>الربع 3</v>
      </c>
      <c r="S1447" s="40" t="str">
        <f aca="false">IF(D1447&lt;=12,"أطفال (0-12)",IF(D1447&lt;=24,"شباب (13-24)",IF(D1447&lt;=44,"بالغون (25-44)",IF(D1447&lt;=64,"متوسطو العمر (45-64)","كبار السن (+65)"))))</f>
        <v>كبار السن (+65)</v>
      </c>
      <c r="T1447" s="41" t="n">
        <f aca="false">IFERROR(L1447/P1447,0)</f>
        <v>1116.94</v>
      </c>
    </row>
    <row r="1448" customFormat="false" ht="15" hidden="false" customHeight="false" outlineLevel="0" collapsed="false">
      <c r="A1448" s="42" t="s">
        <v>1945</v>
      </c>
      <c r="B1448" s="43" t="n">
        <v>45544</v>
      </c>
      <c r="C1448" s="43" t="n">
        <v>45553</v>
      </c>
      <c r="D1448" s="42" t="n">
        <v>84</v>
      </c>
      <c r="E1448" s="42" t="s">
        <v>154</v>
      </c>
      <c r="F1448" s="42" t="s">
        <v>226</v>
      </c>
      <c r="G1448" s="42" t="s">
        <v>227</v>
      </c>
      <c r="H1448" s="42" t="s">
        <v>263</v>
      </c>
      <c r="I1448" s="42" t="s">
        <v>152</v>
      </c>
      <c r="J1448" s="42" t="s">
        <v>159</v>
      </c>
      <c r="K1448" s="42" t="s">
        <v>145</v>
      </c>
      <c r="L1448" s="44" t="n">
        <v>24624.54</v>
      </c>
      <c r="M1448" s="42" t="n">
        <v>3</v>
      </c>
      <c r="N1448" s="42" t="s">
        <v>146</v>
      </c>
      <c r="O1448" s="42" t="s">
        <v>147</v>
      </c>
      <c r="P1448" s="39" t="n">
        <f aca="false">C1448-B1448</f>
        <v>9</v>
      </c>
      <c r="Q1448" s="40" t="str">
        <f aca="false">CHOOSE(MONTH(B1448),"يناير","فبراير","مارس","أبريل","مايو","يونيو","يوليو","أغسطس","سبتمبر","أكتوبر","نوفمبر","ديسمبر")</f>
        <v>سبتمبر</v>
      </c>
      <c r="R1448" s="40" t="str">
        <f aca="false">"الربع "&amp;ROUNDUP(MONTH(B1448)/3,0)</f>
        <v>الربع 3</v>
      </c>
      <c r="S1448" s="40" t="str">
        <f aca="false">IF(D1448&lt;=12,"أطفال (0-12)",IF(D1448&lt;=24,"شباب (13-24)",IF(D1448&lt;=44,"بالغون (25-44)",IF(D1448&lt;=64,"متوسطو العمر (45-64)","كبار السن (+65)"))))</f>
        <v>كبار السن (+65)</v>
      </c>
      <c r="T1448" s="41" t="n">
        <f aca="false">IFERROR(L1448/P1448,0)</f>
        <v>2736.06</v>
      </c>
    </row>
    <row r="1449" customFormat="false" ht="15" hidden="false" customHeight="false" outlineLevel="0" collapsed="false">
      <c r="A1449" s="33" t="s">
        <v>2163</v>
      </c>
      <c r="B1449" s="34" t="n">
        <v>45545</v>
      </c>
      <c r="C1449" s="34" t="n">
        <v>45551</v>
      </c>
      <c r="D1449" s="33" t="n">
        <v>32</v>
      </c>
      <c r="E1449" s="33" t="s">
        <v>154</v>
      </c>
      <c r="F1449" s="33" t="s">
        <v>169</v>
      </c>
      <c r="G1449" s="33" t="s">
        <v>230</v>
      </c>
      <c r="H1449" s="33" t="s">
        <v>164</v>
      </c>
      <c r="I1449" s="33" t="s">
        <v>143</v>
      </c>
      <c r="J1449" s="33" t="s">
        <v>159</v>
      </c>
      <c r="K1449" s="33" t="s">
        <v>184</v>
      </c>
      <c r="L1449" s="35" t="n">
        <v>7632.43</v>
      </c>
      <c r="M1449" s="33" t="n">
        <v>5</v>
      </c>
      <c r="N1449" s="33" t="s">
        <v>146</v>
      </c>
      <c r="O1449" s="33" t="s">
        <v>147</v>
      </c>
      <c r="P1449" s="39" t="n">
        <f aca="false">C1449-B1449</f>
        <v>6</v>
      </c>
      <c r="Q1449" s="40" t="str">
        <f aca="false">CHOOSE(MONTH(B1449),"يناير","فبراير","مارس","أبريل","مايو","يونيو","يوليو","أغسطس","سبتمبر","أكتوبر","نوفمبر","ديسمبر")</f>
        <v>سبتمبر</v>
      </c>
      <c r="R1449" s="40" t="str">
        <f aca="false">"الربع "&amp;ROUNDUP(MONTH(B1449)/3,0)</f>
        <v>الربع 3</v>
      </c>
      <c r="S1449" s="40" t="str">
        <f aca="false">IF(D1449&lt;=12,"أطفال (0-12)",IF(D1449&lt;=24,"شباب (13-24)",IF(D1449&lt;=44,"بالغون (25-44)",IF(D1449&lt;=64,"متوسطو العمر (45-64)","كبار السن (+65)"))))</f>
        <v>بالغون (25-44)</v>
      </c>
      <c r="T1449" s="41" t="n">
        <f aca="false">IFERROR(L1449/P1449,0)</f>
        <v>1272.07166666667</v>
      </c>
    </row>
    <row r="1450" customFormat="false" ht="15" hidden="false" customHeight="false" outlineLevel="0" collapsed="false">
      <c r="A1450" s="42" t="s">
        <v>1356</v>
      </c>
      <c r="B1450" s="43" t="n">
        <v>45546</v>
      </c>
      <c r="C1450" s="43" t="n">
        <v>45553</v>
      </c>
      <c r="D1450" s="42" t="n">
        <v>38</v>
      </c>
      <c r="E1450" s="42" t="s">
        <v>139</v>
      </c>
      <c r="F1450" s="42" t="s">
        <v>173</v>
      </c>
      <c r="G1450" s="42" t="s">
        <v>178</v>
      </c>
      <c r="H1450" s="42" t="s">
        <v>175</v>
      </c>
      <c r="I1450" s="42" t="s">
        <v>143</v>
      </c>
      <c r="J1450" s="42" t="s">
        <v>159</v>
      </c>
      <c r="K1450" s="42" t="s">
        <v>145</v>
      </c>
      <c r="L1450" s="44" t="n">
        <v>21743.57</v>
      </c>
      <c r="M1450" s="42" t="n">
        <v>4</v>
      </c>
      <c r="N1450" s="42" t="s">
        <v>146</v>
      </c>
      <c r="O1450" s="42" t="s">
        <v>147</v>
      </c>
      <c r="P1450" s="39" t="n">
        <f aca="false">C1450-B1450</f>
        <v>7</v>
      </c>
      <c r="Q1450" s="40" t="str">
        <f aca="false">CHOOSE(MONTH(B1450),"يناير","فبراير","مارس","أبريل","مايو","يونيو","يوليو","أغسطس","سبتمبر","أكتوبر","نوفمبر","ديسمبر")</f>
        <v>سبتمبر</v>
      </c>
      <c r="R1450" s="40" t="str">
        <f aca="false">"الربع "&amp;ROUNDUP(MONTH(B1450)/3,0)</f>
        <v>الربع 3</v>
      </c>
      <c r="S1450" s="40" t="str">
        <f aca="false">IF(D1450&lt;=12,"أطفال (0-12)",IF(D1450&lt;=24,"شباب (13-24)",IF(D1450&lt;=44,"بالغون (25-44)",IF(D1450&lt;=64,"متوسطو العمر (45-64)","كبار السن (+65)"))))</f>
        <v>بالغون (25-44)</v>
      </c>
      <c r="T1450" s="41" t="n">
        <f aca="false">IFERROR(L1450/P1450,0)</f>
        <v>3106.22428571429</v>
      </c>
    </row>
    <row r="1451" customFormat="false" ht="15" hidden="false" customHeight="false" outlineLevel="0" collapsed="false">
      <c r="A1451" s="33" t="s">
        <v>2202</v>
      </c>
      <c r="B1451" s="34" t="n">
        <v>45546</v>
      </c>
      <c r="C1451" s="34" t="n">
        <v>45552</v>
      </c>
      <c r="D1451" s="33" t="n">
        <v>36</v>
      </c>
      <c r="E1451" s="33" t="s">
        <v>139</v>
      </c>
      <c r="F1451" s="33" t="s">
        <v>169</v>
      </c>
      <c r="G1451" s="33" t="s">
        <v>230</v>
      </c>
      <c r="H1451" s="33" t="s">
        <v>164</v>
      </c>
      <c r="I1451" s="33" t="s">
        <v>143</v>
      </c>
      <c r="J1451" s="33" t="s">
        <v>159</v>
      </c>
      <c r="K1451" s="33" t="s">
        <v>145</v>
      </c>
      <c r="L1451" s="35" t="n">
        <v>8242.97</v>
      </c>
      <c r="M1451" s="33" t="n">
        <v>3</v>
      </c>
      <c r="N1451" s="33" t="s">
        <v>210</v>
      </c>
      <c r="O1451" s="33" t="s">
        <v>147</v>
      </c>
      <c r="P1451" s="39" t="n">
        <f aca="false">C1451-B1451</f>
        <v>6</v>
      </c>
      <c r="Q1451" s="40" t="str">
        <f aca="false">CHOOSE(MONTH(B1451),"يناير","فبراير","مارس","أبريل","مايو","يونيو","يوليو","أغسطس","سبتمبر","أكتوبر","نوفمبر","ديسمبر")</f>
        <v>سبتمبر</v>
      </c>
      <c r="R1451" s="40" t="str">
        <f aca="false">"الربع "&amp;ROUNDUP(MONTH(B1451)/3,0)</f>
        <v>الربع 3</v>
      </c>
      <c r="S1451" s="40" t="str">
        <f aca="false">IF(D1451&lt;=12,"أطفال (0-12)",IF(D1451&lt;=24,"شباب (13-24)",IF(D1451&lt;=44,"بالغون (25-44)",IF(D1451&lt;=64,"متوسطو العمر (45-64)","كبار السن (+65)"))))</f>
        <v>بالغون (25-44)</v>
      </c>
      <c r="T1451" s="41" t="n">
        <f aca="false">IFERROR(L1451/P1451,0)</f>
        <v>1373.82833333333</v>
      </c>
    </row>
    <row r="1452" customFormat="false" ht="15" hidden="false" customHeight="false" outlineLevel="0" collapsed="false">
      <c r="A1452" s="42" t="s">
        <v>879</v>
      </c>
      <c r="B1452" s="43" t="n">
        <v>45546</v>
      </c>
      <c r="C1452" s="43" t="n">
        <v>45547</v>
      </c>
      <c r="D1452" s="42" t="n">
        <v>27</v>
      </c>
      <c r="E1452" s="42" t="s">
        <v>139</v>
      </c>
      <c r="F1452" s="42" t="s">
        <v>149</v>
      </c>
      <c r="G1452" s="42" t="s">
        <v>224</v>
      </c>
      <c r="H1452" s="42" t="s">
        <v>151</v>
      </c>
      <c r="I1452" s="42" t="s">
        <v>143</v>
      </c>
      <c r="J1452" s="42" t="s">
        <v>159</v>
      </c>
      <c r="K1452" s="42" t="s">
        <v>145</v>
      </c>
      <c r="L1452" s="44" t="n">
        <v>1667.44</v>
      </c>
      <c r="M1452" s="42" t="n">
        <v>4</v>
      </c>
      <c r="N1452" s="42" t="s">
        <v>210</v>
      </c>
      <c r="O1452" s="42" t="s">
        <v>147</v>
      </c>
      <c r="P1452" s="39" t="n">
        <f aca="false">C1452-B1452</f>
        <v>1</v>
      </c>
      <c r="Q1452" s="40" t="str">
        <f aca="false">CHOOSE(MONTH(B1452),"يناير","فبراير","مارس","أبريل","مايو","يونيو","يوليو","أغسطس","سبتمبر","أكتوبر","نوفمبر","ديسمبر")</f>
        <v>سبتمبر</v>
      </c>
      <c r="R1452" s="40" t="str">
        <f aca="false">"الربع "&amp;ROUNDUP(MONTH(B1452)/3,0)</f>
        <v>الربع 3</v>
      </c>
      <c r="S1452" s="40" t="str">
        <f aca="false">IF(D1452&lt;=12,"أطفال (0-12)",IF(D1452&lt;=24,"شباب (13-24)",IF(D1452&lt;=44,"بالغون (25-44)",IF(D1452&lt;=64,"متوسطو العمر (45-64)","كبار السن (+65)"))))</f>
        <v>بالغون (25-44)</v>
      </c>
      <c r="T1452" s="41" t="n">
        <f aca="false">IFERROR(L1452/P1452,0)</f>
        <v>1667.44</v>
      </c>
    </row>
    <row r="1453" customFormat="false" ht="15" hidden="false" customHeight="false" outlineLevel="0" collapsed="false">
      <c r="A1453" s="33" t="s">
        <v>2301</v>
      </c>
      <c r="B1453" s="34" t="n">
        <v>45546</v>
      </c>
      <c r="C1453" s="34" t="n">
        <v>45550</v>
      </c>
      <c r="D1453" s="33" t="n">
        <v>72</v>
      </c>
      <c r="E1453" s="33" t="s">
        <v>154</v>
      </c>
      <c r="F1453" s="33" t="s">
        <v>169</v>
      </c>
      <c r="G1453" s="33" t="s">
        <v>170</v>
      </c>
      <c r="H1453" s="33" t="s">
        <v>195</v>
      </c>
      <c r="I1453" s="33" t="s">
        <v>143</v>
      </c>
      <c r="J1453" s="33" t="s">
        <v>159</v>
      </c>
      <c r="K1453" s="33" t="s">
        <v>145</v>
      </c>
      <c r="L1453" s="35" t="n">
        <v>4513.79</v>
      </c>
      <c r="M1453" s="33" t="n">
        <v>4</v>
      </c>
      <c r="N1453" s="33" t="s">
        <v>146</v>
      </c>
      <c r="O1453" s="33" t="s">
        <v>147</v>
      </c>
      <c r="P1453" s="39" t="n">
        <f aca="false">C1453-B1453</f>
        <v>4</v>
      </c>
      <c r="Q1453" s="40" t="str">
        <f aca="false">CHOOSE(MONTH(B1453),"يناير","فبراير","مارس","أبريل","مايو","يونيو","يوليو","أغسطس","سبتمبر","أكتوبر","نوفمبر","ديسمبر")</f>
        <v>سبتمبر</v>
      </c>
      <c r="R1453" s="40" t="str">
        <f aca="false">"الربع "&amp;ROUNDUP(MONTH(B1453)/3,0)</f>
        <v>الربع 3</v>
      </c>
      <c r="S1453" s="40" t="str">
        <f aca="false">IF(D1453&lt;=12,"أطفال (0-12)",IF(D1453&lt;=24,"شباب (13-24)",IF(D1453&lt;=44,"بالغون (25-44)",IF(D1453&lt;=64,"متوسطو العمر (45-64)","كبار السن (+65)"))))</f>
        <v>كبار السن (+65)</v>
      </c>
      <c r="T1453" s="41" t="n">
        <f aca="false">IFERROR(L1453/P1453,0)</f>
        <v>1128.4475</v>
      </c>
    </row>
    <row r="1454" customFormat="false" ht="15" hidden="false" customHeight="false" outlineLevel="0" collapsed="false">
      <c r="A1454" s="42" t="s">
        <v>2045</v>
      </c>
      <c r="B1454" s="43" t="n">
        <v>45547</v>
      </c>
      <c r="C1454" s="43" t="n">
        <v>45549</v>
      </c>
      <c r="D1454" s="42" t="n">
        <v>57</v>
      </c>
      <c r="E1454" s="42" t="s">
        <v>154</v>
      </c>
      <c r="F1454" s="42" t="s">
        <v>203</v>
      </c>
      <c r="G1454" s="42" t="s">
        <v>217</v>
      </c>
      <c r="H1454" s="42" t="s">
        <v>193</v>
      </c>
      <c r="I1454" s="42" t="s">
        <v>143</v>
      </c>
      <c r="J1454" s="42" t="s">
        <v>159</v>
      </c>
      <c r="K1454" s="42" t="s">
        <v>145</v>
      </c>
      <c r="L1454" s="44" t="n">
        <v>2042.86</v>
      </c>
      <c r="M1454" s="42" t="n">
        <v>3</v>
      </c>
      <c r="N1454" s="42" t="s">
        <v>146</v>
      </c>
      <c r="O1454" s="42" t="s">
        <v>147</v>
      </c>
      <c r="P1454" s="39" t="n">
        <f aca="false">C1454-B1454</f>
        <v>2</v>
      </c>
      <c r="Q1454" s="40" t="str">
        <f aca="false">CHOOSE(MONTH(B1454),"يناير","فبراير","مارس","أبريل","مايو","يونيو","يوليو","أغسطس","سبتمبر","أكتوبر","نوفمبر","ديسمبر")</f>
        <v>سبتمبر</v>
      </c>
      <c r="R1454" s="40" t="str">
        <f aca="false">"الربع "&amp;ROUNDUP(MONTH(B1454)/3,0)</f>
        <v>الربع 3</v>
      </c>
      <c r="S1454" s="40" t="str">
        <f aca="false">IF(D1454&lt;=12,"أطفال (0-12)",IF(D1454&lt;=24,"شباب (13-24)",IF(D1454&lt;=44,"بالغون (25-44)",IF(D1454&lt;=64,"متوسطو العمر (45-64)","كبار السن (+65)"))))</f>
        <v>متوسطو العمر (45-64)</v>
      </c>
      <c r="T1454" s="41" t="n">
        <f aca="false">IFERROR(L1454/P1454,0)</f>
        <v>1021.43</v>
      </c>
    </row>
    <row r="1455" customFormat="false" ht="15" hidden="false" customHeight="false" outlineLevel="0" collapsed="false">
      <c r="A1455" s="33" t="s">
        <v>1499</v>
      </c>
      <c r="B1455" s="34" t="n">
        <v>45547</v>
      </c>
      <c r="C1455" s="34" t="n">
        <v>45555</v>
      </c>
      <c r="D1455" s="33" t="n">
        <v>4</v>
      </c>
      <c r="E1455" s="33" t="s">
        <v>154</v>
      </c>
      <c r="F1455" s="33" t="s">
        <v>155</v>
      </c>
      <c r="G1455" s="33" t="s">
        <v>156</v>
      </c>
      <c r="H1455" s="33" t="s">
        <v>157</v>
      </c>
      <c r="I1455" s="33" t="s">
        <v>152</v>
      </c>
      <c r="J1455" s="33" t="s">
        <v>144</v>
      </c>
      <c r="K1455" s="33" t="s">
        <v>145</v>
      </c>
      <c r="L1455" s="35" t="n">
        <v>10575.35</v>
      </c>
      <c r="M1455" s="33" t="n">
        <v>4</v>
      </c>
      <c r="N1455" s="33" t="s">
        <v>146</v>
      </c>
      <c r="O1455" s="33" t="s">
        <v>147</v>
      </c>
      <c r="P1455" s="39" t="n">
        <f aca="false">C1455-B1455</f>
        <v>8</v>
      </c>
      <c r="Q1455" s="40" t="str">
        <f aca="false">CHOOSE(MONTH(B1455),"يناير","فبراير","مارس","أبريل","مايو","يونيو","يوليو","أغسطس","سبتمبر","أكتوبر","نوفمبر","ديسمبر")</f>
        <v>سبتمبر</v>
      </c>
      <c r="R1455" s="40" t="str">
        <f aca="false">"الربع "&amp;ROUNDUP(MONTH(B1455)/3,0)</f>
        <v>الربع 3</v>
      </c>
      <c r="S1455" s="40" t="str">
        <f aca="false">IF(D1455&lt;=12,"أطفال (0-12)",IF(D1455&lt;=24,"شباب (13-24)",IF(D1455&lt;=44,"بالغون (25-44)",IF(D1455&lt;=64,"متوسطو العمر (45-64)","كبار السن (+65)"))))</f>
        <v>أطفال (0-12)</v>
      </c>
      <c r="T1455" s="41" t="n">
        <f aca="false">IFERROR(L1455/P1455,0)</f>
        <v>1321.91875</v>
      </c>
    </row>
    <row r="1456" customFormat="false" ht="15" hidden="false" customHeight="false" outlineLevel="0" collapsed="false">
      <c r="A1456" s="42" t="s">
        <v>270</v>
      </c>
      <c r="B1456" s="43" t="n">
        <v>45547</v>
      </c>
      <c r="C1456" s="43" t="n">
        <v>45551</v>
      </c>
      <c r="D1456" s="42" t="n">
        <v>2</v>
      </c>
      <c r="E1456" s="42" t="s">
        <v>154</v>
      </c>
      <c r="F1456" s="42" t="s">
        <v>155</v>
      </c>
      <c r="G1456" s="42" t="s">
        <v>156</v>
      </c>
      <c r="H1456" s="42" t="s">
        <v>222</v>
      </c>
      <c r="I1456" s="42" t="s">
        <v>143</v>
      </c>
      <c r="J1456" s="42" t="s">
        <v>144</v>
      </c>
      <c r="K1456" s="42" t="s">
        <v>184</v>
      </c>
      <c r="L1456" s="44" t="n">
        <v>5273.79</v>
      </c>
      <c r="M1456" s="42" t="n">
        <v>4</v>
      </c>
      <c r="N1456" s="42" t="s">
        <v>146</v>
      </c>
      <c r="O1456" s="42" t="s">
        <v>147</v>
      </c>
      <c r="P1456" s="39" t="n">
        <f aca="false">C1456-B1456</f>
        <v>4</v>
      </c>
      <c r="Q1456" s="40" t="str">
        <f aca="false">CHOOSE(MONTH(B1456),"يناير","فبراير","مارس","أبريل","مايو","يونيو","يوليو","أغسطس","سبتمبر","أكتوبر","نوفمبر","ديسمبر")</f>
        <v>سبتمبر</v>
      </c>
      <c r="R1456" s="40" t="str">
        <f aca="false">"الربع "&amp;ROUNDUP(MONTH(B1456)/3,0)</f>
        <v>الربع 3</v>
      </c>
      <c r="S1456" s="40" t="str">
        <f aca="false">IF(D1456&lt;=12,"أطفال (0-12)",IF(D1456&lt;=24,"شباب (13-24)",IF(D1456&lt;=44,"بالغون (25-44)",IF(D1456&lt;=64,"متوسطو العمر (45-64)","كبار السن (+65)"))))</f>
        <v>أطفال (0-12)</v>
      </c>
      <c r="T1456" s="41" t="n">
        <f aca="false">IFERROR(L1456/P1456,0)</f>
        <v>1318.4475</v>
      </c>
    </row>
    <row r="1457" customFormat="false" ht="15" hidden="false" customHeight="false" outlineLevel="0" collapsed="false">
      <c r="A1457" s="33" t="s">
        <v>1814</v>
      </c>
      <c r="B1457" s="34" t="n">
        <v>45547</v>
      </c>
      <c r="C1457" s="34" t="n">
        <v>45548</v>
      </c>
      <c r="D1457" s="33" t="n">
        <v>26</v>
      </c>
      <c r="E1457" s="33" t="s">
        <v>139</v>
      </c>
      <c r="F1457" s="33" t="s">
        <v>203</v>
      </c>
      <c r="G1457" s="33" t="s">
        <v>241</v>
      </c>
      <c r="H1457" s="33" t="s">
        <v>233</v>
      </c>
      <c r="I1457" s="33" t="s">
        <v>143</v>
      </c>
      <c r="J1457" s="33" t="s">
        <v>144</v>
      </c>
      <c r="K1457" s="33" t="s">
        <v>184</v>
      </c>
      <c r="L1457" s="35" t="n">
        <v>1357.59</v>
      </c>
      <c r="M1457" s="33" t="n">
        <v>4</v>
      </c>
      <c r="N1457" s="33" t="s">
        <v>146</v>
      </c>
      <c r="O1457" s="33" t="s">
        <v>147</v>
      </c>
      <c r="P1457" s="39" t="n">
        <f aca="false">C1457-B1457</f>
        <v>1</v>
      </c>
      <c r="Q1457" s="40" t="str">
        <f aca="false">CHOOSE(MONTH(B1457),"يناير","فبراير","مارس","أبريل","مايو","يونيو","يوليو","أغسطس","سبتمبر","أكتوبر","نوفمبر","ديسمبر")</f>
        <v>سبتمبر</v>
      </c>
      <c r="R1457" s="40" t="str">
        <f aca="false">"الربع "&amp;ROUNDUP(MONTH(B1457)/3,0)</f>
        <v>الربع 3</v>
      </c>
      <c r="S1457" s="40" t="str">
        <f aca="false">IF(D1457&lt;=12,"أطفال (0-12)",IF(D1457&lt;=24,"شباب (13-24)",IF(D1457&lt;=44,"بالغون (25-44)",IF(D1457&lt;=64,"متوسطو العمر (45-64)","كبار السن (+65)"))))</f>
        <v>بالغون (25-44)</v>
      </c>
      <c r="T1457" s="41" t="n">
        <f aca="false">IFERROR(L1457/P1457,0)</f>
        <v>1357.59</v>
      </c>
    </row>
    <row r="1458" customFormat="false" ht="15" hidden="false" customHeight="false" outlineLevel="0" collapsed="false">
      <c r="A1458" s="42" t="s">
        <v>1397</v>
      </c>
      <c r="B1458" s="43" t="n">
        <v>45547</v>
      </c>
      <c r="C1458" s="43" t="n">
        <v>45552</v>
      </c>
      <c r="D1458" s="42" t="n">
        <v>44</v>
      </c>
      <c r="E1458" s="42" t="s">
        <v>139</v>
      </c>
      <c r="F1458" s="42" t="s">
        <v>169</v>
      </c>
      <c r="G1458" s="42" t="s">
        <v>163</v>
      </c>
      <c r="H1458" s="42" t="s">
        <v>164</v>
      </c>
      <c r="I1458" s="42" t="s">
        <v>152</v>
      </c>
      <c r="J1458" s="42" t="s">
        <v>159</v>
      </c>
      <c r="K1458" s="42" t="s">
        <v>145</v>
      </c>
      <c r="L1458" s="44" t="n">
        <v>6374.03</v>
      </c>
      <c r="M1458" s="42" t="n">
        <v>3</v>
      </c>
      <c r="N1458" s="42" t="s">
        <v>146</v>
      </c>
      <c r="O1458" s="42" t="s">
        <v>147</v>
      </c>
      <c r="P1458" s="39" t="n">
        <f aca="false">C1458-B1458</f>
        <v>5</v>
      </c>
      <c r="Q1458" s="40" t="str">
        <f aca="false">CHOOSE(MONTH(B1458),"يناير","فبراير","مارس","أبريل","مايو","يونيو","يوليو","أغسطس","سبتمبر","أكتوبر","نوفمبر","ديسمبر")</f>
        <v>سبتمبر</v>
      </c>
      <c r="R1458" s="40" t="str">
        <f aca="false">"الربع "&amp;ROUNDUP(MONTH(B1458)/3,0)</f>
        <v>الربع 3</v>
      </c>
      <c r="S1458" s="40" t="str">
        <f aca="false">IF(D1458&lt;=12,"أطفال (0-12)",IF(D1458&lt;=24,"شباب (13-24)",IF(D1458&lt;=44,"بالغون (25-44)",IF(D1458&lt;=64,"متوسطو العمر (45-64)","كبار السن (+65)"))))</f>
        <v>بالغون (25-44)</v>
      </c>
      <c r="T1458" s="41" t="n">
        <f aca="false">IFERROR(L1458/P1458,0)</f>
        <v>1274.806</v>
      </c>
    </row>
    <row r="1459" customFormat="false" ht="15" hidden="false" customHeight="false" outlineLevel="0" collapsed="false">
      <c r="A1459" s="33" t="s">
        <v>1558</v>
      </c>
      <c r="B1459" s="34" t="n">
        <v>45548</v>
      </c>
      <c r="C1459" s="34" t="n">
        <v>45549</v>
      </c>
      <c r="D1459" s="33" t="n">
        <v>34</v>
      </c>
      <c r="E1459" s="33" t="s">
        <v>154</v>
      </c>
      <c r="F1459" s="33" t="s">
        <v>203</v>
      </c>
      <c r="G1459" s="33" t="s">
        <v>217</v>
      </c>
      <c r="H1459" s="33" t="s">
        <v>2322</v>
      </c>
      <c r="I1459" s="33" t="s">
        <v>143</v>
      </c>
      <c r="J1459" s="33" t="s">
        <v>144</v>
      </c>
      <c r="K1459" s="33" t="s">
        <v>145</v>
      </c>
      <c r="L1459" s="35" t="n">
        <v>1483.66</v>
      </c>
      <c r="M1459" s="33" t="n">
        <v>3</v>
      </c>
      <c r="N1459" s="33" t="s">
        <v>146</v>
      </c>
      <c r="O1459" s="33" t="s">
        <v>147</v>
      </c>
      <c r="P1459" s="39" t="n">
        <f aca="false">C1459-B1459</f>
        <v>1</v>
      </c>
      <c r="Q1459" s="40" t="str">
        <f aca="false">CHOOSE(MONTH(B1459),"يناير","فبراير","مارس","أبريل","مايو","يونيو","يوليو","أغسطس","سبتمبر","أكتوبر","نوفمبر","ديسمبر")</f>
        <v>سبتمبر</v>
      </c>
      <c r="R1459" s="40" t="str">
        <f aca="false">"الربع "&amp;ROUNDUP(MONTH(B1459)/3,0)</f>
        <v>الربع 3</v>
      </c>
      <c r="S1459" s="40" t="str">
        <f aca="false">IF(D1459&lt;=12,"أطفال (0-12)",IF(D1459&lt;=24,"شباب (13-24)",IF(D1459&lt;=44,"بالغون (25-44)",IF(D1459&lt;=64,"متوسطو العمر (45-64)","كبار السن (+65)"))))</f>
        <v>بالغون (25-44)</v>
      </c>
      <c r="T1459" s="41" t="n">
        <f aca="false">IFERROR(L1459/P1459,0)</f>
        <v>1483.66</v>
      </c>
    </row>
    <row r="1460" customFormat="false" ht="15" hidden="false" customHeight="false" outlineLevel="0" collapsed="false">
      <c r="A1460" s="42" t="s">
        <v>2190</v>
      </c>
      <c r="B1460" s="43" t="n">
        <v>45548</v>
      </c>
      <c r="C1460" s="43" t="n">
        <v>45549</v>
      </c>
      <c r="D1460" s="42" t="n">
        <v>11</v>
      </c>
      <c r="E1460" s="42" t="s">
        <v>154</v>
      </c>
      <c r="F1460" s="42" t="s">
        <v>155</v>
      </c>
      <c r="G1460" s="42" t="s">
        <v>302</v>
      </c>
      <c r="H1460" s="42" t="s">
        <v>222</v>
      </c>
      <c r="I1460" s="42" t="s">
        <v>152</v>
      </c>
      <c r="J1460" s="42" t="s">
        <v>159</v>
      </c>
      <c r="K1460" s="42" t="s">
        <v>160</v>
      </c>
      <c r="L1460" s="44" t="n">
        <v>900.63</v>
      </c>
      <c r="M1460" s="42" t="n">
        <v>4</v>
      </c>
      <c r="N1460" s="42" t="s">
        <v>146</v>
      </c>
      <c r="O1460" s="42" t="s">
        <v>147</v>
      </c>
      <c r="P1460" s="39" t="n">
        <f aca="false">C1460-B1460</f>
        <v>1</v>
      </c>
      <c r="Q1460" s="40" t="str">
        <f aca="false">CHOOSE(MONTH(B1460),"يناير","فبراير","مارس","أبريل","مايو","يونيو","يوليو","أغسطس","سبتمبر","أكتوبر","نوفمبر","ديسمبر")</f>
        <v>سبتمبر</v>
      </c>
      <c r="R1460" s="40" t="str">
        <f aca="false">"الربع "&amp;ROUNDUP(MONTH(B1460)/3,0)</f>
        <v>الربع 3</v>
      </c>
      <c r="S1460" s="40" t="str">
        <f aca="false">IF(D1460&lt;=12,"أطفال (0-12)",IF(D1460&lt;=24,"شباب (13-24)",IF(D1460&lt;=44,"بالغون (25-44)",IF(D1460&lt;=64,"متوسطو العمر (45-64)","كبار السن (+65)"))))</f>
        <v>أطفال (0-12)</v>
      </c>
      <c r="T1460" s="41" t="n">
        <f aca="false">IFERROR(L1460/P1460,0)</f>
        <v>900.63</v>
      </c>
    </row>
    <row r="1461" customFormat="false" ht="15" hidden="false" customHeight="false" outlineLevel="0" collapsed="false">
      <c r="A1461" s="33" t="s">
        <v>512</v>
      </c>
      <c r="B1461" s="34" t="n">
        <v>45548</v>
      </c>
      <c r="C1461" s="34" t="n">
        <v>45553</v>
      </c>
      <c r="D1461" s="33" t="n">
        <v>53</v>
      </c>
      <c r="E1461" s="33" t="s">
        <v>154</v>
      </c>
      <c r="F1461" s="33" t="s">
        <v>140</v>
      </c>
      <c r="G1461" s="33" t="s">
        <v>167</v>
      </c>
      <c r="H1461" s="33" t="s">
        <v>290</v>
      </c>
      <c r="I1461" s="33" t="s">
        <v>143</v>
      </c>
      <c r="J1461" s="33" t="s">
        <v>176</v>
      </c>
      <c r="K1461" s="33" t="s">
        <v>145</v>
      </c>
      <c r="L1461" s="35" t="n">
        <v>40109.3</v>
      </c>
      <c r="M1461" s="33" t="n">
        <v>5</v>
      </c>
      <c r="N1461" s="33" t="s">
        <v>146</v>
      </c>
      <c r="O1461" s="33" t="s">
        <v>147</v>
      </c>
      <c r="P1461" s="39" t="n">
        <f aca="false">C1461-B1461</f>
        <v>5</v>
      </c>
      <c r="Q1461" s="40" t="str">
        <f aca="false">CHOOSE(MONTH(B1461),"يناير","فبراير","مارس","أبريل","مايو","يونيو","يوليو","أغسطس","سبتمبر","أكتوبر","نوفمبر","ديسمبر")</f>
        <v>سبتمبر</v>
      </c>
      <c r="R1461" s="40" t="str">
        <f aca="false">"الربع "&amp;ROUNDUP(MONTH(B1461)/3,0)</f>
        <v>الربع 3</v>
      </c>
      <c r="S1461" s="40" t="str">
        <f aca="false">IF(D1461&lt;=12,"أطفال (0-12)",IF(D1461&lt;=24,"شباب (13-24)",IF(D1461&lt;=44,"بالغون (25-44)",IF(D1461&lt;=64,"متوسطو العمر (45-64)","كبار السن (+65)"))))</f>
        <v>متوسطو العمر (45-64)</v>
      </c>
      <c r="T1461" s="41" t="n">
        <f aca="false">IFERROR(L1461/P1461,0)</f>
        <v>8021.86</v>
      </c>
    </row>
    <row r="1462" customFormat="false" ht="15" hidden="false" customHeight="false" outlineLevel="0" collapsed="false">
      <c r="A1462" s="42" t="s">
        <v>332</v>
      </c>
      <c r="B1462" s="43" t="n">
        <v>45548</v>
      </c>
      <c r="C1462" s="43" t="n">
        <v>45555</v>
      </c>
      <c r="D1462" s="42" t="n">
        <v>43</v>
      </c>
      <c r="E1462" s="42" t="s">
        <v>154</v>
      </c>
      <c r="F1462" s="42" t="s">
        <v>169</v>
      </c>
      <c r="G1462" s="42" t="s">
        <v>163</v>
      </c>
      <c r="H1462" s="42" t="s">
        <v>171</v>
      </c>
      <c r="I1462" s="42" t="s">
        <v>143</v>
      </c>
      <c r="J1462" s="42" t="s">
        <v>159</v>
      </c>
      <c r="K1462" s="42" t="s">
        <v>145</v>
      </c>
      <c r="L1462" s="44" t="n">
        <v>7307.82</v>
      </c>
      <c r="M1462" s="42" t="n">
        <v>4</v>
      </c>
      <c r="N1462" s="42" t="s">
        <v>146</v>
      </c>
      <c r="O1462" s="42" t="s">
        <v>147</v>
      </c>
      <c r="P1462" s="39" t="n">
        <f aca="false">C1462-B1462</f>
        <v>7</v>
      </c>
      <c r="Q1462" s="40" t="str">
        <f aca="false">CHOOSE(MONTH(B1462),"يناير","فبراير","مارس","أبريل","مايو","يونيو","يوليو","أغسطس","سبتمبر","أكتوبر","نوفمبر","ديسمبر")</f>
        <v>سبتمبر</v>
      </c>
      <c r="R1462" s="40" t="str">
        <f aca="false">"الربع "&amp;ROUNDUP(MONTH(B1462)/3,0)</f>
        <v>الربع 3</v>
      </c>
      <c r="S1462" s="40" t="str">
        <f aca="false">IF(D1462&lt;=12,"أطفال (0-12)",IF(D1462&lt;=24,"شباب (13-24)",IF(D1462&lt;=44,"بالغون (25-44)",IF(D1462&lt;=64,"متوسطو العمر (45-64)","كبار السن (+65)"))))</f>
        <v>بالغون (25-44)</v>
      </c>
      <c r="T1462" s="41" t="n">
        <f aca="false">IFERROR(L1462/P1462,0)</f>
        <v>1043.97428571429</v>
      </c>
    </row>
    <row r="1463" customFormat="false" ht="15" hidden="false" customHeight="false" outlineLevel="0" collapsed="false">
      <c r="A1463" s="33" t="s">
        <v>1242</v>
      </c>
      <c r="B1463" s="34" t="n">
        <v>45548</v>
      </c>
      <c r="C1463" s="34" t="n">
        <v>45549</v>
      </c>
      <c r="D1463" s="33" t="n">
        <v>50</v>
      </c>
      <c r="E1463" s="33" t="s">
        <v>154</v>
      </c>
      <c r="F1463" s="33" t="s">
        <v>181</v>
      </c>
      <c r="G1463" s="33" t="s">
        <v>237</v>
      </c>
      <c r="H1463" s="33" t="s">
        <v>245</v>
      </c>
      <c r="I1463" s="33" t="s">
        <v>152</v>
      </c>
      <c r="J1463" s="33" t="s">
        <v>159</v>
      </c>
      <c r="K1463" s="33" t="s">
        <v>160</v>
      </c>
      <c r="L1463" s="35" t="n">
        <v>1966.19</v>
      </c>
      <c r="M1463" s="33" t="n">
        <v>4</v>
      </c>
      <c r="N1463" s="33" t="s">
        <v>210</v>
      </c>
      <c r="O1463" s="33" t="s">
        <v>147</v>
      </c>
      <c r="P1463" s="39" t="n">
        <f aca="false">C1463-B1463</f>
        <v>1</v>
      </c>
      <c r="Q1463" s="40" t="str">
        <f aca="false">CHOOSE(MONTH(B1463),"يناير","فبراير","مارس","أبريل","مايو","يونيو","يوليو","أغسطس","سبتمبر","أكتوبر","نوفمبر","ديسمبر")</f>
        <v>سبتمبر</v>
      </c>
      <c r="R1463" s="40" t="str">
        <f aca="false">"الربع "&amp;ROUNDUP(MONTH(B1463)/3,0)</f>
        <v>الربع 3</v>
      </c>
      <c r="S1463" s="40" t="str">
        <f aca="false">IF(D1463&lt;=12,"أطفال (0-12)",IF(D1463&lt;=24,"شباب (13-24)",IF(D1463&lt;=44,"بالغون (25-44)",IF(D1463&lt;=64,"متوسطو العمر (45-64)","كبار السن (+65)"))))</f>
        <v>متوسطو العمر (45-64)</v>
      </c>
      <c r="T1463" s="41" t="n">
        <f aca="false">IFERROR(L1463/P1463,0)</f>
        <v>1966.19</v>
      </c>
    </row>
    <row r="1464" customFormat="false" ht="15" hidden="false" customHeight="false" outlineLevel="0" collapsed="false">
      <c r="A1464" s="42" t="s">
        <v>1483</v>
      </c>
      <c r="B1464" s="43" t="n">
        <v>45548</v>
      </c>
      <c r="C1464" s="43" t="n">
        <v>45553</v>
      </c>
      <c r="D1464" s="42" t="n">
        <v>5</v>
      </c>
      <c r="E1464" s="42" t="s">
        <v>139</v>
      </c>
      <c r="F1464" s="42" t="s">
        <v>155</v>
      </c>
      <c r="G1464" s="42" t="s">
        <v>302</v>
      </c>
      <c r="H1464" s="42" t="s">
        <v>157</v>
      </c>
      <c r="I1464" s="42" t="s">
        <v>143</v>
      </c>
      <c r="J1464" s="42" t="s">
        <v>159</v>
      </c>
      <c r="K1464" s="42" t="s">
        <v>160</v>
      </c>
      <c r="L1464" s="44" t="n">
        <v>4303.35</v>
      </c>
      <c r="M1464" s="42" t="n">
        <v>5</v>
      </c>
      <c r="N1464" s="42" t="s">
        <v>146</v>
      </c>
      <c r="O1464" s="42" t="s">
        <v>147</v>
      </c>
      <c r="P1464" s="39" t="n">
        <f aca="false">C1464-B1464</f>
        <v>5</v>
      </c>
      <c r="Q1464" s="40" t="str">
        <f aca="false">CHOOSE(MONTH(B1464),"يناير","فبراير","مارس","أبريل","مايو","يونيو","يوليو","أغسطس","سبتمبر","أكتوبر","نوفمبر","ديسمبر")</f>
        <v>سبتمبر</v>
      </c>
      <c r="R1464" s="40" t="str">
        <f aca="false">"الربع "&amp;ROUNDUP(MONTH(B1464)/3,0)</f>
        <v>الربع 3</v>
      </c>
      <c r="S1464" s="40" t="str">
        <f aca="false">IF(D1464&lt;=12,"أطفال (0-12)",IF(D1464&lt;=24,"شباب (13-24)",IF(D1464&lt;=44,"بالغون (25-44)",IF(D1464&lt;=64,"متوسطو العمر (45-64)","كبار السن (+65)"))))</f>
        <v>أطفال (0-12)</v>
      </c>
      <c r="T1464" s="41" t="n">
        <f aca="false">IFERROR(L1464/P1464,0)</f>
        <v>860.67</v>
      </c>
    </row>
    <row r="1465" customFormat="false" ht="15" hidden="false" customHeight="false" outlineLevel="0" collapsed="false">
      <c r="A1465" s="33" t="s">
        <v>1163</v>
      </c>
      <c r="B1465" s="34" t="n">
        <v>45548</v>
      </c>
      <c r="C1465" s="34" t="n">
        <v>45563</v>
      </c>
      <c r="D1465" s="33" t="n">
        <v>37</v>
      </c>
      <c r="E1465" s="33" t="s">
        <v>154</v>
      </c>
      <c r="F1465" s="33" t="s">
        <v>181</v>
      </c>
      <c r="G1465" s="33" t="s">
        <v>182</v>
      </c>
      <c r="H1465" s="33" t="s">
        <v>183</v>
      </c>
      <c r="I1465" s="33" t="s">
        <v>158</v>
      </c>
      <c r="J1465" s="33" t="s">
        <v>159</v>
      </c>
      <c r="K1465" s="33" t="s">
        <v>145</v>
      </c>
      <c r="L1465" s="35" t="n">
        <v>37596.39</v>
      </c>
      <c r="M1465" s="33" t="n">
        <v>4</v>
      </c>
      <c r="N1465" s="33" t="s">
        <v>146</v>
      </c>
      <c r="O1465" s="33" t="s">
        <v>147</v>
      </c>
      <c r="P1465" s="39" t="n">
        <f aca="false">C1465-B1465</f>
        <v>15</v>
      </c>
      <c r="Q1465" s="40" t="str">
        <f aca="false">CHOOSE(MONTH(B1465),"يناير","فبراير","مارس","أبريل","مايو","يونيو","يوليو","أغسطس","سبتمبر","أكتوبر","نوفمبر","ديسمبر")</f>
        <v>سبتمبر</v>
      </c>
      <c r="R1465" s="40" t="str">
        <f aca="false">"الربع "&amp;ROUNDUP(MONTH(B1465)/3,0)</f>
        <v>الربع 3</v>
      </c>
      <c r="S1465" s="40" t="str">
        <f aca="false">IF(D1465&lt;=12,"أطفال (0-12)",IF(D1465&lt;=24,"شباب (13-24)",IF(D1465&lt;=44,"بالغون (25-44)",IF(D1465&lt;=64,"متوسطو العمر (45-64)","كبار السن (+65)"))))</f>
        <v>بالغون (25-44)</v>
      </c>
      <c r="T1465" s="41" t="n">
        <f aca="false">IFERROR(L1465/P1465,0)</f>
        <v>2506.426</v>
      </c>
    </row>
    <row r="1466" customFormat="false" ht="15" hidden="false" customHeight="false" outlineLevel="0" collapsed="false">
      <c r="A1466" s="42" t="s">
        <v>2278</v>
      </c>
      <c r="B1466" s="43" t="n">
        <v>45548</v>
      </c>
      <c r="C1466" s="43" t="n">
        <v>45552</v>
      </c>
      <c r="D1466" s="42" t="n">
        <v>45</v>
      </c>
      <c r="E1466" s="42" t="s">
        <v>139</v>
      </c>
      <c r="F1466" s="42" t="s">
        <v>169</v>
      </c>
      <c r="G1466" s="42" t="s">
        <v>163</v>
      </c>
      <c r="H1466" s="42" t="s">
        <v>171</v>
      </c>
      <c r="I1466" s="42" t="s">
        <v>152</v>
      </c>
      <c r="J1466" s="42" t="s">
        <v>144</v>
      </c>
      <c r="K1466" s="42" t="s">
        <v>160</v>
      </c>
      <c r="L1466" s="44" t="n">
        <v>7921.66</v>
      </c>
      <c r="M1466" s="42" t="n">
        <v>4</v>
      </c>
      <c r="N1466" s="42" t="s">
        <v>146</v>
      </c>
      <c r="O1466" s="42" t="s">
        <v>147</v>
      </c>
      <c r="P1466" s="39" t="n">
        <f aca="false">C1466-B1466</f>
        <v>4</v>
      </c>
      <c r="Q1466" s="40" t="str">
        <f aca="false">CHOOSE(MONTH(B1466),"يناير","فبراير","مارس","أبريل","مايو","يونيو","يوليو","أغسطس","سبتمبر","أكتوبر","نوفمبر","ديسمبر")</f>
        <v>سبتمبر</v>
      </c>
      <c r="R1466" s="40" t="str">
        <f aca="false">"الربع "&amp;ROUNDUP(MONTH(B1466)/3,0)</f>
        <v>الربع 3</v>
      </c>
      <c r="S1466" s="40" t="str">
        <f aca="false">IF(D1466&lt;=12,"أطفال (0-12)",IF(D1466&lt;=24,"شباب (13-24)",IF(D1466&lt;=44,"بالغون (25-44)",IF(D1466&lt;=64,"متوسطو العمر (45-64)","كبار السن (+65)"))))</f>
        <v>متوسطو العمر (45-64)</v>
      </c>
      <c r="T1466" s="41" t="n">
        <f aca="false">IFERROR(L1466/P1466,0)</f>
        <v>1980.415</v>
      </c>
    </row>
    <row r="1467" customFormat="false" ht="15" hidden="false" customHeight="false" outlineLevel="0" collapsed="false">
      <c r="A1467" s="33" t="s">
        <v>701</v>
      </c>
      <c r="B1467" s="34" t="n">
        <v>45548</v>
      </c>
      <c r="C1467" s="34" t="n">
        <v>45551</v>
      </c>
      <c r="D1467" s="33" t="n">
        <v>38</v>
      </c>
      <c r="E1467" s="33" t="s">
        <v>154</v>
      </c>
      <c r="F1467" s="33" t="s">
        <v>226</v>
      </c>
      <c r="G1467" s="33" t="s">
        <v>386</v>
      </c>
      <c r="H1467" s="33" t="s">
        <v>263</v>
      </c>
      <c r="I1467" s="33" t="s">
        <v>152</v>
      </c>
      <c r="J1467" s="33" t="s">
        <v>176</v>
      </c>
      <c r="K1467" s="33" t="s">
        <v>209</v>
      </c>
      <c r="L1467" s="35" t="n">
        <v>32068.89</v>
      </c>
      <c r="M1467" s="33" t="n">
        <v>4</v>
      </c>
      <c r="N1467" s="33" t="s">
        <v>146</v>
      </c>
      <c r="O1467" s="33" t="s">
        <v>147</v>
      </c>
      <c r="P1467" s="39" t="n">
        <f aca="false">C1467-B1467</f>
        <v>3</v>
      </c>
      <c r="Q1467" s="40" t="str">
        <f aca="false">CHOOSE(MONTH(B1467),"يناير","فبراير","مارس","أبريل","مايو","يونيو","يوليو","أغسطس","سبتمبر","أكتوبر","نوفمبر","ديسمبر")</f>
        <v>سبتمبر</v>
      </c>
      <c r="R1467" s="40" t="str">
        <f aca="false">"الربع "&amp;ROUNDUP(MONTH(B1467)/3,0)</f>
        <v>الربع 3</v>
      </c>
      <c r="S1467" s="40" t="str">
        <f aca="false">IF(D1467&lt;=12,"أطفال (0-12)",IF(D1467&lt;=24,"شباب (13-24)",IF(D1467&lt;=44,"بالغون (25-44)",IF(D1467&lt;=64,"متوسطو العمر (45-64)","كبار السن (+65)"))))</f>
        <v>بالغون (25-44)</v>
      </c>
      <c r="T1467" s="41" t="n">
        <f aca="false">IFERROR(L1467/P1467,0)</f>
        <v>10689.63</v>
      </c>
    </row>
    <row r="1468" customFormat="false" ht="15" hidden="false" customHeight="false" outlineLevel="0" collapsed="false">
      <c r="A1468" s="42" t="s">
        <v>1761</v>
      </c>
      <c r="B1468" s="43" t="n">
        <v>45549</v>
      </c>
      <c r="C1468" s="43" t="n">
        <v>45550</v>
      </c>
      <c r="D1468" s="42" t="n">
        <v>33</v>
      </c>
      <c r="E1468" s="42" t="s">
        <v>154</v>
      </c>
      <c r="F1468" s="42" t="s">
        <v>140</v>
      </c>
      <c r="G1468" s="42" t="s">
        <v>316</v>
      </c>
      <c r="H1468" s="42" t="s">
        <v>290</v>
      </c>
      <c r="I1468" s="42" t="s">
        <v>152</v>
      </c>
      <c r="J1468" s="42" t="s">
        <v>159</v>
      </c>
      <c r="K1468" s="42" t="s">
        <v>209</v>
      </c>
      <c r="L1468" s="44" t="n">
        <v>2799.33</v>
      </c>
      <c r="M1468" s="42" t="n">
        <v>4</v>
      </c>
      <c r="N1468" s="42" t="s">
        <v>146</v>
      </c>
      <c r="O1468" s="42" t="s">
        <v>147</v>
      </c>
      <c r="P1468" s="39" t="n">
        <f aca="false">C1468-B1468</f>
        <v>1</v>
      </c>
      <c r="Q1468" s="40" t="str">
        <f aca="false">CHOOSE(MONTH(B1468),"يناير","فبراير","مارس","أبريل","مايو","يونيو","يوليو","أغسطس","سبتمبر","أكتوبر","نوفمبر","ديسمبر")</f>
        <v>سبتمبر</v>
      </c>
      <c r="R1468" s="40" t="str">
        <f aca="false">"الربع "&amp;ROUNDUP(MONTH(B1468)/3,0)</f>
        <v>الربع 3</v>
      </c>
      <c r="S1468" s="40" t="str">
        <f aca="false">IF(D1468&lt;=12,"أطفال (0-12)",IF(D1468&lt;=24,"شباب (13-24)",IF(D1468&lt;=44,"بالغون (25-44)",IF(D1468&lt;=64,"متوسطو العمر (45-64)","كبار السن (+65)"))))</f>
        <v>بالغون (25-44)</v>
      </c>
      <c r="T1468" s="41" t="n">
        <f aca="false">IFERROR(L1468/P1468,0)</f>
        <v>2799.33</v>
      </c>
    </row>
    <row r="1469" customFormat="false" ht="15" hidden="false" customHeight="false" outlineLevel="0" collapsed="false">
      <c r="A1469" s="33" t="s">
        <v>656</v>
      </c>
      <c r="B1469" s="34" t="n">
        <v>45549</v>
      </c>
      <c r="C1469" s="34" t="n">
        <v>45550</v>
      </c>
      <c r="D1469" s="33" t="n">
        <v>47</v>
      </c>
      <c r="E1469" s="33" t="s">
        <v>154</v>
      </c>
      <c r="F1469" s="33" t="s">
        <v>203</v>
      </c>
      <c r="G1469" s="33" t="s">
        <v>192</v>
      </c>
      <c r="H1469" s="33" t="s">
        <v>233</v>
      </c>
      <c r="I1469" s="33" t="s">
        <v>143</v>
      </c>
      <c r="J1469" s="33" t="s">
        <v>159</v>
      </c>
      <c r="K1469" s="33" t="s">
        <v>209</v>
      </c>
      <c r="L1469" s="35" t="n">
        <v>768.82</v>
      </c>
      <c r="M1469" s="33" t="n">
        <v>2</v>
      </c>
      <c r="N1469" s="33" t="s">
        <v>210</v>
      </c>
      <c r="O1469" s="33" t="s">
        <v>147</v>
      </c>
      <c r="P1469" s="39" t="n">
        <f aca="false">C1469-B1469</f>
        <v>1</v>
      </c>
      <c r="Q1469" s="40" t="str">
        <f aca="false">CHOOSE(MONTH(B1469),"يناير","فبراير","مارس","أبريل","مايو","يونيو","يوليو","أغسطس","سبتمبر","أكتوبر","نوفمبر","ديسمبر")</f>
        <v>سبتمبر</v>
      </c>
      <c r="R1469" s="40" t="str">
        <f aca="false">"الربع "&amp;ROUNDUP(MONTH(B1469)/3,0)</f>
        <v>الربع 3</v>
      </c>
      <c r="S1469" s="40" t="str">
        <f aca="false">IF(D1469&lt;=12,"أطفال (0-12)",IF(D1469&lt;=24,"شباب (13-24)",IF(D1469&lt;=44,"بالغون (25-44)",IF(D1469&lt;=64,"متوسطو العمر (45-64)","كبار السن (+65)"))))</f>
        <v>متوسطو العمر (45-64)</v>
      </c>
      <c r="T1469" s="41" t="n">
        <f aca="false">IFERROR(L1469/P1469,0)</f>
        <v>768.82</v>
      </c>
    </row>
    <row r="1470" customFormat="false" ht="15" hidden="false" customHeight="false" outlineLevel="0" collapsed="false">
      <c r="A1470" s="42" t="s">
        <v>1518</v>
      </c>
      <c r="B1470" s="43" t="n">
        <v>45550</v>
      </c>
      <c r="C1470" s="43" t="n">
        <v>45553</v>
      </c>
      <c r="D1470" s="42" t="n">
        <v>65</v>
      </c>
      <c r="E1470" s="42" t="s">
        <v>154</v>
      </c>
      <c r="F1470" s="42" t="s">
        <v>226</v>
      </c>
      <c r="G1470" s="42" t="s">
        <v>386</v>
      </c>
      <c r="H1470" s="42" t="s">
        <v>263</v>
      </c>
      <c r="I1470" s="42" t="s">
        <v>152</v>
      </c>
      <c r="J1470" s="42" t="s">
        <v>159</v>
      </c>
      <c r="K1470" s="42" t="s">
        <v>145</v>
      </c>
      <c r="L1470" s="44" t="n">
        <v>10701.45</v>
      </c>
      <c r="M1470" s="42" t="n">
        <v>4</v>
      </c>
      <c r="N1470" s="42" t="s">
        <v>146</v>
      </c>
      <c r="O1470" s="42" t="s">
        <v>147</v>
      </c>
      <c r="P1470" s="39" t="n">
        <f aca="false">C1470-B1470</f>
        <v>3</v>
      </c>
      <c r="Q1470" s="40" t="str">
        <f aca="false">CHOOSE(MONTH(B1470),"يناير","فبراير","مارس","أبريل","مايو","يونيو","يوليو","أغسطس","سبتمبر","أكتوبر","نوفمبر","ديسمبر")</f>
        <v>سبتمبر</v>
      </c>
      <c r="R1470" s="40" t="str">
        <f aca="false">"الربع "&amp;ROUNDUP(MONTH(B1470)/3,0)</f>
        <v>الربع 3</v>
      </c>
      <c r="S1470" s="40" t="str">
        <f aca="false">IF(D1470&lt;=12,"أطفال (0-12)",IF(D1470&lt;=24,"شباب (13-24)",IF(D1470&lt;=44,"بالغون (25-44)",IF(D1470&lt;=64,"متوسطو العمر (45-64)","كبار السن (+65)"))))</f>
        <v>كبار السن (+65)</v>
      </c>
      <c r="T1470" s="41" t="n">
        <f aca="false">IFERROR(L1470/P1470,0)</f>
        <v>3567.15</v>
      </c>
    </row>
    <row r="1471" customFormat="false" ht="15" hidden="false" customHeight="false" outlineLevel="0" collapsed="false">
      <c r="A1471" s="33" t="s">
        <v>627</v>
      </c>
      <c r="B1471" s="34" t="n">
        <v>45550</v>
      </c>
      <c r="C1471" s="34" t="n">
        <v>45553</v>
      </c>
      <c r="D1471" s="33" t="n">
        <v>58</v>
      </c>
      <c r="E1471" s="33" t="s">
        <v>139</v>
      </c>
      <c r="F1471" s="33" t="s">
        <v>169</v>
      </c>
      <c r="G1471" s="33" t="s">
        <v>163</v>
      </c>
      <c r="H1471" s="33" t="s">
        <v>171</v>
      </c>
      <c r="I1471" s="33" t="s">
        <v>152</v>
      </c>
      <c r="J1471" s="33" t="s">
        <v>159</v>
      </c>
      <c r="K1471" s="33" t="s">
        <v>145</v>
      </c>
      <c r="L1471" s="35" t="n">
        <v>3339.97</v>
      </c>
      <c r="M1471" s="33" t="n">
        <v>5</v>
      </c>
      <c r="N1471" s="33" t="s">
        <v>146</v>
      </c>
      <c r="O1471" s="33" t="s">
        <v>147</v>
      </c>
      <c r="P1471" s="39" t="n">
        <f aca="false">C1471-B1471</f>
        <v>3</v>
      </c>
      <c r="Q1471" s="40" t="str">
        <f aca="false">CHOOSE(MONTH(B1471),"يناير","فبراير","مارس","أبريل","مايو","يونيو","يوليو","أغسطس","سبتمبر","أكتوبر","نوفمبر","ديسمبر")</f>
        <v>سبتمبر</v>
      </c>
      <c r="R1471" s="40" t="str">
        <f aca="false">"الربع "&amp;ROUNDUP(MONTH(B1471)/3,0)</f>
        <v>الربع 3</v>
      </c>
      <c r="S1471" s="40" t="str">
        <f aca="false">IF(D1471&lt;=12,"أطفال (0-12)",IF(D1471&lt;=24,"شباب (13-24)",IF(D1471&lt;=44,"بالغون (25-44)",IF(D1471&lt;=64,"متوسطو العمر (45-64)","كبار السن (+65)"))))</f>
        <v>متوسطو العمر (45-64)</v>
      </c>
      <c r="T1471" s="41" t="n">
        <f aca="false">IFERROR(L1471/P1471,0)</f>
        <v>1113.32333333333</v>
      </c>
    </row>
    <row r="1472" customFormat="false" ht="15" hidden="false" customHeight="false" outlineLevel="0" collapsed="false">
      <c r="A1472" s="42" t="s">
        <v>1514</v>
      </c>
      <c r="B1472" s="43" t="n">
        <v>45550</v>
      </c>
      <c r="C1472" s="43" t="n">
        <v>45551</v>
      </c>
      <c r="D1472" s="42" t="n">
        <v>84</v>
      </c>
      <c r="E1472" s="42" t="s">
        <v>154</v>
      </c>
      <c r="F1472" s="42" t="s">
        <v>203</v>
      </c>
      <c r="G1472" s="42" t="s">
        <v>241</v>
      </c>
      <c r="H1472" s="42" t="s">
        <v>193</v>
      </c>
      <c r="I1472" s="42" t="s">
        <v>143</v>
      </c>
      <c r="J1472" s="42" t="s">
        <v>159</v>
      </c>
      <c r="K1472" s="42" t="s">
        <v>184</v>
      </c>
      <c r="L1472" s="44" t="n">
        <v>814.68</v>
      </c>
      <c r="M1472" s="42" t="n">
        <v>2</v>
      </c>
      <c r="N1472" s="42" t="s">
        <v>146</v>
      </c>
      <c r="O1472" s="42" t="s">
        <v>147</v>
      </c>
      <c r="P1472" s="39" t="n">
        <f aca="false">C1472-B1472</f>
        <v>1</v>
      </c>
      <c r="Q1472" s="40" t="str">
        <f aca="false">CHOOSE(MONTH(B1472),"يناير","فبراير","مارس","أبريل","مايو","يونيو","يوليو","أغسطس","سبتمبر","أكتوبر","نوفمبر","ديسمبر")</f>
        <v>سبتمبر</v>
      </c>
      <c r="R1472" s="40" t="str">
        <f aca="false">"الربع "&amp;ROUNDUP(MONTH(B1472)/3,0)</f>
        <v>الربع 3</v>
      </c>
      <c r="S1472" s="40" t="str">
        <f aca="false">IF(D1472&lt;=12,"أطفال (0-12)",IF(D1472&lt;=24,"شباب (13-24)",IF(D1472&lt;=44,"بالغون (25-44)",IF(D1472&lt;=64,"متوسطو العمر (45-64)","كبار السن (+65)"))))</f>
        <v>كبار السن (+65)</v>
      </c>
      <c r="T1472" s="41" t="n">
        <f aca="false">IFERROR(L1472/P1472,0)</f>
        <v>814.68</v>
      </c>
    </row>
    <row r="1473" customFormat="false" ht="15" hidden="false" customHeight="false" outlineLevel="0" collapsed="false">
      <c r="A1473" s="33" t="s">
        <v>2006</v>
      </c>
      <c r="B1473" s="34" t="n">
        <v>45550</v>
      </c>
      <c r="C1473" s="34" t="n">
        <v>45555</v>
      </c>
      <c r="D1473" s="33" t="n">
        <v>66</v>
      </c>
      <c r="E1473" s="33" t="s">
        <v>139</v>
      </c>
      <c r="F1473" s="33" t="s">
        <v>181</v>
      </c>
      <c r="G1473" s="33" t="s">
        <v>182</v>
      </c>
      <c r="H1473" s="33" t="s">
        <v>183</v>
      </c>
      <c r="I1473" s="33" t="s">
        <v>152</v>
      </c>
      <c r="J1473" s="33" t="s">
        <v>159</v>
      </c>
      <c r="K1473" s="33" t="s">
        <v>145</v>
      </c>
      <c r="L1473" s="35" t="n">
        <v>9611.28</v>
      </c>
      <c r="M1473" s="33" t="n">
        <v>4</v>
      </c>
      <c r="N1473" s="33" t="s">
        <v>146</v>
      </c>
      <c r="O1473" s="33" t="s">
        <v>147</v>
      </c>
      <c r="P1473" s="39" t="n">
        <f aca="false">C1473-B1473</f>
        <v>5</v>
      </c>
      <c r="Q1473" s="40" t="str">
        <f aca="false">CHOOSE(MONTH(B1473),"يناير","فبراير","مارس","أبريل","مايو","يونيو","يوليو","أغسطس","سبتمبر","أكتوبر","نوفمبر","ديسمبر")</f>
        <v>سبتمبر</v>
      </c>
      <c r="R1473" s="40" t="str">
        <f aca="false">"الربع "&amp;ROUNDUP(MONTH(B1473)/3,0)</f>
        <v>الربع 3</v>
      </c>
      <c r="S1473" s="40" t="str">
        <f aca="false">IF(D1473&lt;=12,"أطفال (0-12)",IF(D1473&lt;=24,"شباب (13-24)",IF(D1473&lt;=44,"بالغون (25-44)",IF(D1473&lt;=64,"متوسطو العمر (45-64)","كبار السن (+65)"))))</f>
        <v>كبار السن (+65)</v>
      </c>
      <c r="T1473" s="41" t="n">
        <f aca="false">IFERROR(L1473/P1473,0)</f>
        <v>1922.256</v>
      </c>
    </row>
    <row r="1474" customFormat="false" ht="15" hidden="false" customHeight="false" outlineLevel="0" collapsed="false">
      <c r="A1474" s="42" t="s">
        <v>896</v>
      </c>
      <c r="B1474" s="43" t="n">
        <v>45551</v>
      </c>
      <c r="C1474" s="43" t="n">
        <v>45553</v>
      </c>
      <c r="D1474" s="42" t="n">
        <v>62</v>
      </c>
      <c r="E1474" s="42" t="s">
        <v>154</v>
      </c>
      <c r="F1474" s="42" t="s">
        <v>169</v>
      </c>
      <c r="G1474" s="42" t="s">
        <v>163</v>
      </c>
      <c r="H1474" s="42" t="s">
        <v>195</v>
      </c>
      <c r="I1474" s="42" t="s">
        <v>143</v>
      </c>
      <c r="J1474" s="42" t="s">
        <v>159</v>
      </c>
      <c r="K1474" s="42" t="s">
        <v>160</v>
      </c>
      <c r="L1474" s="44" t="n">
        <v>1658.46</v>
      </c>
      <c r="M1474" s="42" t="n">
        <v>5</v>
      </c>
      <c r="N1474" s="42" t="s">
        <v>146</v>
      </c>
      <c r="O1474" s="42" t="s">
        <v>147</v>
      </c>
      <c r="P1474" s="39" t="n">
        <f aca="false">C1474-B1474</f>
        <v>2</v>
      </c>
      <c r="Q1474" s="40" t="str">
        <f aca="false">CHOOSE(MONTH(B1474),"يناير","فبراير","مارس","أبريل","مايو","يونيو","يوليو","أغسطس","سبتمبر","أكتوبر","نوفمبر","ديسمبر")</f>
        <v>سبتمبر</v>
      </c>
      <c r="R1474" s="40" t="str">
        <f aca="false">"الربع "&amp;ROUNDUP(MONTH(B1474)/3,0)</f>
        <v>الربع 3</v>
      </c>
      <c r="S1474" s="40" t="str">
        <f aca="false">IF(D1474&lt;=12,"أطفال (0-12)",IF(D1474&lt;=24,"شباب (13-24)",IF(D1474&lt;=44,"بالغون (25-44)",IF(D1474&lt;=64,"متوسطو العمر (45-64)","كبار السن (+65)"))))</f>
        <v>متوسطو العمر (45-64)</v>
      </c>
      <c r="T1474" s="41" t="n">
        <f aca="false">IFERROR(L1474/P1474,0)</f>
        <v>829.23</v>
      </c>
    </row>
    <row r="1475" customFormat="false" ht="15" hidden="false" customHeight="false" outlineLevel="0" collapsed="false">
      <c r="A1475" s="33" t="s">
        <v>348</v>
      </c>
      <c r="B1475" s="34" t="n">
        <v>45551</v>
      </c>
      <c r="C1475" s="34" t="n">
        <v>45554</v>
      </c>
      <c r="D1475" s="33" t="n">
        <v>25</v>
      </c>
      <c r="E1475" s="33" t="s">
        <v>139</v>
      </c>
      <c r="F1475" s="33" t="s">
        <v>149</v>
      </c>
      <c r="G1475" s="33" t="s">
        <v>150</v>
      </c>
      <c r="H1475" s="33" t="s">
        <v>151</v>
      </c>
      <c r="I1475" s="33" t="s">
        <v>143</v>
      </c>
      <c r="J1475" s="33" t="s">
        <v>159</v>
      </c>
      <c r="K1475" s="33" t="s">
        <v>184</v>
      </c>
      <c r="L1475" s="35" t="n">
        <v>3890.64</v>
      </c>
      <c r="M1475" s="33" t="n">
        <v>5</v>
      </c>
      <c r="N1475" s="33" t="s">
        <v>210</v>
      </c>
      <c r="O1475" s="33" t="s">
        <v>147</v>
      </c>
      <c r="P1475" s="39" t="n">
        <f aca="false">C1475-B1475</f>
        <v>3</v>
      </c>
      <c r="Q1475" s="40" t="str">
        <f aca="false">CHOOSE(MONTH(B1475),"يناير","فبراير","مارس","أبريل","مايو","يونيو","يوليو","أغسطس","سبتمبر","أكتوبر","نوفمبر","ديسمبر")</f>
        <v>سبتمبر</v>
      </c>
      <c r="R1475" s="40" t="str">
        <f aca="false">"الربع "&amp;ROUNDUP(MONTH(B1475)/3,0)</f>
        <v>الربع 3</v>
      </c>
      <c r="S1475" s="40" t="str">
        <f aca="false">IF(D1475&lt;=12,"أطفال (0-12)",IF(D1475&lt;=24,"شباب (13-24)",IF(D1475&lt;=44,"بالغون (25-44)",IF(D1475&lt;=64,"متوسطو العمر (45-64)","كبار السن (+65)"))))</f>
        <v>بالغون (25-44)</v>
      </c>
      <c r="T1475" s="41" t="n">
        <f aca="false">IFERROR(L1475/P1475,0)</f>
        <v>1296.88</v>
      </c>
    </row>
    <row r="1476" customFormat="false" ht="15" hidden="false" customHeight="false" outlineLevel="0" collapsed="false">
      <c r="A1476" s="42" t="s">
        <v>1041</v>
      </c>
      <c r="B1476" s="43" t="n">
        <v>45551</v>
      </c>
      <c r="C1476" s="43" t="n">
        <v>45552</v>
      </c>
      <c r="D1476" s="42" t="n">
        <v>50</v>
      </c>
      <c r="E1476" s="42" t="s">
        <v>154</v>
      </c>
      <c r="F1476" s="42" t="s">
        <v>203</v>
      </c>
      <c r="G1476" s="42" t="s">
        <v>217</v>
      </c>
      <c r="H1476" s="42" t="s">
        <v>193</v>
      </c>
      <c r="I1476" s="42" t="s">
        <v>143</v>
      </c>
      <c r="J1476" s="42" t="s">
        <v>159</v>
      </c>
      <c r="K1476" s="42" t="s">
        <v>160</v>
      </c>
      <c r="L1476" s="44" t="n">
        <v>732.54</v>
      </c>
      <c r="M1476" s="42" t="n">
        <v>4</v>
      </c>
      <c r="N1476" s="42" t="s">
        <v>146</v>
      </c>
      <c r="O1476" s="42" t="s">
        <v>147</v>
      </c>
      <c r="P1476" s="39" t="n">
        <f aca="false">C1476-B1476</f>
        <v>1</v>
      </c>
      <c r="Q1476" s="40" t="str">
        <f aca="false">CHOOSE(MONTH(B1476),"يناير","فبراير","مارس","أبريل","مايو","يونيو","يوليو","أغسطس","سبتمبر","أكتوبر","نوفمبر","ديسمبر")</f>
        <v>سبتمبر</v>
      </c>
      <c r="R1476" s="40" t="str">
        <f aca="false">"الربع "&amp;ROUNDUP(MONTH(B1476)/3,0)</f>
        <v>الربع 3</v>
      </c>
      <c r="S1476" s="40" t="str">
        <f aca="false">IF(D1476&lt;=12,"أطفال (0-12)",IF(D1476&lt;=24,"شباب (13-24)",IF(D1476&lt;=44,"بالغون (25-44)",IF(D1476&lt;=64,"متوسطو العمر (45-64)","كبار السن (+65)"))))</f>
        <v>متوسطو العمر (45-64)</v>
      </c>
      <c r="T1476" s="41" t="n">
        <f aca="false">IFERROR(L1476/P1476,0)</f>
        <v>732.54</v>
      </c>
    </row>
    <row r="1477" customFormat="false" ht="15" hidden="false" customHeight="false" outlineLevel="0" collapsed="false">
      <c r="A1477" s="33" t="s">
        <v>572</v>
      </c>
      <c r="B1477" s="34" t="n">
        <v>45551</v>
      </c>
      <c r="C1477" s="34" t="n">
        <v>45554</v>
      </c>
      <c r="D1477" s="33" t="n">
        <v>68</v>
      </c>
      <c r="E1477" s="33" t="s">
        <v>139</v>
      </c>
      <c r="F1477" s="33" t="s">
        <v>173</v>
      </c>
      <c r="G1477" s="33" t="s">
        <v>178</v>
      </c>
      <c r="H1477" s="33" t="s">
        <v>199</v>
      </c>
      <c r="I1477" s="33" t="s">
        <v>143</v>
      </c>
      <c r="J1477" s="33" t="s">
        <v>176</v>
      </c>
      <c r="K1477" s="33" t="s">
        <v>160</v>
      </c>
      <c r="L1477" s="35" t="n">
        <v>27332.79</v>
      </c>
      <c r="M1477" s="33" t="n">
        <v>4</v>
      </c>
      <c r="N1477" s="33" t="s">
        <v>146</v>
      </c>
      <c r="O1477" s="33" t="s">
        <v>147</v>
      </c>
      <c r="P1477" s="39" t="n">
        <f aca="false">C1477-B1477</f>
        <v>3</v>
      </c>
      <c r="Q1477" s="40" t="str">
        <f aca="false">CHOOSE(MONTH(B1477),"يناير","فبراير","مارس","أبريل","مايو","يونيو","يوليو","أغسطس","سبتمبر","أكتوبر","نوفمبر","ديسمبر")</f>
        <v>سبتمبر</v>
      </c>
      <c r="R1477" s="40" t="str">
        <f aca="false">"الربع "&amp;ROUNDUP(MONTH(B1477)/3,0)</f>
        <v>الربع 3</v>
      </c>
      <c r="S1477" s="40" t="str">
        <f aca="false">IF(D1477&lt;=12,"أطفال (0-12)",IF(D1477&lt;=24,"شباب (13-24)",IF(D1477&lt;=44,"بالغون (25-44)",IF(D1477&lt;=64,"متوسطو العمر (45-64)","كبار السن (+65)"))))</f>
        <v>كبار السن (+65)</v>
      </c>
      <c r="T1477" s="41" t="n">
        <f aca="false">IFERROR(L1477/P1477,0)</f>
        <v>9110.93</v>
      </c>
    </row>
    <row r="1478" customFormat="false" ht="15" hidden="false" customHeight="false" outlineLevel="0" collapsed="false">
      <c r="A1478" s="42" t="s">
        <v>1385</v>
      </c>
      <c r="B1478" s="43" t="n">
        <v>45551</v>
      </c>
      <c r="C1478" s="43" t="n">
        <v>45553</v>
      </c>
      <c r="D1478" s="42" t="n">
        <v>7</v>
      </c>
      <c r="E1478" s="42" t="s">
        <v>154</v>
      </c>
      <c r="F1478" s="42" t="s">
        <v>155</v>
      </c>
      <c r="G1478" s="42" t="s">
        <v>302</v>
      </c>
      <c r="H1478" s="42" t="s">
        <v>157</v>
      </c>
      <c r="I1478" s="42" t="s">
        <v>143</v>
      </c>
      <c r="J1478" s="42" t="s">
        <v>159</v>
      </c>
      <c r="K1478" s="42" t="s">
        <v>160</v>
      </c>
      <c r="L1478" s="44" t="n">
        <v>1454.51</v>
      </c>
      <c r="M1478" s="42" t="n">
        <v>5</v>
      </c>
      <c r="N1478" s="42" t="s">
        <v>146</v>
      </c>
      <c r="O1478" s="42" t="s">
        <v>147</v>
      </c>
      <c r="P1478" s="39" t="n">
        <f aca="false">C1478-B1478</f>
        <v>2</v>
      </c>
      <c r="Q1478" s="40" t="str">
        <f aca="false">CHOOSE(MONTH(B1478),"يناير","فبراير","مارس","أبريل","مايو","يونيو","يوليو","أغسطس","سبتمبر","أكتوبر","نوفمبر","ديسمبر")</f>
        <v>سبتمبر</v>
      </c>
      <c r="R1478" s="40" t="str">
        <f aca="false">"الربع "&amp;ROUNDUP(MONTH(B1478)/3,0)</f>
        <v>الربع 3</v>
      </c>
      <c r="S1478" s="40" t="str">
        <f aca="false">IF(D1478&lt;=12,"أطفال (0-12)",IF(D1478&lt;=24,"شباب (13-24)",IF(D1478&lt;=44,"بالغون (25-44)",IF(D1478&lt;=64,"متوسطو العمر (45-64)","كبار السن (+65)"))))</f>
        <v>أطفال (0-12)</v>
      </c>
      <c r="T1478" s="41" t="n">
        <f aca="false">IFERROR(L1478/P1478,0)</f>
        <v>727.255</v>
      </c>
    </row>
    <row r="1479" customFormat="false" ht="15" hidden="false" customHeight="false" outlineLevel="0" collapsed="false">
      <c r="A1479" s="33" t="s">
        <v>1755</v>
      </c>
      <c r="B1479" s="34" t="n">
        <v>45551</v>
      </c>
      <c r="C1479" s="34" t="n">
        <v>45553</v>
      </c>
      <c r="D1479" s="33" t="n">
        <v>51</v>
      </c>
      <c r="E1479" s="33" t="s">
        <v>139</v>
      </c>
      <c r="F1479" s="33" t="s">
        <v>181</v>
      </c>
      <c r="G1479" s="33" t="s">
        <v>237</v>
      </c>
      <c r="H1479" s="33" t="s">
        <v>183</v>
      </c>
      <c r="I1479" s="33" t="s">
        <v>143</v>
      </c>
      <c r="J1479" s="33" t="s">
        <v>159</v>
      </c>
      <c r="K1479" s="33" t="s">
        <v>184</v>
      </c>
      <c r="L1479" s="35" t="n">
        <v>4282.05</v>
      </c>
      <c r="M1479" s="33" t="n">
        <v>4</v>
      </c>
      <c r="N1479" s="33" t="s">
        <v>210</v>
      </c>
      <c r="O1479" s="33" t="s">
        <v>147</v>
      </c>
      <c r="P1479" s="39" t="n">
        <f aca="false">C1479-B1479</f>
        <v>2</v>
      </c>
      <c r="Q1479" s="40" t="str">
        <f aca="false">CHOOSE(MONTH(B1479),"يناير","فبراير","مارس","أبريل","مايو","يونيو","يوليو","أغسطس","سبتمبر","أكتوبر","نوفمبر","ديسمبر")</f>
        <v>سبتمبر</v>
      </c>
      <c r="R1479" s="40" t="str">
        <f aca="false">"الربع "&amp;ROUNDUP(MONTH(B1479)/3,0)</f>
        <v>الربع 3</v>
      </c>
      <c r="S1479" s="40" t="str">
        <f aca="false">IF(D1479&lt;=12,"أطفال (0-12)",IF(D1479&lt;=24,"شباب (13-24)",IF(D1479&lt;=44,"بالغون (25-44)",IF(D1479&lt;=64,"متوسطو العمر (45-64)","كبار السن (+65)"))))</f>
        <v>متوسطو العمر (45-64)</v>
      </c>
      <c r="T1479" s="41" t="n">
        <f aca="false">IFERROR(L1479/P1479,0)</f>
        <v>2141.025</v>
      </c>
    </row>
    <row r="1480" customFormat="false" ht="15" hidden="false" customHeight="false" outlineLevel="0" collapsed="false">
      <c r="A1480" s="42" t="s">
        <v>1146</v>
      </c>
      <c r="B1480" s="43" t="n">
        <v>45551</v>
      </c>
      <c r="C1480" s="43" t="n">
        <v>45552</v>
      </c>
      <c r="D1480" s="42" t="n">
        <v>64</v>
      </c>
      <c r="E1480" s="42" t="s">
        <v>139</v>
      </c>
      <c r="F1480" s="42" t="s">
        <v>203</v>
      </c>
      <c r="G1480" s="42" t="s">
        <v>241</v>
      </c>
      <c r="H1480" s="42" t="s">
        <v>205</v>
      </c>
      <c r="I1480" s="42" t="s">
        <v>143</v>
      </c>
      <c r="J1480" s="42" t="s">
        <v>159</v>
      </c>
      <c r="K1480" s="42" t="s">
        <v>160</v>
      </c>
      <c r="L1480" s="44" t="n">
        <v>1065.38</v>
      </c>
      <c r="M1480" s="42" t="n">
        <v>4</v>
      </c>
      <c r="N1480" s="42" t="s">
        <v>146</v>
      </c>
      <c r="O1480" s="42" t="s">
        <v>147</v>
      </c>
      <c r="P1480" s="39" t="n">
        <f aca="false">C1480-B1480</f>
        <v>1</v>
      </c>
      <c r="Q1480" s="40" t="str">
        <f aca="false">CHOOSE(MONTH(B1480),"يناير","فبراير","مارس","أبريل","مايو","يونيو","يوليو","أغسطس","سبتمبر","أكتوبر","نوفمبر","ديسمبر")</f>
        <v>سبتمبر</v>
      </c>
      <c r="R1480" s="40" t="str">
        <f aca="false">"الربع "&amp;ROUNDUP(MONTH(B1480)/3,0)</f>
        <v>الربع 3</v>
      </c>
      <c r="S1480" s="40" t="str">
        <f aca="false">IF(D1480&lt;=12,"أطفال (0-12)",IF(D1480&lt;=24,"شباب (13-24)",IF(D1480&lt;=44,"بالغون (25-44)",IF(D1480&lt;=64,"متوسطو العمر (45-64)","كبار السن (+65)"))))</f>
        <v>متوسطو العمر (45-64)</v>
      </c>
      <c r="T1480" s="41" t="n">
        <f aca="false">IFERROR(L1480/P1480,0)</f>
        <v>1065.38</v>
      </c>
    </row>
    <row r="1481" customFormat="false" ht="15" hidden="false" customHeight="false" outlineLevel="0" collapsed="false">
      <c r="A1481" s="33" t="s">
        <v>1643</v>
      </c>
      <c r="B1481" s="34" t="n">
        <v>45552</v>
      </c>
      <c r="C1481" s="34" t="n">
        <v>45556</v>
      </c>
      <c r="D1481" s="33" t="n">
        <v>26</v>
      </c>
      <c r="E1481" s="33" t="s">
        <v>139</v>
      </c>
      <c r="F1481" s="33" t="s">
        <v>149</v>
      </c>
      <c r="G1481" s="33" t="s">
        <v>224</v>
      </c>
      <c r="H1481" s="33" t="s">
        <v>186</v>
      </c>
      <c r="I1481" s="33" t="s">
        <v>143</v>
      </c>
      <c r="J1481" s="33" t="s">
        <v>144</v>
      </c>
      <c r="K1481" s="33" t="s">
        <v>160</v>
      </c>
      <c r="L1481" s="35" t="n">
        <v>8884.28</v>
      </c>
      <c r="M1481" s="33" t="n">
        <v>5</v>
      </c>
      <c r="N1481" s="33" t="s">
        <v>146</v>
      </c>
      <c r="O1481" s="33" t="s">
        <v>147</v>
      </c>
      <c r="P1481" s="39" t="n">
        <f aca="false">C1481-B1481</f>
        <v>4</v>
      </c>
      <c r="Q1481" s="40" t="str">
        <f aca="false">CHOOSE(MONTH(B1481),"يناير","فبراير","مارس","أبريل","مايو","يونيو","يوليو","أغسطس","سبتمبر","أكتوبر","نوفمبر","ديسمبر")</f>
        <v>سبتمبر</v>
      </c>
      <c r="R1481" s="40" t="str">
        <f aca="false">"الربع "&amp;ROUNDUP(MONTH(B1481)/3,0)</f>
        <v>الربع 3</v>
      </c>
      <c r="S1481" s="40" t="str">
        <f aca="false">IF(D1481&lt;=12,"أطفال (0-12)",IF(D1481&lt;=24,"شباب (13-24)",IF(D1481&lt;=44,"بالغون (25-44)",IF(D1481&lt;=64,"متوسطو العمر (45-64)","كبار السن (+65)"))))</f>
        <v>بالغون (25-44)</v>
      </c>
      <c r="T1481" s="41" t="n">
        <f aca="false">IFERROR(L1481/P1481,0)</f>
        <v>2221.07</v>
      </c>
    </row>
    <row r="1482" customFormat="false" ht="15" hidden="false" customHeight="false" outlineLevel="0" collapsed="false">
      <c r="A1482" s="42" t="s">
        <v>2136</v>
      </c>
      <c r="B1482" s="43" t="n">
        <v>45552</v>
      </c>
      <c r="C1482" s="43" t="n">
        <v>45553</v>
      </c>
      <c r="D1482" s="42" t="n">
        <v>31</v>
      </c>
      <c r="E1482" s="42" t="s">
        <v>139</v>
      </c>
      <c r="F1482" s="42" t="s">
        <v>149</v>
      </c>
      <c r="G1482" s="42" t="s">
        <v>243</v>
      </c>
      <c r="H1482" s="42" t="s">
        <v>151</v>
      </c>
      <c r="I1482" s="42" t="s">
        <v>143</v>
      </c>
      <c r="J1482" s="42" t="s">
        <v>159</v>
      </c>
      <c r="K1482" s="42" t="s">
        <v>160</v>
      </c>
      <c r="L1482" s="44" t="n">
        <v>1507.25</v>
      </c>
      <c r="M1482" s="42" t="n">
        <v>4</v>
      </c>
      <c r="N1482" s="42" t="s">
        <v>146</v>
      </c>
      <c r="O1482" s="42" t="s">
        <v>147</v>
      </c>
      <c r="P1482" s="39" t="n">
        <f aca="false">C1482-B1482</f>
        <v>1</v>
      </c>
      <c r="Q1482" s="40" t="str">
        <f aca="false">CHOOSE(MONTH(B1482),"يناير","فبراير","مارس","أبريل","مايو","يونيو","يوليو","أغسطس","سبتمبر","أكتوبر","نوفمبر","ديسمبر")</f>
        <v>سبتمبر</v>
      </c>
      <c r="R1482" s="40" t="str">
        <f aca="false">"الربع "&amp;ROUNDUP(MONTH(B1482)/3,0)</f>
        <v>الربع 3</v>
      </c>
      <c r="S1482" s="40" t="str">
        <f aca="false">IF(D1482&lt;=12,"أطفال (0-12)",IF(D1482&lt;=24,"شباب (13-24)",IF(D1482&lt;=44,"بالغون (25-44)",IF(D1482&lt;=64,"متوسطو العمر (45-64)","كبار السن (+65)"))))</f>
        <v>بالغون (25-44)</v>
      </c>
      <c r="T1482" s="41" t="n">
        <f aca="false">IFERROR(L1482/P1482,0)</f>
        <v>1507.25</v>
      </c>
    </row>
    <row r="1483" customFormat="false" ht="15" hidden="false" customHeight="false" outlineLevel="0" collapsed="false">
      <c r="A1483" s="33" t="s">
        <v>421</v>
      </c>
      <c r="B1483" s="34" t="n">
        <v>45553</v>
      </c>
      <c r="C1483" s="34" t="n">
        <v>45554</v>
      </c>
      <c r="D1483" s="33" t="n">
        <v>90</v>
      </c>
      <c r="E1483" s="33" t="s">
        <v>139</v>
      </c>
      <c r="F1483" s="33" t="s">
        <v>181</v>
      </c>
      <c r="G1483" s="33" t="s">
        <v>237</v>
      </c>
      <c r="H1483" s="33" t="s">
        <v>245</v>
      </c>
      <c r="I1483" s="33" t="s">
        <v>152</v>
      </c>
      <c r="J1483" s="33" t="s">
        <v>144</v>
      </c>
      <c r="K1483" s="33" t="s">
        <v>184</v>
      </c>
      <c r="L1483" s="35" t="n">
        <v>4225.47</v>
      </c>
      <c r="M1483" s="33" t="n">
        <v>4</v>
      </c>
      <c r="N1483" s="33" t="s">
        <v>146</v>
      </c>
      <c r="O1483" s="33" t="s">
        <v>147</v>
      </c>
      <c r="P1483" s="39" t="n">
        <f aca="false">C1483-B1483</f>
        <v>1</v>
      </c>
      <c r="Q1483" s="40" t="str">
        <f aca="false">CHOOSE(MONTH(B1483),"يناير","فبراير","مارس","أبريل","مايو","يونيو","يوليو","أغسطس","سبتمبر","أكتوبر","نوفمبر","ديسمبر")</f>
        <v>سبتمبر</v>
      </c>
      <c r="R1483" s="40" t="str">
        <f aca="false">"الربع "&amp;ROUNDUP(MONTH(B1483)/3,0)</f>
        <v>الربع 3</v>
      </c>
      <c r="S1483" s="40" t="str">
        <f aca="false">IF(D1483&lt;=12,"أطفال (0-12)",IF(D1483&lt;=24,"شباب (13-24)",IF(D1483&lt;=44,"بالغون (25-44)",IF(D1483&lt;=64,"متوسطو العمر (45-64)","كبار السن (+65)"))))</f>
        <v>كبار السن (+65)</v>
      </c>
      <c r="T1483" s="41" t="n">
        <f aca="false">IFERROR(L1483/P1483,0)</f>
        <v>4225.47</v>
      </c>
    </row>
    <row r="1484" customFormat="false" ht="15" hidden="false" customHeight="false" outlineLevel="0" collapsed="false">
      <c r="A1484" s="42" t="s">
        <v>1051</v>
      </c>
      <c r="B1484" s="43" t="n">
        <v>45553</v>
      </c>
      <c r="C1484" s="43" t="n">
        <v>45558</v>
      </c>
      <c r="D1484" s="42" t="n">
        <v>22</v>
      </c>
      <c r="E1484" s="42" t="s">
        <v>139</v>
      </c>
      <c r="F1484" s="42" t="s">
        <v>169</v>
      </c>
      <c r="G1484" s="42" t="s">
        <v>163</v>
      </c>
      <c r="H1484" s="42" t="s">
        <v>195</v>
      </c>
      <c r="I1484" s="42" t="s">
        <v>152</v>
      </c>
      <c r="J1484" s="42" t="s">
        <v>176</v>
      </c>
      <c r="K1484" s="42" t="s">
        <v>160</v>
      </c>
      <c r="L1484" s="44" t="n">
        <v>19223.01</v>
      </c>
      <c r="M1484" s="42" t="n">
        <v>3</v>
      </c>
      <c r="N1484" s="42" t="s">
        <v>146</v>
      </c>
      <c r="O1484" s="42" t="s">
        <v>147</v>
      </c>
      <c r="P1484" s="39" t="n">
        <f aca="false">C1484-B1484</f>
        <v>5</v>
      </c>
      <c r="Q1484" s="40" t="str">
        <f aca="false">CHOOSE(MONTH(B1484),"يناير","فبراير","مارس","أبريل","مايو","يونيو","يوليو","أغسطس","سبتمبر","أكتوبر","نوفمبر","ديسمبر")</f>
        <v>سبتمبر</v>
      </c>
      <c r="R1484" s="40" t="str">
        <f aca="false">"الربع "&amp;ROUNDUP(MONTH(B1484)/3,0)</f>
        <v>الربع 3</v>
      </c>
      <c r="S1484" s="40" t="str">
        <f aca="false">IF(D1484&lt;=12,"أطفال (0-12)",IF(D1484&lt;=24,"شباب (13-24)",IF(D1484&lt;=44,"بالغون (25-44)",IF(D1484&lt;=64,"متوسطو العمر (45-64)","كبار السن (+65)"))))</f>
        <v>شباب (13-24)</v>
      </c>
      <c r="T1484" s="41" t="n">
        <f aca="false">IFERROR(L1484/P1484,0)</f>
        <v>3844.602</v>
      </c>
    </row>
    <row r="1485" customFormat="false" ht="15" hidden="false" customHeight="false" outlineLevel="0" collapsed="false">
      <c r="A1485" s="33" t="s">
        <v>2082</v>
      </c>
      <c r="B1485" s="34" t="n">
        <v>45553</v>
      </c>
      <c r="C1485" s="34" t="n">
        <v>45568</v>
      </c>
      <c r="D1485" s="33" t="n">
        <v>76</v>
      </c>
      <c r="E1485" s="33" t="s">
        <v>139</v>
      </c>
      <c r="F1485" s="33" t="s">
        <v>226</v>
      </c>
      <c r="G1485" s="33" t="s">
        <v>258</v>
      </c>
      <c r="H1485" s="33" t="s">
        <v>228</v>
      </c>
      <c r="I1485" s="33" t="s">
        <v>152</v>
      </c>
      <c r="J1485" s="33" t="s">
        <v>176</v>
      </c>
      <c r="K1485" s="33" t="s">
        <v>145</v>
      </c>
      <c r="L1485" s="35" t="n">
        <v>171999.72</v>
      </c>
      <c r="M1485" s="33" t="n">
        <v>3</v>
      </c>
      <c r="N1485" s="33" t="s">
        <v>146</v>
      </c>
      <c r="O1485" s="33" t="s">
        <v>147</v>
      </c>
      <c r="P1485" s="39" t="n">
        <f aca="false">C1485-B1485</f>
        <v>15</v>
      </c>
      <c r="Q1485" s="40" t="str">
        <f aca="false">CHOOSE(MONTH(B1485),"يناير","فبراير","مارس","أبريل","مايو","يونيو","يوليو","أغسطس","سبتمبر","أكتوبر","نوفمبر","ديسمبر")</f>
        <v>سبتمبر</v>
      </c>
      <c r="R1485" s="40" t="str">
        <f aca="false">"الربع "&amp;ROUNDUP(MONTH(B1485)/3,0)</f>
        <v>الربع 3</v>
      </c>
      <c r="S1485" s="40" t="str">
        <f aca="false">IF(D1485&lt;=12,"أطفال (0-12)",IF(D1485&lt;=24,"شباب (13-24)",IF(D1485&lt;=44,"بالغون (25-44)",IF(D1485&lt;=64,"متوسطو العمر (45-64)","كبار السن (+65)"))))</f>
        <v>كبار السن (+65)</v>
      </c>
      <c r="T1485" s="41" t="n">
        <f aca="false">IFERROR(L1485/P1485,0)</f>
        <v>11466.648</v>
      </c>
    </row>
    <row r="1486" customFormat="false" ht="15" hidden="false" customHeight="false" outlineLevel="0" collapsed="false">
      <c r="A1486" s="42" t="s">
        <v>1912</v>
      </c>
      <c r="B1486" s="43" t="n">
        <v>45553</v>
      </c>
      <c r="C1486" s="43" t="n">
        <v>45554</v>
      </c>
      <c r="D1486" s="42" t="n">
        <v>39</v>
      </c>
      <c r="E1486" s="42" t="s">
        <v>154</v>
      </c>
      <c r="F1486" s="42" t="s">
        <v>203</v>
      </c>
      <c r="G1486" s="42" t="s">
        <v>217</v>
      </c>
      <c r="H1486" s="42" t="s">
        <v>193</v>
      </c>
      <c r="I1486" s="42" t="s">
        <v>143</v>
      </c>
      <c r="J1486" s="42" t="s">
        <v>176</v>
      </c>
      <c r="K1486" s="42" t="s">
        <v>160</v>
      </c>
      <c r="L1486" s="44" t="n">
        <v>3303.14</v>
      </c>
      <c r="M1486" s="42" t="n">
        <v>3</v>
      </c>
      <c r="N1486" s="42" t="s">
        <v>146</v>
      </c>
      <c r="O1486" s="42" t="s">
        <v>147</v>
      </c>
      <c r="P1486" s="39" t="n">
        <f aca="false">C1486-B1486</f>
        <v>1</v>
      </c>
      <c r="Q1486" s="40" t="str">
        <f aca="false">CHOOSE(MONTH(B1486),"يناير","فبراير","مارس","أبريل","مايو","يونيو","يوليو","أغسطس","سبتمبر","أكتوبر","نوفمبر","ديسمبر")</f>
        <v>سبتمبر</v>
      </c>
      <c r="R1486" s="40" t="str">
        <f aca="false">"الربع "&amp;ROUNDUP(MONTH(B1486)/3,0)</f>
        <v>الربع 3</v>
      </c>
      <c r="S1486" s="40" t="str">
        <f aca="false">IF(D1486&lt;=12,"أطفال (0-12)",IF(D1486&lt;=24,"شباب (13-24)",IF(D1486&lt;=44,"بالغون (25-44)",IF(D1486&lt;=64,"متوسطو العمر (45-64)","كبار السن (+65)"))))</f>
        <v>بالغون (25-44)</v>
      </c>
      <c r="T1486" s="41" t="n">
        <f aca="false">IFERROR(L1486/P1486,0)</f>
        <v>3303.14</v>
      </c>
    </row>
    <row r="1487" customFormat="false" ht="15" hidden="false" customHeight="false" outlineLevel="0" collapsed="false">
      <c r="A1487" s="33" t="s">
        <v>2316</v>
      </c>
      <c r="B1487" s="34" t="n">
        <v>45554</v>
      </c>
      <c r="C1487" s="34" t="n">
        <v>45556</v>
      </c>
      <c r="D1487" s="33" t="n">
        <v>27</v>
      </c>
      <c r="E1487" s="33" t="s">
        <v>154</v>
      </c>
      <c r="F1487" s="33" t="s">
        <v>203</v>
      </c>
      <c r="G1487" s="33" t="s">
        <v>204</v>
      </c>
      <c r="H1487" s="33" t="s">
        <v>193</v>
      </c>
      <c r="I1487" s="33" t="s">
        <v>143</v>
      </c>
      <c r="J1487" s="33" t="s">
        <v>159</v>
      </c>
      <c r="K1487" s="33" t="s">
        <v>160</v>
      </c>
      <c r="L1487" s="35" t="n">
        <v>1860.66</v>
      </c>
      <c r="M1487" s="33" t="n">
        <v>4</v>
      </c>
      <c r="N1487" s="33" t="s">
        <v>146</v>
      </c>
      <c r="O1487" s="33" t="s">
        <v>147</v>
      </c>
      <c r="P1487" s="39" t="n">
        <f aca="false">C1487-B1487</f>
        <v>2</v>
      </c>
      <c r="Q1487" s="40" t="str">
        <f aca="false">CHOOSE(MONTH(B1487),"يناير","فبراير","مارس","أبريل","مايو","يونيو","يوليو","أغسطس","سبتمبر","أكتوبر","نوفمبر","ديسمبر")</f>
        <v>سبتمبر</v>
      </c>
      <c r="R1487" s="40" t="str">
        <f aca="false">"الربع "&amp;ROUNDUP(MONTH(B1487)/3,0)</f>
        <v>الربع 3</v>
      </c>
      <c r="S1487" s="40" t="str">
        <f aca="false">IF(D1487&lt;=12,"أطفال (0-12)",IF(D1487&lt;=24,"شباب (13-24)",IF(D1487&lt;=44,"بالغون (25-44)",IF(D1487&lt;=64,"متوسطو العمر (45-64)","كبار السن (+65)"))))</f>
        <v>بالغون (25-44)</v>
      </c>
      <c r="T1487" s="41" t="n">
        <f aca="false">IFERROR(L1487/P1487,0)</f>
        <v>930.33</v>
      </c>
    </row>
    <row r="1488" customFormat="false" ht="15" hidden="false" customHeight="false" outlineLevel="0" collapsed="false">
      <c r="A1488" s="42" t="s">
        <v>2101</v>
      </c>
      <c r="B1488" s="43" t="n">
        <v>45554</v>
      </c>
      <c r="C1488" s="43" t="n">
        <v>45556</v>
      </c>
      <c r="D1488" s="42" t="n">
        <v>44</v>
      </c>
      <c r="E1488" s="42" t="s">
        <v>154</v>
      </c>
      <c r="F1488" s="42" t="s">
        <v>203</v>
      </c>
      <c r="G1488" s="42" t="s">
        <v>192</v>
      </c>
      <c r="H1488" s="42" t="s">
        <v>193</v>
      </c>
      <c r="I1488" s="42" t="s">
        <v>143</v>
      </c>
      <c r="J1488" s="42" t="s">
        <v>159</v>
      </c>
      <c r="K1488" s="42" t="s">
        <v>145</v>
      </c>
      <c r="L1488" s="44" t="n">
        <v>1718.53</v>
      </c>
      <c r="M1488" s="42" t="n">
        <v>2</v>
      </c>
      <c r="N1488" s="42" t="s">
        <v>146</v>
      </c>
      <c r="O1488" s="42" t="s">
        <v>147</v>
      </c>
      <c r="P1488" s="39" t="n">
        <f aca="false">C1488-B1488</f>
        <v>2</v>
      </c>
      <c r="Q1488" s="40" t="str">
        <f aca="false">CHOOSE(MONTH(B1488),"يناير","فبراير","مارس","أبريل","مايو","يونيو","يوليو","أغسطس","سبتمبر","أكتوبر","نوفمبر","ديسمبر")</f>
        <v>سبتمبر</v>
      </c>
      <c r="R1488" s="40" t="str">
        <f aca="false">"الربع "&amp;ROUNDUP(MONTH(B1488)/3,0)</f>
        <v>الربع 3</v>
      </c>
      <c r="S1488" s="40" t="str">
        <f aca="false">IF(D1488&lt;=12,"أطفال (0-12)",IF(D1488&lt;=24,"شباب (13-24)",IF(D1488&lt;=44,"بالغون (25-44)",IF(D1488&lt;=64,"متوسطو العمر (45-64)","كبار السن (+65)"))))</f>
        <v>بالغون (25-44)</v>
      </c>
      <c r="T1488" s="41" t="n">
        <f aca="false">IFERROR(L1488/P1488,0)</f>
        <v>859.265</v>
      </c>
    </row>
    <row r="1489" customFormat="false" ht="15" hidden="false" customHeight="false" outlineLevel="0" collapsed="false">
      <c r="A1489" s="33" t="s">
        <v>1771</v>
      </c>
      <c r="B1489" s="34" t="n">
        <v>45554</v>
      </c>
      <c r="C1489" s="34" t="n">
        <v>45555</v>
      </c>
      <c r="D1489" s="33" t="n">
        <v>54</v>
      </c>
      <c r="E1489" s="33" t="s">
        <v>154</v>
      </c>
      <c r="F1489" s="33" t="s">
        <v>203</v>
      </c>
      <c r="G1489" s="33" t="s">
        <v>217</v>
      </c>
      <c r="H1489" s="33" t="s">
        <v>233</v>
      </c>
      <c r="I1489" s="33" t="s">
        <v>143</v>
      </c>
      <c r="J1489" s="33" t="s">
        <v>159</v>
      </c>
      <c r="K1489" s="33" t="s">
        <v>145</v>
      </c>
      <c r="L1489" s="35" t="n">
        <v>996.15</v>
      </c>
      <c r="M1489" s="33" t="n">
        <v>3</v>
      </c>
      <c r="N1489" s="33" t="s">
        <v>146</v>
      </c>
      <c r="O1489" s="33" t="s">
        <v>147</v>
      </c>
      <c r="P1489" s="39" t="n">
        <f aca="false">C1489-B1489</f>
        <v>1</v>
      </c>
      <c r="Q1489" s="40" t="str">
        <f aca="false">CHOOSE(MONTH(B1489),"يناير","فبراير","مارس","أبريل","مايو","يونيو","يوليو","أغسطس","سبتمبر","أكتوبر","نوفمبر","ديسمبر")</f>
        <v>سبتمبر</v>
      </c>
      <c r="R1489" s="40" t="str">
        <f aca="false">"الربع "&amp;ROUNDUP(MONTH(B1489)/3,0)</f>
        <v>الربع 3</v>
      </c>
      <c r="S1489" s="40" t="str">
        <f aca="false">IF(D1489&lt;=12,"أطفال (0-12)",IF(D1489&lt;=24,"شباب (13-24)",IF(D1489&lt;=44,"بالغون (25-44)",IF(D1489&lt;=64,"متوسطو العمر (45-64)","كبار السن (+65)"))))</f>
        <v>متوسطو العمر (45-64)</v>
      </c>
      <c r="T1489" s="41" t="n">
        <f aca="false">IFERROR(L1489/P1489,0)</f>
        <v>996.15</v>
      </c>
    </row>
    <row r="1490" customFormat="false" ht="15" hidden="false" customHeight="false" outlineLevel="0" collapsed="false">
      <c r="A1490" s="42" t="s">
        <v>1895</v>
      </c>
      <c r="B1490" s="43" t="n">
        <v>45554</v>
      </c>
      <c r="C1490" s="43" t="n">
        <v>45555</v>
      </c>
      <c r="D1490" s="42" t="n">
        <v>88</v>
      </c>
      <c r="E1490" s="42" t="s">
        <v>154</v>
      </c>
      <c r="F1490" s="42" t="s">
        <v>203</v>
      </c>
      <c r="G1490" s="42" t="s">
        <v>192</v>
      </c>
      <c r="H1490" s="42" t="s">
        <v>233</v>
      </c>
      <c r="I1490" s="42" t="s">
        <v>143</v>
      </c>
      <c r="J1490" s="42" t="s">
        <v>159</v>
      </c>
      <c r="K1490" s="42" t="s">
        <v>160</v>
      </c>
      <c r="L1490" s="44" t="n">
        <v>757.17</v>
      </c>
      <c r="M1490" s="42" t="n">
        <v>4</v>
      </c>
      <c r="N1490" s="42" t="s">
        <v>146</v>
      </c>
      <c r="O1490" s="42" t="s">
        <v>147</v>
      </c>
      <c r="P1490" s="39" t="n">
        <f aca="false">C1490-B1490</f>
        <v>1</v>
      </c>
      <c r="Q1490" s="40" t="str">
        <f aca="false">CHOOSE(MONTH(B1490),"يناير","فبراير","مارس","أبريل","مايو","يونيو","يوليو","أغسطس","سبتمبر","أكتوبر","نوفمبر","ديسمبر")</f>
        <v>سبتمبر</v>
      </c>
      <c r="R1490" s="40" t="str">
        <f aca="false">"الربع "&amp;ROUNDUP(MONTH(B1490)/3,0)</f>
        <v>الربع 3</v>
      </c>
      <c r="S1490" s="40" t="str">
        <f aca="false">IF(D1490&lt;=12,"أطفال (0-12)",IF(D1490&lt;=24,"شباب (13-24)",IF(D1490&lt;=44,"بالغون (25-44)",IF(D1490&lt;=64,"متوسطو العمر (45-64)","كبار السن (+65)"))))</f>
        <v>كبار السن (+65)</v>
      </c>
      <c r="T1490" s="41" t="n">
        <f aca="false">IFERROR(L1490/P1490,0)</f>
        <v>757.17</v>
      </c>
    </row>
    <row r="1491" customFormat="false" ht="15" hidden="false" customHeight="false" outlineLevel="0" collapsed="false">
      <c r="A1491" s="33" t="s">
        <v>1546</v>
      </c>
      <c r="B1491" s="34" t="n">
        <v>45554</v>
      </c>
      <c r="C1491" s="34" t="n">
        <v>45555</v>
      </c>
      <c r="D1491" s="33" t="n">
        <v>30</v>
      </c>
      <c r="E1491" s="33" t="s">
        <v>154</v>
      </c>
      <c r="F1491" s="33" t="s">
        <v>203</v>
      </c>
      <c r="G1491" s="33" t="s">
        <v>241</v>
      </c>
      <c r="H1491" s="33" t="s">
        <v>233</v>
      </c>
      <c r="I1491" s="33" t="s">
        <v>143</v>
      </c>
      <c r="J1491" s="33" t="s">
        <v>159</v>
      </c>
      <c r="K1491" s="33" t="s">
        <v>145</v>
      </c>
      <c r="L1491" s="35" t="n">
        <v>900.96</v>
      </c>
      <c r="M1491" s="33" t="n">
        <v>3</v>
      </c>
      <c r="N1491" s="33" t="s">
        <v>146</v>
      </c>
      <c r="O1491" s="33" t="s">
        <v>147</v>
      </c>
      <c r="P1491" s="39" t="n">
        <f aca="false">C1491-B1491</f>
        <v>1</v>
      </c>
      <c r="Q1491" s="40" t="str">
        <f aca="false">CHOOSE(MONTH(B1491),"يناير","فبراير","مارس","أبريل","مايو","يونيو","يوليو","أغسطس","سبتمبر","أكتوبر","نوفمبر","ديسمبر")</f>
        <v>سبتمبر</v>
      </c>
      <c r="R1491" s="40" t="str">
        <f aca="false">"الربع "&amp;ROUNDUP(MONTH(B1491)/3,0)</f>
        <v>الربع 3</v>
      </c>
      <c r="S1491" s="40" t="str">
        <f aca="false">IF(D1491&lt;=12,"أطفال (0-12)",IF(D1491&lt;=24,"شباب (13-24)",IF(D1491&lt;=44,"بالغون (25-44)",IF(D1491&lt;=64,"متوسطو العمر (45-64)","كبار السن (+65)"))))</f>
        <v>بالغون (25-44)</v>
      </c>
      <c r="T1491" s="41" t="n">
        <f aca="false">IFERROR(L1491/P1491,0)</f>
        <v>900.96</v>
      </c>
    </row>
    <row r="1492" customFormat="false" ht="15" hidden="false" customHeight="false" outlineLevel="0" collapsed="false">
      <c r="A1492" s="42" t="s">
        <v>1296</v>
      </c>
      <c r="B1492" s="43" t="n">
        <v>45554</v>
      </c>
      <c r="C1492" s="43" t="n">
        <v>45555</v>
      </c>
      <c r="D1492" s="42" t="n">
        <v>1</v>
      </c>
      <c r="E1492" s="42" t="s">
        <v>139</v>
      </c>
      <c r="F1492" s="42" t="s">
        <v>155</v>
      </c>
      <c r="G1492" s="42" t="s">
        <v>220</v>
      </c>
      <c r="H1492" s="42" t="s">
        <v>2322</v>
      </c>
      <c r="I1492" s="42" t="s">
        <v>143</v>
      </c>
      <c r="J1492" s="42" t="s">
        <v>176</v>
      </c>
      <c r="K1492" s="42" t="s">
        <v>184</v>
      </c>
      <c r="L1492" s="44" t="n">
        <v>2946.61</v>
      </c>
      <c r="M1492" s="42" t="n">
        <v>4</v>
      </c>
      <c r="N1492" s="42" t="s">
        <v>146</v>
      </c>
      <c r="O1492" s="42" t="s">
        <v>147</v>
      </c>
      <c r="P1492" s="39" t="n">
        <f aca="false">C1492-B1492</f>
        <v>1</v>
      </c>
      <c r="Q1492" s="40" t="str">
        <f aca="false">CHOOSE(MONTH(B1492),"يناير","فبراير","مارس","أبريل","مايو","يونيو","يوليو","أغسطس","سبتمبر","أكتوبر","نوفمبر","ديسمبر")</f>
        <v>سبتمبر</v>
      </c>
      <c r="R1492" s="40" t="str">
        <f aca="false">"الربع "&amp;ROUNDUP(MONTH(B1492)/3,0)</f>
        <v>الربع 3</v>
      </c>
      <c r="S1492" s="40" t="str">
        <f aca="false">IF(D1492&lt;=12,"أطفال (0-12)",IF(D1492&lt;=24,"شباب (13-24)",IF(D1492&lt;=44,"بالغون (25-44)",IF(D1492&lt;=64,"متوسطو العمر (45-64)","كبار السن (+65)"))))</f>
        <v>أطفال (0-12)</v>
      </c>
      <c r="T1492" s="41" t="n">
        <f aca="false">IFERROR(L1492/P1492,0)</f>
        <v>2946.61</v>
      </c>
    </row>
    <row r="1493" customFormat="false" ht="15" hidden="false" customHeight="false" outlineLevel="0" collapsed="false">
      <c r="A1493" s="33" t="s">
        <v>2225</v>
      </c>
      <c r="B1493" s="34" t="n">
        <v>45555</v>
      </c>
      <c r="C1493" s="34" t="n">
        <v>45567</v>
      </c>
      <c r="D1493" s="33" t="n">
        <v>76</v>
      </c>
      <c r="E1493" s="33" t="s">
        <v>154</v>
      </c>
      <c r="F1493" s="33" t="s">
        <v>226</v>
      </c>
      <c r="G1493" s="33" t="s">
        <v>258</v>
      </c>
      <c r="H1493" s="33" t="s">
        <v>263</v>
      </c>
      <c r="I1493" s="33" t="s">
        <v>143</v>
      </c>
      <c r="J1493" s="33" t="s">
        <v>159</v>
      </c>
      <c r="K1493" s="33" t="s">
        <v>145</v>
      </c>
      <c r="L1493" s="35" t="n">
        <v>36601.23</v>
      </c>
      <c r="M1493" s="33" t="n">
        <v>4</v>
      </c>
      <c r="N1493" s="33" t="s">
        <v>146</v>
      </c>
      <c r="O1493" s="33" t="s">
        <v>147</v>
      </c>
      <c r="P1493" s="39" t="n">
        <f aca="false">C1493-B1493</f>
        <v>12</v>
      </c>
      <c r="Q1493" s="40" t="str">
        <f aca="false">CHOOSE(MONTH(B1493),"يناير","فبراير","مارس","أبريل","مايو","يونيو","يوليو","أغسطس","سبتمبر","أكتوبر","نوفمبر","ديسمبر")</f>
        <v>سبتمبر</v>
      </c>
      <c r="R1493" s="40" t="str">
        <f aca="false">"الربع "&amp;ROUNDUP(MONTH(B1493)/3,0)</f>
        <v>الربع 3</v>
      </c>
      <c r="S1493" s="40" t="str">
        <f aca="false">IF(D1493&lt;=12,"أطفال (0-12)",IF(D1493&lt;=24,"شباب (13-24)",IF(D1493&lt;=44,"بالغون (25-44)",IF(D1493&lt;=64,"متوسطو العمر (45-64)","كبار السن (+65)"))))</f>
        <v>كبار السن (+65)</v>
      </c>
      <c r="T1493" s="41" t="n">
        <f aca="false">IFERROR(L1493/P1493,0)</f>
        <v>3050.1025</v>
      </c>
    </row>
    <row r="1494" customFormat="false" ht="15" hidden="false" customHeight="false" outlineLevel="0" collapsed="false">
      <c r="A1494" s="42" t="s">
        <v>2183</v>
      </c>
      <c r="B1494" s="43" t="n">
        <v>45555</v>
      </c>
      <c r="C1494" s="43" t="n">
        <v>45561</v>
      </c>
      <c r="D1494" s="42" t="n">
        <v>61</v>
      </c>
      <c r="E1494" s="42" t="s">
        <v>139</v>
      </c>
      <c r="F1494" s="42" t="s">
        <v>181</v>
      </c>
      <c r="G1494" s="42" t="s">
        <v>188</v>
      </c>
      <c r="H1494" s="42" t="s">
        <v>183</v>
      </c>
      <c r="I1494" s="42" t="s">
        <v>152</v>
      </c>
      <c r="J1494" s="42" t="s">
        <v>144</v>
      </c>
      <c r="K1494" s="42" t="s">
        <v>145</v>
      </c>
      <c r="L1494" s="44" t="n">
        <v>23346.27</v>
      </c>
      <c r="M1494" s="42" t="n">
        <v>4</v>
      </c>
      <c r="N1494" s="42" t="s">
        <v>210</v>
      </c>
      <c r="O1494" s="42" t="s">
        <v>147</v>
      </c>
      <c r="P1494" s="39" t="n">
        <f aca="false">C1494-B1494</f>
        <v>6</v>
      </c>
      <c r="Q1494" s="40" t="str">
        <f aca="false">CHOOSE(MONTH(B1494),"يناير","فبراير","مارس","أبريل","مايو","يونيو","يوليو","أغسطس","سبتمبر","أكتوبر","نوفمبر","ديسمبر")</f>
        <v>سبتمبر</v>
      </c>
      <c r="R1494" s="40" t="str">
        <f aca="false">"الربع "&amp;ROUNDUP(MONTH(B1494)/3,0)</f>
        <v>الربع 3</v>
      </c>
      <c r="S1494" s="40" t="str">
        <f aca="false">IF(D1494&lt;=12,"أطفال (0-12)",IF(D1494&lt;=24,"شباب (13-24)",IF(D1494&lt;=44,"بالغون (25-44)",IF(D1494&lt;=64,"متوسطو العمر (45-64)","كبار السن (+65)"))))</f>
        <v>متوسطو العمر (45-64)</v>
      </c>
      <c r="T1494" s="41" t="n">
        <f aca="false">IFERROR(L1494/P1494,0)</f>
        <v>3891.045</v>
      </c>
    </row>
    <row r="1495" customFormat="false" ht="15" hidden="false" customHeight="false" outlineLevel="0" collapsed="false">
      <c r="A1495" s="33" t="s">
        <v>589</v>
      </c>
      <c r="B1495" s="34" t="n">
        <v>45555</v>
      </c>
      <c r="C1495" s="34" t="n">
        <v>45556</v>
      </c>
      <c r="D1495" s="33" t="n">
        <v>48</v>
      </c>
      <c r="E1495" s="33" t="s">
        <v>139</v>
      </c>
      <c r="F1495" s="33" t="s">
        <v>169</v>
      </c>
      <c r="G1495" s="33" t="s">
        <v>163</v>
      </c>
      <c r="H1495" s="33" t="s">
        <v>164</v>
      </c>
      <c r="I1495" s="33" t="s">
        <v>143</v>
      </c>
      <c r="J1495" s="33" t="s">
        <v>159</v>
      </c>
      <c r="K1495" s="33" t="s">
        <v>145</v>
      </c>
      <c r="L1495" s="35" t="n">
        <v>1081.07</v>
      </c>
      <c r="M1495" s="33" t="n">
        <v>3</v>
      </c>
      <c r="N1495" s="33" t="s">
        <v>146</v>
      </c>
      <c r="O1495" s="33" t="s">
        <v>147</v>
      </c>
      <c r="P1495" s="39" t="n">
        <f aca="false">C1495-B1495</f>
        <v>1</v>
      </c>
      <c r="Q1495" s="40" t="str">
        <f aca="false">CHOOSE(MONTH(B1495),"يناير","فبراير","مارس","أبريل","مايو","يونيو","يوليو","أغسطس","سبتمبر","أكتوبر","نوفمبر","ديسمبر")</f>
        <v>سبتمبر</v>
      </c>
      <c r="R1495" s="40" t="str">
        <f aca="false">"الربع "&amp;ROUNDUP(MONTH(B1495)/3,0)</f>
        <v>الربع 3</v>
      </c>
      <c r="S1495" s="40" t="str">
        <f aca="false">IF(D1495&lt;=12,"أطفال (0-12)",IF(D1495&lt;=24,"شباب (13-24)",IF(D1495&lt;=44,"بالغون (25-44)",IF(D1495&lt;=64,"متوسطو العمر (45-64)","كبار السن (+65)"))))</f>
        <v>متوسطو العمر (45-64)</v>
      </c>
      <c r="T1495" s="41" t="n">
        <f aca="false">IFERROR(L1495/P1495,0)</f>
        <v>1081.07</v>
      </c>
    </row>
    <row r="1496" customFormat="false" ht="15" hidden="false" customHeight="false" outlineLevel="0" collapsed="false">
      <c r="A1496" s="42" t="s">
        <v>1698</v>
      </c>
      <c r="B1496" s="43" t="n">
        <v>45555</v>
      </c>
      <c r="C1496" s="43" t="n">
        <v>45559</v>
      </c>
      <c r="D1496" s="42" t="n">
        <v>55</v>
      </c>
      <c r="E1496" s="42" t="s">
        <v>154</v>
      </c>
      <c r="F1496" s="42" t="s">
        <v>226</v>
      </c>
      <c r="G1496" s="42" t="s">
        <v>386</v>
      </c>
      <c r="H1496" s="42" t="s">
        <v>263</v>
      </c>
      <c r="I1496" s="42" t="s">
        <v>158</v>
      </c>
      <c r="J1496" s="42" t="s">
        <v>144</v>
      </c>
      <c r="K1496" s="42" t="s">
        <v>209</v>
      </c>
      <c r="L1496" s="44" t="n">
        <v>21036.7</v>
      </c>
      <c r="M1496" s="42" t="n">
        <v>5</v>
      </c>
      <c r="N1496" s="42" t="s">
        <v>146</v>
      </c>
      <c r="O1496" s="42" t="s">
        <v>147</v>
      </c>
      <c r="P1496" s="39" t="n">
        <f aca="false">C1496-B1496</f>
        <v>4</v>
      </c>
      <c r="Q1496" s="40" t="str">
        <f aca="false">CHOOSE(MONTH(B1496),"يناير","فبراير","مارس","أبريل","مايو","يونيو","يوليو","أغسطس","سبتمبر","أكتوبر","نوفمبر","ديسمبر")</f>
        <v>سبتمبر</v>
      </c>
      <c r="R1496" s="40" t="str">
        <f aca="false">"الربع "&amp;ROUNDUP(MONTH(B1496)/3,0)</f>
        <v>الربع 3</v>
      </c>
      <c r="S1496" s="40" t="str">
        <f aca="false">IF(D1496&lt;=12,"أطفال (0-12)",IF(D1496&lt;=24,"شباب (13-24)",IF(D1496&lt;=44,"بالغون (25-44)",IF(D1496&lt;=64,"متوسطو العمر (45-64)","كبار السن (+65)"))))</f>
        <v>متوسطو العمر (45-64)</v>
      </c>
      <c r="T1496" s="41" t="n">
        <f aca="false">IFERROR(L1496/P1496,0)</f>
        <v>5259.175</v>
      </c>
    </row>
    <row r="1497" customFormat="false" ht="15" hidden="false" customHeight="false" outlineLevel="0" collapsed="false">
      <c r="A1497" s="33" t="s">
        <v>1212</v>
      </c>
      <c r="B1497" s="34" t="n">
        <v>45555</v>
      </c>
      <c r="C1497" s="34" t="n">
        <v>45556</v>
      </c>
      <c r="D1497" s="33" t="n">
        <v>33</v>
      </c>
      <c r="E1497" s="33" t="s">
        <v>154</v>
      </c>
      <c r="F1497" s="33" t="s">
        <v>203</v>
      </c>
      <c r="G1497" s="33" t="s">
        <v>204</v>
      </c>
      <c r="H1497" s="33" t="s">
        <v>205</v>
      </c>
      <c r="I1497" s="33" t="s">
        <v>143</v>
      </c>
      <c r="J1497" s="33" t="s">
        <v>159</v>
      </c>
      <c r="K1497" s="33" t="s">
        <v>145</v>
      </c>
      <c r="L1497" s="35" t="n">
        <v>770.72</v>
      </c>
      <c r="M1497" s="33" t="n">
        <v>3</v>
      </c>
      <c r="N1497" s="33" t="s">
        <v>146</v>
      </c>
      <c r="O1497" s="33" t="s">
        <v>147</v>
      </c>
      <c r="P1497" s="39" t="n">
        <f aca="false">C1497-B1497</f>
        <v>1</v>
      </c>
      <c r="Q1497" s="40" t="str">
        <f aca="false">CHOOSE(MONTH(B1497),"يناير","فبراير","مارس","أبريل","مايو","يونيو","يوليو","أغسطس","سبتمبر","أكتوبر","نوفمبر","ديسمبر")</f>
        <v>سبتمبر</v>
      </c>
      <c r="R1497" s="40" t="str">
        <f aca="false">"الربع "&amp;ROUNDUP(MONTH(B1497)/3,0)</f>
        <v>الربع 3</v>
      </c>
      <c r="S1497" s="40" t="str">
        <f aca="false">IF(D1497&lt;=12,"أطفال (0-12)",IF(D1497&lt;=24,"شباب (13-24)",IF(D1497&lt;=44,"بالغون (25-44)",IF(D1497&lt;=64,"متوسطو العمر (45-64)","كبار السن (+65)"))))</f>
        <v>بالغون (25-44)</v>
      </c>
      <c r="T1497" s="41" t="n">
        <f aca="false">IFERROR(L1497/P1497,0)</f>
        <v>770.72</v>
      </c>
    </row>
    <row r="1498" customFormat="false" ht="15" hidden="false" customHeight="false" outlineLevel="0" collapsed="false">
      <c r="A1498" s="42" t="s">
        <v>428</v>
      </c>
      <c r="B1498" s="43" t="n">
        <v>45555</v>
      </c>
      <c r="C1498" s="43" t="n">
        <v>45568</v>
      </c>
      <c r="D1498" s="42" t="n">
        <v>91</v>
      </c>
      <c r="E1498" s="42" t="s">
        <v>154</v>
      </c>
      <c r="F1498" s="42" t="s">
        <v>140</v>
      </c>
      <c r="G1498" s="42" t="s">
        <v>141</v>
      </c>
      <c r="H1498" s="42" t="s">
        <v>290</v>
      </c>
      <c r="I1498" s="42" t="s">
        <v>152</v>
      </c>
      <c r="J1498" s="42" t="s">
        <v>159</v>
      </c>
      <c r="K1498" s="42" t="s">
        <v>184</v>
      </c>
      <c r="L1498" s="44" t="n">
        <v>28191.91</v>
      </c>
      <c r="M1498" s="42" t="n">
        <v>4</v>
      </c>
      <c r="N1498" s="42" t="s">
        <v>146</v>
      </c>
      <c r="O1498" s="42" t="s">
        <v>147</v>
      </c>
      <c r="P1498" s="39" t="n">
        <f aca="false">C1498-B1498</f>
        <v>13</v>
      </c>
      <c r="Q1498" s="40" t="str">
        <f aca="false">CHOOSE(MONTH(B1498),"يناير","فبراير","مارس","أبريل","مايو","يونيو","يوليو","أغسطس","سبتمبر","أكتوبر","نوفمبر","ديسمبر")</f>
        <v>سبتمبر</v>
      </c>
      <c r="R1498" s="40" t="str">
        <f aca="false">"الربع "&amp;ROUNDUP(MONTH(B1498)/3,0)</f>
        <v>الربع 3</v>
      </c>
      <c r="S1498" s="40" t="str">
        <f aca="false">IF(D1498&lt;=12,"أطفال (0-12)",IF(D1498&lt;=24,"شباب (13-24)",IF(D1498&lt;=44,"بالغون (25-44)",IF(D1498&lt;=64,"متوسطو العمر (45-64)","كبار السن (+65)"))))</f>
        <v>كبار السن (+65)</v>
      </c>
      <c r="T1498" s="41" t="n">
        <f aca="false">IFERROR(L1498/P1498,0)</f>
        <v>2168.60846153846</v>
      </c>
    </row>
    <row r="1499" customFormat="false" ht="15" hidden="false" customHeight="false" outlineLevel="0" collapsed="false">
      <c r="A1499" s="33" t="s">
        <v>968</v>
      </c>
      <c r="B1499" s="34" t="n">
        <v>45555</v>
      </c>
      <c r="C1499" s="34" t="n">
        <v>45558</v>
      </c>
      <c r="D1499" s="33" t="n">
        <v>43</v>
      </c>
      <c r="E1499" s="33" t="s">
        <v>139</v>
      </c>
      <c r="F1499" s="33" t="s">
        <v>181</v>
      </c>
      <c r="G1499" s="33" t="s">
        <v>182</v>
      </c>
      <c r="H1499" s="33" t="s">
        <v>245</v>
      </c>
      <c r="I1499" s="33" t="s">
        <v>158</v>
      </c>
      <c r="J1499" s="33" t="s">
        <v>159</v>
      </c>
      <c r="K1499" s="33" t="s">
        <v>209</v>
      </c>
      <c r="L1499" s="35" t="n">
        <v>9093.2</v>
      </c>
      <c r="M1499" s="33" t="n">
        <v>5</v>
      </c>
      <c r="N1499" s="33" t="s">
        <v>146</v>
      </c>
      <c r="O1499" s="33" t="s">
        <v>206</v>
      </c>
      <c r="P1499" s="39" t="n">
        <f aca="false">C1499-B1499</f>
        <v>3</v>
      </c>
      <c r="Q1499" s="40" t="str">
        <f aca="false">CHOOSE(MONTH(B1499),"يناير","فبراير","مارس","أبريل","مايو","يونيو","يوليو","أغسطس","سبتمبر","أكتوبر","نوفمبر","ديسمبر")</f>
        <v>سبتمبر</v>
      </c>
      <c r="R1499" s="40" t="str">
        <f aca="false">"الربع "&amp;ROUNDUP(MONTH(B1499)/3,0)</f>
        <v>الربع 3</v>
      </c>
      <c r="S1499" s="40" t="str">
        <f aca="false">IF(D1499&lt;=12,"أطفال (0-12)",IF(D1499&lt;=24,"شباب (13-24)",IF(D1499&lt;=44,"بالغون (25-44)",IF(D1499&lt;=64,"متوسطو العمر (45-64)","كبار السن (+65)"))))</f>
        <v>بالغون (25-44)</v>
      </c>
      <c r="T1499" s="41" t="n">
        <f aca="false">IFERROR(L1499/P1499,0)</f>
        <v>3031.06666666667</v>
      </c>
    </row>
    <row r="1500" customFormat="false" ht="15" hidden="false" customHeight="false" outlineLevel="0" collapsed="false">
      <c r="A1500" s="42" t="s">
        <v>659</v>
      </c>
      <c r="B1500" s="43" t="n">
        <v>45555</v>
      </c>
      <c r="C1500" s="43" t="n">
        <v>45558</v>
      </c>
      <c r="D1500" s="42" t="n">
        <v>35</v>
      </c>
      <c r="E1500" s="42" t="s">
        <v>139</v>
      </c>
      <c r="F1500" s="42" t="s">
        <v>181</v>
      </c>
      <c r="G1500" s="42" t="s">
        <v>237</v>
      </c>
      <c r="H1500" s="42" t="s">
        <v>245</v>
      </c>
      <c r="I1500" s="42" t="s">
        <v>143</v>
      </c>
      <c r="J1500" s="42" t="s">
        <v>159</v>
      </c>
      <c r="K1500" s="42" t="s">
        <v>145</v>
      </c>
      <c r="L1500" s="44" t="n">
        <v>5826.51</v>
      </c>
      <c r="M1500" s="42" t="n">
        <v>5</v>
      </c>
      <c r="N1500" s="42" t="s">
        <v>210</v>
      </c>
      <c r="O1500" s="42" t="s">
        <v>147</v>
      </c>
      <c r="P1500" s="39" t="n">
        <f aca="false">C1500-B1500</f>
        <v>3</v>
      </c>
      <c r="Q1500" s="40" t="str">
        <f aca="false">CHOOSE(MONTH(B1500),"يناير","فبراير","مارس","أبريل","مايو","يونيو","يوليو","أغسطس","سبتمبر","أكتوبر","نوفمبر","ديسمبر")</f>
        <v>سبتمبر</v>
      </c>
      <c r="R1500" s="40" t="str">
        <f aca="false">"الربع "&amp;ROUNDUP(MONTH(B1500)/3,0)</f>
        <v>الربع 3</v>
      </c>
      <c r="S1500" s="40" t="str">
        <f aca="false">IF(D1500&lt;=12,"أطفال (0-12)",IF(D1500&lt;=24,"شباب (13-24)",IF(D1500&lt;=44,"بالغون (25-44)",IF(D1500&lt;=64,"متوسطو العمر (45-64)","كبار السن (+65)"))))</f>
        <v>بالغون (25-44)</v>
      </c>
      <c r="T1500" s="41" t="n">
        <f aca="false">IFERROR(L1500/P1500,0)</f>
        <v>1942.17</v>
      </c>
    </row>
    <row r="1501" customFormat="false" ht="15" hidden="false" customHeight="false" outlineLevel="0" collapsed="false">
      <c r="A1501" s="33" t="s">
        <v>1035</v>
      </c>
      <c r="B1501" s="34" t="n">
        <v>45556</v>
      </c>
      <c r="C1501" s="34" t="n">
        <v>45559</v>
      </c>
      <c r="D1501" s="33" t="n">
        <v>13</v>
      </c>
      <c r="E1501" s="33" t="s">
        <v>139</v>
      </c>
      <c r="F1501" s="33" t="s">
        <v>203</v>
      </c>
      <c r="G1501" s="33" t="s">
        <v>232</v>
      </c>
      <c r="H1501" s="33" t="s">
        <v>233</v>
      </c>
      <c r="I1501" s="33" t="s">
        <v>143</v>
      </c>
      <c r="J1501" s="33" t="s">
        <v>176</v>
      </c>
      <c r="K1501" s="33" t="s">
        <v>160</v>
      </c>
      <c r="L1501" s="35" t="n">
        <v>8646.02</v>
      </c>
      <c r="M1501" s="33" t="n">
        <v>4</v>
      </c>
      <c r="N1501" s="33" t="s">
        <v>146</v>
      </c>
      <c r="O1501" s="33" t="s">
        <v>147</v>
      </c>
      <c r="P1501" s="39" t="n">
        <f aca="false">C1501-B1501</f>
        <v>3</v>
      </c>
      <c r="Q1501" s="40" t="str">
        <f aca="false">CHOOSE(MONTH(B1501),"يناير","فبراير","مارس","أبريل","مايو","يونيو","يوليو","أغسطس","سبتمبر","أكتوبر","نوفمبر","ديسمبر")</f>
        <v>سبتمبر</v>
      </c>
      <c r="R1501" s="40" t="str">
        <f aca="false">"الربع "&amp;ROUNDUP(MONTH(B1501)/3,0)</f>
        <v>الربع 3</v>
      </c>
      <c r="S1501" s="40" t="str">
        <f aca="false">IF(D1501&lt;=12,"أطفال (0-12)",IF(D1501&lt;=24,"شباب (13-24)",IF(D1501&lt;=44,"بالغون (25-44)",IF(D1501&lt;=64,"متوسطو العمر (45-64)","كبار السن (+65)"))))</f>
        <v>شباب (13-24)</v>
      </c>
      <c r="T1501" s="41" t="n">
        <f aca="false">IFERROR(L1501/P1501,0)</f>
        <v>2882.00666666667</v>
      </c>
    </row>
    <row r="1502" customFormat="false" ht="15" hidden="false" customHeight="false" outlineLevel="0" collapsed="false">
      <c r="A1502" s="42" t="s">
        <v>340</v>
      </c>
      <c r="B1502" s="43" t="n">
        <v>45556</v>
      </c>
      <c r="C1502" s="43" t="n">
        <v>45559</v>
      </c>
      <c r="D1502" s="42" t="n">
        <v>32</v>
      </c>
      <c r="E1502" s="42" t="s">
        <v>139</v>
      </c>
      <c r="F1502" s="42" t="s">
        <v>149</v>
      </c>
      <c r="G1502" s="42" t="s">
        <v>243</v>
      </c>
      <c r="H1502" s="42" t="s">
        <v>151</v>
      </c>
      <c r="I1502" s="42" t="s">
        <v>152</v>
      </c>
      <c r="J1502" s="42" t="s">
        <v>159</v>
      </c>
      <c r="K1502" s="42" t="s">
        <v>145</v>
      </c>
      <c r="L1502" s="44" t="n">
        <v>5022.42</v>
      </c>
      <c r="M1502" s="42" t="n">
        <v>4</v>
      </c>
      <c r="N1502" s="42" t="s">
        <v>146</v>
      </c>
      <c r="O1502" s="42" t="s">
        <v>147</v>
      </c>
      <c r="P1502" s="39" t="n">
        <f aca="false">C1502-B1502</f>
        <v>3</v>
      </c>
      <c r="Q1502" s="40" t="str">
        <f aca="false">CHOOSE(MONTH(B1502),"يناير","فبراير","مارس","أبريل","مايو","يونيو","يوليو","أغسطس","سبتمبر","أكتوبر","نوفمبر","ديسمبر")</f>
        <v>سبتمبر</v>
      </c>
      <c r="R1502" s="40" t="str">
        <f aca="false">"الربع "&amp;ROUNDUP(MONTH(B1502)/3,0)</f>
        <v>الربع 3</v>
      </c>
      <c r="S1502" s="40" t="str">
        <f aca="false">IF(D1502&lt;=12,"أطفال (0-12)",IF(D1502&lt;=24,"شباب (13-24)",IF(D1502&lt;=44,"بالغون (25-44)",IF(D1502&lt;=64,"متوسطو العمر (45-64)","كبار السن (+65)"))))</f>
        <v>بالغون (25-44)</v>
      </c>
      <c r="T1502" s="41" t="n">
        <f aca="false">IFERROR(L1502/P1502,0)</f>
        <v>1674.14</v>
      </c>
    </row>
    <row r="1503" customFormat="false" ht="15" hidden="false" customHeight="false" outlineLevel="0" collapsed="false">
      <c r="A1503" s="33" t="s">
        <v>1228</v>
      </c>
      <c r="B1503" s="34" t="n">
        <v>45556</v>
      </c>
      <c r="C1503" s="34" t="n">
        <v>45564</v>
      </c>
      <c r="D1503" s="33" t="n">
        <v>82</v>
      </c>
      <c r="E1503" s="33" t="s">
        <v>139</v>
      </c>
      <c r="F1503" s="33" t="s">
        <v>140</v>
      </c>
      <c r="G1503" s="33" t="s">
        <v>167</v>
      </c>
      <c r="H1503" s="33" t="s">
        <v>290</v>
      </c>
      <c r="I1503" s="33" t="s">
        <v>152</v>
      </c>
      <c r="J1503" s="33" t="s">
        <v>144</v>
      </c>
      <c r="K1503" s="33" t="s">
        <v>145</v>
      </c>
      <c r="L1503" s="35" t="n">
        <v>33742.15</v>
      </c>
      <c r="M1503" s="33" t="n">
        <v>4</v>
      </c>
      <c r="N1503" s="33" t="s">
        <v>146</v>
      </c>
      <c r="O1503" s="33" t="s">
        <v>147</v>
      </c>
      <c r="P1503" s="39" t="n">
        <f aca="false">C1503-B1503</f>
        <v>8</v>
      </c>
      <c r="Q1503" s="40" t="str">
        <f aca="false">CHOOSE(MONTH(B1503),"يناير","فبراير","مارس","أبريل","مايو","يونيو","يوليو","أغسطس","سبتمبر","أكتوبر","نوفمبر","ديسمبر")</f>
        <v>سبتمبر</v>
      </c>
      <c r="R1503" s="40" t="str">
        <f aca="false">"الربع "&amp;ROUNDUP(MONTH(B1503)/3,0)</f>
        <v>الربع 3</v>
      </c>
      <c r="S1503" s="40" t="str">
        <f aca="false">IF(D1503&lt;=12,"أطفال (0-12)",IF(D1503&lt;=24,"شباب (13-24)",IF(D1503&lt;=44,"بالغون (25-44)",IF(D1503&lt;=64,"متوسطو العمر (45-64)","كبار السن (+65)"))))</f>
        <v>كبار السن (+65)</v>
      </c>
      <c r="T1503" s="41" t="n">
        <f aca="false">IFERROR(L1503/P1503,0)</f>
        <v>4217.76875</v>
      </c>
    </row>
    <row r="1504" customFormat="false" ht="15" hidden="false" customHeight="false" outlineLevel="0" collapsed="false">
      <c r="A1504" s="42" t="s">
        <v>503</v>
      </c>
      <c r="B1504" s="43" t="n">
        <v>45556</v>
      </c>
      <c r="C1504" s="43" t="n">
        <v>45557</v>
      </c>
      <c r="D1504" s="42" t="n">
        <v>37</v>
      </c>
      <c r="E1504" s="42" t="s">
        <v>154</v>
      </c>
      <c r="F1504" s="42" t="s">
        <v>203</v>
      </c>
      <c r="G1504" s="42" t="s">
        <v>241</v>
      </c>
      <c r="H1504" s="42" t="s">
        <v>193</v>
      </c>
      <c r="I1504" s="42" t="s">
        <v>158</v>
      </c>
      <c r="J1504" s="42" t="s">
        <v>144</v>
      </c>
      <c r="K1504" s="42" t="s">
        <v>160</v>
      </c>
      <c r="L1504" s="44" t="n">
        <v>1544.53</v>
      </c>
      <c r="M1504" s="42" t="n">
        <v>4</v>
      </c>
      <c r="N1504" s="42" t="s">
        <v>146</v>
      </c>
      <c r="O1504" s="42" t="s">
        <v>147</v>
      </c>
      <c r="P1504" s="39" t="n">
        <f aca="false">C1504-B1504</f>
        <v>1</v>
      </c>
      <c r="Q1504" s="40" t="str">
        <f aca="false">CHOOSE(MONTH(B1504),"يناير","فبراير","مارس","أبريل","مايو","يونيو","يوليو","أغسطس","سبتمبر","أكتوبر","نوفمبر","ديسمبر")</f>
        <v>سبتمبر</v>
      </c>
      <c r="R1504" s="40" t="str">
        <f aca="false">"الربع "&amp;ROUNDUP(MONTH(B1504)/3,0)</f>
        <v>الربع 3</v>
      </c>
      <c r="S1504" s="40" t="str">
        <f aca="false">IF(D1504&lt;=12,"أطفال (0-12)",IF(D1504&lt;=24,"شباب (13-24)",IF(D1504&lt;=44,"بالغون (25-44)",IF(D1504&lt;=64,"متوسطو العمر (45-64)","كبار السن (+65)"))))</f>
        <v>بالغون (25-44)</v>
      </c>
      <c r="T1504" s="41" t="n">
        <f aca="false">IFERROR(L1504/P1504,0)</f>
        <v>1544.53</v>
      </c>
    </row>
    <row r="1505" customFormat="false" ht="15" hidden="false" customHeight="false" outlineLevel="0" collapsed="false">
      <c r="A1505" s="33" t="s">
        <v>1622</v>
      </c>
      <c r="B1505" s="34" t="n">
        <v>45556</v>
      </c>
      <c r="C1505" s="34" t="n">
        <v>45558</v>
      </c>
      <c r="D1505" s="33" t="n">
        <v>38</v>
      </c>
      <c r="E1505" s="33" t="s">
        <v>139</v>
      </c>
      <c r="F1505" s="33" t="s">
        <v>149</v>
      </c>
      <c r="G1505" s="33" t="s">
        <v>150</v>
      </c>
      <c r="H1505" s="33" t="s">
        <v>186</v>
      </c>
      <c r="I1505" s="33" t="s">
        <v>152</v>
      </c>
      <c r="J1505" s="33" t="s">
        <v>144</v>
      </c>
      <c r="K1505" s="33" t="s">
        <v>145</v>
      </c>
      <c r="L1505" s="35" t="n">
        <v>5161.72</v>
      </c>
      <c r="M1505" s="33" t="n">
        <v>4</v>
      </c>
      <c r="N1505" s="33" t="s">
        <v>146</v>
      </c>
      <c r="O1505" s="33" t="s">
        <v>147</v>
      </c>
      <c r="P1505" s="39" t="n">
        <f aca="false">C1505-B1505</f>
        <v>2</v>
      </c>
      <c r="Q1505" s="40" t="str">
        <f aca="false">CHOOSE(MONTH(B1505),"يناير","فبراير","مارس","أبريل","مايو","يونيو","يوليو","أغسطس","سبتمبر","أكتوبر","نوفمبر","ديسمبر")</f>
        <v>سبتمبر</v>
      </c>
      <c r="R1505" s="40" t="str">
        <f aca="false">"الربع "&amp;ROUNDUP(MONTH(B1505)/3,0)</f>
        <v>الربع 3</v>
      </c>
      <c r="S1505" s="40" t="str">
        <f aca="false">IF(D1505&lt;=12,"أطفال (0-12)",IF(D1505&lt;=24,"شباب (13-24)",IF(D1505&lt;=44,"بالغون (25-44)",IF(D1505&lt;=64,"متوسطو العمر (45-64)","كبار السن (+65)"))))</f>
        <v>بالغون (25-44)</v>
      </c>
      <c r="T1505" s="41" t="n">
        <f aca="false">IFERROR(L1505/P1505,0)</f>
        <v>2580.86</v>
      </c>
    </row>
    <row r="1506" customFormat="false" ht="15" hidden="false" customHeight="false" outlineLevel="0" collapsed="false">
      <c r="A1506" s="42" t="s">
        <v>745</v>
      </c>
      <c r="B1506" s="43" t="n">
        <v>45556</v>
      </c>
      <c r="C1506" s="43" t="n">
        <v>45558</v>
      </c>
      <c r="D1506" s="42" t="n">
        <v>34</v>
      </c>
      <c r="E1506" s="42" t="s">
        <v>139</v>
      </c>
      <c r="F1506" s="42" t="s">
        <v>203</v>
      </c>
      <c r="G1506" s="42" t="s">
        <v>192</v>
      </c>
      <c r="H1506" s="42" t="s">
        <v>233</v>
      </c>
      <c r="I1506" s="42" t="s">
        <v>143</v>
      </c>
      <c r="J1506" s="42" t="s">
        <v>159</v>
      </c>
      <c r="K1506" s="42" t="s">
        <v>160</v>
      </c>
      <c r="L1506" s="44" t="n">
        <v>1588.09</v>
      </c>
      <c r="M1506" s="42" t="n">
        <v>3</v>
      </c>
      <c r="N1506" s="42" t="s">
        <v>146</v>
      </c>
      <c r="O1506" s="42" t="s">
        <v>147</v>
      </c>
      <c r="P1506" s="39" t="n">
        <f aca="false">C1506-B1506</f>
        <v>2</v>
      </c>
      <c r="Q1506" s="40" t="str">
        <f aca="false">CHOOSE(MONTH(B1506),"يناير","فبراير","مارس","أبريل","مايو","يونيو","يوليو","أغسطس","سبتمبر","أكتوبر","نوفمبر","ديسمبر")</f>
        <v>سبتمبر</v>
      </c>
      <c r="R1506" s="40" t="str">
        <f aca="false">"الربع "&amp;ROUNDUP(MONTH(B1506)/3,0)</f>
        <v>الربع 3</v>
      </c>
      <c r="S1506" s="40" t="str">
        <f aca="false">IF(D1506&lt;=12,"أطفال (0-12)",IF(D1506&lt;=24,"شباب (13-24)",IF(D1506&lt;=44,"بالغون (25-44)",IF(D1506&lt;=64,"متوسطو العمر (45-64)","كبار السن (+65)"))))</f>
        <v>بالغون (25-44)</v>
      </c>
      <c r="T1506" s="41" t="n">
        <f aca="false">IFERROR(L1506/P1506,0)</f>
        <v>794.045</v>
      </c>
    </row>
    <row r="1507" customFormat="false" ht="15" hidden="false" customHeight="false" outlineLevel="0" collapsed="false">
      <c r="A1507" s="33" t="s">
        <v>1508</v>
      </c>
      <c r="B1507" s="34" t="n">
        <v>45556</v>
      </c>
      <c r="C1507" s="34" t="n">
        <v>45561</v>
      </c>
      <c r="D1507" s="33" t="n">
        <v>52</v>
      </c>
      <c r="E1507" s="33" t="s">
        <v>139</v>
      </c>
      <c r="F1507" s="33" t="s">
        <v>203</v>
      </c>
      <c r="G1507" s="33" t="s">
        <v>204</v>
      </c>
      <c r="H1507" s="33" t="s">
        <v>193</v>
      </c>
      <c r="I1507" s="33" t="s">
        <v>143</v>
      </c>
      <c r="J1507" s="33" t="s">
        <v>159</v>
      </c>
      <c r="K1507" s="33" t="s">
        <v>145</v>
      </c>
      <c r="L1507" s="35" t="n">
        <v>5165.9</v>
      </c>
      <c r="M1507" s="33" t="n">
        <v>3</v>
      </c>
      <c r="N1507" s="33" t="s">
        <v>146</v>
      </c>
      <c r="O1507" s="33" t="s">
        <v>147</v>
      </c>
      <c r="P1507" s="39" t="n">
        <f aca="false">C1507-B1507</f>
        <v>5</v>
      </c>
      <c r="Q1507" s="40" t="str">
        <f aca="false">CHOOSE(MONTH(B1507),"يناير","فبراير","مارس","أبريل","مايو","يونيو","يوليو","أغسطس","سبتمبر","أكتوبر","نوفمبر","ديسمبر")</f>
        <v>سبتمبر</v>
      </c>
      <c r="R1507" s="40" t="str">
        <f aca="false">"الربع "&amp;ROUNDUP(MONTH(B1507)/3,0)</f>
        <v>الربع 3</v>
      </c>
      <c r="S1507" s="40" t="str">
        <f aca="false">IF(D1507&lt;=12,"أطفال (0-12)",IF(D1507&lt;=24,"شباب (13-24)",IF(D1507&lt;=44,"بالغون (25-44)",IF(D1507&lt;=64,"متوسطو العمر (45-64)","كبار السن (+65)"))))</f>
        <v>متوسطو العمر (45-64)</v>
      </c>
      <c r="T1507" s="41" t="n">
        <f aca="false">IFERROR(L1507/P1507,0)</f>
        <v>1033.18</v>
      </c>
    </row>
    <row r="1508" customFormat="false" ht="15" hidden="false" customHeight="false" outlineLevel="0" collapsed="false">
      <c r="A1508" s="42" t="s">
        <v>2240</v>
      </c>
      <c r="B1508" s="43" t="n">
        <v>45556</v>
      </c>
      <c r="C1508" s="43" t="n">
        <v>45557</v>
      </c>
      <c r="D1508" s="42" t="n">
        <v>34</v>
      </c>
      <c r="E1508" s="42" t="s">
        <v>154</v>
      </c>
      <c r="F1508" s="42" t="s">
        <v>169</v>
      </c>
      <c r="G1508" s="42" t="s">
        <v>230</v>
      </c>
      <c r="H1508" s="42" t="s">
        <v>164</v>
      </c>
      <c r="I1508" s="42" t="s">
        <v>143</v>
      </c>
      <c r="J1508" s="42" t="s">
        <v>159</v>
      </c>
      <c r="K1508" s="42" t="s">
        <v>145</v>
      </c>
      <c r="L1508" s="44" t="n">
        <v>1050.06</v>
      </c>
      <c r="M1508" s="42" t="n">
        <v>4</v>
      </c>
      <c r="N1508" s="42" t="s">
        <v>146</v>
      </c>
      <c r="O1508" s="42" t="s">
        <v>147</v>
      </c>
      <c r="P1508" s="39" t="n">
        <f aca="false">C1508-B1508</f>
        <v>1</v>
      </c>
      <c r="Q1508" s="40" t="str">
        <f aca="false">CHOOSE(MONTH(B1508),"يناير","فبراير","مارس","أبريل","مايو","يونيو","يوليو","أغسطس","سبتمبر","أكتوبر","نوفمبر","ديسمبر")</f>
        <v>سبتمبر</v>
      </c>
      <c r="R1508" s="40" t="str">
        <f aca="false">"الربع "&amp;ROUNDUP(MONTH(B1508)/3,0)</f>
        <v>الربع 3</v>
      </c>
      <c r="S1508" s="40" t="str">
        <f aca="false">IF(D1508&lt;=12,"أطفال (0-12)",IF(D1508&lt;=24,"شباب (13-24)",IF(D1508&lt;=44,"بالغون (25-44)",IF(D1508&lt;=64,"متوسطو العمر (45-64)","كبار السن (+65)"))))</f>
        <v>بالغون (25-44)</v>
      </c>
      <c r="T1508" s="41" t="n">
        <f aca="false">IFERROR(L1508/P1508,0)</f>
        <v>1050.06</v>
      </c>
    </row>
    <row r="1509" customFormat="false" ht="15" hidden="false" customHeight="false" outlineLevel="0" collapsed="false">
      <c r="A1509" s="33" t="s">
        <v>1763</v>
      </c>
      <c r="B1509" s="34" t="n">
        <v>45557</v>
      </c>
      <c r="C1509" s="34" t="n">
        <v>45562</v>
      </c>
      <c r="D1509" s="33" t="n">
        <v>20</v>
      </c>
      <c r="E1509" s="33" t="s">
        <v>139</v>
      </c>
      <c r="F1509" s="33" t="s">
        <v>173</v>
      </c>
      <c r="G1509" s="33" t="s">
        <v>178</v>
      </c>
      <c r="H1509" s="33" t="s">
        <v>175</v>
      </c>
      <c r="I1509" s="33" t="s">
        <v>152</v>
      </c>
      <c r="J1509" s="33" t="s">
        <v>159</v>
      </c>
      <c r="K1509" s="33" t="s">
        <v>145</v>
      </c>
      <c r="L1509" s="35" t="n">
        <v>10529.81</v>
      </c>
      <c r="M1509" s="33" t="n">
        <v>3</v>
      </c>
      <c r="N1509" s="33" t="s">
        <v>146</v>
      </c>
      <c r="O1509" s="33" t="s">
        <v>147</v>
      </c>
      <c r="P1509" s="39" t="n">
        <f aca="false">C1509-B1509</f>
        <v>5</v>
      </c>
      <c r="Q1509" s="40" t="str">
        <f aca="false">CHOOSE(MONTH(B1509),"يناير","فبراير","مارس","أبريل","مايو","يونيو","يوليو","أغسطس","سبتمبر","أكتوبر","نوفمبر","ديسمبر")</f>
        <v>سبتمبر</v>
      </c>
      <c r="R1509" s="40" t="str">
        <f aca="false">"الربع "&amp;ROUNDUP(MONTH(B1509)/3,0)</f>
        <v>الربع 3</v>
      </c>
      <c r="S1509" s="40" t="str">
        <f aca="false">IF(D1509&lt;=12,"أطفال (0-12)",IF(D1509&lt;=24,"شباب (13-24)",IF(D1509&lt;=44,"بالغون (25-44)",IF(D1509&lt;=64,"متوسطو العمر (45-64)","كبار السن (+65)"))))</f>
        <v>شباب (13-24)</v>
      </c>
      <c r="T1509" s="41" t="n">
        <f aca="false">IFERROR(L1509/P1509,0)</f>
        <v>2105.962</v>
      </c>
    </row>
    <row r="1510" customFormat="false" ht="15" hidden="false" customHeight="false" outlineLevel="0" collapsed="false">
      <c r="A1510" s="42" t="s">
        <v>1987</v>
      </c>
      <c r="B1510" s="43" t="n">
        <v>45557</v>
      </c>
      <c r="C1510" s="43" t="n">
        <v>45558</v>
      </c>
      <c r="D1510" s="42" t="n">
        <v>44</v>
      </c>
      <c r="E1510" s="42" t="s">
        <v>154</v>
      </c>
      <c r="F1510" s="42" t="s">
        <v>203</v>
      </c>
      <c r="G1510" s="42" t="s">
        <v>192</v>
      </c>
      <c r="H1510" s="42" t="s">
        <v>233</v>
      </c>
      <c r="I1510" s="42" t="s">
        <v>152</v>
      </c>
      <c r="J1510" s="42" t="s">
        <v>159</v>
      </c>
      <c r="K1510" s="42" t="s">
        <v>145</v>
      </c>
      <c r="L1510" s="44" t="n">
        <v>861.09</v>
      </c>
      <c r="M1510" s="42" t="n">
        <v>3</v>
      </c>
      <c r="N1510" s="42" t="s">
        <v>210</v>
      </c>
      <c r="O1510" s="42" t="s">
        <v>147</v>
      </c>
      <c r="P1510" s="39" t="n">
        <f aca="false">C1510-B1510</f>
        <v>1</v>
      </c>
      <c r="Q1510" s="40" t="str">
        <f aca="false">CHOOSE(MONTH(B1510),"يناير","فبراير","مارس","أبريل","مايو","يونيو","يوليو","أغسطس","سبتمبر","أكتوبر","نوفمبر","ديسمبر")</f>
        <v>سبتمبر</v>
      </c>
      <c r="R1510" s="40" t="str">
        <f aca="false">"الربع "&amp;ROUNDUP(MONTH(B1510)/3,0)</f>
        <v>الربع 3</v>
      </c>
      <c r="S1510" s="40" t="str">
        <f aca="false">IF(D1510&lt;=12,"أطفال (0-12)",IF(D1510&lt;=24,"شباب (13-24)",IF(D1510&lt;=44,"بالغون (25-44)",IF(D1510&lt;=64,"متوسطو العمر (45-64)","كبار السن (+65)"))))</f>
        <v>بالغون (25-44)</v>
      </c>
      <c r="T1510" s="41" t="n">
        <f aca="false">IFERROR(L1510/P1510,0)</f>
        <v>861.09</v>
      </c>
    </row>
    <row r="1511" customFormat="false" ht="15" hidden="false" customHeight="false" outlineLevel="0" collapsed="false">
      <c r="A1511" s="33" t="s">
        <v>1262</v>
      </c>
      <c r="B1511" s="34" t="n">
        <v>45557</v>
      </c>
      <c r="C1511" s="34" t="n">
        <v>45564</v>
      </c>
      <c r="D1511" s="33" t="n">
        <v>27</v>
      </c>
      <c r="E1511" s="33" t="s">
        <v>139</v>
      </c>
      <c r="F1511" s="33" t="s">
        <v>140</v>
      </c>
      <c r="G1511" s="33" t="s">
        <v>141</v>
      </c>
      <c r="H1511" s="33" t="s">
        <v>142</v>
      </c>
      <c r="I1511" s="33" t="s">
        <v>152</v>
      </c>
      <c r="J1511" s="33" t="s">
        <v>176</v>
      </c>
      <c r="K1511" s="33" t="s">
        <v>145</v>
      </c>
      <c r="L1511" s="35" t="n">
        <v>54177.59</v>
      </c>
      <c r="M1511" s="33" t="n">
        <v>5</v>
      </c>
      <c r="N1511" s="33" t="s">
        <v>146</v>
      </c>
      <c r="O1511" s="33" t="s">
        <v>247</v>
      </c>
      <c r="P1511" s="39" t="n">
        <f aca="false">C1511-B1511</f>
        <v>7</v>
      </c>
      <c r="Q1511" s="40" t="str">
        <f aca="false">CHOOSE(MONTH(B1511),"يناير","فبراير","مارس","أبريل","مايو","يونيو","يوليو","أغسطس","سبتمبر","أكتوبر","نوفمبر","ديسمبر")</f>
        <v>سبتمبر</v>
      </c>
      <c r="R1511" s="40" t="str">
        <f aca="false">"الربع "&amp;ROUNDUP(MONTH(B1511)/3,0)</f>
        <v>الربع 3</v>
      </c>
      <c r="S1511" s="40" t="str">
        <f aca="false">IF(D1511&lt;=12,"أطفال (0-12)",IF(D1511&lt;=24,"شباب (13-24)",IF(D1511&lt;=44,"بالغون (25-44)",IF(D1511&lt;=64,"متوسطو العمر (45-64)","كبار السن (+65)"))))</f>
        <v>بالغون (25-44)</v>
      </c>
      <c r="T1511" s="41" t="n">
        <f aca="false">IFERROR(L1511/P1511,0)</f>
        <v>7739.65571428571</v>
      </c>
    </row>
    <row r="1512" customFormat="false" ht="15" hidden="false" customHeight="false" outlineLevel="0" collapsed="false">
      <c r="A1512" s="42" t="s">
        <v>1184</v>
      </c>
      <c r="B1512" s="43" t="n">
        <v>45557</v>
      </c>
      <c r="C1512" s="43" t="n">
        <v>45558</v>
      </c>
      <c r="D1512" s="42" t="n">
        <v>14</v>
      </c>
      <c r="E1512" s="42" t="s">
        <v>154</v>
      </c>
      <c r="F1512" s="42" t="s">
        <v>203</v>
      </c>
      <c r="G1512" s="42" t="s">
        <v>241</v>
      </c>
      <c r="H1512" s="42" t="s">
        <v>205</v>
      </c>
      <c r="I1512" s="42" t="s">
        <v>143</v>
      </c>
      <c r="J1512" s="42" t="s">
        <v>176</v>
      </c>
      <c r="K1512" s="42" t="s">
        <v>145</v>
      </c>
      <c r="L1512" s="44" t="n">
        <v>2780.38</v>
      </c>
      <c r="M1512" s="42" t="n">
        <v>3</v>
      </c>
      <c r="N1512" s="42" t="s">
        <v>146</v>
      </c>
      <c r="O1512" s="42" t="s">
        <v>147</v>
      </c>
      <c r="P1512" s="39" t="n">
        <f aca="false">C1512-B1512</f>
        <v>1</v>
      </c>
      <c r="Q1512" s="40" t="str">
        <f aca="false">CHOOSE(MONTH(B1512),"يناير","فبراير","مارس","أبريل","مايو","يونيو","يوليو","أغسطس","سبتمبر","أكتوبر","نوفمبر","ديسمبر")</f>
        <v>سبتمبر</v>
      </c>
      <c r="R1512" s="40" t="str">
        <f aca="false">"الربع "&amp;ROUNDUP(MONTH(B1512)/3,0)</f>
        <v>الربع 3</v>
      </c>
      <c r="S1512" s="40" t="str">
        <f aca="false">IF(D1512&lt;=12,"أطفال (0-12)",IF(D1512&lt;=24,"شباب (13-24)",IF(D1512&lt;=44,"بالغون (25-44)",IF(D1512&lt;=64,"متوسطو العمر (45-64)","كبار السن (+65)"))))</f>
        <v>شباب (13-24)</v>
      </c>
      <c r="T1512" s="41" t="n">
        <f aca="false">IFERROR(L1512/P1512,0)</f>
        <v>2780.38</v>
      </c>
    </row>
    <row r="1513" customFormat="false" ht="15" hidden="false" customHeight="false" outlineLevel="0" collapsed="false">
      <c r="A1513" s="33" t="s">
        <v>2024</v>
      </c>
      <c r="B1513" s="34" t="n">
        <v>45557</v>
      </c>
      <c r="C1513" s="34" t="n">
        <v>45564</v>
      </c>
      <c r="D1513" s="33" t="n">
        <v>19</v>
      </c>
      <c r="E1513" s="33" t="s">
        <v>139</v>
      </c>
      <c r="F1513" s="33" t="s">
        <v>173</v>
      </c>
      <c r="G1513" s="33" t="s">
        <v>198</v>
      </c>
      <c r="H1513" s="33" t="s">
        <v>199</v>
      </c>
      <c r="I1513" s="33" t="s">
        <v>152</v>
      </c>
      <c r="J1513" s="33" t="s">
        <v>159</v>
      </c>
      <c r="K1513" s="33" t="s">
        <v>145</v>
      </c>
      <c r="L1513" s="35" t="n">
        <v>21942.27</v>
      </c>
      <c r="M1513" s="33" t="n">
        <v>4</v>
      </c>
      <c r="N1513" s="33" t="s">
        <v>146</v>
      </c>
      <c r="O1513" s="33" t="s">
        <v>147</v>
      </c>
      <c r="P1513" s="39" t="n">
        <f aca="false">C1513-B1513</f>
        <v>7</v>
      </c>
      <c r="Q1513" s="40" t="str">
        <f aca="false">CHOOSE(MONTH(B1513),"يناير","فبراير","مارس","أبريل","مايو","يونيو","يوليو","أغسطس","سبتمبر","أكتوبر","نوفمبر","ديسمبر")</f>
        <v>سبتمبر</v>
      </c>
      <c r="R1513" s="40" t="str">
        <f aca="false">"الربع "&amp;ROUNDUP(MONTH(B1513)/3,0)</f>
        <v>الربع 3</v>
      </c>
      <c r="S1513" s="40" t="str">
        <f aca="false">IF(D1513&lt;=12,"أطفال (0-12)",IF(D1513&lt;=24,"شباب (13-24)",IF(D1513&lt;=44,"بالغون (25-44)",IF(D1513&lt;=64,"متوسطو العمر (45-64)","كبار السن (+65)"))))</f>
        <v>شباب (13-24)</v>
      </c>
      <c r="T1513" s="41" t="n">
        <f aca="false">IFERROR(L1513/P1513,0)</f>
        <v>3134.61</v>
      </c>
    </row>
    <row r="1514" customFormat="false" ht="15" hidden="false" customHeight="false" outlineLevel="0" collapsed="false">
      <c r="A1514" s="42" t="s">
        <v>2171</v>
      </c>
      <c r="B1514" s="43" t="n">
        <v>45557</v>
      </c>
      <c r="C1514" s="43" t="n">
        <v>45563</v>
      </c>
      <c r="D1514" s="42" t="n">
        <v>68</v>
      </c>
      <c r="E1514" s="42" t="s">
        <v>154</v>
      </c>
      <c r="F1514" s="42" t="s">
        <v>169</v>
      </c>
      <c r="G1514" s="42" t="s">
        <v>213</v>
      </c>
      <c r="H1514" s="42" t="s">
        <v>171</v>
      </c>
      <c r="I1514" s="42" t="s">
        <v>152</v>
      </c>
      <c r="J1514" s="42" t="s">
        <v>176</v>
      </c>
      <c r="K1514" s="42" t="s">
        <v>145</v>
      </c>
      <c r="L1514" s="44" t="n">
        <v>21625.74</v>
      </c>
      <c r="M1514" s="42" t="n">
        <v>5</v>
      </c>
      <c r="N1514" s="42" t="s">
        <v>146</v>
      </c>
      <c r="O1514" s="42" t="s">
        <v>147</v>
      </c>
      <c r="P1514" s="39" t="n">
        <f aca="false">C1514-B1514</f>
        <v>6</v>
      </c>
      <c r="Q1514" s="40" t="str">
        <f aca="false">CHOOSE(MONTH(B1514),"يناير","فبراير","مارس","أبريل","مايو","يونيو","يوليو","أغسطس","سبتمبر","أكتوبر","نوفمبر","ديسمبر")</f>
        <v>سبتمبر</v>
      </c>
      <c r="R1514" s="40" t="str">
        <f aca="false">"الربع "&amp;ROUNDUP(MONTH(B1514)/3,0)</f>
        <v>الربع 3</v>
      </c>
      <c r="S1514" s="40" t="str">
        <f aca="false">IF(D1514&lt;=12,"أطفال (0-12)",IF(D1514&lt;=24,"شباب (13-24)",IF(D1514&lt;=44,"بالغون (25-44)",IF(D1514&lt;=64,"متوسطو العمر (45-64)","كبار السن (+65)"))))</f>
        <v>كبار السن (+65)</v>
      </c>
      <c r="T1514" s="41" t="n">
        <f aca="false">IFERROR(L1514/P1514,0)</f>
        <v>3604.29</v>
      </c>
    </row>
    <row r="1515" customFormat="false" ht="15" hidden="false" customHeight="false" outlineLevel="0" collapsed="false">
      <c r="A1515" s="33" t="s">
        <v>2058</v>
      </c>
      <c r="B1515" s="34" t="n">
        <v>45557</v>
      </c>
      <c r="C1515" s="34" t="n">
        <v>45560</v>
      </c>
      <c r="D1515" s="33" t="n">
        <v>49</v>
      </c>
      <c r="E1515" s="33" t="s">
        <v>139</v>
      </c>
      <c r="F1515" s="33" t="s">
        <v>203</v>
      </c>
      <c r="G1515" s="33" t="s">
        <v>192</v>
      </c>
      <c r="H1515" s="33" t="s">
        <v>193</v>
      </c>
      <c r="I1515" s="33" t="s">
        <v>143</v>
      </c>
      <c r="J1515" s="33" t="s">
        <v>159</v>
      </c>
      <c r="K1515" s="33" t="s">
        <v>160</v>
      </c>
      <c r="L1515" s="35" t="n">
        <v>2448.02</v>
      </c>
      <c r="M1515" s="33" t="n">
        <v>4</v>
      </c>
      <c r="N1515" s="33" t="s">
        <v>146</v>
      </c>
      <c r="O1515" s="33" t="s">
        <v>247</v>
      </c>
      <c r="P1515" s="39" t="n">
        <f aca="false">C1515-B1515</f>
        <v>3</v>
      </c>
      <c r="Q1515" s="40" t="str">
        <f aca="false">CHOOSE(MONTH(B1515),"يناير","فبراير","مارس","أبريل","مايو","يونيو","يوليو","أغسطس","سبتمبر","أكتوبر","نوفمبر","ديسمبر")</f>
        <v>سبتمبر</v>
      </c>
      <c r="R1515" s="40" t="str">
        <f aca="false">"الربع "&amp;ROUNDUP(MONTH(B1515)/3,0)</f>
        <v>الربع 3</v>
      </c>
      <c r="S1515" s="40" t="str">
        <f aca="false">IF(D1515&lt;=12,"أطفال (0-12)",IF(D1515&lt;=24,"شباب (13-24)",IF(D1515&lt;=44,"بالغون (25-44)",IF(D1515&lt;=64,"متوسطو العمر (45-64)","كبار السن (+65)"))))</f>
        <v>متوسطو العمر (45-64)</v>
      </c>
      <c r="T1515" s="41" t="n">
        <f aca="false">IFERROR(L1515/P1515,0)</f>
        <v>816.006666666667</v>
      </c>
    </row>
    <row r="1516" customFormat="false" ht="15" hidden="false" customHeight="false" outlineLevel="0" collapsed="false">
      <c r="A1516" s="42" t="s">
        <v>1438</v>
      </c>
      <c r="B1516" s="43" t="n">
        <v>45558</v>
      </c>
      <c r="C1516" s="43" t="n">
        <v>45559</v>
      </c>
      <c r="D1516" s="42" t="n">
        <v>23</v>
      </c>
      <c r="E1516" s="42" t="s">
        <v>154</v>
      </c>
      <c r="F1516" s="42" t="s">
        <v>203</v>
      </c>
      <c r="G1516" s="42" t="s">
        <v>232</v>
      </c>
      <c r="H1516" s="42" t="s">
        <v>233</v>
      </c>
      <c r="I1516" s="42" t="s">
        <v>143</v>
      </c>
      <c r="J1516" s="42" t="s">
        <v>159</v>
      </c>
      <c r="K1516" s="42" t="s">
        <v>145</v>
      </c>
      <c r="L1516" s="44" t="n">
        <v>826.89</v>
      </c>
      <c r="M1516" s="42" t="n">
        <v>3</v>
      </c>
      <c r="N1516" s="42" t="s">
        <v>146</v>
      </c>
      <c r="O1516" s="42" t="s">
        <v>247</v>
      </c>
      <c r="P1516" s="39" t="n">
        <f aca="false">C1516-B1516</f>
        <v>1</v>
      </c>
      <c r="Q1516" s="40" t="str">
        <f aca="false">CHOOSE(MONTH(B1516),"يناير","فبراير","مارس","أبريل","مايو","يونيو","يوليو","أغسطس","سبتمبر","أكتوبر","نوفمبر","ديسمبر")</f>
        <v>سبتمبر</v>
      </c>
      <c r="R1516" s="40" t="str">
        <f aca="false">"الربع "&amp;ROUNDUP(MONTH(B1516)/3,0)</f>
        <v>الربع 3</v>
      </c>
      <c r="S1516" s="40" t="str">
        <f aca="false">IF(D1516&lt;=12,"أطفال (0-12)",IF(D1516&lt;=24,"شباب (13-24)",IF(D1516&lt;=44,"بالغون (25-44)",IF(D1516&lt;=64,"متوسطو العمر (45-64)","كبار السن (+65)"))))</f>
        <v>شباب (13-24)</v>
      </c>
      <c r="T1516" s="41" t="n">
        <f aca="false">IFERROR(L1516/P1516,0)</f>
        <v>826.89</v>
      </c>
    </row>
    <row r="1517" customFormat="false" ht="15" hidden="false" customHeight="false" outlineLevel="0" collapsed="false">
      <c r="A1517" s="33" t="s">
        <v>527</v>
      </c>
      <c r="B1517" s="34" t="n">
        <v>45558</v>
      </c>
      <c r="C1517" s="34" t="n">
        <v>45559</v>
      </c>
      <c r="D1517" s="33" t="n">
        <v>55</v>
      </c>
      <c r="E1517" s="33" t="s">
        <v>154</v>
      </c>
      <c r="F1517" s="33" t="s">
        <v>203</v>
      </c>
      <c r="G1517" s="33" t="s">
        <v>232</v>
      </c>
      <c r="H1517" s="33" t="s">
        <v>193</v>
      </c>
      <c r="I1517" s="33" t="s">
        <v>143</v>
      </c>
      <c r="J1517" s="33" t="s">
        <v>159</v>
      </c>
      <c r="K1517" s="33" t="s">
        <v>145</v>
      </c>
      <c r="L1517" s="35" t="n">
        <v>994.22</v>
      </c>
      <c r="M1517" s="33" t="n">
        <v>4</v>
      </c>
      <c r="N1517" s="33" t="s">
        <v>146</v>
      </c>
      <c r="O1517" s="33" t="s">
        <v>147</v>
      </c>
      <c r="P1517" s="39" t="n">
        <f aca="false">C1517-B1517</f>
        <v>1</v>
      </c>
      <c r="Q1517" s="40" t="str">
        <f aca="false">CHOOSE(MONTH(B1517),"يناير","فبراير","مارس","أبريل","مايو","يونيو","يوليو","أغسطس","سبتمبر","أكتوبر","نوفمبر","ديسمبر")</f>
        <v>سبتمبر</v>
      </c>
      <c r="R1517" s="40" t="str">
        <f aca="false">"الربع "&amp;ROUNDUP(MONTH(B1517)/3,0)</f>
        <v>الربع 3</v>
      </c>
      <c r="S1517" s="40" t="str">
        <f aca="false">IF(D1517&lt;=12,"أطفال (0-12)",IF(D1517&lt;=24,"شباب (13-24)",IF(D1517&lt;=44,"بالغون (25-44)",IF(D1517&lt;=64,"متوسطو العمر (45-64)","كبار السن (+65)"))))</f>
        <v>متوسطو العمر (45-64)</v>
      </c>
      <c r="T1517" s="41" t="n">
        <f aca="false">IFERROR(L1517/P1517,0)</f>
        <v>994.22</v>
      </c>
    </row>
    <row r="1518" customFormat="false" ht="15" hidden="false" customHeight="false" outlineLevel="0" collapsed="false">
      <c r="A1518" s="42" t="s">
        <v>1943</v>
      </c>
      <c r="B1518" s="43" t="n">
        <v>45558</v>
      </c>
      <c r="C1518" s="43" t="n">
        <v>45563</v>
      </c>
      <c r="D1518" s="42" t="n">
        <v>32</v>
      </c>
      <c r="E1518" s="42" t="s">
        <v>154</v>
      </c>
      <c r="F1518" s="42" t="s">
        <v>169</v>
      </c>
      <c r="G1518" s="42" t="s">
        <v>213</v>
      </c>
      <c r="H1518" s="42" t="s">
        <v>171</v>
      </c>
      <c r="I1518" s="42" t="s">
        <v>152</v>
      </c>
      <c r="J1518" s="42" t="s">
        <v>159</v>
      </c>
      <c r="K1518" s="42" t="s">
        <v>160</v>
      </c>
      <c r="L1518" s="44" t="n">
        <v>6059.13</v>
      </c>
      <c r="M1518" s="42" t="n">
        <v>5</v>
      </c>
      <c r="N1518" s="42" t="s">
        <v>146</v>
      </c>
      <c r="O1518" s="42" t="s">
        <v>147</v>
      </c>
      <c r="P1518" s="39" t="n">
        <f aca="false">C1518-B1518</f>
        <v>5</v>
      </c>
      <c r="Q1518" s="40" t="str">
        <f aca="false">CHOOSE(MONTH(B1518),"يناير","فبراير","مارس","أبريل","مايو","يونيو","يوليو","أغسطس","سبتمبر","أكتوبر","نوفمبر","ديسمبر")</f>
        <v>سبتمبر</v>
      </c>
      <c r="R1518" s="40" t="str">
        <f aca="false">"الربع "&amp;ROUNDUP(MONTH(B1518)/3,0)</f>
        <v>الربع 3</v>
      </c>
      <c r="S1518" s="40" t="str">
        <f aca="false">IF(D1518&lt;=12,"أطفال (0-12)",IF(D1518&lt;=24,"شباب (13-24)",IF(D1518&lt;=44,"بالغون (25-44)",IF(D1518&lt;=64,"متوسطو العمر (45-64)","كبار السن (+65)"))))</f>
        <v>بالغون (25-44)</v>
      </c>
      <c r="T1518" s="41" t="n">
        <f aca="false">IFERROR(L1518/P1518,0)</f>
        <v>1211.826</v>
      </c>
    </row>
    <row r="1519" customFormat="false" ht="15" hidden="false" customHeight="false" outlineLevel="0" collapsed="false">
      <c r="A1519" s="33" t="s">
        <v>1400</v>
      </c>
      <c r="B1519" s="34" t="n">
        <v>45558</v>
      </c>
      <c r="C1519" s="34" t="n">
        <v>45560</v>
      </c>
      <c r="D1519" s="33" t="n">
        <v>31</v>
      </c>
      <c r="E1519" s="33" t="s">
        <v>139</v>
      </c>
      <c r="F1519" s="33" t="s">
        <v>226</v>
      </c>
      <c r="G1519" s="33" t="s">
        <v>227</v>
      </c>
      <c r="H1519" s="33" t="s">
        <v>228</v>
      </c>
      <c r="I1519" s="33" t="s">
        <v>143</v>
      </c>
      <c r="J1519" s="33" t="s">
        <v>144</v>
      </c>
      <c r="K1519" s="33" t="s">
        <v>145</v>
      </c>
      <c r="L1519" s="35" t="n">
        <v>14705.1</v>
      </c>
      <c r="M1519" s="33" t="n">
        <v>4</v>
      </c>
      <c r="N1519" s="33" t="s">
        <v>146</v>
      </c>
      <c r="O1519" s="33" t="s">
        <v>147</v>
      </c>
      <c r="P1519" s="39" t="n">
        <f aca="false">C1519-B1519</f>
        <v>2</v>
      </c>
      <c r="Q1519" s="40" t="str">
        <f aca="false">CHOOSE(MONTH(B1519),"يناير","فبراير","مارس","أبريل","مايو","يونيو","يوليو","أغسطس","سبتمبر","أكتوبر","نوفمبر","ديسمبر")</f>
        <v>سبتمبر</v>
      </c>
      <c r="R1519" s="40" t="str">
        <f aca="false">"الربع "&amp;ROUNDUP(MONTH(B1519)/3,0)</f>
        <v>الربع 3</v>
      </c>
      <c r="S1519" s="40" t="str">
        <f aca="false">IF(D1519&lt;=12,"أطفال (0-12)",IF(D1519&lt;=24,"شباب (13-24)",IF(D1519&lt;=44,"بالغون (25-44)",IF(D1519&lt;=64,"متوسطو العمر (45-64)","كبار السن (+65)"))))</f>
        <v>بالغون (25-44)</v>
      </c>
      <c r="T1519" s="41" t="n">
        <f aca="false">IFERROR(L1519/P1519,0)</f>
        <v>7352.55</v>
      </c>
    </row>
    <row r="1520" customFormat="false" ht="15" hidden="false" customHeight="false" outlineLevel="0" collapsed="false">
      <c r="A1520" s="42" t="s">
        <v>2281</v>
      </c>
      <c r="B1520" s="43" t="n">
        <v>45559</v>
      </c>
      <c r="C1520" s="43" t="n">
        <v>45568</v>
      </c>
      <c r="D1520" s="42" t="n">
        <v>60</v>
      </c>
      <c r="E1520" s="42" t="s">
        <v>139</v>
      </c>
      <c r="F1520" s="42" t="s">
        <v>181</v>
      </c>
      <c r="G1520" s="42" t="s">
        <v>188</v>
      </c>
      <c r="H1520" s="42" t="s">
        <v>183</v>
      </c>
      <c r="I1520" s="42" t="s">
        <v>158</v>
      </c>
      <c r="J1520" s="42" t="s">
        <v>159</v>
      </c>
      <c r="K1520" s="42" t="s">
        <v>209</v>
      </c>
      <c r="L1520" s="44" t="n">
        <v>22012.3</v>
      </c>
      <c r="M1520" s="42" t="n">
        <v>4</v>
      </c>
      <c r="N1520" s="42" t="s">
        <v>146</v>
      </c>
      <c r="O1520" s="42" t="s">
        <v>147</v>
      </c>
      <c r="P1520" s="39" t="n">
        <f aca="false">C1520-B1520</f>
        <v>9</v>
      </c>
      <c r="Q1520" s="40" t="str">
        <f aca="false">CHOOSE(MONTH(B1520),"يناير","فبراير","مارس","أبريل","مايو","يونيو","يوليو","أغسطس","سبتمبر","أكتوبر","نوفمبر","ديسمبر")</f>
        <v>سبتمبر</v>
      </c>
      <c r="R1520" s="40" t="str">
        <f aca="false">"الربع "&amp;ROUNDUP(MONTH(B1520)/3,0)</f>
        <v>الربع 3</v>
      </c>
      <c r="S1520" s="40" t="str">
        <f aca="false">IF(D1520&lt;=12,"أطفال (0-12)",IF(D1520&lt;=24,"شباب (13-24)",IF(D1520&lt;=44,"بالغون (25-44)",IF(D1520&lt;=64,"متوسطو العمر (45-64)","كبار السن (+65)"))))</f>
        <v>متوسطو العمر (45-64)</v>
      </c>
      <c r="T1520" s="41" t="n">
        <f aca="false">IFERROR(L1520/P1520,0)</f>
        <v>2445.81111111111</v>
      </c>
    </row>
    <row r="1521" customFormat="false" ht="15" hidden="false" customHeight="false" outlineLevel="0" collapsed="false">
      <c r="A1521" s="33" t="s">
        <v>558</v>
      </c>
      <c r="B1521" s="34" t="n">
        <v>45559</v>
      </c>
      <c r="C1521" s="34" t="n">
        <v>45560</v>
      </c>
      <c r="D1521" s="33" t="n">
        <v>8</v>
      </c>
      <c r="E1521" s="33" t="s">
        <v>139</v>
      </c>
      <c r="F1521" s="33" t="s">
        <v>155</v>
      </c>
      <c r="G1521" s="33" t="s">
        <v>220</v>
      </c>
      <c r="H1521" s="33" t="s">
        <v>157</v>
      </c>
      <c r="I1521" s="33" t="s">
        <v>152</v>
      </c>
      <c r="J1521" s="33" t="s">
        <v>159</v>
      </c>
      <c r="K1521" s="33" t="s">
        <v>160</v>
      </c>
      <c r="L1521" s="35" t="n">
        <v>913.35</v>
      </c>
      <c r="M1521" s="33" t="n">
        <v>5</v>
      </c>
      <c r="N1521" s="33" t="s">
        <v>146</v>
      </c>
      <c r="O1521" s="33" t="s">
        <v>147</v>
      </c>
      <c r="P1521" s="39" t="n">
        <f aca="false">C1521-B1521</f>
        <v>1</v>
      </c>
      <c r="Q1521" s="40" t="str">
        <f aca="false">CHOOSE(MONTH(B1521),"يناير","فبراير","مارس","أبريل","مايو","يونيو","يوليو","أغسطس","سبتمبر","أكتوبر","نوفمبر","ديسمبر")</f>
        <v>سبتمبر</v>
      </c>
      <c r="R1521" s="40" t="str">
        <f aca="false">"الربع "&amp;ROUNDUP(MONTH(B1521)/3,0)</f>
        <v>الربع 3</v>
      </c>
      <c r="S1521" s="40" t="str">
        <f aca="false">IF(D1521&lt;=12,"أطفال (0-12)",IF(D1521&lt;=24,"شباب (13-24)",IF(D1521&lt;=44,"بالغون (25-44)",IF(D1521&lt;=64,"متوسطو العمر (45-64)","كبار السن (+65)"))))</f>
        <v>أطفال (0-12)</v>
      </c>
      <c r="T1521" s="41" t="n">
        <f aca="false">IFERROR(L1521/P1521,0)</f>
        <v>913.35</v>
      </c>
    </row>
    <row r="1522" customFormat="false" ht="15" hidden="false" customHeight="false" outlineLevel="0" collapsed="false">
      <c r="A1522" s="42" t="s">
        <v>2122</v>
      </c>
      <c r="B1522" s="43" t="n">
        <v>45559</v>
      </c>
      <c r="C1522" s="43" t="n">
        <v>45562</v>
      </c>
      <c r="D1522" s="42" t="n">
        <v>31</v>
      </c>
      <c r="E1522" s="42" t="s">
        <v>139</v>
      </c>
      <c r="F1522" s="42" t="s">
        <v>169</v>
      </c>
      <c r="G1522" s="42" t="s">
        <v>230</v>
      </c>
      <c r="H1522" s="42" t="s">
        <v>171</v>
      </c>
      <c r="I1522" s="42" t="s">
        <v>152</v>
      </c>
      <c r="J1522" s="42" t="s">
        <v>159</v>
      </c>
      <c r="K1522" s="42" t="s">
        <v>145</v>
      </c>
      <c r="L1522" s="44" t="n">
        <v>3313.89</v>
      </c>
      <c r="M1522" s="42" t="n">
        <v>5</v>
      </c>
      <c r="N1522" s="42" t="s">
        <v>146</v>
      </c>
      <c r="O1522" s="42" t="s">
        <v>147</v>
      </c>
      <c r="P1522" s="39" t="n">
        <f aca="false">C1522-B1522</f>
        <v>3</v>
      </c>
      <c r="Q1522" s="40" t="str">
        <f aca="false">CHOOSE(MONTH(B1522),"يناير","فبراير","مارس","أبريل","مايو","يونيو","يوليو","أغسطس","سبتمبر","أكتوبر","نوفمبر","ديسمبر")</f>
        <v>سبتمبر</v>
      </c>
      <c r="R1522" s="40" t="str">
        <f aca="false">"الربع "&amp;ROUNDUP(MONTH(B1522)/3,0)</f>
        <v>الربع 3</v>
      </c>
      <c r="S1522" s="40" t="str">
        <f aca="false">IF(D1522&lt;=12,"أطفال (0-12)",IF(D1522&lt;=24,"شباب (13-24)",IF(D1522&lt;=44,"بالغون (25-44)",IF(D1522&lt;=64,"متوسطو العمر (45-64)","كبار السن (+65)"))))</f>
        <v>بالغون (25-44)</v>
      </c>
      <c r="T1522" s="41" t="n">
        <f aca="false">IFERROR(L1522/P1522,0)</f>
        <v>1104.63</v>
      </c>
    </row>
    <row r="1523" customFormat="false" ht="15" hidden="false" customHeight="false" outlineLevel="0" collapsed="false">
      <c r="A1523" s="33" t="s">
        <v>1329</v>
      </c>
      <c r="B1523" s="34" t="n">
        <v>45559</v>
      </c>
      <c r="C1523" s="34" t="n">
        <v>45568</v>
      </c>
      <c r="D1523" s="33" t="n">
        <v>66</v>
      </c>
      <c r="E1523" s="33" t="s">
        <v>139</v>
      </c>
      <c r="F1523" s="33" t="s">
        <v>181</v>
      </c>
      <c r="G1523" s="33" t="s">
        <v>188</v>
      </c>
      <c r="H1523" s="33" t="s">
        <v>245</v>
      </c>
      <c r="I1523" s="33" t="s">
        <v>143</v>
      </c>
      <c r="J1523" s="33" t="s">
        <v>159</v>
      </c>
      <c r="K1523" s="33" t="s">
        <v>160</v>
      </c>
      <c r="L1523" s="35" t="n">
        <v>21553.74</v>
      </c>
      <c r="M1523" s="33" t="n">
        <v>4</v>
      </c>
      <c r="N1523" s="33" t="s">
        <v>146</v>
      </c>
      <c r="O1523" s="33" t="s">
        <v>147</v>
      </c>
      <c r="P1523" s="39" t="n">
        <f aca="false">C1523-B1523</f>
        <v>9</v>
      </c>
      <c r="Q1523" s="40" t="str">
        <f aca="false">CHOOSE(MONTH(B1523),"يناير","فبراير","مارس","أبريل","مايو","يونيو","يوليو","أغسطس","سبتمبر","أكتوبر","نوفمبر","ديسمبر")</f>
        <v>سبتمبر</v>
      </c>
      <c r="R1523" s="40" t="str">
        <f aca="false">"الربع "&amp;ROUNDUP(MONTH(B1523)/3,0)</f>
        <v>الربع 3</v>
      </c>
      <c r="S1523" s="40" t="str">
        <f aca="false">IF(D1523&lt;=12,"أطفال (0-12)",IF(D1523&lt;=24,"شباب (13-24)",IF(D1523&lt;=44,"بالغون (25-44)",IF(D1523&lt;=64,"متوسطو العمر (45-64)","كبار السن (+65)"))))</f>
        <v>كبار السن (+65)</v>
      </c>
      <c r="T1523" s="41" t="n">
        <f aca="false">IFERROR(L1523/P1523,0)</f>
        <v>2394.86</v>
      </c>
    </row>
    <row r="1524" customFormat="false" ht="15" hidden="false" customHeight="false" outlineLevel="0" collapsed="false">
      <c r="A1524" s="42" t="s">
        <v>1266</v>
      </c>
      <c r="B1524" s="43" t="n">
        <v>45559</v>
      </c>
      <c r="C1524" s="43" t="n">
        <v>45561</v>
      </c>
      <c r="D1524" s="42" t="n">
        <v>10</v>
      </c>
      <c r="E1524" s="42" t="s">
        <v>139</v>
      </c>
      <c r="F1524" s="42" t="s">
        <v>155</v>
      </c>
      <c r="G1524" s="42" t="s">
        <v>302</v>
      </c>
      <c r="H1524" s="42" t="s">
        <v>157</v>
      </c>
      <c r="I1524" s="42" t="s">
        <v>143</v>
      </c>
      <c r="J1524" s="42" t="s">
        <v>159</v>
      </c>
      <c r="K1524" s="42" t="s">
        <v>145</v>
      </c>
      <c r="L1524" s="44" t="n">
        <v>1821.77</v>
      </c>
      <c r="M1524" s="42" t="n">
        <v>3</v>
      </c>
      <c r="N1524" s="42" t="s">
        <v>146</v>
      </c>
      <c r="O1524" s="42" t="s">
        <v>147</v>
      </c>
      <c r="P1524" s="39" t="n">
        <f aca="false">C1524-B1524</f>
        <v>2</v>
      </c>
      <c r="Q1524" s="40" t="str">
        <f aca="false">CHOOSE(MONTH(B1524),"يناير","فبراير","مارس","أبريل","مايو","يونيو","يوليو","أغسطس","سبتمبر","أكتوبر","نوفمبر","ديسمبر")</f>
        <v>سبتمبر</v>
      </c>
      <c r="R1524" s="40" t="str">
        <f aca="false">"الربع "&amp;ROUNDUP(MONTH(B1524)/3,0)</f>
        <v>الربع 3</v>
      </c>
      <c r="S1524" s="40" t="str">
        <f aca="false">IF(D1524&lt;=12,"أطفال (0-12)",IF(D1524&lt;=24,"شباب (13-24)",IF(D1524&lt;=44,"بالغون (25-44)",IF(D1524&lt;=64,"متوسطو العمر (45-64)","كبار السن (+65)"))))</f>
        <v>أطفال (0-12)</v>
      </c>
      <c r="T1524" s="41" t="n">
        <f aca="false">IFERROR(L1524/P1524,0)</f>
        <v>910.885</v>
      </c>
    </row>
    <row r="1525" customFormat="false" ht="15" hidden="false" customHeight="false" outlineLevel="0" collapsed="false">
      <c r="A1525" s="33" t="s">
        <v>802</v>
      </c>
      <c r="B1525" s="34" t="n">
        <v>45560</v>
      </c>
      <c r="C1525" s="34" t="n">
        <v>45571</v>
      </c>
      <c r="D1525" s="33" t="n">
        <v>63</v>
      </c>
      <c r="E1525" s="33" t="s">
        <v>154</v>
      </c>
      <c r="F1525" s="33" t="s">
        <v>181</v>
      </c>
      <c r="G1525" s="33" t="s">
        <v>188</v>
      </c>
      <c r="H1525" s="33" t="s">
        <v>245</v>
      </c>
      <c r="I1525" s="33" t="s">
        <v>143</v>
      </c>
      <c r="J1525" s="33" t="s">
        <v>159</v>
      </c>
      <c r="K1525" s="33" t="s">
        <v>145</v>
      </c>
      <c r="L1525" s="35" t="n">
        <v>21870.7</v>
      </c>
      <c r="M1525" s="33" t="n">
        <v>4</v>
      </c>
      <c r="N1525" s="33" t="s">
        <v>146</v>
      </c>
      <c r="O1525" s="33" t="s">
        <v>147</v>
      </c>
      <c r="P1525" s="39" t="n">
        <f aca="false">C1525-B1525</f>
        <v>11</v>
      </c>
      <c r="Q1525" s="40" t="str">
        <f aca="false">CHOOSE(MONTH(B1525),"يناير","فبراير","مارس","أبريل","مايو","يونيو","يوليو","أغسطس","سبتمبر","أكتوبر","نوفمبر","ديسمبر")</f>
        <v>سبتمبر</v>
      </c>
      <c r="R1525" s="40" t="str">
        <f aca="false">"الربع "&amp;ROUNDUP(MONTH(B1525)/3,0)</f>
        <v>الربع 3</v>
      </c>
      <c r="S1525" s="40" t="str">
        <f aca="false">IF(D1525&lt;=12,"أطفال (0-12)",IF(D1525&lt;=24,"شباب (13-24)",IF(D1525&lt;=44,"بالغون (25-44)",IF(D1525&lt;=64,"متوسطو العمر (45-64)","كبار السن (+65)"))))</f>
        <v>متوسطو العمر (45-64)</v>
      </c>
      <c r="T1525" s="41" t="n">
        <f aca="false">IFERROR(L1525/P1525,0)</f>
        <v>1988.24545454545</v>
      </c>
    </row>
    <row r="1526" customFormat="false" ht="15" hidden="false" customHeight="false" outlineLevel="0" collapsed="false">
      <c r="A1526" s="42" t="s">
        <v>1091</v>
      </c>
      <c r="B1526" s="43" t="n">
        <v>45560</v>
      </c>
      <c r="C1526" s="43" t="n">
        <v>45561</v>
      </c>
      <c r="D1526" s="42" t="n">
        <v>0</v>
      </c>
      <c r="E1526" s="42" t="s">
        <v>139</v>
      </c>
      <c r="F1526" s="42" t="s">
        <v>203</v>
      </c>
      <c r="G1526" s="42" t="s">
        <v>204</v>
      </c>
      <c r="H1526" s="42" t="s">
        <v>205</v>
      </c>
      <c r="I1526" s="42" t="s">
        <v>143</v>
      </c>
      <c r="J1526" s="42" t="s">
        <v>176</v>
      </c>
      <c r="K1526" s="42" t="s">
        <v>145</v>
      </c>
      <c r="L1526" s="44" t="n">
        <v>3468.93</v>
      </c>
      <c r="M1526" s="42" t="n">
        <v>4</v>
      </c>
      <c r="N1526" s="42" t="s">
        <v>146</v>
      </c>
      <c r="O1526" s="42" t="s">
        <v>147</v>
      </c>
      <c r="P1526" s="39" t="n">
        <f aca="false">C1526-B1526</f>
        <v>1</v>
      </c>
      <c r="Q1526" s="40" t="str">
        <f aca="false">CHOOSE(MONTH(B1526),"يناير","فبراير","مارس","أبريل","مايو","يونيو","يوليو","أغسطس","سبتمبر","أكتوبر","نوفمبر","ديسمبر")</f>
        <v>سبتمبر</v>
      </c>
      <c r="R1526" s="40" t="str">
        <f aca="false">"الربع "&amp;ROUNDUP(MONTH(B1526)/3,0)</f>
        <v>الربع 3</v>
      </c>
      <c r="S1526" s="40" t="str">
        <f aca="false">IF(D1526&lt;=12,"أطفال (0-12)",IF(D1526&lt;=24,"شباب (13-24)",IF(D1526&lt;=44,"بالغون (25-44)",IF(D1526&lt;=64,"متوسطو العمر (45-64)","كبار السن (+65)"))))</f>
        <v>أطفال (0-12)</v>
      </c>
      <c r="T1526" s="41" t="n">
        <f aca="false">IFERROR(L1526/P1526,0)</f>
        <v>3468.93</v>
      </c>
    </row>
    <row r="1527" customFormat="false" ht="15" hidden="false" customHeight="false" outlineLevel="0" collapsed="false">
      <c r="A1527" s="33" t="s">
        <v>1318</v>
      </c>
      <c r="B1527" s="34" t="n">
        <v>45560</v>
      </c>
      <c r="C1527" s="34" t="n">
        <v>45562</v>
      </c>
      <c r="D1527" s="33" t="n">
        <v>45</v>
      </c>
      <c r="E1527" s="33" t="s">
        <v>139</v>
      </c>
      <c r="F1527" s="33" t="s">
        <v>169</v>
      </c>
      <c r="G1527" s="33" t="s">
        <v>170</v>
      </c>
      <c r="H1527" s="33" t="s">
        <v>171</v>
      </c>
      <c r="I1527" s="33" t="s">
        <v>143</v>
      </c>
      <c r="J1527" s="33" t="s">
        <v>159</v>
      </c>
      <c r="K1527" s="33" t="s">
        <v>160</v>
      </c>
      <c r="L1527" s="35" t="n">
        <v>2424.9</v>
      </c>
      <c r="M1527" s="33" t="n">
        <v>4</v>
      </c>
      <c r="N1527" s="33" t="s">
        <v>146</v>
      </c>
      <c r="O1527" s="33" t="s">
        <v>247</v>
      </c>
      <c r="P1527" s="39" t="n">
        <f aca="false">C1527-B1527</f>
        <v>2</v>
      </c>
      <c r="Q1527" s="40" t="str">
        <f aca="false">CHOOSE(MONTH(B1527),"يناير","فبراير","مارس","أبريل","مايو","يونيو","يوليو","أغسطس","سبتمبر","أكتوبر","نوفمبر","ديسمبر")</f>
        <v>سبتمبر</v>
      </c>
      <c r="R1527" s="40" t="str">
        <f aca="false">"الربع "&amp;ROUNDUP(MONTH(B1527)/3,0)</f>
        <v>الربع 3</v>
      </c>
      <c r="S1527" s="40" t="str">
        <f aca="false">IF(D1527&lt;=12,"أطفال (0-12)",IF(D1527&lt;=24,"شباب (13-24)",IF(D1527&lt;=44,"بالغون (25-44)",IF(D1527&lt;=64,"متوسطو العمر (45-64)","كبار السن (+65)"))))</f>
        <v>متوسطو العمر (45-64)</v>
      </c>
      <c r="T1527" s="41" t="n">
        <f aca="false">IFERROR(L1527/P1527,0)</f>
        <v>1212.45</v>
      </c>
    </row>
    <row r="1528" customFormat="false" ht="15" hidden="false" customHeight="false" outlineLevel="0" collapsed="false">
      <c r="A1528" s="42" t="s">
        <v>580</v>
      </c>
      <c r="B1528" s="43" t="n">
        <v>45560</v>
      </c>
      <c r="C1528" s="43" t="n">
        <v>45568</v>
      </c>
      <c r="D1528" s="42" t="n">
        <v>34</v>
      </c>
      <c r="E1528" s="42" t="s">
        <v>154</v>
      </c>
      <c r="F1528" s="42" t="s">
        <v>173</v>
      </c>
      <c r="G1528" s="42" t="s">
        <v>178</v>
      </c>
      <c r="H1528" s="42" t="s">
        <v>199</v>
      </c>
      <c r="I1528" s="42" t="s">
        <v>143</v>
      </c>
      <c r="J1528" s="42" t="s">
        <v>159</v>
      </c>
      <c r="K1528" s="42" t="s">
        <v>160</v>
      </c>
      <c r="L1528" s="44" t="n">
        <v>21389.33</v>
      </c>
      <c r="M1528" s="42" t="n">
        <v>4</v>
      </c>
      <c r="N1528" s="42" t="s">
        <v>146</v>
      </c>
      <c r="O1528" s="42" t="s">
        <v>147</v>
      </c>
      <c r="P1528" s="39" t="n">
        <f aca="false">C1528-B1528</f>
        <v>8</v>
      </c>
      <c r="Q1528" s="40" t="str">
        <f aca="false">CHOOSE(MONTH(B1528),"يناير","فبراير","مارس","أبريل","مايو","يونيو","يوليو","أغسطس","سبتمبر","أكتوبر","نوفمبر","ديسمبر")</f>
        <v>سبتمبر</v>
      </c>
      <c r="R1528" s="40" t="str">
        <f aca="false">"الربع "&amp;ROUNDUP(MONTH(B1528)/3,0)</f>
        <v>الربع 3</v>
      </c>
      <c r="S1528" s="40" t="str">
        <f aca="false">IF(D1528&lt;=12,"أطفال (0-12)",IF(D1528&lt;=24,"شباب (13-24)",IF(D1528&lt;=44,"بالغون (25-44)",IF(D1528&lt;=64,"متوسطو العمر (45-64)","كبار السن (+65)"))))</f>
        <v>بالغون (25-44)</v>
      </c>
      <c r="T1528" s="41" t="n">
        <f aca="false">IFERROR(L1528/P1528,0)</f>
        <v>2673.66625</v>
      </c>
    </row>
    <row r="1529" customFormat="false" ht="15" hidden="false" customHeight="false" outlineLevel="0" collapsed="false">
      <c r="A1529" s="33" t="s">
        <v>1948</v>
      </c>
      <c r="B1529" s="34" t="n">
        <v>45560</v>
      </c>
      <c r="C1529" s="34" t="n">
        <v>45562</v>
      </c>
      <c r="D1529" s="33" t="n">
        <v>37</v>
      </c>
      <c r="E1529" s="33" t="s">
        <v>139</v>
      </c>
      <c r="F1529" s="33" t="s">
        <v>149</v>
      </c>
      <c r="G1529" s="33" t="s">
        <v>150</v>
      </c>
      <c r="H1529" s="33" t="s">
        <v>151</v>
      </c>
      <c r="I1529" s="33" t="s">
        <v>143</v>
      </c>
      <c r="J1529" s="33" t="s">
        <v>159</v>
      </c>
      <c r="K1529" s="33" t="s">
        <v>145</v>
      </c>
      <c r="L1529" s="35" t="n">
        <v>2924.14</v>
      </c>
      <c r="M1529" s="33" t="n">
        <v>5</v>
      </c>
      <c r="N1529" s="33" t="s">
        <v>146</v>
      </c>
      <c r="O1529" s="33" t="s">
        <v>147</v>
      </c>
      <c r="P1529" s="39" t="n">
        <f aca="false">C1529-B1529</f>
        <v>2</v>
      </c>
      <c r="Q1529" s="40" t="str">
        <f aca="false">CHOOSE(MONTH(B1529),"يناير","فبراير","مارس","أبريل","مايو","يونيو","يوليو","أغسطس","سبتمبر","أكتوبر","نوفمبر","ديسمبر")</f>
        <v>سبتمبر</v>
      </c>
      <c r="R1529" s="40" t="str">
        <f aca="false">"الربع "&amp;ROUNDUP(MONTH(B1529)/3,0)</f>
        <v>الربع 3</v>
      </c>
      <c r="S1529" s="40" t="str">
        <f aca="false">IF(D1529&lt;=12,"أطفال (0-12)",IF(D1529&lt;=24,"شباب (13-24)",IF(D1529&lt;=44,"بالغون (25-44)",IF(D1529&lt;=64,"متوسطو العمر (45-64)","كبار السن (+65)"))))</f>
        <v>بالغون (25-44)</v>
      </c>
      <c r="T1529" s="41" t="n">
        <f aca="false">IFERROR(L1529/P1529,0)</f>
        <v>1462.07</v>
      </c>
    </row>
    <row r="1530" customFormat="false" ht="15" hidden="false" customHeight="false" outlineLevel="0" collapsed="false">
      <c r="A1530" s="42" t="s">
        <v>2031</v>
      </c>
      <c r="B1530" s="43" t="n">
        <v>45560</v>
      </c>
      <c r="C1530" s="43" t="n">
        <v>45573</v>
      </c>
      <c r="D1530" s="42" t="n">
        <v>55</v>
      </c>
      <c r="E1530" s="42" t="s">
        <v>139</v>
      </c>
      <c r="F1530" s="42" t="s">
        <v>181</v>
      </c>
      <c r="G1530" s="42" t="s">
        <v>237</v>
      </c>
      <c r="H1530" s="42" t="s">
        <v>183</v>
      </c>
      <c r="I1530" s="42" t="s">
        <v>143</v>
      </c>
      <c r="J1530" s="42" t="s">
        <v>159</v>
      </c>
      <c r="K1530" s="42" t="s">
        <v>184</v>
      </c>
      <c r="L1530" s="44" t="n">
        <v>31675.76</v>
      </c>
      <c r="M1530" s="42" t="n">
        <v>3</v>
      </c>
      <c r="N1530" s="42" t="s">
        <v>210</v>
      </c>
      <c r="O1530" s="42" t="s">
        <v>147</v>
      </c>
      <c r="P1530" s="39" t="n">
        <f aca="false">C1530-B1530</f>
        <v>13</v>
      </c>
      <c r="Q1530" s="40" t="str">
        <f aca="false">CHOOSE(MONTH(B1530),"يناير","فبراير","مارس","أبريل","مايو","يونيو","يوليو","أغسطس","سبتمبر","أكتوبر","نوفمبر","ديسمبر")</f>
        <v>سبتمبر</v>
      </c>
      <c r="R1530" s="40" t="str">
        <f aca="false">"الربع "&amp;ROUNDUP(MONTH(B1530)/3,0)</f>
        <v>الربع 3</v>
      </c>
      <c r="S1530" s="40" t="str">
        <f aca="false">IF(D1530&lt;=12,"أطفال (0-12)",IF(D1530&lt;=24,"شباب (13-24)",IF(D1530&lt;=44,"بالغون (25-44)",IF(D1530&lt;=64,"متوسطو العمر (45-64)","كبار السن (+65)"))))</f>
        <v>متوسطو العمر (45-64)</v>
      </c>
      <c r="T1530" s="41" t="n">
        <f aca="false">IFERROR(L1530/P1530,0)</f>
        <v>2436.59692307692</v>
      </c>
    </row>
    <row r="1531" customFormat="false" ht="15" hidden="false" customHeight="false" outlineLevel="0" collapsed="false">
      <c r="A1531" s="33" t="s">
        <v>2091</v>
      </c>
      <c r="B1531" s="34" t="n">
        <v>45560</v>
      </c>
      <c r="C1531" s="34" t="n">
        <v>45562</v>
      </c>
      <c r="D1531" s="33" t="n">
        <v>78</v>
      </c>
      <c r="E1531" s="33" t="s">
        <v>154</v>
      </c>
      <c r="F1531" s="33" t="s">
        <v>226</v>
      </c>
      <c r="G1531" s="33" t="s">
        <v>386</v>
      </c>
      <c r="H1531" s="33" t="s">
        <v>2322</v>
      </c>
      <c r="I1531" s="33" t="s">
        <v>143</v>
      </c>
      <c r="J1531" s="33" t="s">
        <v>144</v>
      </c>
      <c r="K1531" s="33" t="s">
        <v>145</v>
      </c>
      <c r="L1531" s="35" t="n">
        <v>10585.99</v>
      </c>
      <c r="M1531" s="33" t="n">
        <v>5</v>
      </c>
      <c r="N1531" s="33" t="s">
        <v>146</v>
      </c>
      <c r="O1531" s="33" t="s">
        <v>147</v>
      </c>
      <c r="P1531" s="39" t="n">
        <f aca="false">C1531-B1531</f>
        <v>2</v>
      </c>
      <c r="Q1531" s="40" t="str">
        <f aca="false">CHOOSE(MONTH(B1531),"يناير","فبراير","مارس","أبريل","مايو","يونيو","يوليو","أغسطس","سبتمبر","أكتوبر","نوفمبر","ديسمبر")</f>
        <v>سبتمبر</v>
      </c>
      <c r="R1531" s="40" t="str">
        <f aca="false">"الربع "&amp;ROUNDUP(MONTH(B1531)/3,0)</f>
        <v>الربع 3</v>
      </c>
      <c r="S1531" s="40" t="str">
        <f aca="false">IF(D1531&lt;=12,"أطفال (0-12)",IF(D1531&lt;=24,"شباب (13-24)",IF(D1531&lt;=44,"بالغون (25-44)",IF(D1531&lt;=64,"متوسطو العمر (45-64)","كبار السن (+65)"))))</f>
        <v>كبار السن (+65)</v>
      </c>
      <c r="T1531" s="41" t="n">
        <f aca="false">IFERROR(L1531/P1531,0)</f>
        <v>5292.995</v>
      </c>
    </row>
    <row r="1532" customFormat="false" ht="15" hidden="false" customHeight="false" outlineLevel="0" collapsed="false">
      <c r="A1532" s="42" t="s">
        <v>598</v>
      </c>
      <c r="B1532" s="43" t="n">
        <v>45560</v>
      </c>
      <c r="C1532" s="43" t="n">
        <v>45571</v>
      </c>
      <c r="D1532" s="42" t="n">
        <v>76</v>
      </c>
      <c r="E1532" s="42" t="s">
        <v>139</v>
      </c>
      <c r="F1532" s="42" t="s">
        <v>226</v>
      </c>
      <c r="G1532" s="42" t="s">
        <v>227</v>
      </c>
      <c r="H1532" s="42" t="s">
        <v>263</v>
      </c>
      <c r="I1532" s="42" t="s">
        <v>143</v>
      </c>
      <c r="J1532" s="42" t="s">
        <v>159</v>
      </c>
      <c r="K1532" s="42" t="s">
        <v>160</v>
      </c>
      <c r="L1532" s="44" t="n">
        <v>41098.23</v>
      </c>
      <c r="M1532" s="42" t="n">
        <v>4</v>
      </c>
      <c r="N1532" s="42" t="s">
        <v>146</v>
      </c>
      <c r="O1532" s="42" t="s">
        <v>147</v>
      </c>
      <c r="P1532" s="39" t="n">
        <f aca="false">C1532-B1532</f>
        <v>11</v>
      </c>
      <c r="Q1532" s="40" t="str">
        <f aca="false">CHOOSE(MONTH(B1532),"يناير","فبراير","مارس","أبريل","مايو","يونيو","يوليو","أغسطس","سبتمبر","أكتوبر","نوفمبر","ديسمبر")</f>
        <v>سبتمبر</v>
      </c>
      <c r="R1532" s="40" t="str">
        <f aca="false">"الربع "&amp;ROUNDUP(MONTH(B1532)/3,0)</f>
        <v>الربع 3</v>
      </c>
      <c r="S1532" s="40" t="str">
        <f aca="false">IF(D1532&lt;=12,"أطفال (0-12)",IF(D1532&lt;=24,"شباب (13-24)",IF(D1532&lt;=44,"بالغون (25-44)",IF(D1532&lt;=64,"متوسطو العمر (45-64)","كبار السن (+65)"))))</f>
        <v>كبار السن (+65)</v>
      </c>
      <c r="T1532" s="41" t="n">
        <f aca="false">IFERROR(L1532/P1532,0)</f>
        <v>3736.20272727273</v>
      </c>
    </row>
    <row r="1533" customFormat="false" ht="15" hidden="false" customHeight="false" outlineLevel="0" collapsed="false">
      <c r="A1533" s="33" t="s">
        <v>218</v>
      </c>
      <c r="B1533" s="34" t="n">
        <v>45560</v>
      </c>
      <c r="C1533" s="34" t="n">
        <v>45562</v>
      </c>
      <c r="D1533" s="33" t="n">
        <v>24</v>
      </c>
      <c r="E1533" s="33" t="s">
        <v>139</v>
      </c>
      <c r="F1533" s="33" t="s">
        <v>149</v>
      </c>
      <c r="G1533" s="33" t="s">
        <v>150</v>
      </c>
      <c r="H1533" s="33" t="s">
        <v>151</v>
      </c>
      <c r="I1533" s="33" t="s">
        <v>143</v>
      </c>
      <c r="J1533" s="33" t="s">
        <v>176</v>
      </c>
      <c r="K1533" s="33" t="s">
        <v>184</v>
      </c>
      <c r="L1533" s="35" t="n">
        <v>9026.63</v>
      </c>
      <c r="M1533" s="33" t="n">
        <v>4</v>
      </c>
      <c r="N1533" s="33" t="s">
        <v>146</v>
      </c>
      <c r="O1533" s="33" t="s">
        <v>147</v>
      </c>
      <c r="P1533" s="39" t="n">
        <f aca="false">C1533-B1533</f>
        <v>2</v>
      </c>
      <c r="Q1533" s="40" t="str">
        <f aca="false">CHOOSE(MONTH(B1533),"يناير","فبراير","مارس","أبريل","مايو","يونيو","يوليو","أغسطس","سبتمبر","أكتوبر","نوفمبر","ديسمبر")</f>
        <v>سبتمبر</v>
      </c>
      <c r="R1533" s="40" t="str">
        <f aca="false">"الربع "&amp;ROUNDUP(MONTH(B1533)/3,0)</f>
        <v>الربع 3</v>
      </c>
      <c r="S1533" s="40" t="str">
        <f aca="false">IF(D1533&lt;=12,"أطفال (0-12)",IF(D1533&lt;=24,"شباب (13-24)",IF(D1533&lt;=44,"بالغون (25-44)",IF(D1533&lt;=64,"متوسطو العمر (45-64)","كبار السن (+65)"))))</f>
        <v>شباب (13-24)</v>
      </c>
      <c r="T1533" s="41" t="n">
        <f aca="false">IFERROR(L1533/P1533,0)</f>
        <v>4513.315</v>
      </c>
    </row>
    <row r="1534" customFormat="false" ht="15" hidden="false" customHeight="false" outlineLevel="0" collapsed="false">
      <c r="A1534" s="42" t="s">
        <v>1697</v>
      </c>
      <c r="B1534" s="43" t="n">
        <v>45560</v>
      </c>
      <c r="C1534" s="43" t="n">
        <v>45566</v>
      </c>
      <c r="D1534" s="42" t="n">
        <v>31</v>
      </c>
      <c r="E1534" s="42" t="s">
        <v>139</v>
      </c>
      <c r="F1534" s="42" t="s">
        <v>149</v>
      </c>
      <c r="G1534" s="42" t="s">
        <v>150</v>
      </c>
      <c r="H1534" s="42" t="s">
        <v>186</v>
      </c>
      <c r="I1534" s="42" t="s">
        <v>143</v>
      </c>
      <c r="J1534" s="42" t="s">
        <v>159</v>
      </c>
      <c r="K1534" s="42" t="s">
        <v>160</v>
      </c>
      <c r="L1534" s="44" t="n">
        <v>8544.78</v>
      </c>
      <c r="M1534" s="42" t="n">
        <v>3</v>
      </c>
      <c r="N1534" s="42" t="s">
        <v>146</v>
      </c>
      <c r="O1534" s="42" t="s">
        <v>147</v>
      </c>
      <c r="P1534" s="39" t="n">
        <f aca="false">C1534-B1534</f>
        <v>6</v>
      </c>
      <c r="Q1534" s="40" t="str">
        <f aca="false">CHOOSE(MONTH(B1534),"يناير","فبراير","مارس","أبريل","مايو","يونيو","يوليو","أغسطس","سبتمبر","أكتوبر","نوفمبر","ديسمبر")</f>
        <v>سبتمبر</v>
      </c>
      <c r="R1534" s="40" t="str">
        <f aca="false">"الربع "&amp;ROUNDUP(MONTH(B1534)/3,0)</f>
        <v>الربع 3</v>
      </c>
      <c r="S1534" s="40" t="str">
        <f aca="false">IF(D1534&lt;=12,"أطفال (0-12)",IF(D1534&lt;=24,"شباب (13-24)",IF(D1534&lt;=44,"بالغون (25-44)",IF(D1534&lt;=64,"متوسطو العمر (45-64)","كبار السن (+65)"))))</f>
        <v>بالغون (25-44)</v>
      </c>
      <c r="T1534" s="41" t="n">
        <f aca="false">IFERROR(L1534/P1534,0)</f>
        <v>1424.13</v>
      </c>
    </row>
    <row r="1535" customFormat="false" ht="15" hidden="false" customHeight="false" outlineLevel="0" collapsed="false">
      <c r="A1535" s="33" t="s">
        <v>869</v>
      </c>
      <c r="B1535" s="34" t="n">
        <v>45561</v>
      </c>
      <c r="C1535" s="34" t="n">
        <v>45565</v>
      </c>
      <c r="D1535" s="33" t="n">
        <v>39</v>
      </c>
      <c r="E1535" s="33" t="s">
        <v>154</v>
      </c>
      <c r="F1535" s="33" t="s">
        <v>140</v>
      </c>
      <c r="G1535" s="33" t="s">
        <v>141</v>
      </c>
      <c r="H1535" s="33" t="s">
        <v>142</v>
      </c>
      <c r="I1535" s="33" t="s">
        <v>143</v>
      </c>
      <c r="J1535" s="33" t="s">
        <v>159</v>
      </c>
      <c r="K1535" s="33" t="s">
        <v>145</v>
      </c>
      <c r="L1535" s="35" t="n">
        <v>8954.43</v>
      </c>
      <c r="M1535" s="33" t="n">
        <v>3</v>
      </c>
      <c r="N1535" s="33" t="s">
        <v>146</v>
      </c>
      <c r="O1535" s="33" t="s">
        <v>147</v>
      </c>
      <c r="P1535" s="39" t="n">
        <f aca="false">C1535-B1535</f>
        <v>4</v>
      </c>
      <c r="Q1535" s="40" t="str">
        <f aca="false">CHOOSE(MONTH(B1535),"يناير","فبراير","مارس","أبريل","مايو","يونيو","يوليو","أغسطس","سبتمبر","أكتوبر","نوفمبر","ديسمبر")</f>
        <v>سبتمبر</v>
      </c>
      <c r="R1535" s="40" t="str">
        <f aca="false">"الربع "&amp;ROUNDUP(MONTH(B1535)/3,0)</f>
        <v>الربع 3</v>
      </c>
      <c r="S1535" s="40" t="str">
        <f aca="false">IF(D1535&lt;=12,"أطفال (0-12)",IF(D1535&lt;=24,"شباب (13-24)",IF(D1535&lt;=44,"بالغون (25-44)",IF(D1535&lt;=64,"متوسطو العمر (45-64)","كبار السن (+65)"))))</f>
        <v>بالغون (25-44)</v>
      </c>
      <c r="T1535" s="41" t="n">
        <f aca="false">IFERROR(L1535/P1535,0)</f>
        <v>2238.6075</v>
      </c>
    </row>
    <row r="1536" customFormat="false" ht="15" hidden="false" customHeight="false" outlineLevel="0" collapsed="false">
      <c r="A1536" s="42" t="s">
        <v>422</v>
      </c>
      <c r="B1536" s="43" t="n">
        <v>45561</v>
      </c>
      <c r="C1536" s="43" t="n">
        <v>45562</v>
      </c>
      <c r="D1536" s="42" t="n">
        <v>19</v>
      </c>
      <c r="E1536" s="42" t="s">
        <v>154</v>
      </c>
      <c r="F1536" s="42" t="s">
        <v>203</v>
      </c>
      <c r="G1536" s="42" t="s">
        <v>192</v>
      </c>
      <c r="H1536" s="42" t="s">
        <v>233</v>
      </c>
      <c r="I1536" s="42" t="s">
        <v>143</v>
      </c>
      <c r="J1536" s="42" t="s">
        <v>144</v>
      </c>
      <c r="K1536" s="42" t="s">
        <v>160</v>
      </c>
      <c r="L1536" s="44" t="n">
        <v>1308.92</v>
      </c>
      <c r="M1536" s="42" t="n">
        <v>4</v>
      </c>
      <c r="N1536" s="42" t="s">
        <v>146</v>
      </c>
      <c r="O1536" s="42" t="s">
        <v>147</v>
      </c>
      <c r="P1536" s="39" t="n">
        <f aca="false">C1536-B1536</f>
        <v>1</v>
      </c>
      <c r="Q1536" s="40" t="str">
        <f aca="false">CHOOSE(MONTH(B1536),"يناير","فبراير","مارس","أبريل","مايو","يونيو","يوليو","أغسطس","سبتمبر","أكتوبر","نوفمبر","ديسمبر")</f>
        <v>سبتمبر</v>
      </c>
      <c r="R1536" s="40" t="str">
        <f aca="false">"الربع "&amp;ROUNDUP(MONTH(B1536)/3,0)</f>
        <v>الربع 3</v>
      </c>
      <c r="S1536" s="40" t="str">
        <f aca="false">IF(D1536&lt;=12,"أطفال (0-12)",IF(D1536&lt;=24,"شباب (13-24)",IF(D1536&lt;=44,"بالغون (25-44)",IF(D1536&lt;=64,"متوسطو العمر (45-64)","كبار السن (+65)"))))</f>
        <v>شباب (13-24)</v>
      </c>
      <c r="T1536" s="41" t="n">
        <f aca="false">IFERROR(L1536/P1536,0)</f>
        <v>1308.92</v>
      </c>
    </row>
    <row r="1537" customFormat="false" ht="15" hidden="false" customHeight="false" outlineLevel="0" collapsed="false">
      <c r="A1537" s="33" t="s">
        <v>1126</v>
      </c>
      <c r="B1537" s="34" t="n">
        <v>45561</v>
      </c>
      <c r="C1537" s="34" t="n">
        <v>45567</v>
      </c>
      <c r="D1537" s="33" t="n">
        <v>34</v>
      </c>
      <c r="E1537" s="33" t="s">
        <v>154</v>
      </c>
      <c r="F1537" s="33" t="s">
        <v>169</v>
      </c>
      <c r="G1537" s="33" t="s">
        <v>170</v>
      </c>
      <c r="H1537" s="33" t="s">
        <v>171</v>
      </c>
      <c r="I1537" s="33" t="s">
        <v>152</v>
      </c>
      <c r="J1537" s="33" t="s">
        <v>159</v>
      </c>
      <c r="K1537" s="33" t="s">
        <v>184</v>
      </c>
      <c r="L1537" s="35" t="n">
        <v>4484.24</v>
      </c>
      <c r="M1537" s="33" t="n">
        <v>5</v>
      </c>
      <c r="N1537" s="33" t="s">
        <v>146</v>
      </c>
      <c r="O1537" s="33" t="s">
        <v>147</v>
      </c>
      <c r="P1537" s="39" t="n">
        <f aca="false">C1537-B1537</f>
        <v>6</v>
      </c>
      <c r="Q1537" s="40" t="str">
        <f aca="false">CHOOSE(MONTH(B1537),"يناير","فبراير","مارس","أبريل","مايو","يونيو","يوليو","أغسطس","سبتمبر","أكتوبر","نوفمبر","ديسمبر")</f>
        <v>سبتمبر</v>
      </c>
      <c r="R1537" s="40" t="str">
        <f aca="false">"الربع "&amp;ROUNDUP(MONTH(B1537)/3,0)</f>
        <v>الربع 3</v>
      </c>
      <c r="S1537" s="40" t="str">
        <f aca="false">IF(D1537&lt;=12,"أطفال (0-12)",IF(D1537&lt;=24,"شباب (13-24)",IF(D1537&lt;=44,"بالغون (25-44)",IF(D1537&lt;=64,"متوسطو العمر (45-64)","كبار السن (+65)"))))</f>
        <v>بالغون (25-44)</v>
      </c>
      <c r="T1537" s="41" t="n">
        <f aca="false">IFERROR(L1537/P1537,0)</f>
        <v>747.373333333333</v>
      </c>
    </row>
    <row r="1538" customFormat="false" ht="15" hidden="false" customHeight="false" outlineLevel="0" collapsed="false">
      <c r="A1538" s="42" t="s">
        <v>2232</v>
      </c>
      <c r="B1538" s="43" t="n">
        <v>45561</v>
      </c>
      <c r="C1538" s="43" t="n">
        <v>45567</v>
      </c>
      <c r="D1538" s="42" t="n">
        <v>48</v>
      </c>
      <c r="E1538" s="42" t="s">
        <v>139</v>
      </c>
      <c r="F1538" s="42" t="s">
        <v>181</v>
      </c>
      <c r="G1538" s="42" t="s">
        <v>182</v>
      </c>
      <c r="H1538" s="42" t="s">
        <v>245</v>
      </c>
      <c r="I1538" s="42" t="s">
        <v>152</v>
      </c>
      <c r="J1538" s="42" t="s">
        <v>144</v>
      </c>
      <c r="K1538" s="42" t="s">
        <v>184</v>
      </c>
      <c r="L1538" s="44" t="n">
        <v>27634.37</v>
      </c>
      <c r="M1538" s="42" t="n">
        <v>5</v>
      </c>
      <c r="N1538" s="42" t="s">
        <v>146</v>
      </c>
      <c r="O1538" s="42" t="s">
        <v>147</v>
      </c>
      <c r="P1538" s="39" t="n">
        <f aca="false">C1538-B1538</f>
        <v>6</v>
      </c>
      <c r="Q1538" s="40" t="str">
        <f aca="false">CHOOSE(MONTH(B1538),"يناير","فبراير","مارس","أبريل","مايو","يونيو","يوليو","أغسطس","سبتمبر","أكتوبر","نوفمبر","ديسمبر")</f>
        <v>سبتمبر</v>
      </c>
      <c r="R1538" s="40" t="str">
        <f aca="false">"الربع "&amp;ROUNDUP(MONTH(B1538)/3,0)</f>
        <v>الربع 3</v>
      </c>
      <c r="S1538" s="40" t="str">
        <f aca="false">IF(D1538&lt;=12,"أطفال (0-12)",IF(D1538&lt;=24,"شباب (13-24)",IF(D1538&lt;=44,"بالغون (25-44)",IF(D1538&lt;=64,"متوسطو العمر (45-64)","كبار السن (+65)"))))</f>
        <v>متوسطو العمر (45-64)</v>
      </c>
      <c r="T1538" s="41" t="n">
        <f aca="false">IFERROR(L1538/P1538,0)</f>
        <v>4605.72833333333</v>
      </c>
    </row>
    <row r="1539" customFormat="false" ht="15" hidden="false" customHeight="false" outlineLevel="0" collapsed="false">
      <c r="A1539" s="33" t="s">
        <v>1416</v>
      </c>
      <c r="B1539" s="34" t="n">
        <v>45561</v>
      </c>
      <c r="C1539" s="34" t="n">
        <v>45562</v>
      </c>
      <c r="D1539" s="33" t="n">
        <v>33</v>
      </c>
      <c r="E1539" s="33" t="s">
        <v>139</v>
      </c>
      <c r="F1539" s="33" t="s">
        <v>203</v>
      </c>
      <c r="G1539" s="33" t="s">
        <v>232</v>
      </c>
      <c r="H1539" s="33" t="s">
        <v>233</v>
      </c>
      <c r="I1539" s="33" t="s">
        <v>158</v>
      </c>
      <c r="J1539" s="33" t="s">
        <v>159</v>
      </c>
      <c r="K1539" s="33" t="s">
        <v>145</v>
      </c>
      <c r="L1539" s="35" t="n">
        <v>863.73</v>
      </c>
      <c r="M1539" s="33" t="n">
        <v>4</v>
      </c>
      <c r="N1539" s="33" t="s">
        <v>210</v>
      </c>
      <c r="O1539" s="33" t="s">
        <v>147</v>
      </c>
      <c r="P1539" s="39" t="n">
        <f aca="false">C1539-B1539</f>
        <v>1</v>
      </c>
      <c r="Q1539" s="40" t="str">
        <f aca="false">CHOOSE(MONTH(B1539),"يناير","فبراير","مارس","أبريل","مايو","يونيو","يوليو","أغسطس","سبتمبر","أكتوبر","نوفمبر","ديسمبر")</f>
        <v>سبتمبر</v>
      </c>
      <c r="R1539" s="40" t="str">
        <f aca="false">"الربع "&amp;ROUNDUP(MONTH(B1539)/3,0)</f>
        <v>الربع 3</v>
      </c>
      <c r="S1539" s="40" t="str">
        <f aca="false">IF(D1539&lt;=12,"أطفال (0-12)",IF(D1539&lt;=24,"شباب (13-24)",IF(D1539&lt;=44,"بالغون (25-44)",IF(D1539&lt;=64,"متوسطو العمر (45-64)","كبار السن (+65)"))))</f>
        <v>بالغون (25-44)</v>
      </c>
      <c r="T1539" s="41" t="n">
        <f aca="false">IFERROR(L1539/P1539,0)</f>
        <v>863.73</v>
      </c>
    </row>
    <row r="1540" customFormat="false" ht="15" hidden="false" customHeight="false" outlineLevel="0" collapsed="false">
      <c r="A1540" s="42" t="s">
        <v>721</v>
      </c>
      <c r="B1540" s="43" t="n">
        <v>45561</v>
      </c>
      <c r="C1540" s="43" t="n">
        <v>45562</v>
      </c>
      <c r="D1540" s="42" t="n">
        <v>8</v>
      </c>
      <c r="E1540" s="42" t="s">
        <v>154</v>
      </c>
      <c r="F1540" s="42" t="s">
        <v>155</v>
      </c>
      <c r="G1540" s="42" t="s">
        <v>156</v>
      </c>
      <c r="H1540" s="42" t="s">
        <v>157</v>
      </c>
      <c r="I1540" s="42" t="s">
        <v>143</v>
      </c>
      <c r="J1540" s="42" t="s">
        <v>159</v>
      </c>
      <c r="K1540" s="42" t="s">
        <v>145</v>
      </c>
      <c r="L1540" s="44" t="n">
        <v>797.39</v>
      </c>
      <c r="M1540" s="42" t="n">
        <v>5</v>
      </c>
      <c r="N1540" s="42" t="s">
        <v>146</v>
      </c>
      <c r="O1540" s="42" t="s">
        <v>147</v>
      </c>
      <c r="P1540" s="39" t="n">
        <f aca="false">C1540-B1540</f>
        <v>1</v>
      </c>
      <c r="Q1540" s="40" t="str">
        <f aca="false">CHOOSE(MONTH(B1540),"يناير","فبراير","مارس","أبريل","مايو","يونيو","يوليو","أغسطس","سبتمبر","أكتوبر","نوفمبر","ديسمبر")</f>
        <v>سبتمبر</v>
      </c>
      <c r="R1540" s="40" t="str">
        <f aca="false">"الربع "&amp;ROUNDUP(MONTH(B1540)/3,0)</f>
        <v>الربع 3</v>
      </c>
      <c r="S1540" s="40" t="str">
        <f aca="false">IF(D1540&lt;=12,"أطفال (0-12)",IF(D1540&lt;=24,"شباب (13-24)",IF(D1540&lt;=44,"بالغون (25-44)",IF(D1540&lt;=64,"متوسطو العمر (45-64)","كبار السن (+65)"))))</f>
        <v>أطفال (0-12)</v>
      </c>
      <c r="T1540" s="41" t="n">
        <f aca="false">IFERROR(L1540/P1540,0)</f>
        <v>797.39</v>
      </c>
    </row>
    <row r="1541" customFormat="false" ht="15" hidden="false" customHeight="false" outlineLevel="0" collapsed="false">
      <c r="A1541" s="33" t="s">
        <v>1835</v>
      </c>
      <c r="B1541" s="34" t="n">
        <v>45561</v>
      </c>
      <c r="C1541" s="34" t="n">
        <v>45562</v>
      </c>
      <c r="D1541" s="33" t="n">
        <v>31</v>
      </c>
      <c r="E1541" s="33" t="s">
        <v>154</v>
      </c>
      <c r="F1541" s="33" t="s">
        <v>203</v>
      </c>
      <c r="G1541" s="33" t="s">
        <v>241</v>
      </c>
      <c r="H1541" s="33" t="s">
        <v>233</v>
      </c>
      <c r="I1541" s="33" t="s">
        <v>143</v>
      </c>
      <c r="J1541" s="33" t="s">
        <v>159</v>
      </c>
      <c r="K1541" s="33" t="s">
        <v>184</v>
      </c>
      <c r="L1541" s="35" t="n">
        <v>884.36</v>
      </c>
      <c r="M1541" s="33" t="n">
        <v>4</v>
      </c>
      <c r="N1541" s="33" t="s">
        <v>146</v>
      </c>
      <c r="O1541" s="33" t="s">
        <v>147</v>
      </c>
      <c r="P1541" s="39" t="n">
        <f aca="false">C1541-B1541</f>
        <v>1</v>
      </c>
      <c r="Q1541" s="40" t="str">
        <f aca="false">CHOOSE(MONTH(B1541),"يناير","فبراير","مارس","أبريل","مايو","يونيو","يوليو","أغسطس","سبتمبر","أكتوبر","نوفمبر","ديسمبر")</f>
        <v>سبتمبر</v>
      </c>
      <c r="R1541" s="40" t="str">
        <f aca="false">"الربع "&amp;ROUNDUP(MONTH(B1541)/3,0)</f>
        <v>الربع 3</v>
      </c>
      <c r="S1541" s="40" t="str">
        <f aca="false">IF(D1541&lt;=12,"أطفال (0-12)",IF(D1541&lt;=24,"شباب (13-24)",IF(D1541&lt;=44,"بالغون (25-44)",IF(D1541&lt;=64,"متوسطو العمر (45-64)","كبار السن (+65)"))))</f>
        <v>بالغون (25-44)</v>
      </c>
      <c r="T1541" s="41" t="n">
        <f aca="false">IFERROR(L1541/P1541,0)</f>
        <v>884.36</v>
      </c>
    </row>
    <row r="1542" customFormat="false" ht="15" hidden="false" customHeight="false" outlineLevel="0" collapsed="false">
      <c r="A1542" s="42" t="s">
        <v>859</v>
      </c>
      <c r="B1542" s="43" t="n">
        <v>45561</v>
      </c>
      <c r="C1542" s="43" t="n">
        <v>45563</v>
      </c>
      <c r="D1542" s="42" t="n">
        <v>40</v>
      </c>
      <c r="E1542" s="42" t="s">
        <v>139</v>
      </c>
      <c r="F1542" s="42" t="s">
        <v>149</v>
      </c>
      <c r="G1542" s="42" t="s">
        <v>150</v>
      </c>
      <c r="H1542" s="42" t="s">
        <v>151</v>
      </c>
      <c r="I1542" s="42" t="s">
        <v>143</v>
      </c>
      <c r="J1542" s="42" t="s">
        <v>159</v>
      </c>
      <c r="K1542" s="42" t="s">
        <v>145</v>
      </c>
      <c r="L1542" s="44" t="n">
        <v>3459.93</v>
      </c>
      <c r="M1542" s="42" t="n">
        <v>5</v>
      </c>
      <c r="N1542" s="42" t="s">
        <v>210</v>
      </c>
      <c r="O1542" s="42" t="s">
        <v>147</v>
      </c>
      <c r="P1542" s="39" t="n">
        <f aca="false">C1542-B1542</f>
        <v>2</v>
      </c>
      <c r="Q1542" s="40" t="str">
        <f aca="false">CHOOSE(MONTH(B1542),"يناير","فبراير","مارس","أبريل","مايو","يونيو","يوليو","أغسطس","سبتمبر","أكتوبر","نوفمبر","ديسمبر")</f>
        <v>سبتمبر</v>
      </c>
      <c r="R1542" s="40" t="str">
        <f aca="false">"الربع "&amp;ROUNDUP(MONTH(B1542)/3,0)</f>
        <v>الربع 3</v>
      </c>
      <c r="S1542" s="40" t="str">
        <f aca="false">IF(D1542&lt;=12,"أطفال (0-12)",IF(D1542&lt;=24,"شباب (13-24)",IF(D1542&lt;=44,"بالغون (25-44)",IF(D1542&lt;=64,"متوسطو العمر (45-64)","كبار السن (+65)"))))</f>
        <v>بالغون (25-44)</v>
      </c>
      <c r="T1542" s="41" t="n">
        <f aca="false">IFERROR(L1542/P1542,0)</f>
        <v>1729.965</v>
      </c>
    </row>
    <row r="1543" customFormat="false" ht="15" hidden="false" customHeight="false" outlineLevel="0" collapsed="false">
      <c r="A1543" s="33" t="s">
        <v>2257</v>
      </c>
      <c r="B1543" s="34" t="n">
        <v>45561</v>
      </c>
      <c r="C1543" s="34" t="n">
        <v>45565</v>
      </c>
      <c r="D1543" s="33" t="n">
        <v>55</v>
      </c>
      <c r="E1543" s="33" t="s">
        <v>139</v>
      </c>
      <c r="F1543" s="33" t="s">
        <v>226</v>
      </c>
      <c r="G1543" s="33" t="s">
        <v>227</v>
      </c>
      <c r="H1543" s="33" t="s">
        <v>228</v>
      </c>
      <c r="I1543" s="33" t="s">
        <v>143</v>
      </c>
      <c r="J1543" s="33" t="s">
        <v>159</v>
      </c>
      <c r="K1543" s="33" t="s">
        <v>145</v>
      </c>
      <c r="L1543" s="35" t="n">
        <v>12284.95</v>
      </c>
      <c r="M1543" s="33" t="n">
        <v>4</v>
      </c>
      <c r="N1543" s="33" t="s">
        <v>210</v>
      </c>
      <c r="O1543" s="33" t="s">
        <v>147</v>
      </c>
      <c r="P1543" s="39" t="n">
        <f aca="false">C1543-B1543</f>
        <v>4</v>
      </c>
      <c r="Q1543" s="40" t="str">
        <f aca="false">CHOOSE(MONTH(B1543),"يناير","فبراير","مارس","أبريل","مايو","يونيو","يوليو","أغسطس","سبتمبر","أكتوبر","نوفمبر","ديسمبر")</f>
        <v>سبتمبر</v>
      </c>
      <c r="R1543" s="40" t="str">
        <f aca="false">"الربع "&amp;ROUNDUP(MONTH(B1543)/3,0)</f>
        <v>الربع 3</v>
      </c>
      <c r="S1543" s="40" t="str">
        <f aca="false">IF(D1543&lt;=12,"أطفال (0-12)",IF(D1543&lt;=24,"شباب (13-24)",IF(D1543&lt;=44,"بالغون (25-44)",IF(D1543&lt;=64,"متوسطو العمر (45-64)","كبار السن (+65)"))))</f>
        <v>متوسطو العمر (45-64)</v>
      </c>
      <c r="T1543" s="41" t="n">
        <f aca="false">IFERROR(L1543/P1543,0)</f>
        <v>3071.2375</v>
      </c>
    </row>
    <row r="1544" customFormat="false" ht="15" hidden="false" customHeight="false" outlineLevel="0" collapsed="false">
      <c r="A1544" s="42" t="s">
        <v>902</v>
      </c>
      <c r="B1544" s="43" t="n">
        <v>45562</v>
      </c>
      <c r="C1544" s="43" t="n">
        <v>45565</v>
      </c>
      <c r="D1544" s="42" t="n">
        <v>41</v>
      </c>
      <c r="E1544" s="42" t="s">
        <v>154</v>
      </c>
      <c r="F1544" s="42" t="s">
        <v>169</v>
      </c>
      <c r="G1544" s="42" t="s">
        <v>213</v>
      </c>
      <c r="H1544" s="42" t="s">
        <v>195</v>
      </c>
      <c r="I1544" s="42" t="s">
        <v>152</v>
      </c>
      <c r="J1544" s="42" t="s">
        <v>159</v>
      </c>
      <c r="K1544" s="42" t="s">
        <v>184</v>
      </c>
      <c r="L1544" s="44" t="n">
        <v>3607.35</v>
      </c>
      <c r="M1544" s="42" t="n">
        <v>5</v>
      </c>
      <c r="N1544" s="42" t="s">
        <v>146</v>
      </c>
      <c r="O1544" s="42" t="s">
        <v>147</v>
      </c>
      <c r="P1544" s="39" t="n">
        <f aca="false">C1544-B1544</f>
        <v>3</v>
      </c>
      <c r="Q1544" s="40" t="str">
        <f aca="false">CHOOSE(MONTH(B1544),"يناير","فبراير","مارس","أبريل","مايو","يونيو","يوليو","أغسطس","سبتمبر","أكتوبر","نوفمبر","ديسمبر")</f>
        <v>سبتمبر</v>
      </c>
      <c r="R1544" s="40" t="str">
        <f aca="false">"الربع "&amp;ROUNDUP(MONTH(B1544)/3,0)</f>
        <v>الربع 3</v>
      </c>
      <c r="S1544" s="40" t="str">
        <f aca="false">IF(D1544&lt;=12,"أطفال (0-12)",IF(D1544&lt;=24,"شباب (13-24)",IF(D1544&lt;=44,"بالغون (25-44)",IF(D1544&lt;=64,"متوسطو العمر (45-64)","كبار السن (+65)"))))</f>
        <v>بالغون (25-44)</v>
      </c>
      <c r="T1544" s="41" t="n">
        <f aca="false">IFERROR(L1544/P1544,0)</f>
        <v>1202.45</v>
      </c>
    </row>
    <row r="1545" customFormat="false" ht="15" hidden="false" customHeight="false" outlineLevel="0" collapsed="false">
      <c r="A1545" s="33" t="s">
        <v>1203</v>
      </c>
      <c r="B1545" s="34" t="n">
        <v>45562</v>
      </c>
      <c r="C1545" s="34" t="n">
        <v>45564</v>
      </c>
      <c r="D1545" s="33" t="n">
        <v>14</v>
      </c>
      <c r="E1545" s="33" t="s">
        <v>139</v>
      </c>
      <c r="F1545" s="33" t="s">
        <v>203</v>
      </c>
      <c r="G1545" s="33" t="s">
        <v>217</v>
      </c>
      <c r="H1545" s="33" t="s">
        <v>205</v>
      </c>
      <c r="I1545" s="33" t="s">
        <v>143</v>
      </c>
      <c r="J1545" s="33" t="s">
        <v>159</v>
      </c>
      <c r="K1545" s="33" t="s">
        <v>145</v>
      </c>
      <c r="L1545" s="35" t="n">
        <v>1604.6</v>
      </c>
      <c r="M1545" s="33" t="n">
        <v>3</v>
      </c>
      <c r="N1545" s="33" t="s">
        <v>146</v>
      </c>
      <c r="O1545" s="33" t="s">
        <v>147</v>
      </c>
      <c r="P1545" s="39" t="n">
        <f aca="false">C1545-B1545</f>
        <v>2</v>
      </c>
      <c r="Q1545" s="40" t="str">
        <f aca="false">CHOOSE(MONTH(B1545),"يناير","فبراير","مارس","أبريل","مايو","يونيو","يوليو","أغسطس","سبتمبر","أكتوبر","نوفمبر","ديسمبر")</f>
        <v>سبتمبر</v>
      </c>
      <c r="R1545" s="40" t="str">
        <f aca="false">"الربع "&amp;ROUNDUP(MONTH(B1545)/3,0)</f>
        <v>الربع 3</v>
      </c>
      <c r="S1545" s="40" t="str">
        <f aca="false">IF(D1545&lt;=12,"أطفال (0-12)",IF(D1545&lt;=24,"شباب (13-24)",IF(D1545&lt;=44,"بالغون (25-44)",IF(D1545&lt;=64,"متوسطو العمر (45-64)","كبار السن (+65)"))))</f>
        <v>شباب (13-24)</v>
      </c>
      <c r="T1545" s="41" t="n">
        <f aca="false">IFERROR(L1545/P1545,0)</f>
        <v>802.3</v>
      </c>
    </row>
    <row r="1546" customFormat="false" ht="15" hidden="false" customHeight="false" outlineLevel="0" collapsed="false">
      <c r="A1546" s="42" t="s">
        <v>681</v>
      </c>
      <c r="B1546" s="43" t="n">
        <v>45562</v>
      </c>
      <c r="C1546" s="43" t="n">
        <v>45563</v>
      </c>
      <c r="D1546" s="42" t="n">
        <v>67</v>
      </c>
      <c r="E1546" s="42" t="s">
        <v>139</v>
      </c>
      <c r="F1546" s="42" t="s">
        <v>203</v>
      </c>
      <c r="G1546" s="42" t="s">
        <v>232</v>
      </c>
      <c r="H1546" s="42" t="s">
        <v>205</v>
      </c>
      <c r="I1546" s="42" t="s">
        <v>143</v>
      </c>
      <c r="J1546" s="42" t="s">
        <v>159</v>
      </c>
      <c r="K1546" s="42" t="s">
        <v>145</v>
      </c>
      <c r="L1546" s="44" t="n">
        <v>770.58</v>
      </c>
      <c r="M1546" s="42" t="n">
        <v>4</v>
      </c>
      <c r="N1546" s="42" t="s">
        <v>146</v>
      </c>
      <c r="O1546" s="42" t="s">
        <v>147</v>
      </c>
      <c r="P1546" s="39" t="n">
        <f aca="false">C1546-B1546</f>
        <v>1</v>
      </c>
      <c r="Q1546" s="40" t="str">
        <f aca="false">CHOOSE(MONTH(B1546),"يناير","فبراير","مارس","أبريل","مايو","يونيو","يوليو","أغسطس","سبتمبر","أكتوبر","نوفمبر","ديسمبر")</f>
        <v>سبتمبر</v>
      </c>
      <c r="R1546" s="40" t="str">
        <f aca="false">"الربع "&amp;ROUNDUP(MONTH(B1546)/3,0)</f>
        <v>الربع 3</v>
      </c>
      <c r="S1546" s="40" t="str">
        <f aca="false">IF(D1546&lt;=12,"أطفال (0-12)",IF(D1546&lt;=24,"شباب (13-24)",IF(D1546&lt;=44,"بالغون (25-44)",IF(D1546&lt;=64,"متوسطو العمر (45-64)","كبار السن (+65)"))))</f>
        <v>كبار السن (+65)</v>
      </c>
      <c r="T1546" s="41" t="n">
        <f aca="false">IFERROR(L1546/P1546,0)</f>
        <v>770.58</v>
      </c>
    </row>
    <row r="1547" customFormat="false" ht="15" hidden="false" customHeight="false" outlineLevel="0" collapsed="false">
      <c r="A1547" s="33" t="s">
        <v>296</v>
      </c>
      <c r="B1547" s="34" t="n">
        <v>45562</v>
      </c>
      <c r="C1547" s="34" t="n">
        <v>45563</v>
      </c>
      <c r="D1547" s="33" t="n">
        <v>10</v>
      </c>
      <c r="E1547" s="33" t="s">
        <v>154</v>
      </c>
      <c r="F1547" s="33" t="s">
        <v>169</v>
      </c>
      <c r="G1547" s="33" t="s">
        <v>230</v>
      </c>
      <c r="H1547" s="33" t="s">
        <v>195</v>
      </c>
      <c r="I1547" s="33" t="s">
        <v>143</v>
      </c>
      <c r="J1547" s="33" t="s">
        <v>159</v>
      </c>
      <c r="K1547" s="33" t="s">
        <v>145</v>
      </c>
      <c r="L1547" s="35" t="n">
        <v>1048.08</v>
      </c>
      <c r="M1547" s="33" t="n">
        <v>4</v>
      </c>
      <c r="N1547" s="33" t="s">
        <v>146</v>
      </c>
      <c r="O1547" s="33" t="s">
        <v>147</v>
      </c>
      <c r="P1547" s="39" t="n">
        <f aca="false">C1547-B1547</f>
        <v>1</v>
      </c>
      <c r="Q1547" s="40" t="str">
        <f aca="false">CHOOSE(MONTH(B1547),"يناير","فبراير","مارس","أبريل","مايو","يونيو","يوليو","أغسطس","سبتمبر","أكتوبر","نوفمبر","ديسمبر")</f>
        <v>سبتمبر</v>
      </c>
      <c r="R1547" s="40" t="str">
        <f aca="false">"الربع "&amp;ROUNDUP(MONTH(B1547)/3,0)</f>
        <v>الربع 3</v>
      </c>
      <c r="S1547" s="40" t="str">
        <f aca="false">IF(D1547&lt;=12,"أطفال (0-12)",IF(D1547&lt;=24,"شباب (13-24)",IF(D1547&lt;=44,"بالغون (25-44)",IF(D1547&lt;=64,"متوسطو العمر (45-64)","كبار السن (+65)"))))</f>
        <v>أطفال (0-12)</v>
      </c>
      <c r="T1547" s="41" t="n">
        <f aca="false">IFERROR(L1547/P1547,0)</f>
        <v>1048.08</v>
      </c>
    </row>
    <row r="1548" customFormat="false" ht="15" hidden="false" customHeight="false" outlineLevel="0" collapsed="false">
      <c r="A1548" s="42" t="s">
        <v>652</v>
      </c>
      <c r="B1548" s="43" t="n">
        <v>45562</v>
      </c>
      <c r="C1548" s="43" t="n">
        <v>45564</v>
      </c>
      <c r="D1548" s="42" t="n">
        <v>53</v>
      </c>
      <c r="E1548" s="42" t="s">
        <v>154</v>
      </c>
      <c r="F1548" s="42" t="s">
        <v>226</v>
      </c>
      <c r="G1548" s="42" t="s">
        <v>227</v>
      </c>
      <c r="H1548" s="42" t="s">
        <v>228</v>
      </c>
      <c r="I1548" s="42" t="s">
        <v>143</v>
      </c>
      <c r="J1548" s="42" t="s">
        <v>144</v>
      </c>
      <c r="K1548" s="42" t="s">
        <v>145</v>
      </c>
      <c r="L1548" s="44" t="n">
        <v>13182.17</v>
      </c>
      <c r="M1548" s="42" t="n">
        <v>4</v>
      </c>
      <c r="N1548" s="42" t="s">
        <v>146</v>
      </c>
      <c r="O1548" s="42" t="s">
        <v>147</v>
      </c>
      <c r="P1548" s="39" t="n">
        <f aca="false">C1548-B1548</f>
        <v>2</v>
      </c>
      <c r="Q1548" s="40" t="str">
        <f aca="false">CHOOSE(MONTH(B1548),"يناير","فبراير","مارس","أبريل","مايو","يونيو","يوليو","أغسطس","سبتمبر","أكتوبر","نوفمبر","ديسمبر")</f>
        <v>سبتمبر</v>
      </c>
      <c r="R1548" s="40" t="str">
        <f aca="false">"الربع "&amp;ROUNDUP(MONTH(B1548)/3,0)</f>
        <v>الربع 3</v>
      </c>
      <c r="S1548" s="40" t="str">
        <f aca="false">IF(D1548&lt;=12,"أطفال (0-12)",IF(D1548&lt;=24,"شباب (13-24)",IF(D1548&lt;=44,"بالغون (25-44)",IF(D1548&lt;=64,"متوسطو العمر (45-64)","كبار السن (+65)"))))</f>
        <v>متوسطو العمر (45-64)</v>
      </c>
      <c r="T1548" s="41" t="n">
        <f aca="false">IFERROR(L1548/P1548,0)</f>
        <v>6591.085</v>
      </c>
    </row>
    <row r="1549" customFormat="false" ht="15" hidden="false" customHeight="false" outlineLevel="0" collapsed="false">
      <c r="A1549" s="33" t="s">
        <v>1098</v>
      </c>
      <c r="B1549" s="34" t="n">
        <v>45562</v>
      </c>
      <c r="C1549" s="34" t="n">
        <v>45564</v>
      </c>
      <c r="D1549" s="33" t="n">
        <v>61</v>
      </c>
      <c r="E1549" s="33" t="s">
        <v>154</v>
      </c>
      <c r="F1549" s="33" t="s">
        <v>169</v>
      </c>
      <c r="G1549" s="33" t="s">
        <v>230</v>
      </c>
      <c r="H1549" s="33" t="s">
        <v>171</v>
      </c>
      <c r="I1549" s="33" t="s">
        <v>143</v>
      </c>
      <c r="J1549" s="33" t="s">
        <v>159</v>
      </c>
      <c r="K1549" s="33" t="s">
        <v>145</v>
      </c>
      <c r="L1549" s="35" t="n">
        <v>2145.12</v>
      </c>
      <c r="M1549" s="33" t="n">
        <v>4</v>
      </c>
      <c r="N1549" s="33" t="s">
        <v>146</v>
      </c>
      <c r="O1549" s="33" t="s">
        <v>147</v>
      </c>
      <c r="P1549" s="39" t="n">
        <f aca="false">C1549-B1549</f>
        <v>2</v>
      </c>
      <c r="Q1549" s="40" t="str">
        <f aca="false">CHOOSE(MONTH(B1549),"يناير","فبراير","مارس","أبريل","مايو","يونيو","يوليو","أغسطس","سبتمبر","أكتوبر","نوفمبر","ديسمبر")</f>
        <v>سبتمبر</v>
      </c>
      <c r="R1549" s="40" t="str">
        <f aca="false">"الربع "&amp;ROUNDUP(MONTH(B1549)/3,0)</f>
        <v>الربع 3</v>
      </c>
      <c r="S1549" s="40" t="str">
        <f aca="false">IF(D1549&lt;=12,"أطفال (0-12)",IF(D1549&lt;=24,"شباب (13-24)",IF(D1549&lt;=44,"بالغون (25-44)",IF(D1549&lt;=64,"متوسطو العمر (45-64)","كبار السن (+65)"))))</f>
        <v>متوسطو العمر (45-64)</v>
      </c>
      <c r="T1549" s="41" t="n">
        <f aca="false">IFERROR(L1549/P1549,0)</f>
        <v>1072.56</v>
      </c>
    </row>
    <row r="1550" customFormat="false" ht="15" hidden="false" customHeight="false" outlineLevel="0" collapsed="false">
      <c r="A1550" s="42" t="s">
        <v>1529</v>
      </c>
      <c r="B1550" s="43" t="n">
        <v>45562</v>
      </c>
      <c r="C1550" s="43" t="n">
        <v>45563</v>
      </c>
      <c r="D1550" s="42" t="n">
        <v>59</v>
      </c>
      <c r="E1550" s="42" t="s">
        <v>154</v>
      </c>
      <c r="F1550" s="42" t="s">
        <v>203</v>
      </c>
      <c r="G1550" s="42" t="s">
        <v>232</v>
      </c>
      <c r="H1550" s="42" t="s">
        <v>2322</v>
      </c>
      <c r="I1550" s="42" t="s">
        <v>143</v>
      </c>
      <c r="J1550" s="42" t="s">
        <v>176</v>
      </c>
      <c r="K1550" s="42" t="s">
        <v>145</v>
      </c>
      <c r="L1550" s="44" t="n">
        <v>3554.49</v>
      </c>
      <c r="M1550" s="42" t="n">
        <v>4</v>
      </c>
      <c r="N1550" s="42" t="s">
        <v>146</v>
      </c>
      <c r="O1550" s="42" t="s">
        <v>147</v>
      </c>
      <c r="P1550" s="39" t="n">
        <f aca="false">C1550-B1550</f>
        <v>1</v>
      </c>
      <c r="Q1550" s="40" t="str">
        <f aca="false">CHOOSE(MONTH(B1550),"يناير","فبراير","مارس","أبريل","مايو","يونيو","يوليو","أغسطس","سبتمبر","أكتوبر","نوفمبر","ديسمبر")</f>
        <v>سبتمبر</v>
      </c>
      <c r="R1550" s="40" t="str">
        <f aca="false">"الربع "&amp;ROUNDUP(MONTH(B1550)/3,0)</f>
        <v>الربع 3</v>
      </c>
      <c r="S1550" s="40" t="str">
        <f aca="false">IF(D1550&lt;=12,"أطفال (0-12)",IF(D1550&lt;=24,"شباب (13-24)",IF(D1550&lt;=44,"بالغون (25-44)",IF(D1550&lt;=64,"متوسطو العمر (45-64)","كبار السن (+65)"))))</f>
        <v>متوسطو العمر (45-64)</v>
      </c>
      <c r="T1550" s="41" t="n">
        <f aca="false">IFERROR(L1550/P1550,0)</f>
        <v>3554.49</v>
      </c>
    </row>
    <row r="1551" customFormat="false" ht="15" hidden="false" customHeight="false" outlineLevel="0" collapsed="false">
      <c r="A1551" s="33" t="s">
        <v>414</v>
      </c>
      <c r="B1551" s="34" t="n">
        <v>45562</v>
      </c>
      <c r="C1551" s="34" t="n">
        <v>45564</v>
      </c>
      <c r="D1551" s="33" t="n">
        <v>58</v>
      </c>
      <c r="E1551" s="33" t="s">
        <v>139</v>
      </c>
      <c r="F1551" s="33" t="s">
        <v>173</v>
      </c>
      <c r="G1551" s="33" t="s">
        <v>174</v>
      </c>
      <c r="H1551" s="33" t="s">
        <v>175</v>
      </c>
      <c r="I1551" s="33" t="s">
        <v>152</v>
      </c>
      <c r="J1551" s="33" t="s">
        <v>144</v>
      </c>
      <c r="K1551" s="33" t="s">
        <v>160</v>
      </c>
      <c r="L1551" s="35" t="n">
        <v>8546.68</v>
      </c>
      <c r="M1551" s="33" t="n">
        <v>5</v>
      </c>
      <c r="N1551" s="33" t="s">
        <v>146</v>
      </c>
      <c r="O1551" s="33" t="s">
        <v>147</v>
      </c>
      <c r="P1551" s="39" t="n">
        <f aca="false">C1551-B1551</f>
        <v>2</v>
      </c>
      <c r="Q1551" s="40" t="str">
        <f aca="false">CHOOSE(MONTH(B1551),"يناير","فبراير","مارس","أبريل","مايو","يونيو","يوليو","أغسطس","سبتمبر","أكتوبر","نوفمبر","ديسمبر")</f>
        <v>سبتمبر</v>
      </c>
      <c r="R1551" s="40" t="str">
        <f aca="false">"الربع "&amp;ROUNDUP(MONTH(B1551)/3,0)</f>
        <v>الربع 3</v>
      </c>
      <c r="S1551" s="40" t="str">
        <f aca="false">IF(D1551&lt;=12,"أطفال (0-12)",IF(D1551&lt;=24,"شباب (13-24)",IF(D1551&lt;=44,"بالغون (25-44)",IF(D1551&lt;=64,"متوسطو العمر (45-64)","كبار السن (+65)"))))</f>
        <v>متوسطو العمر (45-64)</v>
      </c>
      <c r="T1551" s="41" t="n">
        <f aca="false">IFERROR(L1551/P1551,0)</f>
        <v>4273.34</v>
      </c>
    </row>
    <row r="1552" customFormat="false" ht="15" hidden="false" customHeight="false" outlineLevel="0" collapsed="false">
      <c r="A1552" s="42" t="s">
        <v>329</v>
      </c>
      <c r="B1552" s="43" t="n">
        <v>45562</v>
      </c>
      <c r="C1552" s="43" t="n">
        <v>45564</v>
      </c>
      <c r="D1552" s="42" t="n">
        <v>32</v>
      </c>
      <c r="E1552" s="42" t="s">
        <v>139</v>
      </c>
      <c r="F1552" s="42" t="s">
        <v>140</v>
      </c>
      <c r="G1552" s="42" t="s">
        <v>141</v>
      </c>
      <c r="H1552" s="42" t="s">
        <v>290</v>
      </c>
      <c r="I1552" s="42" t="s">
        <v>143</v>
      </c>
      <c r="J1552" s="42" t="s">
        <v>159</v>
      </c>
      <c r="K1552" s="42" t="s">
        <v>160</v>
      </c>
      <c r="L1552" s="44" t="n">
        <v>4037.3</v>
      </c>
      <c r="M1552" s="42" t="n">
        <v>4</v>
      </c>
      <c r="N1552" s="42" t="s">
        <v>146</v>
      </c>
      <c r="O1552" s="42" t="s">
        <v>147</v>
      </c>
      <c r="P1552" s="39" t="n">
        <f aca="false">C1552-B1552</f>
        <v>2</v>
      </c>
      <c r="Q1552" s="40" t="str">
        <f aca="false">CHOOSE(MONTH(B1552),"يناير","فبراير","مارس","أبريل","مايو","يونيو","يوليو","أغسطس","سبتمبر","أكتوبر","نوفمبر","ديسمبر")</f>
        <v>سبتمبر</v>
      </c>
      <c r="R1552" s="40" t="str">
        <f aca="false">"الربع "&amp;ROUNDUP(MONTH(B1552)/3,0)</f>
        <v>الربع 3</v>
      </c>
      <c r="S1552" s="40" t="str">
        <f aca="false">IF(D1552&lt;=12,"أطفال (0-12)",IF(D1552&lt;=24,"شباب (13-24)",IF(D1552&lt;=44,"بالغون (25-44)",IF(D1552&lt;=64,"متوسطو العمر (45-64)","كبار السن (+65)"))))</f>
        <v>بالغون (25-44)</v>
      </c>
      <c r="T1552" s="41" t="n">
        <f aca="false">IFERROR(L1552/P1552,0)</f>
        <v>2018.65</v>
      </c>
    </row>
    <row r="1553" customFormat="false" ht="15" hidden="false" customHeight="false" outlineLevel="0" collapsed="false">
      <c r="A1553" s="33" t="s">
        <v>2021</v>
      </c>
      <c r="B1553" s="34" t="n">
        <v>45562</v>
      </c>
      <c r="C1553" s="34" t="n">
        <v>45566</v>
      </c>
      <c r="D1553" s="33" t="n">
        <v>88</v>
      </c>
      <c r="E1553" s="33" t="s">
        <v>139</v>
      </c>
      <c r="F1553" s="33" t="s">
        <v>181</v>
      </c>
      <c r="G1553" s="33" t="s">
        <v>188</v>
      </c>
      <c r="H1553" s="33" t="s">
        <v>183</v>
      </c>
      <c r="I1553" s="33" t="s">
        <v>143</v>
      </c>
      <c r="J1553" s="33" t="s">
        <v>144</v>
      </c>
      <c r="K1553" s="33" t="s">
        <v>160</v>
      </c>
      <c r="L1553" s="35" t="n">
        <v>18074.1</v>
      </c>
      <c r="M1553" s="33" t="n">
        <v>3</v>
      </c>
      <c r="N1553" s="33" t="s">
        <v>146</v>
      </c>
      <c r="O1553" s="33" t="s">
        <v>147</v>
      </c>
      <c r="P1553" s="39" t="n">
        <f aca="false">C1553-B1553</f>
        <v>4</v>
      </c>
      <c r="Q1553" s="40" t="str">
        <f aca="false">CHOOSE(MONTH(B1553),"يناير","فبراير","مارس","أبريل","مايو","يونيو","يوليو","أغسطس","سبتمبر","أكتوبر","نوفمبر","ديسمبر")</f>
        <v>سبتمبر</v>
      </c>
      <c r="R1553" s="40" t="str">
        <f aca="false">"الربع "&amp;ROUNDUP(MONTH(B1553)/3,0)</f>
        <v>الربع 3</v>
      </c>
      <c r="S1553" s="40" t="str">
        <f aca="false">IF(D1553&lt;=12,"أطفال (0-12)",IF(D1553&lt;=24,"شباب (13-24)",IF(D1553&lt;=44,"بالغون (25-44)",IF(D1553&lt;=64,"متوسطو العمر (45-64)","كبار السن (+65)"))))</f>
        <v>كبار السن (+65)</v>
      </c>
      <c r="T1553" s="41" t="n">
        <f aca="false">IFERROR(L1553/P1553,0)</f>
        <v>4518.525</v>
      </c>
    </row>
    <row r="1554" customFormat="false" ht="15" hidden="false" customHeight="false" outlineLevel="0" collapsed="false">
      <c r="A1554" s="42" t="s">
        <v>1460</v>
      </c>
      <c r="B1554" s="43" t="n">
        <v>45562</v>
      </c>
      <c r="C1554" s="43" t="n">
        <v>45565</v>
      </c>
      <c r="D1554" s="42" t="n">
        <v>69</v>
      </c>
      <c r="E1554" s="42" t="s">
        <v>139</v>
      </c>
      <c r="F1554" s="42" t="s">
        <v>169</v>
      </c>
      <c r="G1554" s="42" t="s">
        <v>170</v>
      </c>
      <c r="H1554" s="42" t="s">
        <v>164</v>
      </c>
      <c r="I1554" s="42" t="s">
        <v>143</v>
      </c>
      <c r="J1554" s="42" t="s">
        <v>159</v>
      </c>
      <c r="K1554" s="42" t="s">
        <v>145</v>
      </c>
      <c r="L1554" s="44" t="n">
        <v>3326.16</v>
      </c>
      <c r="M1554" s="42" t="n">
        <v>3</v>
      </c>
      <c r="N1554" s="42" t="s">
        <v>146</v>
      </c>
      <c r="O1554" s="42" t="s">
        <v>147</v>
      </c>
      <c r="P1554" s="39" t="n">
        <f aca="false">C1554-B1554</f>
        <v>3</v>
      </c>
      <c r="Q1554" s="40" t="str">
        <f aca="false">CHOOSE(MONTH(B1554),"يناير","فبراير","مارس","أبريل","مايو","يونيو","يوليو","أغسطس","سبتمبر","أكتوبر","نوفمبر","ديسمبر")</f>
        <v>سبتمبر</v>
      </c>
      <c r="R1554" s="40" t="str">
        <f aca="false">"الربع "&amp;ROUNDUP(MONTH(B1554)/3,0)</f>
        <v>الربع 3</v>
      </c>
      <c r="S1554" s="40" t="str">
        <f aca="false">IF(D1554&lt;=12,"أطفال (0-12)",IF(D1554&lt;=24,"شباب (13-24)",IF(D1554&lt;=44,"بالغون (25-44)",IF(D1554&lt;=64,"متوسطو العمر (45-64)","كبار السن (+65)"))))</f>
        <v>كبار السن (+65)</v>
      </c>
      <c r="T1554" s="41" t="n">
        <f aca="false">IFERROR(L1554/P1554,0)</f>
        <v>1108.72</v>
      </c>
    </row>
    <row r="1555" customFormat="false" ht="15" hidden="false" customHeight="false" outlineLevel="0" collapsed="false">
      <c r="A1555" s="33" t="s">
        <v>1830</v>
      </c>
      <c r="B1555" s="34" t="n">
        <v>45563</v>
      </c>
      <c r="C1555" s="34" t="n">
        <v>45570</v>
      </c>
      <c r="D1555" s="33" t="n">
        <v>96</v>
      </c>
      <c r="E1555" s="33" t="s">
        <v>154</v>
      </c>
      <c r="F1555" s="33" t="s">
        <v>140</v>
      </c>
      <c r="G1555" s="33" t="s">
        <v>141</v>
      </c>
      <c r="H1555" s="33" t="s">
        <v>290</v>
      </c>
      <c r="I1555" s="33" t="s">
        <v>143</v>
      </c>
      <c r="J1555" s="33" t="s">
        <v>144</v>
      </c>
      <c r="K1555" s="33" t="s">
        <v>145</v>
      </c>
      <c r="L1555" s="35" t="n">
        <v>24935.27</v>
      </c>
      <c r="M1555" s="33" t="n">
        <v>4</v>
      </c>
      <c r="N1555" s="33" t="s">
        <v>146</v>
      </c>
      <c r="O1555" s="33" t="s">
        <v>147</v>
      </c>
      <c r="P1555" s="39" t="n">
        <f aca="false">C1555-B1555</f>
        <v>7</v>
      </c>
      <c r="Q1555" s="40" t="str">
        <f aca="false">CHOOSE(MONTH(B1555),"يناير","فبراير","مارس","أبريل","مايو","يونيو","يوليو","أغسطس","سبتمبر","أكتوبر","نوفمبر","ديسمبر")</f>
        <v>سبتمبر</v>
      </c>
      <c r="R1555" s="40" t="str">
        <f aca="false">"الربع "&amp;ROUNDUP(MONTH(B1555)/3,0)</f>
        <v>الربع 3</v>
      </c>
      <c r="S1555" s="40" t="str">
        <f aca="false">IF(D1555&lt;=12,"أطفال (0-12)",IF(D1555&lt;=24,"شباب (13-24)",IF(D1555&lt;=44,"بالغون (25-44)",IF(D1555&lt;=64,"متوسطو العمر (45-64)","كبار السن (+65)"))))</f>
        <v>كبار السن (+65)</v>
      </c>
      <c r="T1555" s="41" t="n">
        <f aca="false">IFERROR(L1555/P1555,0)</f>
        <v>3562.18142857143</v>
      </c>
    </row>
    <row r="1556" customFormat="false" ht="15" hidden="false" customHeight="false" outlineLevel="0" collapsed="false">
      <c r="A1556" s="42" t="s">
        <v>1033</v>
      </c>
      <c r="B1556" s="43" t="n">
        <v>45563</v>
      </c>
      <c r="C1556" s="43" t="n">
        <v>45564</v>
      </c>
      <c r="D1556" s="42" t="n">
        <v>68</v>
      </c>
      <c r="E1556" s="42" t="s">
        <v>139</v>
      </c>
      <c r="F1556" s="42" t="s">
        <v>181</v>
      </c>
      <c r="G1556" s="42" t="s">
        <v>237</v>
      </c>
      <c r="H1556" s="42" t="s">
        <v>183</v>
      </c>
      <c r="I1556" s="42" t="s">
        <v>143</v>
      </c>
      <c r="J1556" s="42" t="s">
        <v>159</v>
      </c>
      <c r="K1556" s="42" t="s">
        <v>184</v>
      </c>
      <c r="L1556" s="44" t="n">
        <v>2546.23</v>
      </c>
      <c r="M1556" s="42" t="n">
        <v>4</v>
      </c>
      <c r="N1556" s="42" t="s">
        <v>146</v>
      </c>
      <c r="O1556" s="42" t="s">
        <v>147</v>
      </c>
      <c r="P1556" s="39" t="n">
        <f aca="false">C1556-B1556</f>
        <v>1</v>
      </c>
      <c r="Q1556" s="40" t="str">
        <f aca="false">CHOOSE(MONTH(B1556),"يناير","فبراير","مارس","أبريل","مايو","يونيو","يوليو","أغسطس","سبتمبر","أكتوبر","نوفمبر","ديسمبر")</f>
        <v>سبتمبر</v>
      </c>
      <c r="R1556" s="40" t="str">
        <f aca="false">"الربع "&amp;ROUNDUP(MONTH(B1556)/3,0)</f>
        <v>الربع 3</v>
      </c>
      <c r="S1556" s="40" t="str">
        <f aca="false">IF(D1556&lt;=12,"أطفال (0-12)",IF(D1556&lt;=24,"شباب (13-24)",IF(D1556&lt;=44,"بالغون (25-44)",IF(D1556&lt;=64,"متوسطو العمر (45-64)","كبار السن (+65)"))))</f>
        <v>كبار السن (+65)</v>
      </c>
      <c r="T1556" s="41" t="n">
        <f aca="false">IFERROR(L1556/P1556,0)</f>
        <v>2546.23</v>
      </c>
    </row>
    <row r="1557" customFormat="false" ht="15" hidden="false" customHeight="false" outlineLevel="0" collapsed="false">
      <c r="A1557" s="33" t="s">
        <v>1308</v>
      </c>
      <c r="B1557" s="34" t="n">
        <v>45563</v>
      </c>
      <c r="C1557" s="34" t="n">
        <v>45570</v>
      </c>
      <c r="D1557" s="33" t="n">
        <v>51</v>
      </c>
      <c r="E1557" s="33" t="s">
        <v>154</v>
      </c>
      <c r="F1557" s="33" t="s">
        <v>140</v>
      </c>
      <c r="G1557" s="33" t="s">
        <v>141</v>
      </c>
      <c r="H1557" s="33" t="s">
        <v>142</v>
      </c>
      <c r="I1557" s="33" t="s">
        <v>158</v>
      </c>
      <c r="J1557" s="33" t="s">
        <v>159</v>
      </c>
      <c r="K1557" s="33" t="s">
        <v>160</v>
      </c>
      <c r="L1557" s="35" t="n">
        <v>15468.43</v>
      </c>
      <c r="M1557" s="33" t="n">
        <v>4</v>
      </c>
      <c r="N1557" s="33" t="s">
        <v>146</v>
      </c>
      <c r="O1557" s="33" t="s">
        <v>247</v>
      </c>
      <c r="P1557" s="39" t="n">
        <f aca="false">C1557-B1557</f>
        <v>7</v>
      </c>
      <c r="Q1557" s="40" t="str">
        <f aca="false">CHOOSE(MONTH(B1557),"يناير","فبراير","مارس","أبريل","مايو","يونيو","يوليو","أغسطس","سبتمبر","أكتوبر","نوفمبر","ديسمبر")</f>
        <v>سبتمبر</v>
      </c>
      <c r="R1557" s="40" t="str">
        <f aca="false">"الربع "&amp;ROUNDUP(MONTH(B1557)/3,0)</f>
        <v>الربع 3</v>
      </c>
      <c r="S1557" s="40" t="str">
        <f aca="false">IF(D1557&lt;=12,"أطفال (0-12)",IF(D1557&lt;=24,"شباب (13-24)",IF(D1557&lt;=44,"بالغون (25-44)",IF(D1557&lt;=64,"متوسطو العمر (45-64)","كبار السن (+65)"))))</f>
        <v>متوسطو العمر (45-64)</v>
      </c>
      <c r="T1557" s="41" t="n">
        <f aca="false">IFERROR(L1557/P1557,0)</f>
        <v>2209.77571428571</v>
      </c>
    </row>
    <row r="1558" customFormat="false" ht="15" hidden="false" customHeight="false" outlineLevel="0" collapsed="false">
      <c r="A1558" s="42" t="s">
        <v>2053</v>
      </c>
      <c r="B1558" s="43" t="n">
        <v>45563</v>
      </c>
      <c r="C1558" s="43" t="n">
        <v>45568</v>
      </c>
      <c r="D1558" s="42" t="n">
        <v>76</v>
      </c>
      <c r="E1558" s="42" t="s">
        <v>139</v>
      </c>
      <c r="F1558" s="42" t="s">
        <v>181</v>
      </c>
      <c r="G1558" s="42" t="s">
        <v>237</v>
      </c>
      <c r="H1558" s="42" t="s">
        <v>183</v>
      </c>
      <c r="I1558" s="42" t="s">
        <v>143</v>
      </c>
      <c r="J1558" s="42" t="s">
        <v>144</v>
      </c>
      <c r="K1558" s="42" t="s">
        <v>160</v>
      </c>
      <c r="L1558" s="44" t="n">
        <v>18134.06</v>
      </c>
      <c r="M1558" s="42" t="n">
        <v>4</v>
      </c>
      <c r="N1558" s="42" t="s">
        <v>146</v>
      </c>
      <c r="O1558" s="42" t="s">
        <v>147</v>
      </c>
      <c r="P1558" s="39" t="n">
        <f aca="false">C1558-B1558</f>
        <v>5</v>
      </c>
      <c r="Q1558" s="40" t="str">
        <f aca="false">CHOOSE(MONTH(B1558),"يناير","فبراير","مارس","أبريل","مايو","يونيو","يوليو","أغسطس","سبتمبر","أكتوبر","نوفمبر","ديسمبر")</f>
        <v>سبتمبر</v>
      </c>
      <c r="R1558" s="40" t="str">
        <f aca="false">"الربع "&amp;ROUNDUP(MONTH(B1558)/3,0)</f>
        <v>الربع 3</v>
      </c>
      <c r="S1558" s="40" t="str">
        <f aca="false">IF(D1558&lt;=12,"أطفال (0-12)",IF(D1558&lt;=24,"شباب (13-24)",IF(D1558&lt;=44,"بالغون (25-44)",IF(D1558&lt;=64,"متوسطو العمر (45-64)","كبار السن (+65)"))))</f>
        <v>كبار السن (+65)</v>
      </c>
      <c r="T1558" s="41" t="n">
        <f aca="false">IFERROR(L1558/P1558,0)</f>
        <v>3626.812</v>
      </c>
    </row>
    <row r="1559" customFormat="false" ht="15" hidden="false" customHeight="false" outlineLevel="0" collapsed="false">
      <c r="A1559" s="33" t="s">
        <v>1827</v>
      </c>
      <c r="B1559" s="34" t="n">
        <v>45563</v>
      </c>
      <c r="C1559" s="34" t="n">
        <v>45564</v>
      </c>
      <c r="D1559" s="33" t="n">
        <v>45</v>
      </c>
      <c r="E1559" s="33" t="s">
        <v>154</v>
      </c>
      <c r="F1559" s="33" t="s">
        <v>203</v>
      </c>
      <c r="G1559" s="33" t="s">
        <v>241</v>
      </c>
      <c r="H1559" s="33" t="s">
        <v>205</v>
      </c>
      <c r="I1559" s="33" t="s">
        <v>143</v>
      </c>
      <c r="J1559" s="33" t="s">
        <v>159</v>
      </c>
      <c r="K1559" s="33" t="s">
        <v>160</v>
      </c>
      <c r="L1559" s="35" t="n">
        <v>1090.34</v>
      </c>
      <c r="M1559" s="33" t="n">
        <v>4</v>
      </c>
      <c r="N1559" s="33" t="s">
        <v>146</v>
      </c>
      <c r="O1559" s="33" t="s">
        <v>247</v>
      </c>
      <c r="P1559" s="39" t="n">
        <f aca="false">C1559-B1559</f>
        <v>1</v>
      </c>
      <c r="Q1559" s="40" t="str">
        <f aca="false">CHOOSE(MONTH(B1559),"يناير","فبراير","مارس","أبريل","مايو","يونيو","يوليو","أغسطس","سبتمبر","أكتوبر","نوفمبر","ديسمبر")</f>
        <v>سبتمبر</v>
      </c>
      <c r="R1559" s="40" t="str">
        <f aca="false">"الربع "&amp;ROUNDUP(MONTH(B1559)/3,0)</f>
        <v>الربع 3</v>
      </c>
      <c r="S1559" s="40" t="str">
        <f aca="false">IF(D1559&lt;=12,"أطفال (0-12)",IF(D1559&lt;=24,"شباب (13-24)",IF(D1559&lt;=44,"بالغون (25-44)",IF(D1559&lt;=64,"متوسطو العمر (45-64)","كبار السن (+65)"))))</f>
        <v>متوسطو العمر (45-64)</v>
      </c>
      <c r="T1559" s="41" t="n">
        <f aca="false">IFERROR(L1559/P1559,0)</f>
        <v>1090.34</v>
      </c>
    </row>
    <row r="1560" customFormat="false" ht="15" hidden="false" customHeight="false" outlineLevel="0" collapsed="false">
      <c r="A1560" s="42" t="s">
        <v>1346</v>
      </c>
      <c r="B1560" s="43" t="n">
        <v>45564</v>
      </c>
      <c r="C1560" s="43" t="n">
        <v>45567</v>
      </c>
      <c r="D1560" s="42" t="n">
        <v>43</v>
      </c>
      <c r="E1560" s="42" t="s">
        <v>154</v>
      </c>
      <c r="F1560" s="42" t="s">
        <v>173</v>
      </c>
      <c r="G1560" s="42" t="s">
        <v>198</v>
      </c>
      <c r="H1560" s="42" t="s">
        <v>199</v>
      </c>
      <c r="I1560" s="42" t="s">
        <v>158</v>
      </c>
      <c r="J1560" s="42" t="s">
        <v>159</v>
      </c>
      <c r="K1560" s="42" t="s">
        <v>145</v>
      </c>
      <c r="L1560" s="44" t="n">
        <v>7515.06</v>
      </c>
      <c r="M1560" s="42" t="n">
        <v>4</v>
      </c>
      <c r="N1560" s="42" t="s">
        <v>146</v>
      </c>
      <c r="O1560" s="42" t="s">
        <v>147</v>
      </c>
      <c r="P1560" s="39" t="n">
        <f aca="false">C1560-B1560</f>
        <v>3</v>
      </c>
      <c r="Q1560" s="40" t="str">
        <f aca="false">CHOOSE(MONTH(B1560),"يناير","فبراير","مارس","أبريل","مايو","يونيو","يوليو","أغسطس","سبتمبر","أكتوبر","نوفمبر","ديسمبر")</f>
        <v>سبتمبر</v>
      </c>
      <c r="R1560" s="40" t="str">
        <f aca="false">"الربع "&amp;ROUNDUP(MONTH(B1560)/3,0)</f>
        <v>الربع 3</v>
      </c>
      <c r="S1560" s="40" t="str">
        <f aca="false">IF(D1560&lt;=12,"أطفال (0-12)",IF(D1560&lt;=24,"شباب (13-24)",IF(D1560&lt;=44,"بالغون (25-44)",IF(D1560&lt;=64,"متوسطو العمر (45-64)","كبار السن (+65)"))))</f>
        <v>بالغون (25-44)</v>
      </c>
      <c r="T1560" s="41" t="n">
        <f aca="false">IFERROR(L1560/P1560,0)</f>
        <v>2505.02</v>
      </c>
    </row>
    <row r="1561" customFormat="false" ht="15" hidden="false" customHeight="false" outlineLevel="0" collapsed="false">
      <c r="A1561" s="33" t="s">
        <v>1608</v>
      </c>
      <c r="B1561" s="34" t="n">
        <v>45564</v>
      </c>
      <c r="C1561" s="34" t="n">
        <v>45565</v>
      </c>
      <c r="D1561" s="33" t="n">
        <v>4</v>
      </c>
      <c r="E1561" s="33" t="s">
        <v>154</v>
      </c>
      <c r="F1561" s="33" t="s">
        <v>203</v>
      </c>
      <c r="G1561" s="33" t="s">
        <v>204</v>
      </c>
      <c r="H1561" s="33" t="s">
        <v>193</v>
      </c>
      <c r="I1561" s="33" t="s">
        <v>143</v>
      </c>
      <c r="J1561" s="33" t="s">
        <v>159</v>
      </c>
      <c r="K1561" s="33" t="s">
        <v>184</v>
      </c>
      <c r="L1561" s="35" t="n">
        <v>848.2</v>
      </c>
      <c r="M1561" s="33" t="n">
        <v>3</v>
      </c>
      <c r="N1561" s="33" t="s">
        <v>146</v>
      </c>
      <c r="O1561" s="33" t="s">
        <v>147</v>
      </c>
      <c r="P1561" s="39" t="n">
        <f aca="false">C1561-B1561</f>
        <v>1</v>
      </c>
      <c r="Q1561" s="40" t="str">
        <f aca="false">CHOOSE(MONTH(B1561),"يناير","فبراير","مارس","أبريل","مايو","يونيو","يوليو","أغسطس","سبتمبر","أكتوبر","نوفمبر","ديسمبر")</f>
        <v>سبتمبر</v>
      </c>
      <c r="R1561" s="40" t="str">
        <f aca="false">"الربع "&amp;ROUNDUP(MONTH(B1561)/3,0)</f>
        <v>الربع 3</v>
      </c>
      <c r="S1561" s="40" t="str">
        <f aca="false">IF(D1561&lt;=12,"أطفال (0-12)",IF(D1561&lt;=24,"شباب (13-24)",IF(D1561&lt;=44,"بالغون (25-44)",IF(D1561&lt;=64,"متوسطو العمر (45-64)","كبار السن (+65)"))))</f>
        <v>أطفال (0-12)</v>
      </c>
      <c r="T1561" s="41" t="n">
        <f aca="false">IFERROR(L1561/P1561,0)</f>
        <v>848.2</v>
      </c>
    </row>
    <row r="1562" customFormat="false" ht="15" hidden="false" customHeight="false" outlineLevel="0" collapsed="false">
      <c r="A1562" s="42" t="s">
        <v>2221</v>
      </c>
      <c r="B1562" s="43" t="n">
        <v>45564</v>
      </c>
      <c r="C1562" s="43" t="n">
        <v>45566</v>
      </c>
      <c r="D1562" s="42" t="n">
        <v>39</v>
      </c>
      <c r="E1562" s="42" t="s">
        <v>154</v>
      </c>
      <c r="F1562" s="42" t="s">
        <v>140</v>
      </c>
      <c r="G1562" s="42" t="s">
        <v>141</v>
      </c>
      <c r="H1562" s="42" t="s">
        <v>142</v>
      </c>
      <c r="I1562" s="42" t="s">
        <v>158</v>
      </c>
      <c r="J1562" s="42" t="s">
        <v>159</v>
      </c>
      <c r="K1562" s="42" t="s">
        <v>160</v>
      </c>
      <c r="L1562" s="44" t="n">
        <v>5595.76</v>
      </c>
      <c r="M1562" s="42" t="n">
        <v>3</v>
      </c>
      <c r="N1562" s="42" t="s">
        <v>210</v>
      </c>
      <c r="O1562" s="42" t="s">
        <v>147</v>
      </c>
      <c r="P1562" s="39" t="n">
        <f aca="false">C1562-B1562</f>
        <v>2</v>
      </c>
      <c r="Q1562" s="40" t="str">
        <f aca="false">CHOOSE(MONTH(B1562),"يناير","فبراير","مارس","أبريل","مايو","يونيو","يوليو","أغسطس","سبتمبر","أكتوبر","نوفمبر","ديسمبر")</f>
        <v>سبتمبر</v>
      </c>
      <c r="R1562" s="40" t="str">
        <f aca="false">"الربع "&amp;ROUNDUP(MONTH(B1562)/3,0)</f>
        <v>الربع 3</v>
      </c>
      <c r="S1562" s="40" t="str">
        <f aca="false">IF(D1562&lt;=12,"أطفال (0-12)",IF(D1562&lt;=24,"شباب (13-24)",IF(D1562&lt;=44,"بالغون (25-44)",IF(D1562&lt;=64,"متوسطو العمر (45-64)","كبار السن (+65)"))))</f>
        <v>بالغون (25-44)</v>
      </c>
      <c r="T1562" s="41" t="n">
        <f aca="false">IFERROR(L1562/P1562,0)</f>
        <v>2797.88</v>
      </c>
    </row>
    <row r="1563" customFormat="false" ht="15" hidden="false" customHeight="false" outlineLevel="0" collapsed="false">
      <c r="A1563" s="33" t="s">
        <v>468</v>
      </c>
      <c r="B1563" s="34" t="n">
        <v>45564</v>
      </c>
      <c r="C1563" s="34" t="n">
        <v>45567</v>
      </c>
      <c r="D1563" s="33" t="n">
        <v>45</v>
      </c>
      <c r="E1563" s="33" t="s">
        <v>139</v>
      </c>
      <c r="F1563" s="33" t="s">
        <v>181</v>
      </c>
      <c r="G1563" s="33" t="s">
        <v>237</v>
      </c>
      <c r="H1563" s="33" t="s">
        <v>183</v>
      </c>
      <c r="I1563" s="33" t="s">
        <v>152</v>
      </c>
      <c r="J1563" s="33" t="s">
        <v>159</v>
      </c>
      <c r="K1563" s="33" t="s">
        <v>145</v>
      </c>
      <c r="L1563" s="35" t="n">
        <v>7075.34</v>
      </c>
      <c r="M1563" s="33" t="n">
        <v>5</v>
      </c>
      <c r="N1563" s="33" t="s">
        <v>146</v>
      </c>
      <c r="O1563" s="33" t="s">
        <v>147</v>
      </c>
      <c r="P1563" s="39" t="n">
        <f aca="false">C1563-B1563</f>
        <v>3</v>
      </c>
      <c r="Q1563" s="40" t="str">
        <f aca="false">CHOOSE(MONTH(B1563),"يناير","فبراير","مارس","أبريل","مايو","يونيو","يوليو","أغسطس","سبتمبر","أكتوبر","نوفمبر","ديسمبر")</f>
        <v>سبتمبر</v>
      </c>
      <c r="R1563" s="40" t="str">
        <f aca="false">"الربع "&amp;ROUNDUP(MONTH(B1563)/3,0)</f>
        <v>الربع 3</v>
      </c>
      <c r="S1563" s="40" t="str">
        <f aca="false">IF(D1563&lt;=12,"أطفال (0-12)",IF(D1563&lt;=24,"شباب (13-24)",IF(D1563&lt;=44,"بالغون (25-44)",IF(D1563&lt;=64,"متوسطو العمر (45-64)","كبار السن (+65)"))))</f>
        <v>متوسطو العمر (45-64)</v>
      </c>
      <c r="T1563" s="41" t="n">
        <f aca="false">IFERROR(L1563/P1563,0)</f>
        <v>2358.44666666667</v>
      </c>
    </row>
    <row r="1564" customFormat="false" ht="15" hidden="false" customHeight="false" outlineLevel="0" collapsed="false">
      <c r="A1564" s="42" t="s">
        <v>2014</v>
      </c>
      <c r="B1564" s="43" t="n">
        <v>45564</v>
      </c>
      <c r="C1564" s="43" t="n">
        <v>45565</v>
      </c>
      <c r="D1564" s="42" t="n">
        <v>68</v>
      </c>
      <c r="E1564" s="42" t="s">
        <v>154</v>
      </c>
      <c r="F1564" s="42" t="s">
        <v>203</v>
      </c>
      <c r="G1564" s="42" t="s">
        <v>241</v>
      </c>
      <c r="H1564" s="42" t="s">
        <v>233</v>
      </c>
      <c r="I1564" s="42" t="s">
        <v>143</v>
      </c>
      <c r="J1564" s="42" t="s">
        <v>159</v>
      </c>
      <c r="K1564" s="42" t="s">
        <v>184</v>
      </c>
      <c r="L1564" s="44" t="n">
        <v>902.73</v>
      </c>
      <c r="M1564" s="42" t="n">
        <v>4</v>
      </c>
      <c r="N1564" s="42" t="s">
        <v>146</v>
      </c>
      <c r="O1564" s="42" t="s">
        <v>295</v>
      </c>
      <c r="P1564" s="39" t="n">
        <f aca="false">C1564-B1564</f>
        <v>1</v>
      </c>
      <c r="Q1564" s="40" t="str">
        <f aca="false">CHOOSE(MONTH(B1564),"يناير","فبراير","مارس","أبريل","مايو","يونيو","يوليو","أغسطس","سبتمبر","أكتوبر","نوفمبر","ديسمبر")</f>
        <v>سبتمبر</v>
      </c>
      <c r="R1564" s="40" t="str">
        <f aca="false">"الربع "&amp;ROUNDUP(MONTH(B1564)/3,0)</f>
        <v>الربع 3</v>
      </c>
      <c r="S1564" s="40" t="str">
        <f aca="false">IF(D1564&lt;=12,"أطفال (0-12)",IF(D1564&lt;=24,"شباب (13-24)",IF(D1564&lt;=44,"بالغون (25-44)",IF(D1564&lt;=64,"متوسطو العمر (45-64)","كبار السن (+65)"))))</f>
        <v>كبار السن (+65)</v>
      </c>
      <c r="T1564" s="41" t="n">
        <f aca="false">IFERROR(L1564/P1564,0)</f>
        <v>902.73</v>
      </c>
    </row>
    <row r="1565" customFormat="false" ht="15" hidden="false" customHeight="false" outlineLevel="0" collapsed="false">
      <c r="A1565" s="33" t="s">
        <v>413</v>
      </c>
      <c r="B1565" s="34" t="n">
        <v>45564</v>
      </c>
      <c r="C1565" s="34" t="n">
        <v>45569</v>
      </c>
      <c r="D1565" s="33" t="n">
        <v>28</v>
      </c>
      <c r="E1565" s="33" t="s">
        <v>154</v>
      </c>
      <c r="F1565" s="33" t="s">
        <v>173</v>
      </c>
      <c r="G1565" s="33" t="s">
        <v>198</v>
      </c>
      <c r="H1565" s="33" t="s">
        <v>199</v>
      </c>
      <c r="I1565" s="33" t="s">
        <v>152</v>
      </c>
      <c r="J1565" s="33" t="s">
        <v>159</v>
      </c>
      <c r="K1565" s="33" t="s">
        <v>160</v>
      </c>
      <c r="L1565" s="35" t="n">
        <v>12823.03</v>
      </c>
      <c r="M1565" s="33" t="n">
        <v>3</v>
      </c>
      <c r="N1565" s="33" t="s">
        <v>146</v>
      </c>
      <c r="O1565" s="33" t="s">
        <v>147</v>
      </c>
      <c r="P1565" s="39" t="n">
        <f aca="false">C1565-B1565</f>
        <v>5</v>
      </c>
      <c r="Q1565" s="40" t="str">
        <f aca="false">CHOOSE(MONTH(B1565),"يناير","فبراير","مارس","أبريل","مايو","يونيو","يوليو","أغسطس","سبتمبر","أكتوبر","نوفمبر","ديسمبر")</f>
        <v>سبتمبر</v>
      </c>
      <c r="R1565" s="40" t="str">
        <f aca="false">"الربع "&amp;ROUNDUP(MONTH(B1565)/3,0)</f>
        <v>الربع 3</v>
      </c>
      <c r="S1565" s="40" t="str">
        <f aca="false">IF(D1565&lt;=12,"أطفال (0-12)",IF(D1565&lt;=24,"شباب (13-24)",IF(D1565&lt;=44,"بالغون (25-44)",IF(D1565&lt;=64,"متوسطو العمر (45-64)","كبار السن (+65)"))))</f>
        <v>بالغون (25-44)</v>
      </c>
      <c r="T1565" s="41" t="n">
        <f aca="false">IFERROR(L1565/P1565,0)</f>
        <v>2564.606</v>
      </c>
    </row>
    <row r="1566" customFormat="false" ht="15" hidden="false" customHeight="false" outlineLevel="0" collapsed="false">
      <c r="A1566" s="42" t="s">
        <v>1144</v>
      </c>
      <c r="B1566" s="43" t="n">
        <v>45565</v>
      </c>
      <c r="C1566" s="43" t="n">
        <v>45568</v>
      </c>
      <c r="D1566" s="42" t="n">
        <v>4</v>
      </c>
      <c r="E1566" s="42" t="s">
        <v>154</v>
      </c>
      <c r="F1566" s="42" t="s">
        <v>155</v>
      </c>
      <c r="G1566" s="42" t="s">
        <v>302</v>
      </c>
      <c r="H1566" s="42" t="s">
        <v>222</v>
      </c>
      <c r="I1566" s="42" t="s">
        <v>143</v>
      </c>
      <c r="J1566" s="42" t="s">
        <v>176</v>
      </c>
      <c r="K1566" s="42" t="s">
        <v>209</v>
      </c>
      <c r="L1566" s="44" t="n">
        <v>7112.15</v>
      </c>
      <c r="M1566" s="42" t="n">
        <v>4</v>
      </c>
      <c r="N1566" s="42" t="s">
        <v>146</v>
      </c>
      <c r="O1566" s="42" t="s">
        <v>147</v>
      </c>
      <c r="P1566" s="39" t="n">
        <f aca="false">C1566-B1566</f>
        <v>3</v>
      </c>
      <c r="Q1566" s="40" t="str">
        <f aca="false">CHOOSE(MONTH(B1566),"يناير","فبراير","مارس","أبريل","مايو","يونيو","يوليو","أغسطس","سبتمبر","أكتوبر","نوفمبر","ديسمبر")</f>
        <v>سبتمبر</v>
      </c>
      <c r="R1566" s="40" t="str">
        <f aca="false">"الربع "&amp;ROUNDUP(MONTH(B1566)/3,0)</f>
        <v>الربع 3</v>
      </c>
      <c r="S1566" s="40" t="str">
        <f aca="false">IF(D1566&lt;=12,"أطفال (0-12)",IF(D1566&lt;=24,"شباب (13-24)",IF(D1566&lt;=44,"بالغون (25-44)",IF(D1566&lt;=64,"متوسطو العمر (45-64)","كبار السن (+65)"))))</f>
        <v>أطفال (0-12)</v>
      </c>
      <c r="T1566" s="41" t="n">
        <f aca="false">IFERROR(L1566/P1566,0)</f>
        <v>2370.71666666667</v>
      </c>
    </row>
    <row r="1567" customFormat="false" ht="15" hidden="false" customHeight="false" outlineLevel="0" collapsed="false">
      <c r="A1567" s="33" t="s">
        <v>1694</v>
      </c>
      <c r="B1567" s="34" t="n">
        <v>45565</v>
      </c>
      <c r="C1567" s="34" t="n">
        <v>45566</v>
      </c>
      <c r="D1567" s="33" t="n">
        <v>49</v>
      </c>
      <c r="E1567" s="33" t="s">
        <v>154</v>
      </c>
      <c r="F1567" s="33" t="s">
        <v>203</v>
      </c>
      <c r="G1567" s="33" t="s">
        <v>232</v>
      </c>
      <c r="H1567" s="33" t="s">
        <v>233</v>
      </c>
      <c r="I1567" s="33" t="s">
        <v>143</v>
      </c>
      <c r="J1567" s="33" t="s">
        <v>159</v>
      </c>
      <c r="K1567" s="33" t="s">
        <v>145</v>
      </c>
      <c r="L1567" s="35" t="n">
        <v>894.24</v>
      </c>
      <c r="M1567" s="33" t="n">
        <v>4</v>
      </c>
      <c r="N1567" s="33" t="s">
        <v>146</v>
      </c>
      <c r="O1567" s="33" t="s">
        <v>147</v>
      </c>
      <c r="P1567" s="39" t="n">
        <f aca="false">C1567-B1567</f>
        <v>1</v>
      </c>
      <c r="Q1567" s="40" t="str">
        <f aca="false">CHOOSE(MONTH(B1567),"يناير","فبراير","مارس","أبريل","مايو","يونيو","يوليو","أغسطس","سبتمبر","أكتوبر","نوفمبر","ديسمبر")</f>
        <v>سبتمبر</v>
      </c>
      <c r="R1567" s="40" t="str">
        <f aca="false">"الربع "&amp;ROUNDUP(MONTH(B1567)/3,0)</f>
        <v>الربع 3</v>
      </c>
      <c r="S1567" s="40" t="str">
        <f aca="false">IF(D1567&lt;=12,"أطفال (0-12)",IF(D1567&lt;=24,"شباب (13-24)",IF(D1567&lt;=44,"بالغون (25-44)",IF(D1567&lt;=64,"متوسطو العمر (45-64)","كبار السن (+65)"))))</f>
        <v>متوسطو العمر (45-64)</v>
      </c>
      <c r="T1567" s="41" t="n">
        <f aca="false">IFERROR(L1567/P1567,0)</f>
        <v>894.24</v>
      </c>
    </row>
    <row r="1568" customFormat="false" ht="15" hidden="false" customHeight="false" outlineLevel="0" collapsed="false">
      <c r="A1568" s="42" t="s">
        <v>743</v>
      </c>
      <c r="B1568" s="43" t="n">
        <v>45565</v>
      </c>
      <c r="C1568" s="43" t="n">
        <v>45570</v>
      </c>
      <c r="D1568" s="42" t="n">
        <v>30</v>
      </c>
      <c r="E1568" s="42" t="s">
        <v>139</v>
      </c>
      <c r="F1568" s="42" t="s">
        <v>149</v>
      </c>
      <c r="G1568" s="42" t="s">
        <v>224</v>
      </c>
      <c r="H1568" s="42" t="s">
        <v>186</v>
      </c>
      <c r="I1568" s="42" t="s">
        <v>143</v>
      </c>
      <c r="J1568" s="42" t="s">
        <v>159</v>
      </c>
      <c r="K1568" s="42" t="s">
        <v>145</v>
      </c>
      <c r="L1568" s="44" t="n">
        <v>7840.62</v>
      </c>
      <c r="M1568" s="42" t="n">
        <v>3</v>
      </c>
      <c r="N1568" s="42" t="s">
        <v>146</v>
      </c>
      <c r="O1568" s="42" t="s">
        <v>147</v>
      </c>
      <c r="P1568" s="39" t="n">
        <f aca="false">C1568-B1568</f>
        <v>5</v>
      </c>
      <c r="Q1568" s="40" t="str">
        <f aca="false">CHOOSE(MONTH(B1568),"يناير","فبراير","مارس","أبريل","مايو","يونيو","يوليو","أغسطس","سبتمبر","أكتوبر","نوفمبر","ديسمبر")</f>
        <v>سبتمبر</v>
      </c>
      <c r="R1568" s="40" t="str">
        <f aca="false">"الربع "&amp;ROUNDUP(MONTH(B1568)/3,0)</f>
        <v>الربع 3</v>
      </c>
      <c r="S1568" s="40" t="str">
        <f aca="false">IF(D1568&lt;=12,"أطفال (0-12)",IF(D1568&lt;=24,"شباب (13-24)",IF(D1568&lt;=44,"بالغون (25-44)",IF(D1568&lt;=64,"متوسطو العمر (45-64)","كبار السن (+65)"))))</f>
        <v>بالغون (25-44)</v>
      </c>
      <c r="T1568" s="41" t="n">
        <f aca="false">IFERROR(L1568/P1568,0)</f>
        <v>1568.124</v>
      </c>
    </row>
    <row r="1569" customFormat="false" ht="15" hidden="false" customHeight="false" outlineLevel="0" collapsed="false">
      <c r="A1569" s="33" t="s">
        <v>2094</v>
      </c>
      <c r="B1569" s="34" t="n">
        <v>45565</v>
      </c>
      <c r="C1569" s="34" t="n">
        <v>45567</v>
      </c>
      <c r="D1569" s="33" t="n">
        <v>32</v>
      </c>
      <c r="E1569" s="33" t="s">
        <v>139</v>
      </c>
      <c r="F1569" s="33" t="s">
        <v>203</v>
      </c>
      <c r="G1569" s="33" t="s">
        <v>241</v>
      </c>
      <c r="H1569" s="33" t="s">
        <v>205</v>
      </c>
      <c r="I1569" s="33" t="s">
        <v>143</v>
      </c>
      <c r="J1569" s="33" t="s">
        <v>159</v>
      </c>
      <c r="K1569" s="33" t="s">
        <v>145</v>
      </c>
      <c r="L1569" s="35" t="n">
        <v>1839.23</v>
      </c>
      <c r="M1569" s="33" t="n">
        <v>3</v>
      </c>
      <c r="N1569" s="33" t="s">
        <v>146</v>
      </c>
      <c r="O1569" s="33" t="s">
        <v>147</v>
      </c>
      <c r="P1569" s="39" t="n">
        <f aca="false">C1569-B1569</f>
        <v>2</v>
      </c>
      <c r="Q1569" s="40" t="str">
        <f aca="false">CHOOSE(MONTH(B1569),"يناير","فبراير","مارس","أبريل","مايو","يونيو","يوليو","أغسطس","سبتمبر","أكتوبر","نوفمبر","ديسمبر")</f>
        <v>سبتمبر</v>
      </c>
      <c r="R1569" s="40" t="str">
        <f aca="false">"الربع "&amp;ROUNDUP(MONTH(B1569)/3,0)</f>
        <v>الربع 3</v>
      </c>
      <c r="S1569" s="40" t="str">
        <f aca="false">IF(D1569&lt;=12,"أطفال (0-12)",IF(D1569&lt;=24,"شباب (13-24)",IF(D1569&lt;=44,"بالغون (25-44)",IF(D1569&lt;=64,"متوسطو العمر (45-64)","كبار السن (+65)"))))</f>
        <v>بالغون (25-44)</v>
      </c>
      <c r="T1569" s="41" t="n">
        <f aca="false">IFERROR(L1569/P1569,0)</f>
        <v>919.615</v>
      </c>
    </row>
    <row r="1570" customFormat="false" ht="15" hidden="false" customHeight="false" outlineLevel="0" collapsed="false">
      <c r="A1570" s="42" t="s">
        <v>337</v>
      </c>
      <c r="B1570" s="43" t="n">
        <v>45565</v>
      </c>
      <c r="C1570" s="43" t="n">
        <v>45566</v>
      </c>
      <c r="D1570" s="42" t="n">
        <v>1</v>
      </c>
      <c r="E1570" s="42" t="s">
        <v>139</v>
      </c>
      <c r="F1570" s="42" t="s">
        <v>155</v>
      </c>
      <c r="G1570" s="42" t="s">
        <v>156</v>
      </c>
      <c r="H1570" s="42" t="s">
        <v>157</v>
      </c>
      <c r="I1570" s="42" t="s">
        <v>143</v>
      </c>
      <c r="J1570" s="42" t="s">
        <v>176</v>
      </c>
      <c r="K1570" s="42" t="s">
        <v>145</v>
      </c>
      <c r="L1570" s="44" t="n">
        <v>3211.27</v>
      </c>
      <c r="M1570" s="42" t="n">
        <v>4</v>
      </c>
      <c r="N1570" s="42" t="s">
        <v>146</v>
      </c>
      <c r="O1570" s="42" t="s">
        <v>147</v>
      </c>
      <c r="P1570" s="39" t="n">
        <f aca="false">C1570-B1570</f>
        <v>1</v>
      </c>
      <c r="Q1570" s="40" t="str">
        <f aca="false">CHOOSE(MONTH(B1570),"يناير","فبراير","مارس","أبريل","مايو","يونيو","يوليو","أغسطس","سبتمبر","أكتوبر","نوفمبر","ديسمبر")</f>
        <v>سبتمبر</v>
      </c>
      <c r="R1570" s="40" t="str">
        <f aca="false">"الربع "&amp;ROUNDUP(MONTH(B1570)/3,0)</f>
        <v>الربع 3</v>
      </c>
      <c r="S1570" s="40" t="str">
        <f aca="false">IF(D1570&lt;=12,"أطفال (0-12)",IF(D1570&lt;=24,"شباب (13-24)",IF(D1570&lt;=44,"بالغون (25-44)",IF(D1570&lt;=64,"متوسطو العمر (45-64)","كبار السن (+65)"))))</f>
        <v>أطفال (0-12)</v>
      </c>
      <c r="T1570" s="41" t="n">
        <f aca="false">IFERROR(L1570/P1570,0)</f>
        <v>3211.27</v>
      </c>
    </row>
    <row r="1571" customFormat="false" ht="15" hidden="false" customHeight="false" outlineLevel="0" collapsed="false">
      <c r="A1571" s="33" t="s">
        <v>1143</v>
      </c>
      <c r="B1571" s="34" t="n">
        <v>45565</v>
      </c>
      <c r="C1571" s="34" t="n">
        <v>45566</v>
      </c>
      <c r="D1571" s="33" t="n">
        <v>58</v>
      </c>
      <c r="E1571" s="33" t="s">
        <v>154</v>
      </c>
      <c r="F1571" s="33" t="s">
        <v>203</v>
      </c>
      <c r="G1571" s="33" t="s">
        <v>204</v>
      </c>
      <c r="H1571" s="33" t="s">
        <v>193</v>
      </c>
      <c r="I1571" s="33" t="s">
        <v>143</v>
      </c>
      <c r="J1571" s="33" t="s">
        <v>159</v>
      </c>
      <c r="K1571" s="33" t="s">
        <v>145</v>
      </c>
      <c r="L1571" s="35" t="n">
        <v>1067.66</v>
      </c>
      <c r="M1571" s="33" t="n">
        <v>3</v>
      </c>
      <c r="N1571" s="33" t="s">
        <v>146</v>
      </c>
      <c r="O1571" s="33" t="s">
        <v>147</v>
      </c>
      <c r="P1571" s="39" t="n">
        <f aca="false">C1571-B1571</f>
        <v>1</v>
      </c>
      <c r="Q1571" s="40" t="str">
        <f aca="false">CHOOSE(MONTH(B1571),"يناير","فبراير","مارس","أبريل","مايو","يونيو","يوليو","أغسطس","سبتمبر","أكتوبر","نوفمبر","ديسمبر")</f>
        <v>سبتمبر</v>
      </c>
      <c r="R1571" s="40" t="str">
        <f aca="false">"الربع "&amp;ROUNDUP(MONTH(B1571)/3,0)</f>
        <v>الربع 3</v>
      </c>
      <c r="S1571" s="40" t="str">
        <f aca="false">IF(D1571&lt;=12,"أطفال (0-12)",IF(D1571&lt;=24,"شباب (13-24)",IF(D1571&lt;=44,"بالغون (25-44)",IF(D1571&lt;=64,"متوسطو العمر (45-64)","كبار السن (+65)"))))</f>
        <v>متوسطو العمر (45-64)</v>
      </c>
      <c r="T1571" s="41" t="n">
        <f aca="false">IFERROR(L1571/P1571,0)</f>
        <v>1067.66</v>
      </c>
    </row>
    <row r="1572" customFormat="false" ht="15" hidden="false" customHeight="false" outlineLevel="0" collapsed="false">
      <c r="A1572" s="42" t="s">
        <v>552</v>
      </c>
      <c r="B1572" s="43" t="n">
        <v>45566</v>
      </c>
      <c r="C1572" s="43" t="n">
        <v>45570</v>
      </c>
      <c r="D1572" s="42" t="n">
        <v>60</v>
      </c>
      <c r="E1572" s="42" t="s">
        <v>139</v>
      </c>
      <c r="F1572" s="42" t="s">
        <v>173</v>
      </c>
      <c r="G1572" s="42" t="s">
        <v>174</v>
      </c>
      <c r="H1572" s="42" t="s">
        <v>175</v>
      </c>
      <c r="I1572" s="42" t="s">
        <v>143</v>
      </c>
      <c r="J1572" s="42" t="s">
        <v>159</v>
      </c>
      <c r="K1572" s="42" t="s">
        <v>184</v>
      </c>
      <c r="L1572" s="44" t="n">
        <v>8624.38</v>
      </c>
      <c r="M1572" s="42" t="n">
        <v>5</v>
      </c>
      <c r="N1572" s="42" t="s">
        <v>146</v>
      </c>
      <c r="O1572" s="42" t="s">
        <v>147</v>
      </c>
      <c r="P1572" s="39" t="n">
        <f aca="false">C1572-B1572</f>
        <v>4</v>
      </c>
      <c r="Q1572" s="40" t="str">
        <f aca="false">CHOOSE(MONTH(B1572),"يناير","فبراير","مارس","أبريل","مايو","يونيو","يوليو","أغسطس","سبتمبر","أكتوبر","نوفمبر","ديسمبر")</f>
        <v>أكتوبر</v>
      </c>
      <c r="R1572" s="40" t="str">
        <f aca="false">"الربع "&amp;ROUNDUP(MONTH(B1572)/3,0)</f>
        <v>الربع 4</v>
      </c>
      <c r="S1572" s="40" t="str">
        <f aca="false">IF(D1572&lt;=12,"أطفال (0-12)",IF(D1572&lt;=24,"شباب (13-24)",IF(D1572&lt;=44,"بالغون (25-44)",IF(D1572&lt;=64,"متوسطو العمر (45-64)","كبار السن (+65)"))))</f>
        <v>متوسطو العمر (45-64)</v>
      </c>
      <c r="T1572" s="41" t="n">
        <f aca="false">IFERROR(L1572/P1572,0)</f>
        <v>2156.095</v>
      </c>
    </row>
    <row r="1573" customFormat="false" ht="15" hidden="false" customHeight="false" outlineLevel="0" collapsed="false">
      <c r="A1573" s="33" t="s">
        <v>1961</v>
      </c>
      <c r="B1573" s="34" t="n">
        <v>45566</v>
      </c>
      <c r="C1573" s="34" t="n">
        <v>45567</v>
      </c>
      <c r="D1573" s="33" t="n">
        <v>10</v>
      </c>
      <c r="E1573" s="33" t="s">
        <v>139</v>
      </c>
      <c r="F1573" s="33" t="s">
        <v>155</v>
      </c>
      <c r="G1573" s="33" t="s">
        <v>220</v>
      </c>
      <c r="H1573" s="33" t="s">
        <v>157</v>
      </c>
      <c r="I1573" s="33" t="s">
        <v>143</v>
      </c>
      <c r="J1573" s="33" t="s">
        <v>176</v>
      </c>
      <c r="K1573" s="33" t="s">
        <v>145</v>
      </c>
      <c r="L1573" s="35" t="n">
        <v>2464.71</v>
      </c>
      <c r="M1573" s="33" t="n">
        <v>5</v>
      </c>
      <c r="N1573" s="33" t="s">
        <v>146</v>
      </c>
      <c r="O1573" s="33" t="s">
        <v>147</v>
      </c>
      <c r="P1573" s="39" t="n">
        <f aca="false">C1573-B1573</f>
        <v>1</v>
      </c>
      <c r="Q1573" s="40" t="str">
        <f aca="false">CHOOSE(MONTH(B1573),"يناير","فبراير","مارس","أبريل","مايو","يونيو","يوليو","أغسطس","سبتمبر","أكتوبر","نوفمبر","ديسمبر")</f>
        <v>أكتوبر</v>
      </c>
      <c r="R1573" s="40" t="str">
        <f aca="false">"الربع "&amp;ROUNDUP(MONTH(B1573)/3,0)</f>
        <v>الربع 4</v>
      </c>
      <c r="S1573" s="40" t="str">
        <f aca="false">IF(D1573&lt;=12,"أطفال (0-12)",IF(D1573&lt;=24,"شباب (13-24)",IF(D1573&lt;=44,"بالغون (25-44)",IF(D1573&lt;=64,"متوسطو العمر (45-64)","كبار السن (+65)"))))</f>
        <v>أطفال (0-12)</v>
      </c>
      <c r="T1573" s="41" t="n">
        <f aca="false">IFERROR(L1573/P1573,0)</f>
        <v>2464.71</v>
      </c>
    </row>
    <row r="1574" customFormat="false" ht="15" hidden="false" customHeight="false" outlineLevel="0" collapsed="false">
      <c r="A1574" s="42" t="s">
        <v>1099</v>
      </c>
      <c r="B1574" s="43" t="n">
        <v>45566</v>
      </c>
      <c r="C1574" s="43" t="n">
        <v>45572</v>
      </c>
      <c r="D1574" s="42" t="n">
        <v>46</v>
      </c>
      <c r="E1574" s="42" t="s">
        <v>154</v>
      </c>
      <c r="F1574" s="42" t="s">
        <v>226</v>
      </c>
      <c r="G1574" s="42" t="s">
        <v>258</v>
      </c>
      <c r="H1574" s="42" t="s">
        <v>228</v>
      </c>
      <c r="I1574" s="42" t="s">
        <v>143</v>
      </c>
      <c r="J1574" s="42" t="s">
        <v>144</v>
      </c>
      <c r="K1574" s="42" t="s">
        <v>145</v>
      </c>
      <c r="L1574" s="44" t="n">
        <v>37174.5</v>
      </c>
      <c r="M1574" s="42" t="n">
        <v>5</v>
      </c>
      <c r="N1574" s="42" t="s">
        <v>146</v>
      </c>
      <c r="O1574" s="42" t="s">
        <v>147</v>
      </c>
      <c r="P1574" s="39" t="n">
        <f aca="false">C1574-B1574</f>
        <v>6</v>
      </c>
      <c r="Q1574" s="40" t="str">
        <f aca="false">CHOOSE(MONTH(B1574),"يناير","فبراير","مارس","أبريل","مايو","يونيو","يوليو","أغسطس","سبتمبر","أكتوبر","نوفمبر","ديسمبر")</f>
        <v>أكتوبر</v>
      </c>
      <c r="R1574" s="40" t="str">
        <f aca="false">"الربع "&amp;ROUNDUP(MONTH(B1574)/3,0)</f>
        <v>الربع 4</v>
      </c>
      <c r="S1574" s="40" t="str">
        <f aca="false">IF(D1574&lt;=12,"أطفال (0-12)",IF(D1574&lt;=24,"شباب (13-24)",IF(D1574&lt;=44,"بالغون (25-44)",IF(D1574&lt;=64,"متوسطو العمر (45-64)","كبار السن (+65)"))))</f>
        <v>متوسطو العمر (45-64)</v>
      </c>
      <c r="T1574" s="41" t="n">
        <f aca="false">IFERROR(L1574/P1574,0)</f>
        <v>6195.75</v>
      </c>
    </row>
    <row r="1575" customFormat="false" ht="15" hidden="false" customHeight="false" outlineLevel="0" collapsed="false">
      <c r="A1575" s="33" t="s">
        <v>520</v>
      </c>
      <c r="B1575" s="34" t="n">
        <v>45566</v>
      </c>
      <c r="C1575" s="34" t="n">
        <v>45567</v>
      </c>
      <c r="D1575" s="33" t="n">
        <v>96</v>
      </c>
      <c r="E1575" s="33" t="s">
        <v>139</v>
      </c>
      <c r="F1575" s="33" t="s">
        <v>203</v>
      </c>
      <c r="G1575" s="33" t="s">
        <v>232</v>
      </c>
      <c r="H1575" s="33" t="s">
        <v>205</v>
      </c>
      <c r="I1575" s="33" t="s">
        <v>143</v>
      </c>
      <c r="J1575" s="33" t="s">
        <v>144</v>
      </c>
      <c r="K1575" s="33" t="s">
        <v>145</v>
      </c>
      <c r="L1575" s="35" t="n">
        <v>1763.34</v>
      </c>
      <c r="M1575" s="33" t="n">
        <v>2</v>
      </c>
      <c r="N1575" s="33" t="s">
        <v>146</v>
      </c>
      <c r="O1575" s="33" t="s">
        <v>147</v>
      </c>
      <c r="P1575" s="39" t="n">
        <f aca="false">C1575-B1575</f>
        <v>1</v>
      </c>
      <c r="Q1575" s="40" t="str">
        <f aca="false">CHOOSE(MONTH(B1575),"يناير","فبراير","مارس","أبريل","مايو","يونيو","يوليو","أغسطس","سبتمبر","أكتوبر","نوفمبر","ديسمبر")</f>
        <v>أكتوبر</v>
      </c>
      <c r="R1575" s="40" t="str">
        <f aca="false">"الربع "&amp;ROUNDUP(MONTH(B1575)/3,0)</f>
        <v>الربع 4</v>
      </c>
      <c r="S1575" s="40" t="str">
        <f aca="false">IF(D1575&lt;=12,"أطفال (0-12)",IF(D1575&lt;=24,"شباب (13-24)",IF(D1575&lt;=44,"بالغون (25-44)",IF(D1575&lt;=64,"متوسطو العمر (45-64)","كبار السن (+65)"))))</f>
        <v>كبار السن (+65)</v>
      </c>
      <c r="T1575" s="41" t="n">
        <f aca="false">IFERROR(L1575/P1575,0)</f>
        <v>1763.34</v>
      </c>
    </row>
    <row r="1576" customFormat="false" ht="15" hidden="false" customHeight="false" outlineLevel="0" collapsed="false">
      <c r="A1576" s="42" t="s">
        <v>1688</v>
      </c>
      <c r="B1576" s="43" t="n">
        <v>45566</v>
      </c>
      <c r="C1576" s="43" t="n">
        <v>45567</v>
      </c>
      <c r="D1576" s="42" t="n">
        <v>50</v>
      </c>
      <c r="E1576" s="42" t="s">
        <v>139</v>
      </c>
      <c r="F1576" s="42" t="s">
        <v>203</v>
      </c>
      <c r="G1576" s="42" t="s">
        <v>241</v>
      </c>
      <c r="H1576" s="42" t="s">
        <v>205</v>
      </c>
      <c r="I1576" s="42" t="s">
        <v>143</v>
      </c>
      <c r="J1576" s="42" t="s">
        <v>159</v>
      </c>
      <c r="K1576" s="42" t="s">
        <v>160</v>
      </c>
      <c r="L1576" s="44" t="n">
        <v>976.34</v>
      </c>
      <c r="M1576" s="42" t="n">
        <v>2</v>
      </c>
      <c r="N1576" s="42" t="s">
        <v>146</v>
      </c>
      <c r="O1576" s="42" t="s">
        <v>147</v>
      </c>
      <c r="P1576" s="39" t="n">
        <f aca="false">C1576-B1576</f>
        <v>1</v>
      </c>
      <c r="Q1576" s="40" t="str">
        <f aca="false">CHOOSE(MONTH(B1576),"يناير","فبراير","مارس","أبريل","مايو","يونيو","يوليو","أغسطس","سبتمبر","أكتوبر","نوفمبر","ديسمبر")</f>
        <v>أكتوبر</v>
      </c>
      <c r="R1576" s="40" t="str">
        <f aca="false">"الربع "&amp;ROUNDUP(MONTH(B1576)/3,0)</f>
        <v>الربع 4</v>
      </c>
      <c r="S1576" s="40" t="str">
        <f aca="false">IF(D1576&lt;=12,"أطفال (0-12)",IF(D1576&lt;=24,"شباب (13-24)",IF(D1576&lt;=44,"بالغون (25-44)",IF(D1576&lt;=64,"متوسطو العمر (45-64)","كبار السن (+65)"))))</f>
        <v>متوسطو العمر (45-64)</v>
      </c>
      <c r="T1576" s="41" t="n">
        <f aca="false">IFERROR(L1576/P1576,0)</f>
        <v>976.34</v>
      </c>
    </row>
    <row r="1577" customFormat="false" ht="15" hidden="false" customHeight="false" outlineLevel="0" collapsed="false">
      <c r="A1577" s="33" t="s">
        <v>1206</v>
      </c>
      <c r="B1577" s="34" t="n">
        <v>45566</v>
      </c>
      <c r="C1577" s="34" t="n">
        <v>45568</v>
      </c>
      <c r="D1577" s="33" t="n">
        <v>19</v>
      </c>
      <c r="E1577" s="33" t="s">
        <v>139</v>
      </c>
      <c r="F1577" s="33" t="s">
        <v>149</v>
      </c>
      <c r="G1577" s="33" t="s">
        <v>243</v>
      </c>
      <c r="H1577" s="33" t="s">
        <v>151</v>
      </c>
      <c r="I1577" s="33" t="s">
        <v>143</v>
      </c>
      <c r="J1577" s="33" t="s">
        <v>144</v>
      </c>
      <c r="K1577" s="33" t="s">
        <v>145</v>
      </c>
      <c r="L1577" s="35" t="n">
        <v>5324.87</v>
      </c>
      <c r="M1577" s="33" t="n">
        <v>5</v>
      </c>
      <c r="N1577" s="33" t="s">
        <v>146</v>
      </c>
      <c r="O1577" s="33" t="s">
        <v>147</v>
      </c>
      <c r="P1577" s="39" t="n">
        <f aca="false">C1577-B1577</f>
        <v>2</v>
      </c>
      <c r="Q1577" s="40" t="str">
        <f aca="false">CHOOSE(MONTH(B1577),"يناير","فبراير","مارس","أبريل","مايو","يونيو","يوليو","أغسطس","سبتمبر","أكتوبر","نوفمبر","ديسمبر")</f>
        <v>أكتوبر</v>
      </c>
      <c r="R1577" s="40" t="str">
        <f aca="false">"الربع "&amp;ROUNDUP(MONTH(B1577)/3,0)</f>
        <v>الربع 4</v>
      </c>
      <c r="S1577" s="40" t="str">
        <f aca="false">IF(D1577&lt;=12,"أطفال (0-12)",IF(D1577&lt;=24,"شباب (13-24)",IF(D1577&lt;=44,"بالغون (25-44)",IF(D1577&lt;=64,"متوسطو العمر (45-64)","كبار السن (+65)"))))</f>
        <v>شباب (13-24)</v>
      </c>
      <c r="T1577" s="41" t="n">
        <f aca="false">IFERROR(L1577/P1577,0)</f>
        <v>2662.435</v>
      </c>
    </row>
    <row r="1578" customFormat="false" ht="15" hidden="false" customHeight="false" outlineLevel="0" collapsed="false">
      <c r="A1578" s="42" t="s">
        <v>538</v>
      </c>
      <c r="B1578" s="43" t="n">
        <v>45566</v>
      </c>
      <c r="C1578" s="43" t="n">
        <v>45572</v>
      </c>
      <c r="D1578" s="42" t="n">
        <v>28</v>
      </c>
      <c r="E1578" s="42" t="s">
        <v>139</v>
      </c>
      <c r="F1578" s="42" t="s">
        <v>173</v>
      </c>
      <c r="G1578" s="42" t="s">
        <v>178</v>
      </c>
      <c r="H1578" s="42" t="s">
        <v>199</v>
      </c>
      <c r="I1578" s="42" t="s">
        <v>143</v>
      </c>
      <c r="J1578" s="42" t="s">
        <v>159</v>
      </c>
      <c r="K1578" s="42" t="s">
        <v>209</v>
      </c>
      <c r="L1578" s="44" t="n">
        <v>16220.61</v>
      </c>
      <c r="M1578" s="42" t="n">
        <v>4</v>
      </c>
      <c r="N1578" s="42" t="s">
        <v>146</v>
      </c>
      <c r="O1578" s="42" t="s">
        <v>147</v>
      </c>
      <c r="P1578" s="39" t="n">
        <f aca="false">C1578-B1578</f>
        <v>6</v>
      </c>
      <c r="Q1578" s="40" t="str">
        <f aca="false">CHOOSE(MONTH(B1578),"يناير","فبراير","مارس","أبريل","مايو","يونيو","يوليو","أغسطس","سبتمبر","أكتوبر","نوفمبر","ديسمبر")</f>
        <v>أكتوبر</v>
      </c>
      <c r="R1578" s="40" t="str">
        <f aca="false">"الربع "&amp;ROUNDUP(MONTH(B1578)/3,0)</f>
        <v>الربع 4</v>
      </c>
      <c r="S1578" s="40" t="str">
        <f aca="false">IF(D1578&lt;=12,"أطفال (0-12)",IF(D1578&lt;=24,"شباب (13-24)",IF(D1578&lt;=44,"بالغون (25-44)",IF(D1578&lt;=64,"متوسطو العمر (45-64)","كبار السن (+65)"))))</f>
        <v>بالغون (25-44)</v>
      </c>
      <c r="T1578" s="41" t="n">
        <f aca="false">IFERROR(L1578/P1578,0)</f>
        <v>2703.435</v>
      </c>
    </row>
    <row r="1579" customFormat="false" ht="15" hidden="false" customHeight="false" outlineLevel="0" collapsed="false">
      <c r="A1579" s="33" t="s">
        <v>1001</v>
      </c>
      <c r="B1579" s="34" t="n">
        <v>45567</v>
      </c>
      <c r="C1579" s="34" t="n">
        <v>45573</v>
      </c>
      <c r="D1579" s="33" t="n">
        <v>67</v>
      </c>
      <c r="E1579" s="33" t="s">
        <v>139</v>
      </c>
      <c r="F1579" s="33" t="s">
        <v>169</v>
      </c>
      <c r="G1579" s="33" t="s">
        <v>213</v>
      </c>
      <c r="H1579" s="33" t="s">
        <v>164</v>
      </c>
      <c r="I1579" s="33" t="s">
        <v>143</v>
      </c>
      <c r="J1579" s="33" t="s">
        <v>159</v>
      </c>
      <c r="K1579" s="33" t="s">
        <v>184</v>
      </c>
      <c r="L1579" s="35" t="n">
        <v>7393.75</v>
      </c>
      <c r="M1579" s="33" t="n">
        <v>4</v>
      </c>
      <c r="N1579" s="33" t="s">
        <v>146</v>
      </c>
      <c r="O1579" s="33" t="s">
        <v>247</v>
      </c>
      <c r="P1579" s="39" t="n">
        <f aca="false">C1579-B1579</f>
        <v>6</v>
      </c>
      <c r="Q1579" s="40" t="str">
        <f aca="false">CHOOSE(MONTH(B1579),"يناير","فبراير","مارس","أبريل","مايو","يونيو","يوليو","أغسطس","سبتمبر","أكتوبر","نوفمبر","ديسمبر")</f>
        <v>أكتوبر</v>
      </c>
      <c r="R1579" s="40" t="str">
        <f aca="false">"الربع "&amp;ROUNDUP(MONTH(B1579)/3,0)</f>
        <v>الربع 4</v>
      </c>
      <c r="S1579" s="40" t="str">
        <f aca="false">IF(D1579&lt;=12,"أطفال (0-12)",IF(D1579&lt;=24,"شباب (13-24)",IF(D1579&lt;=44,"بالغون (25-44)",IF(D1579&lt;=64,"متوسطو العمر (45-64)","كبار السن (+65)"))))</f>
        <v>كبار السن (+65)</v>
      </c>
      <c r="T1579" s="41" t="n">
        <f aca="false">IFERROR(L1579/P1579,0)</f>
        <v>1232.29166666667</v>
      </c>
    </row>
    <row r="1580" customFormat="false" ht="15" hidden="false" customHeight="false" outlineLevel="0" collapsed="false">
      <c r="A1580" s="42" t="s">
        <v>1533</v>
      </c>
      <c r="B1580" s="43" t="n">
        <v>45567</v>
      </c>
      <c r="C1580" s="43" t="n">
        <v>45569</v>
      </c>
      <c r="D1580" s="42" t="n">
        <v>2</v>
      </c>
      <c r="E1580" s="42" t="s">
        <v>154</v>
      </c>
      <c r="F1580" s="42" t="s">
        <v>155</v>
      </c>
      <c r="G1580" s="42" t="s">
        <v>220</v>
      </c>
      <c r="H1580" s="42" t="s">
        <v>222</v>
      </c>
      <c r="I1580" s="42" t="s">
        <v>143</v>
      </c>
      <c r="J1580" s="42" t="s">
        <v>159</v>
      </c>
      <c r="K1580" s="42" t="s">
        <v>145</v>
      </c>
      <c r="L1580" s="44" t="n">
        <v>1916.84</v>
      </c>
      <c r="M1580" s="42" t="n">
        <v>5</v>
      </c>
      <c r="N1580" s="42" t="s">
        <v>146</v>
      </c>
      <c r="O1580" s="42" t="s">
        <v>147</v>
      </c>
      <c r="P1580" s="39" t="n">
        <f aca="false">C1580-B1580</f>
        <v>2</v>
      </c>
      <c r="Q1580" s="40" t="str">
        <f aca="false">CHOOSE(MONTH(B1580),"يناير","فبراير","مارس","أبريل","مايو","يونيو","يوليو","أغسطس","سبتمبر","أكتوبر","نوفمبر","ديسمبر")</f>
        <v>أكتوبر</v>
      </c>
      <c r="R1580" s="40" t="str">
        <f aca="false">"الربع "&amp;ROUNDUP(MONTH(B1580)/3,0)</f>
        <v>الربع 4</v>
      </c>
      <c r="S1580" s="40" t="str">
        <f aca="false">IF(D1580&lt;=12,"أطفال (0-12)",IF(D1580&lt;=24,"شباب (13-24)",IF(D1580&lt;=44,"بالغون (25-44)",IF(D1580&lt;=64,"متوسطو العمر (45-64)","كبار السن (+65)"))))</f>
        <v>أطفال (0-12)</v>
      </c>
      <c r="T1580" s="41" t="n">
        <f aca="false">IFERROR(L1580/P1580,0)</f>
        <v>958.42</v>
      </c>
    </row>
    <row r="1581" customFormat="false" ht="15" hidden="false" customHeight="false" outlineLevel="0" collapsed="false">
      <c r="A1581" s="33" t="s">
        <v>763</v>
      </c>
      <c r="B1581" s="34" t="n">
        <v>45567</v>
      </c>
      <c r="C1581" s="34" t="n">
        <v>45570</v>
      </c>
      <c r="D1581" s="33" t="n">
        <v>10</v>
      </c>
      <c r="E1581" s="33" t="s">
        <v>154</v>
      </c>
      <c r="F1581" s="33" t="s">
        <v>203</v>
      </c>
      <c r="G1581" s="33" t="s">
        <v>241</v>
      </c>
      <c r="H1581" s="33" t="s">
        <v>233</v>
      </c>
      <c r="I1581" s="33" t="s">
        <v>143</v>
      </c>
      <c r="J1581" s="33" t="s">
        <v>144</v>
      </c>
      <c r="K1581" s="33" t="s">
        <v>160</v>
      </c>
      <c r="L1581" s="35" t="n">
        <v>5895.59</v>
      </c>
      <c r="M1581" s="33" t="n">
        <v>3</v>
      </c>
      <c r="N1581" s="33" t="s">
        <v>146</v>
      </c>
      <c r="O1581" s="33" t="s">
        <v>147</v>
      </c>
      <c r="P1581" s="39" t="n">
        <f aca="false">C1581-B1581</f>
        <v>3</v>
      </c>
      <c r="Q1581" s="40" t="str">
        <f aca="false">CHOOSE(MONTH(B1581),"يناير","فبراير","مارس","أبريل","مايو","يونيو","يوليو","أغسطس","سبتمبر","أكتوبر","نوفمبر","ديسمبر")</f>
        <v>أكتوبر</v>
      </c>
      <c r="R1581" s="40" t="str">
        <f aca="false">"الربع "&amp;ROUNDUP(MONTH(B1581)/3,0)</f>
        <v>الربع 4</v>
      </c>
      <c r="S1581" s="40" t="str">
        <f aca="false">IF(D1581&lt;=12,"أطفال (0-12)",IF(D1581&lt;=24,"شباب (13-24)",IF(D1581&lt;=44,"بالغون (25-44)",IF(D1581&lt;=64,"متوسطو العمر (45-64)","كبار السن (+65)"))))</f>
        <v>أطفال (0-12)</v>
      </c>
      <c r="T1581" s="41" t="n">
        <f aca="false">IFERROR(L1581/P1581,0)</f>
        <v>1965.19666666667</v>
      </c>
    </row>
    <row r="1582" customFormat="false" ht="15" hidden="false" customHeight="false" outlineLevel="0" collapsed="false">
      <c r="A1582" s="42" t="s">
        <v>1636</v>
      </c>
      <c r="B1582" s="43" t="n">
        <v>45567</v>
      </c>
      <c r="C1582" s="43" t="n">
        <v>45570</v>
      </c>
      <c r="D1582" s="42" t="n">
        <v>31</v>
      </c>
      <c r="E1582" s="42" t="s">
        <v>139</v>
      </c>
      <c r="F1582" s="42" t="s">
        <v>169</v>
      </c>
      <c r="G1582" s="42" t="s">
        <v>213</v>
      </c>
      <c r="H1582" s="42" t="s">
        <v>164</v>
      </c>
      <c r="I1582" s="42" t="s">
        <v>152</v>
      </c>
      <c r="J1582" s="42" t="s">
        <v>176</v>
      </c>
      <c r="K1582" s="42" t="s">
        <v>184</v>
      </c>
      <c r="L1582" s="44" t="n">
        <v>13186.06</v>
      </c>
      <c r="M1582" s="42" t="n">
        <v>5</v>
      </c>
      <c r="N1582" s="42" t="s">
        <v>146</v>
      </c>
      <c r="O1582" s="42" t="s">
        <v>247</v>
      </c>
      <c r="P1582" s="39" t="n">
        <f aca="false">C1582-B1582</f>
        <v>3</v>
      </c>
      <c r="Q1582" s="40" t="str">
        <f aca="false">CHOOSE(MONTH(B1582),"يناير","فبراير","مارس","أبريل","مايو","يونيو","يوليو","أغسطس","سبتمبر","أكتوبر","نوفمبر","ديسمبر")</f>
        <v>أكتوبر</v>
      </c>
      <c r="R1582" s="40" t="str">
        <f aca="false">"الربع "&amp;ROUNDUP(MONTH(B1582)/3,0)</f>
        <v>الربع 4</v>
      </c>
      <c r="S1582" s="40" t="str">
        <f aca="false">IF(D1582&lt;=12,"أطفال (0-12)",IF(D1582&lt;=24,"شباب (13-24)",IF(D1582&lt;=44,"بالغون (25-44)",IF(D1582&lt;=64,"متوسطو العمر (45-64)","كبار السن (+65)"))))</f>
        <v>بالغون (25-44)</v>
      </c>
      <c r="T1582" s="41" t="n">
        <f aca="false">IFERROR(L1582/P1582,0)</f>
        <v>4395.35333333333</v>
      </c>
    </row>
    <row r="1583" customFormat="false" ht="15" hidden="false" customHeight="false" outlineLevel="0" collapsed="false">
      <c r="A1583" s="33" t="s">
        <v>962</v>
      </c>
      <c r="B1583" s="34" t="n">
        <v>45567</v>
      </c>
      <c r="C1583" s="34" t="n">
        <v>45575</v>
      </c>
      <c r="D1583" s="33" t="n">
        <v>13</v>
      </c>
      <c r="E1583" s="33" t="s">
        <v>154</v>
      </c>
      <c r="F1583" s="33" t="s">
        <v>140</v>
      </c>
      <c r="G1583" s="33" t="s">
        <v>167</v>
      </c>
      <c r="H1583" s="33" t="s">
        <v>142</v>
      </c>
      <c r="I1583" s="33" t="s">
        <v>152</v>
      </c>
      <c r="J1583" s="33" t="s">
        <v>159</v>
      </c>
      <c r="K1583" s="33" t="s">
        <v>209</v>
      </c>
      <c r="L1583" s="35" t="n">
        <v>14102.65</v>
      </c>
      <c r="M1583" s="33" t="n">
        <v>3</v>
      </c>
      <c r="N1583" s="33" t="s">
        <v>146</v>
      </c>
      <c r="O1583" s="33" t="s">
        <v>147</v>
      </c>
      <c r="P1583" s="39" t="n">
        <f aca="false">C1583-B1583</f>
        <v>8</v>
      </c>
      <c r="Q1583" s="40" t="str">
        <f aca="false">CHOOSE(MONTH(B1583),"يناير","فبراير","مارس","أبريل","مايو","يونيو","يوليو","أغسطس","سبتمبر","أكتوبر","نوفمبر","ديسمبر")</f>
        <v>أكتوبر</v>
      </c>
      <c r="R1583" s="40" t="str">
        <f aca="false">"الربع "&amp;ROUNDUP(MONTH(B1583)/3,0)</f>
        <v>الربع 4</v>
      </c>
      <c r="S1583" s="40" t="str">
        <f aca="false">IF(D1583&lt;=12,"أطفال (0-12)",IF(D1583&lt;=24,"شباب (13-24)",IF(D1583&lt;=44,"بالغون (25-44)",IF(D1583&lt;=64,"متوسطو العمر (45-64)","كبار السن (+65)"))))</f>
        <v>شباب (13-24)</v>
      </c>
      <c r="T1583" s="41" t="n">
        <f aca="false">IFERROR(L1583/P1583,0)</f>
        <v>1762.83125</v>
      </c>
    </row>
    <row r="1584" customFormat="false" ht="15" hidden="false" customHeight="false" outlineLevel="0" collapsed="false">
      <c r="A1584" s="42" t="s">
        <v>1678</v>
      </c>
      <c r="B1584" s="43" t="n">
        <v>45567</v>
      </c>
      <c r="C1584" s="43" t="n">
        <v>45568</v>
      </c>
      <c r="D1584" s="42" t="n">
        <v>6</v>
      </c>
      <c r="E1584" s="42" t="s">
        <v>139</v>
      </c>
      <c r="F1584" s="42" t="s">
        <v>155</v>
      </c>
      <c r="G1584" s="42" t="s">
        <v>156</v>
      </c>
      <c r="H1584" s="42" t="s">
        <v>222</v>
      </c>
      <c r="I1584" s="42" t="s">
        <v>143</v>
      </c>
      <c r="J1584" s="42" t="s">
        <v>144</v>
      </c>
      <c r="K1584" s="42" t="s">
        <v>145</v>
      </c>
      <c r="L1584" s="44" t="n">
        <v>1610.29</v>
      </c>
      <c r="M1584" s="42" t="n">
        <v>3</v>
      </c>
      <c r="N1584" s="42" t="s">
        <v>146</v>
      </c>
      <c r="O1584" s="42" t="s">
        <v>147</v>
      </c>
      <c r="P1584" s="39" t="n">
        <f aca="false">C1584-B1584</f>
        <v>1</v>
      </c>
      <c r="Q1584" s="40" t="str">
        <f aca="false">CHOOSE(MONTH(B1584),"يناير","فبراير","مارس","أبريل","مايو","يونيو","يوليو","أغسطس","سبتمبر","أكتوبر","نوفمبر","ديسمبر")</f>
        <v>أكتوبر</v>
      </c>
      <c r="R1584" s="40" t="str">
        <f aca="false">"الربع "&amp;ROUNDUP(MONTH(B1584)/3,0)</f>
        <v>الربع 4</v>
      </c>
      <c r="S1584" s="40" t="str">
        <f aca="false">IF(D1584&lt;=12,"أطفال (0-12)",IF(D1584&lt;=24,"شباب (13-24)",IF(D1584&lt;=44,"بالغون (25-44)",IF(D1584&lt;=64,"متوسطو العمر (45-64)","كبار السن (+65)"))))</f>
        <v>أطفال (0-12)</v>
      </c>
      <c r="T1584" s="41" t="n">
        <f aca="false">IFERROR(L1584/P1584,0)</f>
        <v>1610.29</v>
      </c>
    </row>
    <row r="1585" customFormat="false" ht="15" hidden="false" customHeight="false" outlineLevel="0" collapsed="false">
      <c r="A1585" s="33" t="s">
        <v>1433</v>
      </c>
      <c r="B1585" s="34" t="n">
        <v>45568</v>
      </c>
      <c r="C1585" s="34" t="n">
        <v>45569</v>
      </c>
      <c r="D1585" s="33" t="n">
        <v>37</v>
      </c>
      <c r="E1585" s="33" t="s">
        <v>139</v>
      </c>
      <c r="F1585" s="33" t="s">
        <v>149</v>
      </c>
      <c r="G1585" s="33" t="s">
        <v>243</v>
      </c>
      <c r="H1585" s="33" t="s">
        <v>186</v>
      </c>
      <c r="I1585" s="33" t="s">
        <v>158</v>
      </c>
      <c r="J1585" s="33" t="s">
        <v>176</v>
      </c>
      <c r="K1585" s="33" t="s">
        <v>145</v>
      </c>
      <c r="L1585" s="35" t="n">
        <v>4967.83</v>
      </c>
      <c r="M1585" s="33" t="n">
        <v>4</v>
      </c>
      <c r="N1585" s="33" t="s">
        <v>146</v>
      </c>
      <c r="O1585" s="33" t="s">
        <v>147</v>
      </c>
      <c r="P1585" s="39" t="n">
        <f aca="false">C1585-B1585</f>
        <v>1</v>
      </c>
      <c r="Q1585" s="40" t="str">
        <f aca="false">CHOOSE(MONTH(B1585),"يناير","فبراير","مارس","أبريل","مايو","يونيو","يوليو","أغسطس","سبتمبر","أكتوبر","نوفمبر","ديسمبر")</f>
        <v>أكتوبر</v>
      </c>
      <c r="R1585" s="40" t="str">
        <f aca="false">"الربع "&amp;ROUNDUP(MONTH(B1585)/3,0)</f>
        <v>الربع 4</v>
      </c>
      <c r="S1585" s="40" t="str">
        <f aca="false">IF(D1585&lt;=12,"أطفال (0-12)",IF(D1585&lt;=24,"شباب (13-24)",IF(D1585&lt;=44,"بالغون (25-44)",IF(D1585&lt;=64,"متوسطو العمر (45-64)","كبار السن (+65)"))))</f>
        <v>بالغون (25-44)</v>
      </c>
      <c r="T1585" s="41" t="n">
        <f aca="false">IFERROR(L1585/P1585,0)</f>
        <v>4967.83</v>
      </c>
    </row>
    <row r="1586" customFormat="false" ht="15" hidden="false" customHeight="false" outlineLevel="0" collapsed="false">
      <c r="A1586" s="42" t="s">
        <v>488</v>
      </c>
      <c r="B1586" s="43" t="n">
        <v>45568</v>
      </c>
      <c r="C1586" s="43" t="n">
        <v>45570</v>
      </c>
      <c r="D1586" s="42" t="n">
        <v>69</v>
      </c>
      <c r="E1586" s="42" t="s">
        <v>139</v>
      </c>
      <c r="F1586" s="42" t="s">
        <v>181</v>
      </c>
      <c r="G1586" s="42" t="s">
        <v>188</v>
      </c>
      <c r="H1586" s="42" t="s">
        <v>183</v>
      </c>
      <c r="I1586" s="42" t="s">
        <v>143</v>
      </c>
      <c r="J1586" s="42" t="s">
        <v>176</v>
      </c>
      <c r="K1586" s="42" t="s">
        <v>160</v>
      </c>
      <c r="L1586" s="44" t="n">
        <v>15225.97</v>
      </c>
      <c r="M1586" s="42" t="n">
        <v>5</v>
      </c>
      <c r="N1586" s="42" t="s">
        <v>146</v>
      </c>
      <c r="O1586" s="42" t="s">
        <v>147</v>
      </c>
      <c r="P1586" s="39" t="n">
        <f aca="false">C1586-B1586</f>
        <v>2</v>
      </c>
      <c r="Q1586" s="40" t="str">
        <f aca="false">CHOOSE(MONTH(B1586),"يناير","فبراير","مارس","أبريل","مايو","يونيو","يوليو","أغسطس","سبتمبر","أكتوبر","نوفمبر","ديسمبر")</f>
        <v>أكتوبر</v>
      </c>
      <c r="R1586" s="40" t="str">
        <f aca="false">"الربع "&amp;ROUNDUP(MONTH(B1586)/3,0)</f>
        <v>الربع 4</v>
      </c>
      <c r="S1586" s="40" t="str">
        <f aca="false">IF(D1586&lt;=12,"أطفال (0-12)",IF(D1586&lt;=24,"شباب (13-24)",IF(D1586&lt;=44,"بالغون (25-44)",IF(D1586&lt;=64,"متوسطو العمر (45-64)","كبار السن (+65)"))))</f>
        <v>كبار السن (+65)</v>
      </c>
      <c r="T1586" s="41" t="n">
        <f aca="false">IFERROR(L1586/P1586,0)</f>
        <v>7612.985</v>
      </c>
    </row>
    <row r="1587" customFormat="false" ht="15" hidden="false" customHeight="false" outlineLevel="0" collapsed="false">
      <c r="A1587" s="33" t="s">
        <v>1578</v>
      </c>
      <c r="B1587" s="34" t="n">
        <v>45569</v>
      </c>
      <c r="C1587" s="34" t="n">
        <v>45573</v>
      </c>
      <c r="D1587" s="33" t="n">
        <v>44</v>
      </c>
      <c r="E1587" s="33" t="s">
        <v>139</v>
      </c>
      <c r="F1587" s="33" t="s">
        <v>169</v>
      </c>
      <c r="G1587" s="33" t="s">
        <v>213</v>
      </c>
      <c r="H1587" s="33" t="s">
        <v>2322</v>
      </c>
      <c r="I1587" s="33" t="s">
        <v>143</v>
      </c>
      <c r="J1587" s="33" t="s">
        <v>159</v>
      </c>
      <c r="K1587" s="33" t="s">
        <v>145</v>
      </c>
      <c r="L1587" s="35" t="n">
        <v>5016.84</v>
      </c>
      <c r="M1587" s="33" t="n">
        <v>5</v>
      </c>
      <c r="N1587" s="33" t="s">
        <v>146</v>
      </c>
      <c r="O1587" s="33" t="s">
        <v>147</v>
      </c>
      <c r="P1587" s="39" t="n">
        <f aca="false">C1587-B1587</f>
        <v>4</v>
      </c>
      <c r="Q1587" s="40" t="str">
        <f aca="false">CHOOSE(MONTH(B1587),"يناير","فبراير","مارس","أبريل","مايو","يونيو","يوليو","أغسطس","سبتمبر","أكتوبر","نوفمبر","ديسمبر")</f>
        <v>أكتوبر</v>
      </c>
      <c r="R1587" s="40" t="str">
        <f aca="false">"الربع "&amp;ROUNDUP(MONTH(B1587)/3,0)</f>
        <v>الربع 4</v>
      </c>
      <c r="S1587" s="40" t="str">
        <f aca="false">IF(D1587&lt;=12,"أطفال (0-12)",IF(D1587&lt;=24,"شباب (13-24)",IF(D1587&lt;=44,"بالغون (25-44)",IF(D1587&lt;=64,"متوسطو العمر (45-64)","كبار السن (+65)"))))</f>
        <v>بالغون (25-44)</v>
      </c>
      <c r="T1587" s="41" t="n">
        <f aca="false">IFERROR(L1587/P1587,0)</f>
        <v>1254.21</v>
      </c>
    </row>
    <row r="1588" customFormat="false" ht="15" hidden="false" customHeight="false" outlineLevel="0" collapsed="false">
      <c r="A1588" s="42" t="s">
        <v>2196</v>
      </c>
      <c r="B1588" s="43" t="n">
        <v>45569</v>
      </c>
      <c r="C1588" s="43" t="n">
        <v>45571</v>
      </c>
      <c r="D1588" s="42" t="n">
        <v>64</v>
      </c>
      <c r="E1588" s="42" t="s">
        <v>154</v>
      </c>
      <c r="F1588" s="42" t="s">
        <v>203</v>
      </c>
      <c r="G1588" s="42" t="s">
        <v>217</v>
      </c>
      <c r="H1588" s="42" t="s">
        <v>205</v>
      </c>
      <c r="I1588" s="42" t="s">
        <v>143</v>
      </c>
      <c r="J1588" s="42" t="s">
        <v>159</v>
      </c>
      <c r="K1588" s="42" t="s">
        <v>160</v>
      </c>
      <c r="L1588" s="44" t="n">
        <v>1901.45</v>
      </c>
      <c r="M1588" s="42" t="n">
        <v>4</v>
      </c>
      <c r="N1588" s="42" t="s">
        <v>146</v>
      </c>
      <c r="O1588" s="42" t="s">
        <v>147</v>
      </c>
      <c r="P1588" s="39" t="n">
        <f aca="false">C1588-B1588</f>
        <v>2</v>
      </c>
      <c r="Q1588" s="40" t="str">
        <f aca="false">CHOOSE(MONTH(B1588),"يناير","فبراير","مارس","أبريل","مايو","يونيو","يوليو","أغسطس","سبتمبر","أكتوبر","نوفمبر","ديسمبر")</f>
        <v>أكتوبر</v>
      </c>
      <c r="R1588" s="40" t="str">
        <f aca="false">"الربع "&amp;ROUNDUP(MONTH(B1588)/3,0)</f>
        <v>الربع 4</v>
      </c>
      <c r="S1588" s="40" t="str">
        <f aca="false">IF(D1588&lt;=12,"أطفال (0-12)",IF(D1588&lt;=24,"شباب (13-24)",IF(D1588&lt;=44,"بالغون (25-44)",IF(D1588&lt;=64,"متوسطو العمر (45-64)","كبار السن (+65)"))))</f>
        <v>متوسطو العمر (45-64)</v>
      </c>
      <c r="T1588" s="41" t="n">
        <f aca="false">IFERROR(L1588/P1588,0)</f>
        <v>950.725</v>
      </c>
    </row>
    <row r="1589" customFormat="false" ht="15" hidden="false" customHeight="false" outlineLevel="0" collapsed="false">
      <c r="A1589" s="33" t="s">
        <v>1222</v>
      </c>
      <c r="B1589" s="34" t="n">
        <v>45569</v>
      </c>
      <c r="C1589" s="34" t="n">
        <v>45571</v>
      </c>
      <c r="D1589" s="33" t="n">
        <v>34</v>
      </c>
      <c r="E1589" s="33" t="s">
        <v>139</v>
      </c>
      <c r="F1589" s="33" t="s">
        <v>149</v>
      </c>
      <c r="G1589" s="33" t="s">
        <v>150</v>
      </c>
      <c r="H1589" s="33" t="s">
        <v>151</v>
      </c>
      <c r="I1589" s="33" t="s">
        <v>143</v>
      </c>
      <c r="J1589" s="33" t="s">
        <v>176</v>
      </c>
      <c r="K1589" s="33" t="s">
        <v>160</v>
      </c>
      <c r="L1589" s="35" t="n">
        <v>8020.38</v>
      </c>
      <c r="M1589" s="33" t="n">
        <v>5</v>
      </c>
      <c r="N1589" s="33" t="s">
        <v>146</v>
      </c>
      <c r="O1589" s="33" t="s">
        <v>147</v>
      </c>
      <c r="P1589" s="39" t="n">
        <f aca="false">C1589-B1589</f>
        <v>2</v>
      </c>
      <c r="Q1589" s="40" t="str">
        <f aca="false">CHOOSE(MONTH(B1589),"يناير","فبراير","مارس","أبريل","مايو","يونيو","يوليو","أغسطس","سبتمبر","أكتوبر","نوفمبر","ديسمبر")</f>
        <v>أكتوبر</v>
      </c>
      <c r="R1589" s="40" t="str">
        <f aca="false">"الربع "&amp;ROUNDUP(MONTH(B1589)/3,0)</f>
        <v>الربع 4</v>
      </c>
      <c r="S1589" s="40" t="str">
        <f aca="false">IF(D1589&lt;=12,"أطفال (0-12)",IF(D1589&lt;=24,"شباب (13-24)",IF(D1589&lt;=44,"بالغون (25-44)",IF(D1589&lt;=64,"متوسطو العمر (45-64)","كبار السن (+65)"))))</f>
        <v>بالغون (25-44)</v>
      </c>
      <c r="T1589" s="41" t="n">
        <f aca="false">IFERROR(L1589/P1589,0)</f>
        <v>4010.19</v>
      </c>
    </row>
    <row r="1590" customFormat="false" ht="15" hidden="false" customHeight="false" outlineLevel="0" collapsed="false">
      <c r="A1590" s="42" t="s">
        <v>1095</v>
      </c>
      <c r="B1590" s="43" t="n">
        <v>45569</v>
      </c>
      <c r="C1590" s="43" t="n">
        <v>45572</v>
      </c>
      <c r="D1590" s="42" t="n">
        <v>5</v>
      </c>
      <c r="E1590" s="42" t="s">
        <v>154</v>
      </c>
      <c r="F1590" s="42" t="s">
        <v>155</v>
      </c>
      <c r="G1590" s="42" t="s">
        <v>220</v>
      </c>
      <c r="H1590" s="42" t="s">
        <v>222</v>
      </c>
      <c r="I1590" s="42" t="s">
        <v>152</v>
      </c>
      <c r="J1590" s="42" t="s">
        <v>176</v>
      </c>
      <c r="K1590" s="42" t="s">
        <v>184</v>
      </c>
      <c r="L1590" s="44" t="n">
        <v>7751.63</v>
      </c>
      <c r="M1590" s="42" t="n">
        <v>3</v>
      </c>
      <c r="N1590" s="42" t="s">
        <v>146</v>
      </c>
      <c r="O1590" s="42" t="s">
        <v>147</v>
      </c>
      <c r="P1590" s="39" t="n">
        <f aca="false">C1590-B1590</f>
        <v>3</v>
      </c>
      <c r="Q1590" s="40" t="str">
        <f aca="false">CHOOSE(MONTH(B1590),"يناير","فبراير","مارس","أبريل","مايو","يونيو","يوليو","أغسطس","سبتمبر","أكتوبر","نوفمبر","ديسمبر")</f>
        <v>أكتوبر</v>
      </c>
      <c r="R1590" s="40" t="str">
        <f aca="false">"الربع "&amp;ROUNDUP(MONTH(B1590)/3,0)</f>
        <v>الربع 4</v>
      </c>
      <c r="S1590" s="40" t="str">
        <f aca="false">IF(D1590&lt;=12,"أطفال (0-12)",IF(D1590&lt;=24,"شباب (13-24)",IF(D1590&lt;=44,"بالغون (25-44)",IF(D1590&lt;=64,"متوسطو العمر (45-64)","كبار السن (+65)"))))</f>
        <v>أطفال (0-12)</v>
      </c>
      <c r="T1590" s="41" t="n">
        <f aca="false">IFERROR(L1590/P1590,0)</f>
        <v>2583.87666666667</v>
      </c>
    </row>
    <row r="1591" customFormat="false" ht="15" hidden="false" customHeight="false" outlineLevel="0" collapsed="false">
      <c r="A1591" s="33" t="s">
        <v>1550</v>
      </c>
      <c r="B1591" s="34" t="n">
        <v>45570</v>
      </c>
      <c r="C1591" s="34" t="n">
        <v>45572</v>
      </c>
      <c r="D1591" s="33" t="n">
        <v>53</v>
      </c>
      <c r="E1591" s="33" t="s">
        <v>139</v>
      </c>
      <c r="F1591" s="33" t="s">
        <v>203</v>
      </c>
      <c r="G1591" s="33" t="s">
        <v>241</v>
      </c>
      <c r="H1591" s="33" t="s">
        <v>205</v>
      </c>
      <c r="I1591" s="33" t="s">
        <v>158</v>
      </c>
      <c r="J1591" s="33" t="s">
        <v>176</v>
      </c>
      <c r="K1591" s="33" t="s">
        <v>145</v>
      </c>
      <c r="L1591" s="35" t="n">
        <v>5312.06</v>
      </c>
      <c r="M1591" s="33" t="n">
        <v>5</v>
      </c>
      <c r="N1591" s="33" t="s">
        <v>146</v>
      </c>
      <c r="O1591" s="33" t="s">
        <v>147</v>
      </c>
      <c r="P1591" s="39" t="n">
        <f aca="false">C1591-B1591</f>
        <v>2</v>
      </c>
      <c r="Q1591" s="40" t="str">
        <f aca="false">CHOOSE(MONTH(B1591),"يناير","فبراير","مارس","أبريل","مايو","يونيو","يوليو","أغسطس","سبتمبر","أكتوبر","نوفمبر","ديسمبر")</f>
        <v>أكتوبر</v>
      </c>
      <c r="R1591" s="40" t="str">
        <f aca="false">"الربع "&amp;ROUNDUP(MONTH(B1591)/3,0)</f>
        <v>الربع 4</v>
      </c>
      <c r="S1591" s="40" t="str">
        <f aca="false">IF(D1591&lt;=12,"أطفال (0-12)",IF(D1591&lt;=24,"شباب (13-24)",IF(D1591&lt;=44,"بالغون (25-44)",IF(D1591&lt;=64,"متوسطو العمر (45-64)","كبار السن (+65)"))))</f>
        <v>متوسطو العمر (45-64)</v>
      </c>
      <c r="T1591" s="41" t="n">
        <f aca="false">IFERROR(L1591/P1591,0)</f>
        <v>2656.03</v>
      </c>
    </row>
    <row r="1592" customFormat="false" ht="15" hidden="false" customHeight="false" outlineLevel="0" collapsed="false">
      <c r="A1592" s="42" t="s">
        <v>769</v>
      </c>
      <c r="B1592" s="43" t="n">
        <v>45570</v>
      </c>
      <c r="C1592" s="43" t="n">
        <v>45571</v>
      </c>
      <c r="D1592" s="42" t="n">
        <v>27</v>
      </c>
      <c r="E1592" s="42" t="s">
        <v>139</v>
      </c>
      <c r="F1592" s="42" t="s">
        <v>173</v>
      </c>
      <c r="G1592" s="42" t="s">
        <v>198</v>
      </c>
      <c r="H1592" s="42" t="s">
        <v>175</v>
      </c>
      <c r="I1592" s="42" t="s">
        <v>143</v>
      </c>
      <c r="J1592" s="42" t="s">
        <v>159</v>
      </c>
      <c r="K1592" s="42" t="s">
        <v>184</v>
      </c>
      <c r="L1592" s="44" t="n">
        <v>2791.25</v>
      </c>
      <c r="M1592" s="42" t="n">
        <v>5</v>
      </c>
      <c r="N1592" s="42" t="s">
        <v>146</v>
      </c>
      <c r="O1592" s="42" t="s">
        <v>206</v>
      </c>
      <c r="P1592" s="39" t="n">
        <f aca="false">C1592-B1592</f>
        <v>1</v>
      </c>
      <c r="Q1592" s="40" t="str">
        <f aca="false">CHOOSE(MONTH(B1592),"يناير","فبراير","مارس","أبريل","مايو","يونيو","يوليو","أغسطس","سبتمبر","أكتوبر","نوفمبر","ديسمبر")</f>
        <v>أكتوبر</v>
      </c>
      <c r="R1592" s="40" t="str">
        <f aca="false">"الربع "&amp;ROUNDUP(MONTH(B1592)/3,0)</f>
        <v>الربع 4</v>
      </c>
      <c r="S1592" s="40" t="str">
        <f aca="false">IF(D1592&lt;=12,"أطفال (0-12)",IF(D1592&lt;=24,"شباب (13-24)",IF(D1592&lt;=44,"بالغون (25-44)",IF(D1592&lt;=64,"متوسطو العمر (45-64)","كبار السن (+65)"))))</f>
        <v>بالغون (25-44)</v>
      </c>
      <c r="T1592" s="41" t="n">
        <f aca="false">IFERROR(L1592/P1592,0)</f>
        <v>2791.25</v>
      </c>
    </row>
    <row r="1593" customFormat="false" ht="15" hidden="false" customHeight="false" outlineLevel="0" collapsed="false">
      <c r="A1593" s="33" t="s">
        <v>1856</v>
      </c>
      <c r="B1593" s="34" t="n">
        <v>45570</v>
      </c>
      <c r="C1593" s="34" t="n">
        <v>45572</v>
      </c>
      <c r="D1593" s="33" t="n">
        <v>20</v>
      </c>
      <c r="E1593" s="33" t="s">
        <v>139</v>
      </c>
      <c r="F1593" s="33" t="s">
        <v>149</v>
      </c>
      <c r="G1593" s="33" t="s">
        <v>150</v>
      </c>
      <c r="H1593" s="33" t="s">
        <v>151</v>
      </c>
      <c r="I1593" s="33" t="s">
        <v>152</v>
      </c>
      <c r="J1593" s="33" t="s">
        <v>159</v>
      </c>
      <c r="K1593" s="33" t="s">
        <v>145</v>
      </c>
      <c r="L1593" s="35" t="n">
        <v>2869.34</v>
      </c>
      <c r="M1593" s="33" t="n">
        <v>5</v>
      </c>
      <c r="N1593" s="33" t="s">
        <v>146</v>
      </c>
      <c r="O1593" s="33" t="s">
        <v>147</v>
      </c>
      <c r="P1593" s="39" t="n">
        <f aca="false">C1593-B1593</f>
        <v>2</v>
      </c>
      <c r="Q1593" s="40" t="str">
        <f aca="false">CHOOSE(MONTH(B1593),"يناير","فبراير","مارس","أبريل","مايو","يونيو","يوليو","أغسطس","سبتمبر","أكتوبر","نوفمبر","ديسمبر")</f>
        <v>أكتوبر</v>
      </c>
      <c r="R1593" s="40" t="str">
        <f aca="false">"الربع "&amp;ROUNDUP(MONTH(B1593)/3,0)</f>
        <v>الربع 4</v>
      </c>
      <c r="S1593" s="40" t="str">
        <f aca="false">IF(D1593&lt;=12,"أطفال (0-12)",IF(D1593&lt;=24,"شباب (13-24)",IF(D1593&lt;=44,"بالغون (25-44)",IF(D1593&lt;=64,"متوسطو العمر (45-64)","كبار السن (+65)"))))</f>
        <v>شباب (13-24)</v>
      </c>
      <c r="T1593" s="41" t="n">
        <f aca="false">IFERROR(L1593/P1593,0)</f>
        <v>1434.67</v>
      </c>
    </row>
    <row r="1594" customFormat="false" ht="15" hidden="false" customHeight="false" outlineLevel="0" collapsed="false">
      <c r="A1594" s="42" t="s">
        <v>2036</v>
      </c>
      <c r="B1594" s="43" t="n">
        <v>45570</v>
      </c>
      <c r="C1594" s="43" t="n">
        <v>45571</v>
      </c>
      <c r="D1594" s="42" t="n">
        <v>28</v>
      </c>
      <c r="E1594" s="42" t="s">
        <v>139</v>
      </c>
      <c r="F1594" s="42" t="s">
        <v>203</v>
      </c>
      <c r="G1594" s="42" t="s">
        <v>192</v>
      </c>
      <c r="H1594" s="42" t="s">
        <v>205</v>
      </c>
      <c r="I1594" s="42" t="s">
        <v>143</v>
      </c>
      <c r="J1594" s="42" t="s">
        <v>159</v>
      </c>
      <c r="K1594" s="42" t="s">
        <v>160</v>
      </c>
      <c r="L1594" s="44" t="n">
        <v>945.42</v>
      </c>
      <c r="M1594" s="42" t="n">
        <v>3</v>
      </c>
      <c r="N1594" s="42" t="s">
        <v>146</v>
      </c>
      <c r="O1594" s="42" t="s">
        <v>147</v>
      </c>
      <c r="P1594" s="39" t="n">
        <f aca="false">C1594-B1594</f>
        <v>1</v>
      </c>
      <c r="Q1594" s="40" t="str">
        <f aca="false">CHOOSE(MONTH(B1594),"يناير","فبراير","مارس","أبريل","مايو","يونيو","يوليو","أغسطس","سبتمبر","أكتوبر","نوفمبر","ديسمبر")</f>
        <v>أكتوبر</v>
      </c>
      <c r="R1594" s="40" t="str">
        <f aca="false">"الربع "&amp;ROUNDUP(MONTH(B1594)/3,0)</f>
        <v>الربع 4</v>
      </c>
      <c r="S1594" s="40" t="str">
        <f aca="false">IF(D1594&lt;=12,"أطفال (0-12)",IF(D1594&lt;=24,"شباب (13-24)",IF(D1594&lt;=44,"بالغون (25-44)",IF(D1594&lt;=64,"متوسطو العمر (45-64)","كبار السن (+65)"))))</f>
        <v>بالغون (25-44)</v>
      </c>
      <c r="T1594" s="41" t="n">
        <f aca="false">IFERROR(L1594/P1594,0)</f>
        <v>945.42</v>
      </c>
    </row>
    <row r="1595" customFormat="false" ht="15" hidden="false" customHeight="false" outlineLevel="0" collapsed="false">
      <c r="A1595" s="33" t="s">
        <v>815</v>
      </c>
      <c r="B1595" s="34" t="n">
        <v>45570</v>
      </c>
      <c r="C1595" s="34" t="n">
        <v>45581</v>
      </c>
      <c r="D1595" s="33" t="n">
        <v>68</v>
      </c>
      <c r="E1595" s="33" t="s">
        <v>154</v>
      </c>
      <c r="F1595" s="33" t="s">
        <v>226</v>
      </c>
      <c r="G1595" s="33" t="s">
        <v>386</v>
      </c>
      <c r="H1595" s="33" t="s">
        <v>228</v>
      </c>
      <c r="I1595" s="33" t="s">
        <v>143</v>
      </c>
      <c r="J1595" s="33" t="s">
        <v>144</v>
      </c>
      <c r="K1595" s="33" t="s">
        <v>160</v>
      </c>
      <c r="L1595" s="35" t="n">
        <v>68926.1</v>
      </c>
      <c r="M1595" s="33" t="n">
        <v>3</v>
      </c>
      <c r="N1595" s="33" t="s">
        <v>146</v>
      </c>
      <c r="O1595" s="33" t="s">
        <v>147</v>
      </c>
      <c r="P1595" s="39" t="n">
        <f aca="false">C1595-B1595</f>
        <v>11</v>
      </c>
      <c r="Q1595" s="40" t="str">
        <f aca="false">CHOOSE(MONTH(B1595),"يناير","فبراير","مارس","أبريل","مايو","يونيو","يوليو","أغسطس","سبتمبر","أكتوبر","نوفمبر","ديسمبر")</f>
        <v>أكتوبر</v>
      </c>
      <c r="R1595" s="40" t="str">
        <f aca="false">"الربع "&amp;ROUNDUP(MONTH(B1595)/3,0)</f>
        <v>الربع 4</v>
      </c>
      <c r="S1595" s="40" t="str">
        <f aca="false">IF(D1595&lt;=12,"أطفال (0-12)",IF(D1595&lt;=24,"شباب (13-24)",IF(D1595&lt;=44,"بالغون (25-44)",IF(D1595&lt;=64,"متوسطو العمر (45-64)","كبار السن (+65)"))))</f>
        <v>كبار السن (+65)</v>
      </c>
      <c r="T1595" s="41" t="n">
        <f aca="false">IFERROR(L1595/P1595,0)</f>
        <v>6266.00909090909</v>
      </c>
    </row>
    <row r="1596" customFormat="false" ht="15" hidden="false" customHeight="false" outlineLevel="0" collapsed="false">
      <c r="A1596" s="42" t="s">
        <v>1521</v>
      </c>
      <c r="B1596" s="43" t="n">
        <v>45571</v>
      </c>
      <c r="C1596" s="43" t="n">
        <v>45573</v>
      </c>
      <c r="D1596" s="42" t="n">
        <v>9</v>
      </c>
      <c r="E1596" s="42" t="s">
        <v>139</v>
      </c>
      <c r="F1596" s="42" t="s">
        <v>155</v>
      </c>
      <c r="G1596" s="42" t="s">
        <v>302</v>
      </c>
      <c r="H1596" s="42" t="s">
        <v>222</v>
      </c>
      <c r="I1596" s="42" t="s">
        <v>152</v>
      </c>
      <c r="J1596" s="42" t="s">
        <v>159</v>
      </c>
      <c r="K1596" s="42" t="s">
        <v>184</v>
      </c>
      <c r="L1596" s="44" t="n">
        <v>1855.05</v>
      </c>
      <c r="M1596" s="42" t="n">
        <v>3</v>
      </c>
      <c r="N1596" s="42" t="s">
        <v>146</v>
      </c>
      <c r="O1596" s="42" t="s">
        <v>247</v>
      </c>
      <c r="P1596" s="39" t="n">
        <f aca="false">C1596-B1596</f>
        <v>2</v>
      </c>
      <c r="Q1596" s="40" t="str">
        <f aca="false">CHOOSE(MONTH(B1596),"يناير","فبراير","مارس","أبريل","مايو","يونيو","يوليو","أغسطس","سبتمبر","أكتوبر","نوفمبر","ديسمبر")</f>
        <v>أكتوبر</v>
      </c>
      <c r="R1596" s="40" t="str">
        <f aca="false">"الربع "&amp;ROUNDUP(MONTH(B1596)/3,0)</f>
        <v>الربع 4</v>
      </c>
      <c r="S1596" s="40" t="str">
        <f aca="false">IF(D1596&lt;=12,"أطفال (0-12)",IF(D1596&lt;=24,"شباب (13-24)",IF(D1596&lt;=44,"بالغون (25-44)",IF(D1596&lt;=64,"متوسطو العمر (45-64)","كبار السن (+65)"))))</f>
        <v>أطفال (0-12)</v>
      </c>
      <c r="T1596" s="41" t="n">
        <f aca="false">IFERROR(L1596/P1596,0)</f>
        <v>927.525</v>
      </c>
    </row>
    <row r="1597" customFormat="false" ht="15" hidden="false" customHeight="false" outlineLevel="0" collapsed="false">
      <c r="A1597" s="33" t="s">
        <v>1291</v>
      </c>
      <c r="B1597" s="34" t="n">
        <v>45571</v>
      </c>
      <c r="C1597" s="34" t="n">
        <v>45573</v>
      </c>
      <c r="D1597" s="33" t="n">
        <v>64</v>
      </c>
      <c r="E1597" s="33" t="s">
        <v>154</v>
      </c>
      <c r="F1597" s="33" t="s">
        <v>181</v>
      </c>
      <c r="G1597" s="33" t="s">
        <v>182</v>
      </c>
      <c r="H1597" s="33" t="s">
        <v>183</v>
      </c>
      <c r="I1597" s="33" t="s">
        <v>143</v>
      </c>
      <c r="J1597" s="33" t="s">
        <v>176</v>
      </c>
      <c r="K1597" s="33" t="s">
        <v>160</v>
      </c>
      <c r="L1597" s="35" t="n">
        <v>16543.18</v>
      </c>
      <c r="M1597" s="33" t="n">
        <v>5</v>
      </c>
      <c r="N1597" s="33" t="s">
        <v>146</v>
      </c>
      <c r="O1597" s="33" t="s">
        <v>147</v>
      </c>
      <c r="P1597" s="39" t="n">
        <f aca="false">C1597-B1597</f>
        <v>2</v>
      </c>
      <c r="Q1597" s="40" t="str">
        <f aca="false">CHOOSE(MONTH(B1597),"يناير","فبراير","مارس","أبريل","مايو","يونيو","يوليو","أغسطس","سبتمبر","أكتوبر","نوفمبر","ديسمبر")</f>
        <v>أكتوبر</v>
      </c>
      <c r="R1597" s="40" t="str">
        <f aca="false">"الربع "&amp;ROUNDUP(MONTH(B1597)/3,0)</f>
        <v>الربع 4</v>
      </c>
      <c r="S1597" s="40" t="str">
        <f aca="false">IF(D1597&lt;=12,"أطفال (0-12)",IF(D1597&lt;=24,"شباب (13-24)",IF(D1597&lt;=44,"بالغون (25-44)",IF(D1597&lt;=64,"متوسطو العمر (45-64)","كبار السن (+65)"))))</f>
        <v>متوسطو العمر (45-64)</v>
      </c>
      <c r="T1597" s="41" t="n">
        <f aca="false">IFERROR(L1597/P1597,0)</f>
        <v>8271.59</v>
      </c>
    </row>
    <row r="1598" customFormat="false" ht="15" hidden="false" customHeight="false" outlineLevel="0" collapsed="false">
      <c r="A1598" s="42" t="s">
        <v>278</v>
      </c>
      <c r="B1598" s="43" t="n">
        <v>45571</v>
      </c>
      <c r="C1598" s="43" t="n">
        <v>45580</v>
      </c>
      <c r="D1598" s="42" t="n">
        <v>78</v>
      </c>
      <c r="E1598" s="42" t="s">
        <v>139</v>
      </c>
      <c r="F1598" s="42" t="s">
        <v>226</v>
      </c>
      <c r="G1598" s="42" t="s">
        <v>227</v>
      </c>
      <c r="H1598" s="42" t="s">
        <v>228</v>
      </c>
      <c r="I1598" s="42" t="s">
        <v>143</v>
      </c>
      <c r="J1598" s="42" t="s">
        <v>176</v>
      </c>
      <c r="K1598" s="42" t="s">
        <v>145</v>
      </c>
      <c r="L1598" s="44" t="n">
        <v>95183.91</v>
      </c>
      <c r="M1598" s="42" t="n">
        <v>3</v>
      </c>
      <c r="N1598" s="42" t="s">
        <v>146</v>
      </c>
      <c r="O1598" s="42" t="s">
        <v>147</v>
      </c>
      <c r="P1598" s="39" t="n">
        <f aca="false">C1598-B1598</f>
        <v>9</v>
      </c>
      <c r="Q1598" s="40" t="str">
        <f aca="false">CHOOSE(MONTH(B1598),"يناير","فبراير","مارس","أبريل","مايو","يونيو","يوليو","أغسطس","سبتمبر","أكتوبر","نوفمبر","ديسمبر")</f>
        <v>أكتوبر</v>
      </c>
      <c r="R1598" s="40" t="str">
        <f aca="false">"الربع "&amp;ROUNDUP(MONTH(B1598)/3,0)</f>
        <v>الربع 4</v>
      </c>
      <c r="S1598" s="40" t="str">
        <f aca="false">IF(D1598&lt;=12,"أطفال (0-12)",IF(D1598&lt;=24,"شباب (13-24)",IF(D1598&lt;=44,"بالغون (25-44)",IF(D1598&lt;=64,"متوسطو العمر (45-64)","كبار السن (+65)"))))</f>
        <v>كبار السن (+65)</v>
      </c>
      <c r="T1598" s="41" t="n">
        <f aca="false">IFERROR(L1598/P1598,0)</f>
        <v>10575.99</v>
      </c>
    </row>
    <row r="1599" customFormat="false" ht="15" hidden="false" customHeight="false" outlineLevel="0" collapsed="false">
      <c r="A1599" s="33" t="s">
        <v>1269</v>
      </c>
      <c r="B1599" s="34" t="n">
        <v>45571</v>
      </c>
      <c r="C1599" s="34" t="n">
        <v>45574</v>
      </c>
      <c r="D1599" s="33" t="n">
        <v>14</v>
      </c>
      <c r="E1599" s="33" t="s">
        <v>154</v>
      </c>
      <c r="F1599" s="33" t="s">
        <v>140</v>
      </c>
      <c r="G1599" s="33" t="s">
        <v>141</v>
      </c>
      <c r="H1599" s="33" t="s">
        <v>142</v>
      </c>
      <c r="I1599" s="33" t="s">
        <v>143</v>
      </c>
      <c r="J1599" s="33" t="s">
        <v>144</v>
      </c>
      <c r="K1599" s="33" t="s">
        <v>145</v>
      </c>
      <c r="L1599" s="35" t="n">
        <v>11966.19</v>
      </c>
      <c r="M1599" s="33" t="n">
        <v>5</v>
      </c>
      <c r="N1599" s="33" t="s">
        <v>146</v>
      </c>
      <c r="O1599" s="33" t="s">
        <v>147</v>
      </c>
      <c r="P1599" s="39" t="n">
        <f aca="false">C1599-B1599</f>
        <v>3</v>
      </c>
      <c r="Q1599" s="40" t="str">
        <f aca="false">CHOOSE(MONTH(B1599),"يناير","فبراير","مارس","أبريل","مايو","يونيو","يوليو","أغسطس","سبتمبر","أكتوبر","نوفمبر","ديسمبر")</f>
        <v>أكتوبر</v>
      </c>
      <c r="R1599" s="40" t="str">
        <f aca="false">"الربع "&amp;ROUNDUP(MONTH(B1599)/3,0)</f>
        <v>الربع 4</v>
      </c>
      <c r="S1599" s="40" t="str">
        <f aca="false">IF(D1599&lt;=12,"أطفال (0-12)",IF(D1599&lt;=24,"شباب (13-24)",IF(D1599&lt;=44,"بالغون (25-44)",IF(D1599&lt;=64,"متوسطو العمر (45-64)","كبار السن (+65)"))))</f>
        <v>شباب (13-24)</v>
      </c>
      <c r="T1599" s="41" t="n">
        <f aca="false">IFERROR(L1599/P1599,0)</f>
        <v>3988.73</v>
      </c>
    </row>
    <row r="1600" customFormat="false" ht="15" hidden="false" customHeight="false" outlineLevel="0" collapsed="false">
      <c r="A1600" s="42" t="s">
        <v>1009</v>
      </c>
      <c r="B1600" s="43" t="n">
        <v>45571</v>
      </c>
      <c r="C1600" s="43" t="n">
        <v>45580</v>
      </c>
      <c r="D1600" s="42" t="n">
        <v>79</v>
      </c>
      <c r="E1600" s="42" t="s">
        <v>154</v>
      </c>
      <c r="F1600" s="42" t="s">
        <v>140</v>
      </c>
      <c r="G1600" s="42" t="s">
        <v>141</v>
      </c>
      <c r="H1600" s="42" t="s">
        <v>142</v>
      </c>
      <c r="I1600" s="42" t="s">
        <v>143</v>
      </c>
      <c r="J1600" s="42" t="s">
        <v>159</v>
      </c>
      <c r="K1600" s="42" t="s">
        <v>145</v>
      </c>
      <c r="L1600" s="44" t="n">
        <v>19907.88</v>
      </c>
      <c r="M1600" s="42" t="n">
        <v>4</v>
      </c>
      <c r="N1600" s="42" t="s">
        <v>146</v>
      </c>
      <c r="O1600" s="42" t="s">
        <v>147</v>
      </c>
      <c r="P1600" s="39" t="n">
        <f aca="false">C1600-B1600</f>
        <v>9</v>
      </c>
      <c r="Q1600" s="40" t="str">
        <f aca="false">CHOOSE(MONTH(B1600),"يناير","فبراير","مارس","أبريل","مايو","يونيو","يوليو","أغسطس","سبتمبر","أكتوبر","نوفمبر","ديسمبر")</f>
        <v>أكتوبر</v>
      </c>
      <c r="R1600" s="40" t="str">
        <f aca="false">"الربع "&amp;ROUNDUP(MONTH(B1600)/3,0)</f>
        <v>الربع 4</v>
      </c>
      <c r="S1600" s="40" t="str">
        <f aca="false">IF(D1600&lt;=12,"أطفال (0-12)",IF(D1600&lt;=24,"شباب (13-24)",IF(D1600&lt;=44,"بالغون (25-44)",IF(D1600&lt;=64,"متوسطو العمر (45-64)","كبار السن (+65)"))))</f>
        <v>كبار السن (+65)</v>
      </c>
      <c r="T1600" s="41" t="n">
        <f aca="false">IFERROR(L1600/P1600,0)</f>
        <v>2211.98666666667</v>
      </c>
    </row>
    <row r="1601" customFormat="false" ht="15" hidden="false" customHeight="false" outlineLevel="0" collapsed="false">
      <c r="A1601" s="33" t="s">
        <v>1124</v>
      </c>
      <c r="B1601" s="34" t="n">
        <v>45571</v>
      </c>
      <c r="C1601" s="34" t="n">
        <v>45573</v>
      </c>
      <c r="D1601" s="33" t="n">
        <v>59</v>
      </c>
      <c r="E1601" s="33" t="s">
        <v>139</v>
      </c>
      <c r="F1601" s="33" t="s">
        <v>226</v>
      </c>
      <c r="G1601" s="33" t="s">
        <v>227</v>
      </c>
      <c r="H1601" s="33" t="s">
        <v>263</v>
      </c>
      <c r="I1601" s="33" t="s">
        <v>143</v>
      </c>
      <c r="J1601" s="33" t="s">
        <v>159</v>
      </c>
      <c r="K1601" s="33" t="s">
        <v>145</v>
      </c>
      <c r="L1601" s="35" t="n">
        <v>7903.51</v>
      </c>
      <c r="M1601" s="33" t="n">
        <v>4</v>
      </c>
      <c r="N1601" s="33" t="s">
        <v>146</v>
      </c>
      <c r="O1601" s="33" t="s">
        <v>147</v>
      </c>
      <c r="P1601" s="39" t="n">
        <f aca="false">C1601-B1601</f>
        <v>2</v>
      </c>
      <c r="Q1601" s="40" t="str">
        <f aca="false">CHOOSE(MONTH(B1601),"يناير","فبراير","مارس","أبريل","مايو","يونيو","يوليو","أغسطس","سبتمبر","أكتوبر","نوفمبر","ديسمبر")</f>
        <v>أكتوبر</v>
      </c>
      <c r="R1601" s="40" t="str">
        <f aca="false">"الربع "&amp;ROUNDUP(MONTH(B1601)/3,0)</f>
        <v>الربع 4</v>
      </c>
      <c r="S1601" s="40" t="str">
        <f aca="false">IF(D1601&lt;=12,"أطفال (0-12)",IF(D1601&lt;=24,"شباب (13-24)",IF(D1601&lt;=44,"بالغون (25-44)",IF(D1601&lt;=64,"متوسطو العمر (45-64)","كبار السن (+65)"))))</f>
        <v>متوسطو العمر (45-64)</v>
      </c>
      <c r="T1601" s="41" t="n">
        <f aca="false">IFERROR(L1601/P1601,0)</f>
        <v>3951.755</v>
      </c>
    </row>
    <row r="1602" customFormat="false" ht="15" hidden="false" customHeight="false" outlineLevel="0" collapsed="false">
      <c r="A1602" s="42" t="s">
        <v>392</v>
      </c>
      <c r="B1602" s="43" t="n">
        <v>45571</v>
      </c>
      <c r="C1602" s="43" t="n">
        <v>45572</v>
      </c>
      <c r="D1602" s="42" t="n">
        <v>51</v>
      </c>
      <c r="E1602" s="42" t="s">
        <v>154</v>
      </c>
      <c r="F1602" s="42" t="s">
        <v>203</v>
      </c>
      <c r="G1602" s="42" t="s">
        <v>241</v>
      </c>
      <c r="H1602" s="42" t="s">
        <v>205</v>
      </c>
      <c r="I1602" s="42" t="s">
        <v>158</v>
      </c>
      <c r="J1602" s="42" t="s">
        <v>159</v>
      </c>
      <c r="K1602" s="42" t="s">
        <v>145</v>
      </c>
      <c r="L1602" s="44" t="n">
        <v>1038.95</v>
      </c>
      <c r="M1602" s="42" t="n">
        <v>3</v>
      </c>
      <c r="N1602" s="42" t="s">
        <v>146</v>
      </c>
      <c r="O1602" s="42" t="s">
        <v>147</v>
      </c>
      <c r="P1602" s="39" t="n">
        <f aca="false">C1602-B1602</f>
        <v>1</v>
      </c>
      <c r="Q1602" s="40" t="str">
        <f aca="false">CHOOSE(MONTH(B1602),"يناير","فبراير","مارس","أبريل","مايو","يونيو","يوليو","أغسطس","سبتمبر","أكتوبر","نوفمبر","ديسمبر")</f>
        <v>أكتوبر</v>
      </c>
      <c r="R1602" s="40" t="str">
        <f aca="false">"الربع "&amp;ROUNDUP(MONTH(B1602)/3,0)</f>
        <v>الربع 4</v>
      </c>
      <c r="S1602" s="40" t="str">
        <f aca="false">IF(D1602&lt;=12,"أطفال (0-12)",IF(D1602&lt;=24,"شباب (13-24)",IF(D1602&lt;=44,"بالغون (25-44)",IF(D1602&lt;=64,"متوسطو العمر (45-64)","كبار السن (+65)"))))</f>
        <v>متوسطو العمر (45-64)</v>
      </c>
      <c r="T1602" s="41" t="n">
        <f aca="false">IFERROR(L1602/P1602,0)</f>
        <v>1038.95</v>
      </c>
    </row>
    <row r="1603" customFormat="false" ht="15" hidden="false" customHeight="false" outlineLevel="0" collapsed="false">
      <c r="A1603" s="33" t="s">
        <v>901</v>
      </c>
      <c r="B1603" s="34" t="n">
        <v>45571</v>
      </c>
      <c r="C1603" s="34" t="n">
        <v>45572</v>
      </c>
      <c r="D1603" s="33" t="n">
        <v>34</v>
      </c>
      <c r="E1603" s="33" t="s">
        <v>139</v>
      </c>
      <c r="F1603" s="33" t="s">
        <v>140</v>
      </c>
      <c r="G1603" s="33" t="s">
        <v>167</v>
      </c>
      <c r="H1603" s="33" t="s">
        <v>142</v>
      </c>
      <c r="I1603" s="33" t="s">
        <v>152</v>
      </c>
      <c r="J1603" s="33" t="s">
        <v>144</v>
      </c>
      <c r="K1603" s="33" t="s">
        <v>145</v>
      </c>
      <c r="L1603" s="35" t="n">
        <v>3785.74</v>
      </c>
      <c r="M1603" s="33" t="n">
        <v>5</v>
      </c>
      <c r="N1603" s="33" t="s">
        <v>210</v>
      </c>
      <c r="O1603" s="33" t="s">
        <v>147</v>
      </c>
      <c r="P1603" s="39" t="n">
        <f aca="false">C1603-B1603</f>
        <v>1</v>
      </c>
      <c r="Q1603" s="40" t="str">
        <f aca="false">CHOOSE(MONTH(B1603),"يناير","فبراير","مارس","أبريل","مايو","يونيو","يوليو","أغسطس","سبتمبر","أكتوبر","نوفمبر","ديسمبر")</f>
        <v>أكتوبر</v>
      </c>
      <c r="R1603" s="40" t="str">
        <f aca="false">"الربع "&amp;ROUNDUP(MONTH(B1603)/3,0)</f>
        <v>الربع 4</v>
      </c>
      <c r="S1603" s="40" t="str">
        <f aca="false">IF(D1603&lt;=12,"أطفال (0-12)",IF(D1603&lt;=24,"شباب (13-24)",IF(D1603&lt;=44,"بالغون (25-44)",IF(D1603&lt;=64,"متوسطو العمر (45-64)","كبار السن (+65)"))))</f>
        <v>بالغون (25-44)</v>
      </c>
      <c r="T1603" s="41" t="n">
        <f aca="false">IFERROR(L1603/P1603,0)</f>
        <v>3785.74</v>
      </c>
    </row>
    <row r="1604" customFormat="false" ht="15" hidden="false" customHeight="false" outlineLevel="0" collapsed="false">
      <c r="A1604" s="42" t="s">
        <v>358</v>
      </c>
      <c r="B1604" s="43" t="n">
        <v>45572</v>
      </c>
      <c r="C1604" s="43" t="n">
        <v>45575</v>
      </c>
      <c r="D1604" s="42" t="n">
        <v>30</v>
      </c>
      <c r="E1604" s="42" t="s">
        <v>139</v>
      </c>
      <c r="F1604" s="42" t="s">
        <v>203</v>
      </c>
      <c r="G1604" s="42" t="s">
        <v>204</v>
      </c>
      <c r="H1604" s="42" t="s">
        <v>205</v>
      </c>
      <c r="I1604" s="42" t="s">
        <v>143</v>
      </c>
      <c r="J1604" s="42" t="s">
        <v>159</v>
      </c>
      <c r="K1604" s="42" t="s">
        <v>145</v>
      </c>
      <c r="L1604" s="44" t="n">
        <v>2606.15</v>
      </c>
      <c r="M1604" s="42" t="n">
        <v>3</v>
      </c>
      <c r="N1604" s="42" t="s">
        <v>146</v>
      </c>
      <c r="O1604" s="42" t="s">
        <v>147</v>
      </c>
      <c r="P1604" s="39" t="n">
        <f aca="false">C1604-B1604</f>
        <v>3</v>
      </c>
      <c r="Q1604" s="40" t="str">
        <f aca="false">CHOOSE(MONTH(B1604),"يناير","فبراير","مارس","أبريل","مايو","يونيو","يوليو","أغسطس","سبتمبر","أكتوبر","نوفمبر","ديسمبر")</f>
        <v>أكتوبر</v>
      </c>
      <c r="R1604" s="40" t="str">
        <f aca="false">"الربع "&amp;ROUNDUP(MONTH(B1604)/3,0)</f>
        <v>الربع 4</v>
      </c>
      <c r="S1604" s="40" t="str">
        <f aca="false">IF(D1604&lt;=12,"أطفال (0-12)",IF(D1604&lt;=24,"شباب (13-24)",IF(D1604&lt;=44,"بالغون (25-44)",IF(D1604&lt;=64,"متوسطو العمر (45-64)","كبار السن (+65)"))))</f>
        <v>بالغون (25-44)</v>
      </c>
      <c r="T1604" s="41" t="n">
        <f aca="false">IFERROR(L1604/P1604,0)</f>
        <v>868.716666666667</v>
      </c>
    </row>
    <row r="1605" customFormat="false" ht="15" hidden="false" customHeight="false" outlineLevel="0" collapsed="false">
      <c r="A1605" s="33" t="s">
        <v>1259</v>
      </c>
      <c r="B1605" s="34" t="n">
        <v>45572</v>
      </c>
      <c r="C1605" s="34" t="n">
        <v>45574</v>
      </c>
      <c r="D1605" s="33" t="n">
        <v>96</v>
      </c>
      <c r="E1605" s="33" t="s">
        <v>154</v>
      </c>
      <c r="F1605" s="33" t="s">
        <v>173</v>
      </c>
      <c r="G1605" s="33" t="s">
        <v>178</v>
      </c>
      <c r="H1605" s="33" t="s">
        <v>175</v>
      </c>
      <c r="I1605" s="33" t="s">
        <v>158</v>
      </c>
      <c r="J1605" s="33" t="s">
        <v>159</v>
      </c>
      <c r="K1605" s="33" t="s">
        <v>160</v>
      </c>
      <c r="L1605" s="35" t="n">
        <v>4599.48</v>
      </c>
      <c r="M1605" s="33" t="n">
        <v>4</v>
      </c>
      <c r="N1605" s="33" t="s">
        <v>146</v>
      </c>
      <c r="O1605" s="33" t="s">
        <v>147</v>
      </c>
      <c r="P1605" s="39" t="n">
        <f aca="false">C1605-B1605</f>
        <v>2</v>
      </c>
      <c r="Q1605" s="40" t="str">
        <f aca="false">CHOOSE(MONTH(B1605),"يناير","فبراير","مارس","أبريل","مايو","يونيو","يوليو","أغسطس","سبتمبر","أكتوبر","نوفمبر","ديسمبر")</f>
        <v>أكتوبر</v>
      </c>
      <c r="R1605" s="40" t="str">
        <f aca="false">"الربع "&amp;ROUNDUP(MONTH(B1605)/3,0)</f>
        <v>الربع 4</v>
      </c>
      <c r="S1605" s="40" t="str">
        <f aca="false">IF(D1605&lt;=12,"أطفال (0-12)",IF(D1605&lt;=24,"شباب (13-24)",IF(D1605&lt;=44,"بالغون (25-44)",IF(D1605&lt;=64,"متوسطو العمر (45-64)","كبار السن (+65)"))))</f>
        <v>كبار السن (+65)</v>
      </c>
      <c r="T1605" s="41" t="n">
        <f aca="false">IFERROR(L1605/P1605,0)</f>
        <v>2299.74</v>
      </c>
    </row>
    <row r="1606" customFormat="false" ht="15" hidden="false" customHeight="false" outlineLevel="0" collapsed="false">
      <c r="A1606" s="42" t="s">
        <v>1466</v>
      </c>
      <c r="B1606" s="43" t="n">
        <v>45572</v>
      </c>
      <c r="C1606" s="43" t="n">
        <v>45574</v>
      </c>
      <c r="D1606" s="42" t="n">
        <v>28</v>
      </c>
      <c r="E1606" s="42" t="s">
        <v>139</v>
      </c>
      <c r="F1606" s="42" t="s">
        <v>149</v>
      </c>
      <c r="G1606" s="42" t="s">
        <v>243</v>
      </c>
      <c r="H1606" s="42" t="s">
        <v>151</v>
      </c>
      <c r="I1606" s="42" t="s">
        <v>143</v>
      </c>
      <c r="J1606" s="42" t="s">
        <v>159</v>
      </c>
      <c r="K1606" s="42" t="s">
        <v>160</v>
      </c>
      <c r="L1606" s="44" t="n">
        <v>2629.92</v>
      </c>
      <c r="M1606" s="42" t="n">
        <v>5</v>
      </c>
      <c r="N1606" s="42" t="s">
        <v>146</v>
      </c>
      <c r="O1606" s="42" t="s">
        <v>147</v>
      </c>
      <c r="P1606" s="39" t="n">
        <f aca="false">C1606-B1606</f>
        <v>2</v>
      </c>
      <c r="Q1606" s="40" t="str">
        <f aca="false">CHOOSE(MONTH(B1606),"يناير","فبراير","مارس","أبريل","مايو","يونيو","يوليو","أغسطس","سبتمبر","أكتوبر","نوفمبر","ديسمبر")</f>
        <v>أكتوبر</v>
      </c>
      <c r="R1606" s="40" t="str">
        <f aca="false">"الربع "&amp;ROUNDUP(MONTH(B1606)/3,0)</f>
        <v>الربع 4</v>
      </c>
      <c r="S1606" s="40" t="str">
        <f aca="false">IF(D1606&lt;=12,"أطفال (0-12)",IF(D1606&lt;=24,"شباب (13-24)",IF(D1606&lt;=44,"بالغون (25-44)",IF(D1606&lt;=64,"متوسطو العمر (45-64)","كبار السن (+65)"))))</f>
        <v>بالغون (25-44)</v>
      </c>
      <c r="T1606" s="41" t="n">
        <f aca="false">IFERROR(L1606/P1606,0)</f>
        <v>1314.96</v>
      </c>
    </row>
    <row r="1607" customFormat="false" ht="15" hidden="false" customHeight="false" outlineLevel="0" collapsed="false">
      <c r="A1607" s="33" t="s">
        <v>1616</v>
      </c>
      <c r="B1607" s="34" t="n">
        <v>45573</v>
      </c>
      <c r="C1607" s="34" t="n">
        <v>45579</v>
      </c>
      <c r="D1607" s="33" t="n">
        <v>69</v>
      </c>
      <c r="E1607" s="33" t="s">
        <v>154</v>
      </c>
      <c r="F1607" s="33" t="s">
        <v>226</v>
      </c>
      <c r="G1607" s="33" t="s">
        <v>386</v>
      </c>
      <c r="H1607" s="33" t="s">
        <v>228</v>
      </c>
      <c r="I1607" s="33" t="s">
        <v>143</v>
      </c>
      <c r="J1607" s="33" t="s">
        <v>159</v>
      </c>
      <c r="K1607" s="33" t="s">
        <v>209</v>
      </c>
      <c r="L1607" s="35" t="n">
        <v>14871.07</v>
      </c>
      <c r="M1607" s="33" t="n">
        <v>4</v>
      </c>
      <c r="N1607" s="33" t="s">
        <v>210</v>
      </c>
      <c r="O1607" s="33" t="s">
        <v>147</v>
      </c>
      <c r="P1607" s="39" t="n">
        <f aca="false">C1607-B1607</f>
        <v>6</v>
      </c>
      <c r="Q1607" s="40" t="str">
        <f aca="false">CHOOSE(MONTH(B1607),"يناير","فبراير","مارس","أبريل","مايو","يونيو","يوليو","أغسطس","سبتمبر","أكتوبر","نوفمبر","ديسمبر")</f>
        <v>أكتوبر</v>
      </c>
      <c r="R1607" s="40" t="str">
        <f aca="false">"الربع "&amp;ROUNDUP(MONTH(B1607)/3,0)</f>
        <v>الربع 4</v>
      </c>
      <c r="S1607" s="40" t="str">
        <f aca="false">IF(D1607&lt;=12,"أطفال (0-12)",IF(D1607&lt;=24,"شباب (13-24)",IF(D1607&lt;=44,"بالغون (25-44)",IF(D1607&lt;=64,"متوسطو العمر (45-64)","كبار السن (+65)"))))</f>
        <v>كبار السن (+65)</v>
      </c>
      <c r="T1607" s="41" t="n">
        <f aca="false">IFERROR(L1607/P1607,0)</f>
        <v>2478.51166666667</v>
      </c>
    </row>
    <row r="1608" customFormat="false" ht="15" hidden="false" customHeight="false" outlineLevel="0" collapsed="false">
      <c r="A1608" s="42" t="s">
        <v>2140</v>
      </c>
      <c r="B1608" s="43" t="n">
        <v>45573</v>
      </c>
      <c r="C1608" s="43" t="n">
        <v>45574</v>
      </c>
      <c r="D1608" s="42" t="n">
        <v>7</v>
      </c>
      <c r="E1608" s="42" t="s">
        <v>154</v>
      </c>
      <c r="F1608" s="42" t="s">
        <v>203</v>
      </c>
      <c r="G1608" s="42" t="s">
        <v>204</v>
      </c>
      <c r="H1608" s="42" t="s">
        <v>233</v>
      </c>
      <c r="I1608" s="42" t="s">
        <v>143</v>
      </c>
      <c r="J1608" s="42" t="s">
        <v>159</v>
      </c>
      <c r="K1608" s="42" t="s">
        <v>160</v>
      </c>
      <c r="L1608" s="44" t="n">
        <v>821.16</v>
      </c>
      <c r="M1608" s="42" t="n">
        <v>5</v>
      </c>
      <c r="N1608" s="42" t="s">
        <v>146</v>
      </c>
      <c r="O1608" s="42" t="s">
        <v>147</v>
      </c>
      <c r="P1608" s="39" t="n">
        <f aca="false">C1608-B1608</f>
        <v>1</v>
      </c>
      <c r="Q1608" s="40" t="str">
        <f aca="false">CHOOSE(MONTH(B1608),"يناير","فبراير","مارس","أبريل","مايو","يونيو","يوليو","أغسطس","سبتمبر","أكتوبر","نوفمبر","ديسمبر")</f>
        <v>أكتوبر</v>
      </c>
      <c r="R1608" s="40" t="str">
        <f aca="false">"الربع "&amp;ROUNDUP(MONTH(B1608)/3,0)</f>
        <v>الربع 4</v>
      </c>
      <c r="S1608" s="40" t="str">
        <f aca="false">IF(D1608&lt;=12,"أطفال (0-12)",IF(D1608&lt;=24,"شباب (13-24)",IF(D1608&lt;=44,"بالغون (25-44)",IF(D1608&lt;=64,"متوسطو العمر (45-64)","كبار السن (+65)"))))</f>
        <v>أطفال (0-12)</v>
      </c>
      <c r="T1608" s="41" t="n">
        <f aca="false">IFERROR(L1608/P1608,0)</f>
        <v>821.16</v>
      </c>
    </row>
    <row r="1609" customFormat="false" ht="15" hidden="false" customHeight="false" outlineLevel="0" collapsed="false">
      <c r="A1609" s="33" t="s">
        <v>1405</v>
      </c>
      <c r="B1609" s="34" t="n">
        <v>45573</v>
      </c>
      <c r="C1609" s="34" t="n">
        <v>45577</v>
      </c>
      <c r="D1609" s="33" t="n">
        <v>13</v>
      </c>
      <c r="E1609" s="33" t="s">
        <v>154</v>
      </c>
      <c r="F1609" s="33" t="s">
        <v>140</v>
      </c>
      <c r="G1609" s="33" t="s">
        <v>167</v>
      </c>
      <c r="H1609" s="33" t="s">
        <v>290</v>
      </c>
      <c r="I1609" s="33" t="s">
        <v>158</v>
      </c>
      <c r="J1609" s="33" t="s">
        <v>159</v>
      </c>
      <c r="K1609" s="33" t="s">
        <v>145</v>
      </c>
      <c r="L1609" s="35" t="n">
        <v>9337.77</v>
      </c>
      <c r="M1609" s="33" t="n">
        <v>5</v>
      </c>
      <c r="N1609" s="33" t="s">
        <v>146</v>
      </c>
      <c r="O1609" s="33" t="s">
        <v>147</v>
      </c>
      <c r="P1609" s="39" t="n">
        <f aca="false">C1609-B1609</f>
        <v>4</v>
      </c>
      <c r="Q1609" s="40" t="str">
        <f aca="false">CHOOSE(MONTH(B1609),"يناير","فبراير","مارس","أبريل","مايو","يونيو","يوليو","أغسطس","سبتمبر","أكتوبر","نوفمبر","ديسمبر")</f>
        <v>أكتوبر</v>
      </c>
      <c r="R1609" s="40" t="str">
        <f aca="false">"الربع "&amp;ROUNDUP(MONTH(B1609)/3,0)</f>
        <v>الربع 4</v>
      </c>
      <c r="S1609" s="40" t="str">
        <f aca="false">IF(D1609&lt;=12,"أطفال (0-12)",IF(D1609&lt;=24,"شباب (13-24)",IF(D1609&lt;=44,"بالغون (25-44)",IF(D1609&lt;=64,"متوسطو العمر (45-64)","كبار السن (+65)"))))</f>
        <v>شباب (13-24)</v>
      </c>
      <c r="T1609" s="41" t="n">
        <f aca="false">IFERROR(L1609/P1609,0)</f>
        <v>2334.4425</v>
      </c>
    </row>
    <row r="1610" customFormat="false" ht="15" hidden="false" customHeight="false" outlineLevel="0" collapsed="false">
      <c r="A1610" s="42" t="s">
        <v>449</v>
      </c>
      <c r="B1610" s="43" t="n">
        <v>45573</v>
      </c>
      <c r="C1610" s="43" t="n">
        <v>45574</v>
      </c>
      <c r="D1610" s="42" t="n">
        <v>74</v>
      </c>
      <c r="E1610" s="42" t="s">
        <v>154</v>
      </c>
      <c r="F1610" s="42" t="s">
        <v>203</v>
      </c>
      <c r="G1610" s="42" t="s">
        <v>204</v>
      </c>
      <c r="H1610" s="42" t="s">
        <v>205</v>
      </c>
      <c r="I1610" s="42" t="s">
        <v>143</v>
      </c>
      <c r="J1610" s="42" t="s">
        <v>159</v>
      </c>
      <c r="K1610" s="42" t="s">
        <v>184</v>
      </c>
      <c r="L1610" s="44" t="n">
        <v>771.97</v>
      </c>
      <c r="M1610" s="42" t="n">
        <v>3</v>
      </c>
      <c r="N1610" s="42" t="s">
        <v>146</v>
      </c>
      <c r="O1610" s="42" t="s">
        <v>147</v>
      </c>
      <c r="P1610" s="39" t="n">
        <f aca="false">C1610-B1610</f>
        <v>1</v>
      </c>
      <c r="Q1610" s="40" t="str">
        <f aca="false">CHOOSE(MONTH(B1610),"يناير","فبراير","مارس","أبريل","مايو","يونيو","يوليو","أغسطس","سبتمبر","أكتوبر","نوفمبر","ديسمبر")</f>
        <v>أكتوبر</v>
      </c>
      <c r="R1610" s="40" t="str">
        <f aca="false">"الربع "&amp;ROUNDUP(MONTH(B1610)/3,0)</f>
        <v>الربع 4</v>
      </c>
      <c r="S1610" s="40" t="str">
        <f aca="false">IF(D1610&lt;=12,"أطفال (0-12)",IF(D1610&lt;=24,"شباب (13-24)",IF(D1610&lt;=44,"بالغون (25-44)",IF(D1610&lt;=64,"متوسطو العمر (45-64)","كبار السن (+65)"))))</f>
        <v>كبار السن (+65)</v>
      </c>
      <c r="T1610" s="41" t="n">
        <f aca="false">IFERROR(L1610/P1610,0)</f>
        <v>771.97</v>
      </c>
    </row>
    <row r="1611" customFormat="false" ht="15" hidden="false" customHeight="false" outlineLevel="0" collapsed="false">
      <c r="A1611" s="33" t="s">
        <v>1396</v>
      </c>
      <c r="B1611" s="34" t="n">
        <v>45573</v>
      </c>
      <c r="C1611" s="34" t="n">
        <v>45575</v>
      </c>
      <c r="D1611" s="33" t="n">
        <v>2</v>
      </c>
      <c r="E1611" s="33" t="s">
        <v>154</v>
      </c>
      <c r="F1611" s="33" t="s">
        <v>155</v>
      </c>
      <c r="G1611" s="33" t="s">
        <v>156</v>
      </c>
      <c r="H1611" s="33" t="s">
        <v>157</v>
      </c>
      <c r="I1611" s="33" t="s">
        <v>143</v>
      </c>
      <c r="J1611" s="33" t="s">
        <v>159</v>
      </c>
      <c r="K1611" s="33" t="s">
        <v>209</v>
      </c>
      <c r="L1611" s="35" t="n">
        <v>1527.26</v>
      </c>
      <c r="M1611" s="33" t="n">
        <v>4</v>
      </c>
      <c r="N1611" s="33" t="s">
        <v>146</v>
      </c>
      <c r="O1611" s="33" t="s">
        <v>147</v>
      </c>
      <c r="P1611" s="39" t="n">
        <f aca="false">C1611-B1611</f>
        <v>2</v>
      </c>
      <c r="Q1611" s="40" t="str">
        <f aca="false">CHOOSE(MONTH(B1611),"يناير","فبراير","مارس","أبريل","مايو","يونيو","يوليو","أغسطس","سبتمبر","أكتوبر","نوفمبر","ديسمبر")</f>
        <v>أكتوبر</v>
      </c>
      <c r="R1611" s="40" t="str">
        <f aca="false">"الربع "&amp;ROUNDUP(MONTH(B1611)/3,0)</f>
        <v>الربع 4</v>
      </c>
      <c r="S1611" s="40" t="str">
        <f aca="false">IF(D1611&lt;=12,"أطفال (0-12)",IF(D1611&lt;=24,"شباب (13-24)",IF(D1611&lt;=44,"بالغون (25-44)",IF(D1611&lt;=64,"متوسطو العمر (45-64)","كبار السن (+65)"))))</f>
        <v>أطفال (0-12)</v>
      </c>
      <c r="T1611" s="41" t="n">
        <f aca="false">IFERROR(L1611/P1611,0)</f>
        <v>763.63</v>
      </c>
    </row>
    <row r="1612" customFormat="false" ht="15" hidden="false" customHeight="false" outlineLevel="0" collapsed="false">
      <c r="A1612" s="42" t="s">
        <v>571</v>
      </c>
      <c r="B1612" s="43" t="n">
        <v>45573</v>
      </c>
      <c r="C1612" s="43" t="n">
        <v>45574</v>
      </c>
      <c r="D1612" s="42" t="n">
        <v>36</v>
      </c>
      <c r="E1612" s="42" t="s">
        <v>154</v>
      </c>
      <c r="F1612" s="42" t="s">
        <v>203</v>
      </c>
      <c r="G1612" s="42" t="s">
        <v>241</v>
      </c>
      <c r="H1612" s="42" t="s">
        <v>193</v>
      </c>
      <c r="I1612" s="42" t="s">
        <v>143</v>
      </c>
      <c r="J1612" s="42" t="s">
        <v>176</v>
      </c>
      <c r="K1612" s="42" t="s">
        <v>184</v>
      </c>
      <c r="L1612" s="44" t="n">
        <v>2979.72</v>
      </c>
      <c r="M1612" s="42" t="n">
        <v>3</v>
      </c>
      <c r="N1612" s="42" t="s">
        <v>146</v>
      </c>
      <c r="O1612" s="42" t="s">
        <v>147</v>
      </c>
      <c r="P1612" s="39" t="n">
        <f aca="false">C1612-B1612</f>
        <v>1</v>
      </c>
      <c r="Q1612" s="40" t="str">
        <f aca="false">CHOOSE(MONTH(B1612),"يناير","فبراير","مارس","أبريل","مايو","يونيو","يوليو","أغسطس","سبتمبر","أكتوبر","نوفمبر","ديسمبر")</f>
        <v>أكتوبر</v>
      </c>
      <c r="R1612" s="40" t="str">
        <f aca="false">"الربع "&amp;ROUNDUP(MONTH(B1612)/3,0)</f>
        <v>الربع 4</v>
      </c>
      <c r="S1612" s="40" t="str">
        <f aca="false">IF(D1612&lt;=12,"أطفال (0-12)",IF(D1612&lt;=24,"شباب (13-24)",IF(D1612&lt;=44,"بالغون (25-44)",IF(D1612&lt;=64,"متوسطو العمر (45-64)","كبار السن (+65)"))))</f>
        <v>بالغون (25-44)</v>
      </c>
      <c r="T1612" s="41" t="n">
        <f aca="false">IFERROR(L1612/P1612,0)</f>
        <v>2979.72</v>
      </c>
    </row>
    <row r="1613" customFormat="false" ht="15" hidden="false" customHeight="false" outlineLevel="0" collapsed="false">
      <c r="A1613" s="33" t="s">
        <v>951</v>
      </c>
      <c r="B1613" s="34" t="n">
        <v>45574</v>
      </c>
      <c r="C1613" s="34" t="n">
        <v>45576</v>
      </c>
      <c r="D1613" s="33" t="n">
        <v>10</v>
      </c>
      <c r="E1613" s="33" t="s">
        <v>154</v>
      </c>
      <c r="F1613" s="33" t="s">
        <v>155</v>
      </c>
      <c r="G1613" s="33" t="s">
        <v>220</v>
      </c>
      <c r="H1613" s="33" t="s">
        <v>157</v>
      </c>
      <c r="I1613" s="33" t="s">
        <v>152</v>
      </c>
      <c r="J1613" s="33" t="s">
        <v>159</v>
      </c>
      <c r="K1613" s="33" t="s">
        <v>145</v>
      </c>
      <c r="L1613" s="35" t="n">
        <v>1631.43</v>
      </c>
      <c r="M1613" s="33" t="n">
        <v>4</v>
      </c>
      <c r="N1613" s="33" t="s">
        <v>146</v>
      </c>
      <c r="O1613" s="33" t="s">
        <v>147</v>
      </c>
      <c r="P1613" s="39" t="n">
        <f aca="false">C1613-B1613</f>
        <v>2</v>
      </c>
      <c r="Q1613" s="40" t="str">
        <f aca="false">CHOOSE(MONTH(B1613),"يناير","فبراير","مارس","أبريل","مايو","يونيو","يوليو","أغسطس","سبتمبر","أكتوبر","نوفمبر","ديسمبر")</f>
        <v>أكتوبر</v>
      </c>
      <c r="R1613" s="40" t="str">
        <f aca="false">"الربع "&amp;ROUNDUP(MONTH(B1613)/3,0)</f>
        <v>الربع 4</v>
      </c>
      <c r="S1613" s="40" t="str">
        <f aca="false">IF(D1613&lt;=12,"أطفال (0-12)",IF(D1613&lt;=24,"شباب (13-24)",IF(D1613&lt;=44,"بالغون (25-44)",IF(D1613&lt;=64,"متوسطو العمر (45-64)","كبار السن (+65)"))))</f>
        <v>أطفال (0-12)</v>
      </c>
      <c r="T1613" s="41" t="n">
        <f aca="false">IFERROR(L1613/P1613,0)</f>
        <v>815.715</v>
      </c>
    </row>
    <row r="1614" customFormat="false" ht="15" hidden="false" customHeight="false" outlineLevel="0" collapsed="false">
      <c r="A1614" s="42" t="s">
        <v>1974</v>
      </c>
      <c r="B1614" s="43" t="n">
        <v>45574</v>
      </c>
      <c r="C1614" s="43" t="n">
        <v>45580</v>
      </c>
      <c r="D1614" s="42" t="n">
        <v>86</v>
      </c>
      <c r="E1614" s="42" t="s">
        <v>154</v>
      </c>
      <c r="F1614" s="42" t="s">
        <v>181</v>
      </c>
      <c r="G1614" s="42" t="s">
        <v>237</v>
      </c>
      <c r="H1614" s="42" t="s">
        <v>245</v>
      </c>
      <c r="I1614" s="42" t="s">
        <v>143</v>
      </c>
      <c r="J1614" s="42" t="s">
        <v>159</v>
      </c>
      <c r="K1614" s="42" t="s">
        <v>145</v>
      </c>
      <c r="L1614" s="44" t="n">
        <v>18239.28</v>
      </c>
      <c r="M1614" s="42" t="n">
        <v>4</v>
      </c>
      <c r="N1614" s="42" t="s">
        <v>146</v>
      </c>
      <c r="O1614" s="42" t="s">
        <v>147</v>
      </c>
      <c r="P1614" s="39" t="n">
        <f aca="false">C1614-B1614</f>
        <v>6</v>
      </c>
      <c r="Q1614" s="40" t="str">
        <f aca="false">CHOOSE(MONTH(B1614),"يناير","فبراير","مارس","أبريل","مايو","يونيو","يوليو","أغسطس","سبتمبر","أكتوبر","نوفمبر","ديسمبر")</f>
        <v>أكتوبر</v>
      </c>
      <c r="R1614" s="40" t="str">
        <f aca="false">"الربع "&amp;ROUNDUP(MONTH(B1614)/3,0)</f>
        <v>الربع 4</v>
      </c>
      <c r="S1614" s="40" t="str">
        <f aca="false">IF(D1614&lt;=12,"أطفال (0-12)",IF(D1614&lt;=24,"شباب (13-24)",IF(D1614&lt;=44,"بالغون (25-44)",IF(D1614&lt;=64,"متوسطو العمر (45-64)","كبار السن (+65)"))))</f>
        <v>كبار السن (+65)</v>
      </c>
      <c r="T1614" s="41" t="n">
        <f aca="false">IFERROR(L1614/P1614,0)</f>
        <v>3039.88</v>
      </c>
    </row>
    <row r="1615" customFormat="false" ht="15" hidden="false" customHeight="false" outlineLevel="0" collapsed="false">
      <c r="A1615" s="33" t="s">
        <v>1381</v>
      </c>
      <c r="B1615" s="34" t="n">
        <v>45574</v>
      </c>
      <c r="C1615" s="34" t="n">
        <v>45575</v>
      </c>
      <c r="D1615" s="33" t="n">
        <v>6</v>
      </c>
      <c r="E1615" s="33" t="s">
        <v>139</v>
      </c>
      <c r="F1615" s="33" t="s">
        <v>203</v>
      </c>
      <c r="G1615" s="33" t="s">
        <v>232</v>
      </c>
      <c r="H1615" s="33" t="s">
        <v>233</v>
      </c>
      <c r="I1615" s="33" t="s">
        <v>143</v>
      </c>
      <c r="J1615" s="33" t="s">
        <v>159</v>
      </c>
      <c r="K1615" s="33" t="s">
        <v>184</v>
      </c>
      <c r="L1615" s="35" t="n">
        <v>894.62</v>
      </c>
      <c r="M1615" s="33" t="n">
        <v>3</v>
      </c>
      <c r="N1615" s="33" t="s">
        <v>146</v>
      </c>
      <c r="O1615" s="33" t="s">
        <v>147</v>
      </c>
      <c r="P1615" s="39" t="n">
        <f aca="false">C1615-B1615</f>
        <v>1</v>
      </c>
      <c r="Q1615" s="40" t="str">
        <f aca="false">CHOOSE(MONTH(B1615),"يناير","فبراير","مارس","أبريل","مايو","يونيو","يوليو","أغسطس","سبتمبر","أكتوبر","نوفمبر","ديسمبر")</f>
        <v>أكتوبر</v>
      </c>
      <c r="R1615" s="40" t="str">
        <f aca="false">"الربع "&amp;ROUNDUP(MONTH(B1615)/3,0)</f>
        <v>الربع 4</v>
      </c>
      <c r="S1615" s="40" t="str">
        <f aca="false">IF(D1615&lt;=12,"أطفال (0-12)",IF(D1615&lt;=24,"شباب (13-24)",IF(D1615&lt;=44,"بالغون (25-44)",IF(D1615&lt;=64,"متوسطو العمر (45-64)","كبار السن (+65)"))))</f>
        <v>أطفال (0-12)</v>
      </c>
      <c r="T1615" s="41" t="n">
        <f aca="false">IFERROR(L1615/P1615,0)</f>
        <v>894.62</v>
      </c>
    </row>
    <row r="1616" customFormat="false" ht="15" hidden="false" customHeight="false" outlineLevel="0" collapsed="false">
      <c r="A1616" s="42" t="s">
        <v>1978</v>
      </c>
      <c r="B1616" s="43" t="n">
        <v>45574</v>
      </c>
      <c r="C1616" s="43" t="n">
        <v>45576</v>
      </c>
      <c r="D1616" s="42" t="n">
        <v>45</v>
      </c>
      <c r="E1616" s="42" t="s">
        <v>139</v>
      </c>
      <c r="F1616" s="42" t="s">
        <v>203</v>
      </c>
      <c r="G1616" s="42" t="s">
        <v>241</v>
      </c>
      <c r="H1616" s="42" t="s">
        <v>205</v>
      </c>
      <c r="I1616" s="42" t="s">
        <v>143</v>
      </c>
      <c r="J1616" s="42" t="s">
        <v>159</v>
      </c>
      <c r="K1616" s="42" t="s">
        <v>145</v>
      </c>
      <c r="L1616" s="44" t="n">
        <v>1979.99</v>
      </c>
      <c r="M1616" s="42" t="n">
        <v>3</v>
      </c>
      <c r="N1616" s="42" t="s">
        <v>146</v>
      </c>
      <c r="O1616" s="42" t="s">
        <v>147</v>
      </c>
      <c r="P1616" s="39" t="n">
        <f aca="false">C1616-B1616</f>
        <v>2</v>
      </c>
      <c r="Q1616" s="40" t="str">
        <f aca="false">CHOOSE(MONTH(B1616),"يناير","فبراير","مارس","أبريل","مايو","يونيو","يوليو","أغسطس","سبتمبر","أكتوبر","نوفمبر","ديسمبر")</f>
        <v>أكتوبر</v>
      </c>
      <c r="R1616" s="40" t="str">
        <f aca="false">"الربع "&amp;ROUNDUP(MONTH(B1616)/3,0)</f>
        <v>الربع 4</v>
      </c>
      <c r="S1616" s="40" t="str">
        <f aca="false">IF(D1616&lt;=12,"أطفال (0-12)",IF(D1616&lt;=24,"شباب (13-24)",IF(D1616&lt;=44,"بالغون (25-44)",IF(D1616&lt;=64,"متوسطو العمر (45-64)","كبار السن (+65)"))))</f>
        <v>متوسطو العمر (45-64)</v>
      </c>
      <c r="T1616" s="41" t="n">
        <f aca="false">IFERROR(L1616/P1616,0)</f>
        <v>989.995</v>
      </c>
    </row>
    <row r="1617" customFormat="false" ht="15" hidden="false" customHeight="false" outlineLevel="0" collapsed="false">
      <c r="A1617" s="33" t="s">
        <v>1060</v>
      </c>
      <c r="B1617" s="34" t="n">
        <v>45574</v>
      </c>
      <c r="C1617" s="34" t="n">
        <v>45578</v>
      </c>
      <c r="D1617" s="33" t="n">
        <v>72</v>
      </c>
      <c r="E1617" s="33" t="s">
        <v>154</v>
      </c>
      <c r="F1617" s="33" t="s">
        <v>140</v>
      </c>
      <c r="G1617" s="33" t="s">
        <v>167</v>
      </c>
      <c r="H1617" s="33" t="s">
        <v>2322</v>
      </c>
      <c r="I1617" s="33" t="s">
        <v>143</v>
      </c>
      <c r="J1617" s="33" t="s">
        <v>159</v>
      </c>
      <c r="K1617" s="33" t="s">
        <v>145</v>
      </c>
      <c r="L1617" s="35" t="n">
        <v>9134.83</v>
      </c>
      <c r="M1617" s="33" t="n">
        <v>3</v>
      </c>
      <c r="N1617" s="33" t="s">
        <v>146</v>
      </c>
      <c r="O1617" s="33" t="s">
        <v>147</v>
      </c>
      <c r="P1617" s="39" t="n">
        <f aca="false">C1617-B1617</f>
        <v>4</v>
      </c>
      <c r="Q1617" s="40" t="str">
        <f aca="false">CHOOSE(MONTH(B1617),"يناير","فبراير","مارس","أبريل","مايو","يونيو","يوليو","أغسطس","سبتمبر","أكتوبر","نوفمبر","ديسمبر")</f>
        <v>أكتوبر</v>
      </c>
      <c r="R1617" s="40" t="str">
        <f aca="false">"الربع "&amp;ROUNDUP(MONTH(B1617)/3,0)</f>
        <v>الربع 4</v>
      </c>
      <c r="S1617" s="40" t="str">
        <f aca="false">IF(D1617&lt;=12,"أطفال (0-12)",IF(D1617&lt;=24,"شباب (13-24)",IF(D1617&lt;=44,"بالغون (25-44)",IF(D1617&lt;=64,"متوسطو العمر (45-64)","كبار السن (+65)"))))</f>
        <v>كبار السن (+65)</v>
      </c>
      <c r="T1617" s="41" t="n">
        <f aca="false">IFERROR(L1617/P1617,0)</f>
        <v>2283.7075</v>
      </c>
    </row>
    <row r="1618" customFormat="false" ht="15" hidden="false" customHeight="false" outlineLevel="0" collapsed="false">
      <c r="A1618" s="42" t="s">
        <v>294</v>
      </c>
      <c r="B1618" s="43" t="n">
        <v>45574</v>
      </c>
      <c r="C1618" s="43" t="n">
        <v>45576</v>
      </c>
      <c r="D1618" s="42" t="n">
        <v>14</v>
      </c>
      <c r="E1618" s="42" t="s">
        <v>154</v>
      </c>
      <c r="F1618" s="42" t="s">
        <v>155</v>
      </c>
      <c r="G1618" s="42" t="s">
        <v>156</v>
      </c>
      <c r="H1618" s="42" t="s">
        <v>222</v>
      </c>
      <c r="I1618" s="42" t="s">
        <v>158</v>
      </c>
      <c r="J1618" s="42" t="s">
        <v>159</v>
      </c>
      <c r="K1618" s="42" t="s">
        <v>209</v>
      </c>
      <c r="L1618" s="44" t="n">
        <v>1752.04</v>
      </c>
      <c r="M1618" s="42" t="n">
        <v>3</v>
      </c>
      <c r="N1618" s="42" t="s">
        <v>146</v>
      </c>
      <c r="O1618" s="42" t="s">
        <v>295</v>
      </c>
      <c r="P1618" s="39" t="n">
        <f aca="false">C1618-B1618</f>
        <v>2</v>
      </c>
      <c r="Q1618" s="40" t="str">
        <f aca="false">CHOOSE(MONTH(B1618),"يناير","فبراير","مارس","أبريل","مايو","يونيو","يوليو","أغسطس","سبتمبر","أكتوبر","نوفمبر","ديسمبر")</f>
        <v>أكتوبر</v>
      </c>
      <c r="R1618" s="40" t="str">
        <f aca="false">"الربع "&amp;ROUNDUP(MONTH(B1618)/3,0)</f>
        <v>الربع 4</v>
      </c>
      <c r="S1618" s="40" t="str">
        <f aca="false">IF(D1618&lt;=12,"أطفال (0-12)",IF(D1618&lt;=24,"شباب (13-24)",IF(D1618&lt;=44,"بالغون (25-44)",IF(D1618&lt;=64,"متوسطو العمر (45-64)","كبار السن (+65)"))))</f>
        <v>شباب (13-24)</v>
      </c>
      <c r="T1618" s="41" t="n">
        <f aca="false">IFERROR(L1618/P1618,0)</f>
        <v>876.02</v>
      </c>
    </row>
    <row r="1619" customFormat="false" ht="15" hidden="false" customHeight="false" outlineLevel="0" collapsed="false">
      <c r="A1619" s="33" t="s">
        <v>2064</v>
      </c>
      <c r="B1619" s="34" t="n">
        <v>45574</v>
      </c>
      <c r="C1619" s="34" t="n">
        <v>45575</v>
      </c>
      <c r="D1619" s="33" t="n">
        <v>35</v>
      </c>
      <c r="E1619" s="33" t="s">
        <v>139</v>
      </c>
      <c r="F1619" s="33" t="s">
        <v>203</v>
      </c>
      <c r="G1619" s="33" t="s">
        <v>232</v>
      </c>
      <c r="H1619" s="33" t="s">
        <v>233</v>
      </c>
      <c r="I1619" s="33" t="s">
        <v>143</v>
      </c>
      <c r="J1619" s="33" t="s">
        <v>176</v>
      </c>
      <c r="K1619" s="33" t="s">
        <v>160</v>
      </c>
      <c r="L1619" s="35" t="n">
        <v>3443.32</v>
      </c>
      <c r="M1619" s="33" t="n">
        <v>3</v>
      </c>
      <c r="N1619" s="33" t="s">
        <v>146</v>
      </c>
      <c r="O1619" s="33" t="s">
        <v>206</v>
      </c>
      <c r="P1619" s="39" t="n">
        <f aca="false">C1619-B1619</f>
        <v>1</v>
      </c>
      <c r="Q1619" s="40" t="str">
        <f aca="false">CHOOSE(MONTH(B1619),"يناير","فبراير","مارس","أبريل","مايو","يونيو","يوليو","أغسطس","سبتمبر","أكتوبر","نوفمبر","ديسمبر")</f>
        <v>أكتوبر</v>
      </c>
      <c r="R1619" s="40" t="str">
        <f aca="false">"الربع "&amp;ROUNDUP(MONTH(B1619)/3,0)</f>
        <v>الربع 4</v>
      </c>
      <c r="S1619" s="40" t="str">
        <f aca="false">IF(D1619&lt;=12,"أطفال (0-12)",IF(D1619&lt;=24,"شباب (13-24)",IF(D1619&lt;=44,"بالغون (25-44)",IF(D1619&lt;=64,"متوسطو العمر (45-64)","كبار السن (+65)"))))</f>
        <v>بالغون (25-44)</v>
      </c>
      <c r="T1619" s="41" t="n">
        <f aca="false">IFERROR(L1619/P1619,0)</f>
        <v>3443.32</v>
      </c>
    </row>
    <row r="1620" customFormat="false" ht="15" hidden="false" customHeight="false" outlineLevel="0" collapsed="false">
      <c r="A1620" s="42" t="s">
        <v>1012</v>
      </c>
      <c r="B1620" s="43" t="n">
        <v>45574</v>
      </c>
      <c r="C1620" s="43" t="n">
        <v>45578</v>
      </c>
      <c r="D1620" s="42" t="n">
        <v>38</v>
      </c>
      <c r="E1620" s="42" t="s">
        <v>139</v>
      </c>
      <c r="F1620" s="42" t="s">
        <v>169</v>
      </c>
      <c r="G1620" s="42" t="s">
        <v>230</v>
      </c>
      <c r="H1620" s="42" t="s">
        <v>171</v>
      </c>
      <c r="I1620" s="42" t="s">
        <v>152</v>
      </c>
      <c r="J1620" s="42" t="s">
        <v>159</v>
      </c>
      <c r="K1620" s="42" t="s">
        <v>145</v>
      </c>
      <c r="L1620" s="44" t="n">
        <v>4612.3</v>
      </c>
      <c r="M1620" s="42" t="n">
        <v>5</v>
      </c>
      <c r="N1620" s="42" t="s">
        <v>146</v>
      </c>
      <c r="O1620" s="42" t="s">
        <v>147</v>
      </c>
      <c r="P1620" s="39" t="n">
        <f aca="false">C1620-B1620</f>
        <v>4</v>
      </c>
      <c r="Q1620" s="40" t="str">
        <f aca="false">CHOOSE(MONTH(B1620),"يناير","فبراير","مارس","أبريل","مايو","يونيو","يوليو","أغسطس","سبتمبر","أكتوبر","نوفمبر","ديسمبر")</f>
        <v>أكتوبر</v>
      </c>
      <c r="R1620" s="40" t="str">
        <f aca="false">"الربع "&amp;ROUNDUP(MONTH(B1620)/3,0)</f>
        <v>الربع 4</v>
      </c>
      <c r="S1620" s="40" t="str">
        <f aca="false">IF(D1620&lt;=12,"أطفال (0-12)",IF(D1620&lt;=24,"شباب (13-24)",IF(D1620&lt;=44,"بالغون (25-44)",IF(D1620&lt;=64,"متوسطو العمر (45-64)","كبار السن (+65)"))))</f>
        <v>بالغون (25-44)</v>
      </c>
      <c r="T1620" s="41" t="n">
        <f aca="false">IFERROR(L1620/P1620,0)</f>
        <v>1153.075</v>
      </c>
    </row>
    <row r="1621" customFormat="false" ht="15" hidden="false" customHeight="false" outlineLevel="0" collapsed="false">
      <c r="A1621" s="33" t="s">
        <v>545</v>
      </c>
      <c r="B1621" s="34" t="n">
        <v>45574</v>
      </c>
      <c r="C1621" s="34" t="n">
        <v>45575</v>
      </c>
      <c r="D1621" s="33" t="n">
        <v>61</v>
      </c>
      <c r="E1621" s="33" t="s">
        <v>154</v>
      </c>
      <c r="F1621" s="33" t="s">
        <v>181</v>
      </c>
      <c r="G1621" s="33" t="s">
        <v>182</v>
      </c>
      <c r="H1621" s="33" t="s">
        <v>183</v>
      </c>
      <c r="I1621" s="33" t="s">
        <v>152</v>
      </c>
      <c r="J1621" s="33" t="s">
        <v>176</v>
      </c>
      <c r="K1621" s="33" t="s">
        <v>145</v>
      </c>
      <c r="L1621" s="35" t="n">
        <v>8930.17</v>
      </c>
      <c r="M1621" s="33" t="n">
        <v>5</v>
      </c>
      <c r="N1621" s="33" t="s">
        <v>146</v>
      </c>
      <c r="O1621" s="33" t="s">
        <v>147</v>
      </c>
      <c r="P1621" s="39" t="n">
        <f aca="false">C1621-B1621</f>
        <v>1</v>
      </c>
      <c r="Q1621" s="40" t="str">
        <f aca="false">CHOOSE(MONTH(B1621),"يناير","فبراير","مارس","أبريل","مايو","يونيو","يوليو","أغسطس","سبتمبر","أكتوبر","نوفمبر","ديسمبر")</f>
        <v>أكتوبر</v>
      </c>
      <c r="R1621" s="40" t="str">
        <f aca="false">"الربع "&amp;ROUNDUP(MONTH(B1621)/3,0)</f>
        <v>الربع 4</v>
      </c>
      <c r="S1621" s="40" t="str">
        <f aca="false">IF(D1621&lt;=12,"أطفال (0-12)",IF(D1621&lt;=24,"شباب (13-24)",IF(D1621&lt;=44,"بالغون (25-44)",IF(D1621&lt;=64,"متوسطو العمر (45-64)","كبار السن (+65)"))))</f>
        <v>متوسطو العمر (45-64)</v>
      </c>
      <c r="T1621" s="41" t="n">
        <f aca="false">IFERROR(L1621/P1621,0)</f>
        <v>8930.17</v>
      </c>
    </row>
    <row r="1622" customFormat="false" ht="15" hidden="false" customHeight="false" outlineLevel="0" collapsed="false">
      <c r="A1622" s="42" t="s">
        <v>2142</v>
      </c>
      <c r="B1622" s="43" t="n">
        <v>45575</v>
      </c>
      <c r="C1622" s="43" t="n">
        <v>45578</v>
      </c>
      <c r="D1622" s="42" t="n">
        <v>71</v>
      </c>
      <c r="E1622" s="42" t="s">
        <v>139</v>
      </c>
      <c r="F1622" s="42" t="s">
        <v>169</v>
      </c>
      <c r="G1622" s="42" t="s">
        <v>230</v>
      </c>
      <c r="H1622" s="42" t="s">
        <v>164</v>
      </c>
      <c r="I1622" s="42" t="s">
        <v>143</v>
      </c>
      <c r="J1622" s="42" t="s">
        <v>159</v>
      </c>
      <c r="K1622" s="42" t="s">
        <v>160</v>
      </c>
      <c r="L1622" s="44" t="n">
        <v>3299.45</v>
      </c>
      <c r="M1622" s="42" t="n">
        <v>4</v>
      </c>
      <c r="N1622" s="42" t="s">
        <v>146</v>
      </c>
      <c r="O1622" s="42" t="s">
        <v>147</v>
      </c>
      <c r="P1622" s="39" t="n">
        <f aca="false">C1622-B1622</f>
        <v>3</v>
      </c>
      <c r="Q1622" s="40" t="str">
        <f aca="false">CHOOSE(MONTH(B1622),"يناير","فبراير","مارس","أبريل","مايو","يونيو","يوليو","أغسطس","سبتمبر","أكتوبر","نوفمبر","ديسمبر")</f>
        <v>أكتوبر</v>
      </c>
      <c r="R1622" s="40" t="str">
        <f aca="false">"الربع "&amp;ROUNDUP(MONTH(B1622)/3,0)</f>
        <v>الربع 4</v>
      </c>
      <c r="S1622" s="40" t="str">
        <f aca="false">IF(D1622&lt;=12,"أطفال (0-12)",IF(D1622&lt;=24,"شباب (13-24)",IF(D1622&lt;=44,"بالغون (25-44)",IF(D1622&lt;=64,"متوسطو العمر (45-64)","كبار السن (+65)"))))</f>
        <v>كبار السن (+65)</v>
      </c>
      <c r="T1622" s="41" t="n">
        <f aca="false">IFERROR(L1622/P1622,0)</f>
        <v>1099.81666666667</v>
      </c>
    </row>
    <row r="1623" customFormat="false" ht="15" hidden="false" customHeight="false" outlineLevel="0" collapsed="false">
      <c r="A1623" s="33" t="s">
        <v>1429</v>
      </c>
      <c r="B1623" s="34" t="n">
        <v>45575</v>
      </c>
      <c r="C1623" s="34" t="n">
        <v>45577</v>
      </c>
      <c r="D1623" s="33" t="n">
        <v>6</v>
      </c>
      <c r="E1623" s="33" t="s">
        <v>154</v>
      </c>
      <c r="F1623" s="33" t="s">
        <v>155</v>
      </c>
      <c r="G1623" s="33" t="s">
        <v>156</v>
      </c>
      <c r="H1623" s="33" t="s">
        <v>222</v>
      </c>
      <c r="I1623" s="33" t="s">
        <v>143</v>
      </c>
      <c r="J1623" s="33" t="s">
        <v>144</v>
      </c>
      <c r="K1623" s="33" t="s">
        <v>145</v>
      </c>
      <c r="L1623" s="35" t="n">
        <v>3186.07</v>
      </c>
      <c r="M1623" s="33" t="n">
        <v>5</v>
      </c>
      <c r="N1623" s="33" t="s">
        <v>146</v>
      </c>
      <c r="O1623" s="33" t="s">
        <v>247</v>
      </c>
      <c r="P1623" s="39" t="n">
        <f aca="false">C1623-B1623</f>
        <v>2</v>
      </c>
      <c r="Q1623" s="40" t="str">
        <f aca="false">CHOOSE(MONTH(B1623),"يناير","فبراير","مارس","أبريل","مايو","يونيو","يوليو","أغسطس","سبتمبر","أكتوبر","نوفمبر","ديسمبر")</f>
        <v>أكتوبر</v>
      </c>
      <c r="R1623" s="40" t="str">
        <f aca="false">"الربع "&amp;ROUNDUP(MONTH(B1623)/3,0)</f>
        <v>الربع 4</v>
      </c>
      <c r="S1623" s="40" t="str">
        <f aca="false">IF(D1623&lt;=12,"أطفال (0-12)",IF(D1623&lt;=24,"شباب (13-24)",IF(D1623&lt;=44,"بالغون (25-44)",IF(D1623&lt;=64,"متوسطو العمر (45-64)","كبار السن (+65)"))))</f>
        <v>أطفال (0-12)</v>
      </c>
      <c r="T1623" s="41" t="n">
        <f aca="false">IFERROR(L1623/P1623,0)</f>
        <v>1593.035</v>
      </c>
    </row>
    <row r="1624" customFormat="false" ht="15" hidden="false" customHeight="false" outlineLevel="0" collapsed="false">
      <c r="A1624" s="42" t="s">
        <v>1196</v>
      </c>
      <c r="B1624" s="43" t="n">
        <v>45575</v>
      </c>
      <c r="C1624" s="43" t="n">
        <v>45585</v>
      </c>
      <c r="D1624" s="42" t="n">
        <v>55</v>
      </c>
      <c r="E1624" s="42" t="s">
        <v>154</v>
      </c>
      <c r="F1624" s="42" t="s">
        <v>169</v>
      </c>
      <c r="G1624" s="42" t="s">
        <v>163</v>
      </c>
      <c r="H1624" s="42" t="s">
        <v>171</v>
      </c>
      <c r="I1624" s="42" t="s">
        <v>152</v>
      </c>
      <c r="J1624" s="42" t="s">
        <v>144</v>
      </c>
      <c r="K1624" s="42" t="s">
        <v>160</v>
      </c>
      <c r="L1624" s="44" t="n">
        <v>24196.59</v>
      </c>
      <c r="M1624" s="42" t="n">
        <v>5</v>
      </c>
      <c r="N1624" s="42" t="s">
        <v>146</v>
      </c>
      <c r="O1624" s="42" t="s">
        <v>147</v>
      </c>
      <c r="P1624" s="39" t="n">
        <f aca="false">C1624-B1624</f>
        <v>10</v>
      </c>
      <c r="Q1624" s="40" t="str">
        <f aca="false">CHOOSE(MONTH(B1624),"يناير","فبراير","مارس","أبريل","مايو","يونيو","يوليو","أغسطس","سبتمبر","أكتوبر","نوفمبر","ديسمبر")</f>
        <v>أكتوبر</v>
      </c>
      <c r="R1624" s="40" t="str">
        <f aca="false">"الربع "&amp;ROUNDUP(MONTH(B1624)/3,0)</f>
        <v>الربع 4</v>
      </c>
      <c r="S1624" s="40" t="str">
        <f aca="false">IF(D1624&lt;=12,"أطفال (0-12)",IF(D1624&lt;=24,"شباب (13-24)",IF(D1624&lt;=44,"بالغون (25-44)",IF(D1624&lt;=64,"متوسطو العمر (45-64)","كبار السن (+65)"))))</f>
        <v>متوسطو العمر (45-64)</v>
      </c>
      <c r="T1624" s="41" t="n">
        <f aca="false">IFERROR(L1624/P1624,0)</f>
        <v>2419.659</v>
      </c>
    </row>
    <row r="1625" customFormat="false" ht="15" hidden="false" customHeight="false" outlineLevel="0" collapsed="false">
      <c r="A1625" s="33" t="s">
        <v>1561</v>
      </c>
      <c r="B1625" s="34" t="n">
        <v>45575</v>
      </c>
      <c r="C1625" s="34" t="n">
        <v>45581</v>
      </c>
      <c r="D1625" s="33" t="n">
        <v>53</v>
      </c>
      <c r="E1625" s="33" t="s">
        <v>139</v>
      </c>
      <c r="F1625" s="33" t="s">
        <v>181</v>
      </c>
      <c r="G1625" s="33" t="s">
        <v>182</v>
      </c>
      <c r="H1625" s="33" t="s">
        <v>245</v>
      </c>
      <c r="I1625" s="33" t="s">
        <v>143</v>
      </c>
      <c r="J1625" s="33" t="s">
        <v>159</v>
      </c>
      <c r="K1625" s="33" t="s">
        <v>145</v>
      </c>
      <c r="L1625" s="35" t="n">
        <v>12053.91</v>
      </c>
      <c r="M1625" s="33" t="n">
        <v>4</v>
      </c>
      <c r="N1625" s="33" t="s">
        <v>146</v>
      </c>
      <c r="O1625" s="33" t="s">
        <v>147</v>
      </c>
      <c r="P1625" s="39" t="n">
        <f aca="false">C1625-B1625</f>
        <v>6</v>
      </c>
      <c r="Q1625" s="40" t="str">
        <f aca="false">CHOOSE(MONTH(B1625),"يناير","فبراير","مارس","أبريل","مايو","يونيو","يوليو","أغسطس","سبتمبر","أكتوبر","نوفمبر","ديسمبر")</f>
        <v>أكتوبر</v>
      </c>
      <c r="R1625" s="40" t="str">
        <f aca="false">"الربع "&amp;ROUNDUP(MONTH(B1625)/3,0)</f>
        <v>الربع 4</v>
      </c>
      <c r="S1625" s="40" t="str">
        <f aca="false">IF(D1625&lt;=12,"أطفال (0-12)",IF(D1625&lt;=24,"شباب (13-24)",IF(D1625&lt;=44,"بالغون (25-44)",IF(D1625&lt;=64,"متوسطو العمر (45-64)","كبار السن (+65)"))))</f>
        <v>متوسطو العمر (45-64)</v>
      </c>
      <c r="T1625" s="41" t="n">
        <f aca="false">IFERROR(L1625/P1625,0)</f>
        <v>2008.985</v>
      </c>
    </row>
    <row r="1626" customFormat="false" ht="15" hidden="false" customHeight="false" outlineLevel="0" collapsed="false">
      <c r="A1626" s="42" t="s">
        <v>189</v>
      </c>
      <c r="B1626" s="43" t="n">
        <v>45576</v>
      </c>
      <c r="C1626" s="43" t="n">
        <v>45577</v>
      </c>
      <c r="D1626" s="42" t="n">
        <v>62</v>
      </c>
      <c r="E1626" s="42" t="s">
        <v>139</v>
      </c>
      <c r="F1626" s="42" t="s">
        <v>203</v>
      </c>
      <c r="G1626" s="42" t="s">
        <v>192</v>
      </c>
      <c r="H1626" s="42" t="s">
        <v>193</v>
      </c>
      <c r="I1626" s="42" t="s">
        <v>143</v>
      </c>
      <c r="J1626" s="42" t="s">
        <v>144</v>
      </c>
      <c r="K1626" s="42" t="s">
        <v>184</v>
      </c>
      <c r="L1626" s="44" t="n">
        <v>1717.67</v>
      </c>
      <c r="M1626" s="42" t="n">
        <v>3</v>
      </c>
      <c r="N1626" s="42" t="s">
        <v>146</v>
      </c>
      <c r="O1626" s="42" t="s">
        <v>147</v>
      </c>
      <c r="P1626" s="39" t="n">
        <f aca="false">C1626-B1626</f>
        <v>1</v>
      </c>
      <c r="Q1626" s="40" t="str">
        <f aca="false">CHOOSE(MONTH(B1626),"يناير","فبراير","مارس","أبريل","مايو","يونيو","يوليو","أغسطس","سبتمبر","أكتوبر","نوفمبر","ديسمبر")</f>
        <v>أكتوبر</v>
      </c>
      <c r="R1626" s="40" t="str">
        <f aca="false">"الربع "&amp;ROUNDUP(MONTH(B1626)/3,0)</f>
        <v>الربع 4</v>
      </c>
      <c r="S1626" s="40" t="str">
        <f aca="false">IF(D1626&lt;=12,"أطفال (0-12)",IF(D1626&lt;=24,"شباب (13-24)",IF(D1626&lt;=44,"بالغون (25-44)",IF(D1626&lt;=64,"متوسطو العمر (45-64)","كبار السن (+65)"))))</f>
        <v>متوسطو العمر (45-64)</v>
      </c>
      <c r="T1626" s="41" t="n">
        <f aca="false">IFERROR(L1626/P1626,0)</f>
        <v>1717.67</v>
      </c>
    </row>
    <row r="1627" customFormat="false" ht="15" hidden="false" customHeight="false" outlineLevel="0" collapsed="false">
      <c r="A1627" s="33" t="s">
        <v>1022</v>
      </c>
      <c r="B1627" s="34" t="n">
        <v>45576</v>
      </c>
      <c r="C1627" s="34" t="n">
        <v>45585</v>
      </c>
      <c r="D1627" s="33" t="n">
        <v>55</v>
      </c>
      <c r="E1627" s="33" t="s">
        <v>154</v>
      </c>
      <c r="F1627" s="33" t="s">
        <v>169</v>
      </c>
      <c r="G1627" s="33" t="s">
        <v>230</v>
      </c>
      <c r="H1627" s="33" t="s">
        <v>171</v>
      </c>
      <c r="I1627" s="33" t="s">
        <v>143</v>
      </c>
      <c r="J1627" s="33" t="s">
        <v>159</v>
      </c>
      <c r="K1627" s="33" t="s">
        <v>145</v>
      </c>
      <c r="L1627" s="35" t="n">
        <v>9187.21</v>
      </c>
      <c r="M1627" s="33" t="n">
        <v>2</v>
      </c>
      <c r="N1627" s="33" t="s">
        <v>210</v>
      </c>
      <c r="O1627" s="33" t="s">
        <v>147</v>
      </c>
      <c r="P1627" s="39" t="n">
        <f aca="false">C1627-B1627</f>
        <v>9</v>
      </c>
      <c r="Q1627" s="40" t="str">
        <f aca="false">CHOOSE(MONTH(B1627),"يناير","فبراير","مارس","أبريل","مايو","يونيو","يوليو","أغسطس","سبتمبر","أكتوبر","نوفمبر","ديسمبر")</f>
        <v>أكتوبر</v>
      </c>
      <c r="R1627" s="40" t="str">
        <f aca="false">"الربع "&amp;ROUNDUP(MONTH(B1627)/3,0)</f>
        <v>الربع 4</v>
      </c>
      <c r="S1627" s="40" t="str">
        <f aca="false">IF(D1627&lt;=12,"أطفال (0-12)",IF(D1627&lt;=24,"شباب (13-24)",IF(D1627&lt;=44,"بالغون (25-44)",IF(D1627&lt;=64,"متوسطو العمر (45-64)","كبار السن (+65)"))))</f>
        <v>متوسطو العمر (45-64)</v>
      </c>
      <c r="T1627" s="41" t="n">
        <f aca="false">IFERROR(L1627/P1627,0)</f>
        <v>1020.80111111111</v>
      </c>
    </row>
    <row r="1628" customFormat="false" ht="15" hidden="false" customHeight="false" outlineLevel="0" collapsed="false">
      <c r="A1628" s="42" t="s">
        <v>362</v>
      </c>
      <c r="B1628" s="43" t="n">
        <v>45576</v>
      </c>
      <c r="C1628" s="43" t="n">
        <v>45580</v>
      </c>
      <c r="D1628" s="42" t="n">
        <v>6</v>
      </c>
      <c r="E1628" s="42" t="s">
        <v>139</v>
      </c>
      <c r="F1628" s="42" t="s">
        <v>155</v>
      </c>
      <c r="G1628" s="42" t="s">
        <v>220</v>
      </c>
      <c r="H1628" s="42" t="s">
        <v>157</v>
      </c>
      <c r="I1628" s="42" t="s">
        <v>143</v>
      </c>
      <c r="J1628" s="42" t="s">
        <v>144</v>
      </c>
      <c r="K1628" s="42" t="s">
        <v>145</v>
      </c>
      <c r="L1628" s="44" t="n">
        <v>5186.47</v>
      </c>
      <c r="M1628" s="42" t="n">
        <v>3</v>
      </c>
      <c r="N1628" s="42" t="s">
        <v>146</v>
      </c>
      <c r="O1628" s="42" t="s">
        <v>147</v>
      </c>
      <c r="P1628" s="39" t="n">
        <f aca="false">C1628-B1628</f>
        <v>4</v>
      </c>
      <c r="Q1628" s="40" t="str">
        <f aca="false">CHOOSE(MONTH(B1628),"يناير","فبراير","مارس","أبريل","مايو","يونيو","يوليو","أغسطس","سبتمبر","أكتوبر","نوفمبر","ديسمبر")</f>
        <v>أكتوبر</v>
      </c>
      <c r="R1628" s="40" t="str">
        <f aca="false">"الربع "&amp;ROUNDUP(MONTH(B1628)/3,0)</f>
        <v>الربع 4</v>
      </c>
      <c r="S1628" s="40" t="str">
        <f aca="false">IF(D1628&lt;=12,"أطفال (0-12)",IF(D1628&lt;=24,"شباب (13-24)",IF(D1628&lt;=44,"بالغون (25-44)",IF(D1628&lt;=64,"متوسطو العمر (45-64)","كبار السن (+65)"))))</f>
        <v>أطفال (0-12)</v>
      </c>
      <c r="T1628" s="41" t="n">
        <f aca="false">IFERROR(L1628/P1628,0)</f>
        <v>1296.6175</v>
      </c>
    </row>
    <row r="1629" customFormat="false" ht="15" hidden="false" customHeight="false" outlineLevel="0" collapsed="false">
      <c r="A1629" s="33" t="s">
        <v>1989</v>
      </c>
      <c r="B1629" s="34" t="n">
        <v>45576</v>
      </c>
      <c r="C1629" s="34" t="n">
        <v>45582</v>
      </c>
      <c r="D1629" s="33" t="n">
        <v>25</v>
      </c>
      <c r="E1629" s="33" t="s">
        <v>154</v>
      </c>
      <c r="F1629" s="33" t="s">
        <v>140</v>
      </c>
      <c r="G1629" s="33" t="s">
        <v>141</v>
      </c>
      <c r="H1629" s="33" t="s">
        <v>142</v>
      </c>
      <c r="I1629" s="33" t="s">
        <v>158</v>
      </c>
      <c r="J1629" s="33" t="s">
        <v>159</v>
      </c>
      <c r="K1629" s="33" t="s">
        <v>160</v>
      </c>
      <c r="L1629" s="35" t="n">
        <v>13390.28</v>
      </c>
      <c r="M1629" s="33" t="n">
        <v>5</v>
      </c>
      <c r="N1629" s="33" t="s">
        <v>146</v>
      </c>
      <c r="O1629" s="33" t="s">
        <v>147</v>
      </c>
      <c r="P1629" s="39" t="n">
        <f aca="false">C1629-B1629</f>
        <v>6</v>
      </c>
      <c r="Q1629" s="40" t="str">
        <f aca="false">CHOOSE(MONTH(B1629),"يناير","فبراير","مارس","أبريل","مايو","يونيو","يوليو","أغسطس","سبتمبر","أكتوبر","نوفمبر","ديسمبر")</f>
        <v>أكتوبر</v>
      </c>
      <c r="R1629" s="40" t="str">
        <f aca="false">"الربع "&amp;ROUNDUP(MONTH(B1629)/3,0)</f>
        <v>الربع 4</v>
      </c>
      <c r="S1629" s="40" t="str">
        <f aca="false">IF(D1629&lt;=12,"أطفال (0-12)",IF(D1629&lt;=24,"شباب (13-24)",IF(D1629&lt;=44,"بالغون (25-44)",IF(D1629&lt;=64,"متوسطو العمر (45-64)","كبار السن (+65)"))))</f>
        <v>بالغون (25-44)</v>
      </c>
      <c r="T1629" s="41" t="n">
        <f aca="false">IFERROR(L1629/P1629,0)</f>
        <v>2231.71333333333</v>
      </c>
    </row>
    <row r="1630" customFormat="false" ht="15" hidden="false" customHeight="false" outlineLevel="0" collapsed="false">
      <c r="A1630" s="42" t="s">
        <v>576</v>
      </c>
      <c r="B1630" s="43" t="n">
        <v>45576</v>
      </c>
      <c r="C1630" s="43" t="n">
        <v>45580</v>
      </c>
      <c r="D1630" s="42" t="n">
        <v>20</v>
      </c>
      <c r="E1630" s="42" t="s">
        <v>139</v>
      </c>
      <c r="F1630" s="42" t="s">
        <v>140</v>
      </c>
      <c r="G1630" s="42" t="s">
        <v>167</v>
      </c>
      <c r="H1630" s="42" t="s">
        <v>290</v>
      </c>
      <c r="I1630" s="42" t="s">
        <v>143</v>
      </c>
      <c r="J1630" s="42" t="s">
        <v>159</v>
      </c>
      <c r="K1630" s="42" t="s">
        <v>160</v>
      </c>
      <c r="L1630" s="44" t="n">
        <v>9615.01</v>
      </c>
      <c r="M1630" s="42" t="n">
        <v>5</v>
      </c>
      <c r="N1630" s="42" t="s">
        <v>210</v>
      </c>
      <c r="O1630" s="42" t="s">
        <v>247</v>
      </c>
      <c r="P1630" s="39" t="n">
        <f aca="false">C1630-B1630</f>
        <v>4</v>
      </c>
      <c r="Q1630" s="40" t="str">
        <f aca="false">CHOOSE(MONTH(B1630),"يناير","فبراير","مارس","أبريل","مايو","يونيو","يوليو","أغسطس","سبتمبر","أكتوبر","نوفمبر","ديسمبر")</f>
        <v>أكتوبر</v>
      </c>
      <c r="R1630" s="40" t="str">
        <f aca="false">"الربع "&amp;ROUNDUP(MONTH(B1630)/3,0)</f>
        <v>الربع 4</v>
      </c>
      <c r="S1630" s="40" t="str">
        <f aca="false">IF(D1630&lt;=12,"أطفال (0-12)",IF(D1630&lt;=24,"شباب (13-24)",IF(D1630&lt;=44,"بالغون (25-44)",IF(D1630&lt;=64,"متوسطو العمر (45-64)","كبار السن (+65)"))))</f>
        <v>شباب (13-24)</v>
      </c>
      <c r="T1630" s="41" t="n">
        <f aca="false">IFERROR(L1630/P1630,0)</f>
        <v>2403.7525</v>
      </c>
    </row>
    <row r="1631" customFormat="false" ht="15" hidden="false" customHeight="false" outlineLevel="0" collapsed="false">
      <c r="A1631" s="33" t="s">
        <v>1836</v>
      </c>
      <c r="B1631" s="34" t="n">
        <v>45576</v>
      </c>
      <c r="C1631" s="34" t="n">
        <v>45578</v>
      </c>
      <c r="D1631" s="33" t="n">
        <v>11</v>
      </c>
      <c r="E1631" s="33" t="s">
        <v>154</v>
      </c>
      <c r="F1631" s="33" t="s">
        <v>155</v>
      </c>
      <c r="G1631" s="33" t="s">
        <v>220</v>
      </c>
      <c r="H1631" s="33" t="s">
        <v>222</v>
      </c>
      <c r="I1631" s="33" t="s">
        <v>152</v>
      </c>
      <c r="J1631" s="33" t="s">
        <v>144</v>
      </c>
      <c r="K1631" s="33" t="s">
        <v>145</v>
      </c>
      <c r="L1631" s="35" t="n">
        <v>2813.94</v>
      </c>
      <c r="M1631" s="33" t="n">
        <v>5</v>
      </c>
      <c r="N1631" s="33" t="s">
        <v>146</v>
      </c>
      <c r="O1631" s="33" t="s">
        <v>147</v>
      </c>
      <c r="P1631" s="39" t="n">
        <f aca="false">C1631-B1631</f>
        <v>2</v>
      </c>
      <c r="Q1631" s="40" t="str">
        <f aca="false">CHOOSE(MONTH(B1631),"يناير","فبراير","مارس","أبريل","مايو","يونيو","يوليو","أغسطس","سبتمبر","أكتوبر","نوفمبر","ديسمبر")</f>
        <v>أكتوبر</v>
      </c>
      <c r="R1631" s="40" t="str">
        <f aca="false">"الربع "&amp;ROUNDUP(MONTH(B1631)/3,0)</f>
        <v>الربع 4</v>
      </c>
      <c r="S1631" s="40" t="str">
        <f aca="false">IF(D1631&lt;=12,"أطفال (0-12)",IF(D1631&lt;=24,"شباب (13-24)",IF(D1631&lt;=44,"بالغون (25-44)",IF(D1631&lt;=64,"متوسطو العمر (45-64)","كبار السن (+65)"))))</f>
        <v>أطفال (0-12)</v>
      </c>
      <c r="T1631" s="41" t="n">
        <f aca="false">IFERROR(L1631/P1631,0)</f>
        <v>1406.97</v>
      </c>
    </row>
    <row r="1632" customFormat="false" ht="15" hidden="false" customHeight="false" outlineLevel="0" collapsed="false">
      <c r="A1632" s="42" t="s">
        <v>1565</v>
      </c>
      <c r="B1632" s="43" t="n">
        <v>45576</v>
      </c>
      <c r="C1632" s="43" t="n">
        <v>45577</v>
      </c>
      <c r="D1632" s="42" t="n">
        <v>29</v>
      </c>
      <c r="E1632" s="42" t="s">
        <v>139</v>
      </c>
      <c r="F1632" s="42" t="s">
        <v>140</v>
      </c>
      <c r="G1632" s="42" t="s">
        <v>141</v>
      </c>
      <c r="H1632" s="42" t="s">
        <v>290</v>
      </c>
      <c r="I1632" s="42" t="s">
        <v>152</v>
      </c>
      <c r="J1632" s="42" t="s">
        <v>144</v>
      </c>
      <c r="K1632" s="42" t="s">
        <v>184</v>
      </c>
      <c r="L1632" s="44" t="n">
        <v>5268.24</v>
      </c>
      <c r="M1632" s="42" t="n">
        <v>4</v>
      </c>
      <c r="N1632" s="42" t="s">
        <v>146</v>
      </c>
      <c r="O1632" s="42" t="s">
        <v>147</v>
      </c>
      <c r="P1632" s="39" t="n">
        <f aca="false">C1632-B1632</f>
        <v>1</v>
      </c>
      <c r="Q1632" s="40" t="str">
        <f aca="false">CHOOSE(MONTH(B1632),"يناير","فبراير","مارس","أبريل","مايو","يونيو","يوليو","أغسطس","سبتمبر","أكتوبر","نوفمبر","ديسمبر")</f>
        <v>أكتوبر</v>
      </c>
      <c r="R1632" s="40" t="str">
        <f aca="false">"الربع "&amp;ROUNDUP(MONTH(B1632)/3,0)</f>
        <v>الربع 4</v>
      </c>
      <c r="S1632" s="40" t="str">
        <f aca="false">IF(D1632&lt;=12,"أطفال (0-12)",IF(D1632&lt;=24,"شباب (13-24)",IF(D1632&lt;=44,"بالغون (25-44)",IF(D1632&lt;=64,"متوسطو العمر (45-64)","كبار السن (+65)"))))</f>
        <v>بالغون (25-44)</v>
      </c>
      <c r="T1632" s="41" t="n">
        <f aca="false">IFERROR(L1632/P1632,0)</f>
        <v>5268.24</v>
      </c>
    </row>
    <row r="1633" customFormat="false" ht="15" hidden="false" customHeight="false" outlineLevel="0" collapsed="false">
      <c r="A1633" s="33" t="s">
        <v>197</v>
      </c>
      <c r="B1633" s="34" t="n">
        <v>45576</v>
      </c>
      <c r="C1633" s="34" t="n">
        <v>45585</v>
      </c>
      <c r="D1633" s="33" t="n">
        <v>39</v>
      </c>
      <c r="E1633" s="33" t="s">
        <v>139</v>
      </c>
      <c r="F1633" s="33" t="s">
        <v>173</v>
      </c>
      <c r="G1633" s="33" t="s">
        <v>198</v>
      </c>
      <c r="H1633" s="33" t="s">
        <v>199</v>
      </c>
      <c r="I1633" s="33" t="s">
        <v>143</v>
      </c>
      <c r="J1633" s="33" t="s">
        <v>159</v>
      </c>
      <c r="K1633" s="33" t="s">
        <v>145</v>
      </c>
      <c r="L1633" s="35" t="n">
        <v>20420.2</v>
      </c>
      <c r="M1633" s="33" t="n">
        <v>4</v>
      </c>
      <c r="N1633" s="33" t="s">
        <v>146</v>
      </c>
      <c r="O1633" s="33" t="s">
        <v>147</v>
      </c>
      <c r="P1633" s="39" t="n">
        <f aca="false">C1633-B1633</f>
        <v>9</v>
      </c>
      <c r="Q1633" s="40" t="str">
        <f aca="false">CHOOSE(MONTH(B1633),"يناير","فبراير","مارس","أبريل","مايو","يونيو","يوليو","أغسطس","سبتمبر","أكتوبر","نوفمبر","ديسمبر")</f>
        <v>أكتوبر</v>
      </c>
      <c r="R1633" s="40" t="str">
        <f aca="false">"الربع "&amp;ROUNDUP(MONTH(B1633)/3,0)</f>
        <v>الربع 4</v>
      </c>
      <c r="S1633" s="40" t="str">
        <f aca="false">IF(D1633&lt;=12,"أطفال (0-12)",IF(D1633&lt;=24,"شباب (13-24)",IF(D1633&lt;=44,"بالغون (25-44)",IF(D1633&lt;=64,"متوسطو العمر (45-64)","كبار السن (+65)"))))</f>
        <v>بالغون (25-44)</v>
      </c>
      <c r="T1633" s="41" t="n">
        <f aca="false">IFERROR(L1633/P1633,0)</f>
        <v>2268.91111111111</v>
      </c>
    </row>
    <row r="1634" customFormat="false" ht="15" hidden="false" customHeight="false" outlineLevel="0" collapsed="false">
      <c r="A1634" s="42" t="s">
        <v>2209</v>
      </c>
      <c r="B1634" s="43" t="n">
        <v>45576</v>
      </c>
      <c r="C1634" s="43" t="n">
        <v>45578</v>
      </c>
      <c r="D1634" s="42" t="n">
        <v>8</v>
      </c>
      <c r="E1634" s="42" t="s">
        <v>139</v>
      </c>
      <c r="F1634" s="42" t="s">
        <v>155</v>
      </c>
      <c r="G1634" s="42" t="s">
        <v>156</v>
      </c>
      <c r="H1634" s="42" t="s">
        <v>222</v>
      </c>
      <c r="I1634" s="42" t="s">
        <v>143</v>
      </c>
      <c r="J1634" s="42" t="s">
        <v>159</v>
      </c>
      <c r="K1634" s="42" t="s">
        <v>209</v>
      </c>
      <c r="L1634" s="44" t="n">
        <v>1558.4</v>
      </c>
      <c r="M1634" s="42" t="n">
        <v>5</v>
      </c>
      <c r="N1634" s="42" t="s">
        <v>146</v>
      </c>
      <c r="O1634" s="42" t="s">
        <v>147</v>
      </c>
      <c r="P1634" s="39" t="n">
        <f aca="false">C1634-B1634</f>
        <v>2</v>
      </c>
      <c r="Q1634" s="40" t="str">
        <f aca="false">CHOOSE(MONTH(B1634),"يناير","فبراير","مارس","أبريل","مايو","يونيو","يوليو","أغسطس","سبتمبر","أكتوبر","نوفمبر","ديسمبر")</f>
        <v>أكتوبر</v>
      </c>
      <c r="R1634" s="40" t="str">
        <f aca="false">"الربع "&amp;ROUNDUP(MONTH(B1634)/3,0)</f>
        <v>الربع 4</v>
      </c>
      <c r="S1634" s="40" t="str">
        <f aca="false">IF(D1634&lt;=12,"أطفال (0-12)",IF(D1634&lt;=24,"شباب (13-24)",IF(D1634&lt;=44,"بالغون (25-44)",IF(D1634&lt;=64,"متوسطو العمر (45-64)","كبار السن (+65)"))))</f>
        <v>أطفال (0-12)</v>
      </c>
      <c r="T1634" s="41" t="n">
        <f aca="false">IFERROR(L1634/P1634,0)</f>
        <v>779.2</v>
      </c>
    </row>
    <row r="1635" customFormat="false" ht="15" hidden="false" customHeight="false" outlineLevel="0" collapsed="false">
      <c r="A1635" s="33" t="s">
        <v>1847</v>
      </c>
      <c r="B1635" s="34" t="n">
        <v>45576</v>
      </c>
      <c r="C1635" s="34" t="n">
        <v>45577</v>
      </c>
      <c r="D1635" s="33" t="n">
        <v>12</v>
      </c>
      <c r="E1635" s="33" t="s">
        <v>154</v>
      </c>
      <c r="F1635" s="33" t="s">
        <v>203</v>
      </c>
      <c r="G1635" s="33" t="s">
        <v>204</v>
      </c>
      <c r="H1635" s="33" t="s">
        <v>205</v>
      </c>
      <c r="I1635" s="33" t="s">
        <v>143</v>
      </c>
      <c r="J1635" s="33" t="s">
        <v>176</v>
      </c>
      <c r="K1635" s="33" t="s">
        <v>209</v>
      </c>
      <c r="L1635" s="35" t="n">
        <v>3591.6</v>
      </c>
      <c r="M1635" s="33" t="n">
        <v>3</v>
      </c>
      <c r="N1635" s="33" t="s">
        <v>146</v>
      </c>
      <c r="O1635" s="33" t="s">
        <v>147</v>
      </c>
      <c r="P1635" s="39" t="n">
        <f aca="false">C1635-B1635</f>
        <v>1</v>
      </c>
      <c r="Q1635" s="40" t="str">
        <f aca="false">CHOOSE(MONTH(B1635),"يناير","فبراير","مارس","أبريل","مايو","يونيو","يوليو","أغسطس","سبتمبر","أكتوبر","نوفمبر","ديسمبر")</f>
        <v>أكتوبر</v>
      </c>
      <c r="R1635" s="40" t="str">
        <f aca="false">"الربع "&amp;ROUNDUP(MONTH(B1635)/3,0)</f>
        <v>الربع 4</v>
      </c>
      <c r="S1635" s="40" t="str">
        <f aca="false">IF(D1635&lt;=12,"أطفال (0-12)",IF(D1635&lt;=24,"شباب (13-24)",IF(D1635&lt;=44,"بالغون (25-44)",IF(D1635&lt;=64,"متوسطو العمر (45-64)","كبار السن (+65)"))))</f>
        <v>أطفال (0-12)</v>
      </c>
      <c r="T1635" s="41" t="n">
        <f aca="false">IFERROR(L1635/P1635,0)</f>
        <v>3591.6</v>
      </c>
    </row>
    <row r="1636" customFormat="false" ht="15" hidden="false" customHeight="false" outlineLevel="0" collapsed="false">
      <c r="A1636" s="42" t="s">
        <v>1306</v>
      </c>
      <c r="B1636" s="43" t="n">
        <v>45577</v>
      </c>
      <c r="C1636" s="43" t="n">
        <v>45579</v>
      </c>
      <c r="D1636" s="42" t="n">
        <v>22</v>
      </c>
      <c r="E1636" s="42" t="s">
        <v>139</v>
      </c>
      <c r="F1636" s="42" t="s">
        <v>149</v>
      </c>
      <c r="G1636" s="42" t="s">
        <v>224</v>
      </c>
      <c r="H1636" s="42" t="s">
        <v>186</v>
      </c>
      <c r="I1636" s="42" t="s">
        <v>143</v>
      </c>
      <c r="J1636" s="42" t="s">
        <v>176</v>
      </c>
      <c r="K1636" s="42" t="s">
        <v>184</v>
      </c>
      <c r="L1636" s="44" t="n">
        <v>8411.22</v>
      </c>
      <c r="M1636" s="42" t="n">
        <v>4</v>
      </c>
      <c r="N1636" s="42" t="s">
        <v>146</v>
      </c>
      <c r="O1636" s="42" t="s">
        <v>147</v>
      </c>
      <c r="P1636" s="39" t="n">
        <f aca="false">C1636-B1636</f>
        <v>2</v>
      </c>
      <c r="Q1636" s="40" t="str">
        <f aca="false">CHOOSE(MONTH(B1636),"يناير","فبراير","مارس","أبريل","مايو","يونيو","يوليو","أغسطس","سبتمبر","أكتوبر","نوفمبر","ديسمبر")</f>
        <v>أكتوبر</v>
      </c>
      <c r="R1636" s="40" t="str">
        <f aca="false">"الربع "&amp;ROUNDUP(MONTH(B1636)/3,0)</f>
        <v>الربع 4</v>
      </c>
      <c r="S1636" s="40" t="str">
        <f aca="false">IF(D1636&lt;=12,"أطفال (0-12)",IF(D1636&lt;=24,"شباب (13-24)",IF(D1636&lt;=44,"بالغون (25-44)",IF(D1636&lt;=64,"متوسطو العمر (45-64)","كبار السن (+65)"))))</f>
        <v>شباب (13-24)</v>
      </c>
      <c r="T1636" s="41" t="n">
        <f aca="false">IFERROR(L1636/P1636,0)</f>
        <v>4205.61</v>
      </c>
    </row>
    <row r="1637" customFormat="false" ht="15" hidden="false" customHeight="false" outlineLevel="0" collapsed="false">
      <c r="A1637" s="33" t="s">
        <v>262</v>
      </c>
      <c r="B1637" s="34" t="n">
        <v>45577</v>
      </c>
      <c r="C1637" s="34" t="n">
        <v>45581</v>
      </c>
      <c r="D1637" s="33" t="n">
        <v>22</v>
      </c>
      <c r="E1637" s="33" t="s">
        <v>154</v>
      </c>
      <c r="F1637" s="33" t="s">
        <v>226</v>
      </c>
      <c r="G1637" s="33" t="s">
        <v>258</v>
      </c>
      <c r="H1637" s="33" t="s">
        <v>263</v>
      </c>
      <c r="I1637" s="33" t="s">
        <v>152</v>
      </c>
      <c r="J1637" s="33" t="s">
        <v>159</v>
      </c>
      <c r="K1637" s="33" t="s">
        <v>145</v>
      </c>
      <c r="L1637" s="35" t="n">
        <v>10163.5</v>
      </c>
      <c r="M1637" s="33" t="n">
        <v>4</v>
      </c>
      <c r="N1637" s="33" t="s">
        <v>146</v>
      </c>
      <c r="O1637" s="33" t="s">
        <v>147</v>
      </c>
      <c r="P1637" s="39" t="n">
        <f aca="false">C1637-B1637</f>
        <v>4</v>
      </c>
      <c r="Q1637" s="40" t="str">
        <f aca="false">CHOOSE(MONTH(B1637),"يناير","فبراير","مارس","أبريل","مايو","يونيو","يوليو","أغسطس","سبتمبر","أكتوبر","نوفمبر","ديسمبر")</f>
        <v>أكتوبر</v>
      </c>
      <c r="R1637" s="40" t="str">
        <f aca="false">"الربع "&amp;ROUNDUP(MONTH(B1637)/3,0)</f>
        <v>الربع 4</v>
      </c>
      <c r="S1637" s="40" t="str">
        <f aca="false">IF(D1637&lt;=12,"أطفال (0-12)",IF(D1637&lt;=24,"شباب (13-24)",IF(D1637&lt;=44,"بالغون (25-44)",IF(D1637&lt;=64,"متوسطو العمر (45-64)","كبار السن (+65)"))))</f>
        <v>شباب (13-24)</v>
      </c>
      <c r="T1637" s="41" t="n">
        <f aca="false">IFERROR(L1637/P1637,0)</f>
        <v>2540.875</v>
      </c>
    </row>
    <row r="1638" customFormat="false" ht="15" hidden="false" customHeight="false" outlineLevel="0" collapsed="false">
      <c r="A1638" s="42" t="s">
        <v>1794</v>
      </c>
      <c r="B1638" s="43" t="n">
        <v>45577</v>
      </c>
      <c r="C1638" s="43" t="n">
        <v>45578</v>
      </c>
      <c r="D1638" s="42" t="n">
        <v>90</v>
      </c>
      <c r="E1638" s="42" t="s">
        <v>139</v>
      </c>
      <c r="F1638" s="42" t="s">
        <v>181</v>
      </c>
      <c r="G1638" s="42" t="s">
        <v>182</v>
      </c>
      <c r="H1638" s="42" t="s">
        <v>183</v>
      </c>
      <c r="I1638" s="42" t="s">
        <v>143</v>
      </c>
      <c r="J1638" s="42" t="s">
        <v>159</v>
      </c>
      <c r="K1638" s="42" t="s">
        <v>145</v>
      </c>
      <c r="L1638" s="44" t="n">
        <v>2570.53</v>
      </c>
      <c r="M1638" s="42" t="n">
        <v>4</v>
      </c>
      <c r="N1638" s="42" t="s">
        <v>146</v>
      </c>
      <c r="O1638" s="42" t="s">
        <v>147</v>
      </c>
      <c r="P1638" s="39" t="n">
        <f aca="false">C1638-B1638</f>
        <v>1</v>
      </c>
      <c r="Q1638" s="40" t="str">
        <f aca="false">CHOOSE(MONTH(B1638),"يناير","فبراير","مارس","أبريل","مايو","يونيو","يوليو","أغسطس","سبتمبر","أكتوبر","نوفمبر","ديسمبر")</f>
        <v>أكتوبر</v>
      </c>
      <c r="R1638" s="40" t="str">
        <f aca="false">"الربع "&amp;ROUNDUP(MONTH(B1638)/3,0)</f>
        <v>الربع 4</v>
      </c>
      <c r="S1638" s="40" t="str">
        <f aca="false">IF(D1638&lt;=12,"أطفال (0-12)",IF(D1638&lt;=24,"شباب (13-24)",IF(D1638&lt;=44,"بالغون (25-44)",IF(D1638&lt;=64,"متوسطو العمر (45-64)","كبار السن (+65)"))))</f>
        <v>كبار السن (+65)</v>
      </c>
      <c r="T1638" s="41" t="n">
        <f aca="false">IFERROR(L1638/P1638,0)</f>
        <v>2570.53</v>
      </c>
    </row>
    <row r="1639" customFormat="false" ht="15" hidden="false" customHeight="false" outlineLevel="0" collapsed="false">
      <c r="A1639" s="33" t="s">
        <v>1509</v>
      </c>
      <c r="B1639" s="34" t="n">
        <v>45577</v>
      </c>
      <c r="C1639" s="34" t="n">
        <v>45579</v>
      </c>
      <c r="D1639" s="33" t="n">
        <v>11</v>
      </c>
      <c r="E1639" s="33" t="s">
        <v>139</v>
      </c>
      <c r="F1639" s="33" t="s">
        <v>155</v>
      </c>
      <c r="G1639" s="33" t="s">
        <v>302</v>
      </c>
      <c r="H1639" s="33" t="s">
        <v>222</v>
      </c>
      <c r="I1639" s="33" t="s">
        <v>143</v>
      </c>
      <c r="J1639" s="33" t="s">
        <v>159</v>
      </c>
      <c r="K1639" s="33" t="s">
        <v>209</v>
      </c>
      <c r="L1639" s="35" t="n">
        <v>1961.69</v>
      </c>
      <c r="M1639" s="33" t="n">
        <v>3</v>
      </c>
      <c r="N1639" s="33" t="s">
        <v>146</v>
      </c>
      <c r="O1639" s="33" t="s">
        <v>206</v>
      </c>
      <c r="P1639" s="39" t="n">
        <f aca="false">C1639-B1639</f>
        <v>2</v>
      </c>
      <c r="Q1639" s="40" t="str">
        <f aca="false">CHOOSE(MONTH(B1639),"يناير","فبراير","مارس","أبريل","مايو","يونيو","يوليو","أغسطس","سبتمبر","أكتوبر","نوفمبر","ديسمبر")</f>
        <v>أكتوبر</v>
      </c>
      <c r="R1639" s="40" t="str">
        <f aca="false">"الربع "&amp;ROUNDUP(MONTH(B1639)/3,0)</f>
        <v>الربع 4</v>
      </c>
      <c r="S1639" s="40" t="str">
        <f aca="false">IF(D1639&lt;=12,"أطفال (0-12)",IF(D1639&lt;=24,"شباب (13-24)",IF(D1639&lt;=44,"بالغون (25-44)",IF(D1639&lt;=64,"متوسطو العمر (45-64)","كبار السن (+65)"))))</f>
        <v>أطفال (0-12)</v>
      </c>
      <c r="T1639" s="41" t="n">
        <f aca="false">IFERROR(L1639/P1639,0)</f>
        <v>980.845</v>
      </c>
    </row>
    <row r="1640" customFormat="false" ht="15" hidden="false" customHeight="false" outlineLevel="0" collapsed="false">
      <c r="A1640" s="42" t="s">
        <v>2065</v>
      </c>
      <c r="B1640" s="43" t="n">
        <v>45577</v>
      </c>
      <c r="C1640" s="43" t="n">
        <v>45578</v>
      </c>
      <c r="D1640" s="42" t="n">
        <v>74</v>
      </c>
      <c r="E1640" s="42" t="s">
        <v>154</v>
      </c>
      <c r="F1640" s="42" t="s">
        <v>203</v>
      </c>
      <c r="G1640" s="42" t="s">
        <v>217</v>
      </c>
      <c r="H1640" s="42" t="s">
        <v>193</v>
      </c>
      <c r="I1640" s="42" t="s">
        <v>143</v>
      </c>
      <c r="J1640" s="42" t="s">
        <v>159</v>
      </c>
      <c r="K1640" s="42" t="s">
        <v>184</v>
      </c>
      <c r="L1640" s="44" t="n">
        <v>892.88</v>
      </c>
      <c r="M1640" s="42" t="n">
        <v>5</v>
      </c>
      <c r="N1640" s="42" t="s">
        <v>146</v>
      </c>
      <c r="O1640" s="42" t="s">
        <v>147</v>
      </c>
      <c r="P1640" s="39" t="n">
        <f aca="false">C1640-B1640</f>
        <v>1</v>
      </c>
      <c r="Q1640" s="40" t="str">
        <f aca="false">CHOOSE(MONTH(B1640),"يناير","فبراير","مارس","أبريل","مايو","يونيو","يوليو","أغسطس","سبتمبر","أكتوبر","نوفمبر","ديسمبر")</f>
        <v>أكتوبر</v>
      </c>
      <c r="R1640" s="40" t="str">
        <f aca="false">"الربع "&amp;ROUNDUP(MONTH(B1640)/3,0)</f>
        <v>الربع 4</v>
      </c>
      <c r="S1640" s="40" t="str">
        <f aca="false">IF(D1640&lt;=12,"أطفال (0-12)",IF(D1640&lt;=24,"شباب (13-24)",IF(D1640&lt;=44,"بالغون (25-44)",IF(D1640&lt;=64,"متوسطو العمر (45-64)","كبار السن (+65)"))))</f>
        <v>كبار السن (+65)</v>
      </c>
      <c r="T1640" s="41" t="n">
        <f aca="false">IFERROR(L1640/P1640,0)</f>
        <v>892.88</v>
      </c>
    </row>
    <row r="1641" customFormat="false" ht="15" hidden="false" customHeight="false" outlineLevel="0" collapsed="false">
      <c r="A1641" s="33" t="s">
        <v>661</v>
      </c>
      <c r="B1641" s="34" t="n">
        <v>45577</v>
      </c>
      <c r="C1641" s="34" t="n">
        <v>45580</v>
      </c>
      <c r="D1641" s="33" t="n">
        <v>61</v>
      </c>
      <c r="E1641" s="33" t="s">
        <v>139</v>
      </c>
      <c r="F1641" s="33" t="s">
        <v>173</v>
      </c>
      <c r="G1641" s="33" t="s">
        <v>178</v>
      </c>
      <c r="H1641" s="33" t="s">
        <v>199</v>
      </c>
      <c r="I1641" s="33" t="s">
        <v>143</v>
      </c>
      <c r="J1641" s="33" t="s">
        <v>176</v>
      </c>
      <c r="K1641" s="33" t="s">
        <v>145</v>
      </c>
      <c r="L1641" s="35" t="n">
        <v>29126.72</v>
      </c>
      <c r="M1641" s="33" t="n">
        <v>4</v>
      </c>
      <c r="N1641" s="33" t="s">
        <v>146</v>
      </c>
      <c r="O1641" s="33" t="s">
        <v>206</v>
      </c>
      <c r="P1641" s="39" t="n">
        <f aca="false">C1641-B1641</f>
        <v>3</v>
      </c>
      <c r="Q1641" s="40" t="str">
        <f aca="false">CHOOSE(MONTH(B1641),"يناير","فبراير","مارس","أبريل","مايو","يونيو","يوليو","أغسطس","سبتمبر","أكتوبر","نوفمبر","ديسمبر")</f>
        <v>أكتوبر</v>
      </c>
      <c r="R1641" s="40" t="str">
        <f aca="false">"الربع "&amp;ROUNDUP(MONTH(B1641)/3,0)</f>
        <v>الربع 4</v>
      </c>
      <c r="S1641" s="40" t="str">
        <f aca="false">IF(D1641&lt;=12,"أطفال (0-12)",IF(D1641&lt;=24,"شباب (13-24)",IF(D1641&lt;=44,"بالغون (25-44)",IF(D1641&lt;=64,"متوسطو العمر (45-64)","كبار السن (+65)"))))</f>
        <v>متوسطو العمر (45-64)</v>
      </c>
      <c r="T1641" s="41" t="n">
        <f aca="false">IFERROR(L1641/P1641,0)</f>
        <v>9708.90666666667</v>
      </c>
    </row>
    <row r="1642" customFormat="false" ht="15" hidden="false" customHeight="false" outlineLevel="0" collapsed="false">
      <c r="A1642" s="42" t="s">
        <v>2218</v>
      </c>
      <c r="B1642" s="43" t="n">
        <v>45577</v>
      </c>
      <c r="C1642" s="43" t="n">
        <v>45580</v>
      </c>
      <c r="D1642" s="42" t="n">
        <v>54</v>
      </c>
      <c r="E1642" s="42" t="s">
        <v>139</v>
      </c>
      <c r="F1642" s="42" t="s">
        <v>181</v>
      </c>
      <c r="G1642" s="42" t="s">
        <v>182</v>
      </c>
      <c r="H1642" s="42" t="s">
        <v>183</v>
      </c>
      <c r="I1642" s="42" t="s">
        <v>152</v>
      </c>
      <c r="J1642" s="42" t="s">
        <v>159</v>
      </c>
      <c r="K1642" s="42" t="s">
        <v>184</v>
      </c>
      <c r="L1642" s="44" t="n">
        <v>8170.35</v>
      </c>
      <c r="M1642" s="42" t="n">
        <v>3</v>
      </c>
      <c r="N1642" s="42" t="s">
        <v>210</v>
      </c>
      <c r="O1642" s="42" t="s">
        <v>147</v>
      </c>
      <c r="P1642" s="39" t="n">
        <f aca="false">C1642-B1642</f>
        <v>3</v>
      </c>
      <c r="Q1642" s="40" t="str">
        <f aca="false">CHOOSE(MONTH(B1642),"يناير","فبراير","مارس","أبريل","مايو","يونيو","يوليو","أغسطس","سبتمبر","أكتوبر","نوفمبر","ديسمبر")</f>
        <v>أكتوبر</v>
      </c>
      <c r="R1642" s="40" t="str">
        <f aca="false">"الربع "&amp;ROUNDUP(MONTH(B1642)/3,0)</f>
        <v>الربع 4</v>
      </c>
      <c r="S1642" s="40" t="str">
        <f aca="false">IF(D1642&lt;=12,"أطفال (0-12)",IF(D1642&lt;=24,"شباب (13-24)",IF(D1642&lt;=44,"بالغون (25-44)",IF(D1642&lt;=64,"متوسطو العمر (45-64)","كبار السن (+65)"))))</f>
        <v>متوسطو العمر (45-64)</v>
      </c>
      <c r="T1642" s="41" t="n">
        <f aca="false">IFERROR(L1642/P1642,0)</f>
        <v>2723.45</v>
      </c>
    </row>
    <row r="1643" customFormat="false" ht="15" hidden="false" customHeight="false" outlineLevel="0" collapsed="false">
      <c r="A1643" s="33" t="s">
        <v>1224</v>
      </c>
      <c r="B1643" s="34" t="n">
        <v>45577</v>
      </c>
      <c r="C1643" s="34" t="n">
        <v>45578</v>
      </c>
      <c r="D1643" s="33" t="n">
        <v>49</v>
      </c>
      <c r="E1643" s="33" t="s">
        <v>154</v>
      </c>
      <c r="F1643" s="33" t="s">
        <v>203</v>
      </c>
      <c r="G1643" s="33" t="s">
        <v>204</v>
      </c>
      <c r="H1643" s="33" t="s">
        <v>233</v>
      </c>
      <c r="I1643" s="33" t="s">
        <v>143</v>
      </c>
      <c r="J1643" s="33" t="s">
        <v>144</v>
      </c>
      <c r="K1643" s="33" t="s">
        <v>184</v>
      </c>
      <c r="L1643" s="35" t="n">
        <v>1956.63</v>
      </c>
      <c r="M1643" s="33" t="n">
        <v>2</v>
      </c>
      <c r="N1643" s="33" t="s">
        <v>146</v>
      </c>
      <c r="O1643" s="33" t="s">
        <v>147</v>
      </c>
      <c r="P1643" s="39" t="n">
        <f aca="false">C1643-B1643</f>
        <v>1</v>
      </c>
      <c r="Q1643" s="40" t="str">
        <f aca="false">CHOOSE(MONTH(B1643),"يناير","فبراير","مارس","أبريل","مايو","يونيو","يوليو","أغسطس","سبتمبر","أكتوبر","نوفمبر","ديسمبر")</f>
        <v>أكتوبر</v>
      </c>
      <c r="R1643" s="40" t="str">
        <f aca="false">"الربع "&amp;ROUNDUP(MONTH(B1643)/3,0)</f>
        <v>الربع 4</v>
      </c>
      <c r="S1643" s="40" t="str">
        <f aca="false">IF(D1643&lt;=12,"أطفال (0-12)",IF(D1643&lt;=24,"شباب (13-24)",IF(D1643&lt;=44,"بالغون (25-44)",IF(D1643&lt;=64,"متوسطو العمر (45-64)","كبار السن (+65)"))))</f>
        <v>متوسطو العمر (45-64)</v>
      </c>
      <c r="T1643" s="41" t="n">
        <f aca="false">IFERROR(L1643/P1643,0)</f>
        <v>1956.63</v>
      </c>
    </row>
    <row r="1644" customFormat="false" ht="15" hidden="false" customHeight="false" outlineLevel="0" collapsed="false">
      <c r="A1644" s="42" t="s">
        <v>1939</v>
      </c>
      <c r="B1644" s="43" t="n">
        <v>45577</v>
      </c>
      <c r="C1644" s="43" t="n">
        <v>45585</v>
      </c>
      <c r="D1644" s="42" t="n">
        <v>69</v>
      </c>
      <c r="E1644" s="42" t="s">
        <v>154</v>
      </c>
      <c r="F1644" s="42" t="s">
        <v>140</v>
      </c>
      <c r="G1644" s="42" t="s">
        <v>141</v>
      </c>
      <c r="H1644" s="42" t="s">
        <v>290</v>
      </c>
      <c r="I1644" s="42" t="s">
        <v>143</v>
      </c>
      <c r="J1644" s="42" t="s">
        <v>176</v>
      </c>
      <c r="K1644" s="42" t="s">
        <v>209</v>
      </c>
      <c r="L1644" s="44" t="n">
        <v>50902.9</v>
      </c>
      <c r="M1644" s="42" t="n">
        <v>3</v>
      </c>
      <c r="N1644" s="42" t="s">
        <v>210</v>
      </c>
      <c r="O1644" s="42" t="s">
        <v>147</v>
      </c>
      <c r="P1644" s="39" t="n">
        <f aca="false">C1644-B1644</f>
        <v>8</v>
      </c>
      <c r="Q1644" s="40" t="str">
        <f aca="false">CHOOSE(MONTH(B1644),"يناير","فبراير","مارس","أبريل","مايو","يونيو","يوليو","أغسطس","سبتمبر","أكتوبر","نوفمبر","ديسمبر")</f>
        <v>أكتوبر</v>
      </c>
      <c r="R1644" s="40" t="str">
        <f aca="false">"الربع "&amp;ROUNDUP(MONTH(B1644)/3,0)</f>
        <v>الربع 4</v>
      </c>
      <c r="S1644" s="40" t="str">
        <f aca="false">IF(D1644&lt;=12,"أطفال (0-12)",IF(D1644&lt;=24,"شباب (13-24)",IF(D1644&lt;=44,"بالغون (25-44)",IF(D1644&lt;=64,"متوسطو العمر (45-64)","كبار السن (+65)"))))</f>
        <v>كبار السن (+65)</v>
      </c>
      <c r="T1644" s="41" t="n">
        <f aca="false">IFERROR(L1644/P1644,0)</f>
        <v>6362.8625</v>
      </c>
    </row>
    <row r="1645" customFormat="false" ht="15" hidden="false" customHeight="false" outlineLevel="0" collapsed="false">
      <c r="A1645" s="33" t="s">
        <v>1018</v>
      </c>
      <c r="B1645" s="34" t="n">
        <v>45577</v>
      </c>
      <c r="C1645" s="34" t="n">
        <v>45579</v>
      </c>
      <c r="D1645" s="33" t="n">
        <v>28</v>
      </c>
      <c r="E1645" s="33" t="s">
        <v>139</v>
      </c>
      <c r="F1645" s="33" t="s">
        <v>203</v>
      </c>
      <c r="G1645" s="33" t="s">
        <v>241</v>
      </c>
      <c r="H1645" s="33" t="s">
        <v>2322</v>
      </c>
      <c r="I1645" s="33" t="s">
        <v>143</v>
      </c>
      <c r="J1645" s="33" t="s">
        <v>159</v>
      </c>
      <c r="K1645" s="33" t="s">
        <v>145</v>
      </c>
      <c r="L1645" s="35" t="n">
        <v>1915.04</v>
      </c>
      <c r="M1645" s="33" t="n">
        <v>3</v>
      </c>
      <c r="N1645" s="33" t="s">
        <v>146</v>
      </c>
      <c r="O1645" s="33" t="s">
        <v>147</v>
      </c>
      <c r="P1645" s="39" t="n">
        <f aca="false">C1645-B1645</f>
        <v>2</v>
      </c>
      <c r="Q1645" s="40" t="str">
        <f aca="false">CHOOSE(MONTH(B1645),"يناير","فبراير","مارس","أبريل","مايو","يونيو","يوليو","أغسطس","سبتمبر","أكتوبر","نوفمبر","ديسمبر")</f>
        <v>أكتوبر</v>
      </c>
      <c r="R1645" s="40" t="str">
        <f aca="false">"الربع "&amp;ROUNDUP(MONTH(B1645)/3,0)</f>
        <v>الربع 4</v>
      </c>
      <c r="S1645" s="40" t="str">
        <f aca="false">IF(D1645&lt;=12,"أطفال (0-12)",IF(D1645&lt;=24,"شباب (13-24)",IF(D1645&lt;=44,"بالغون (25-44)",IF(D1645&lt;=64,"متوسطو العمر (45-64)","كبار السن (+65)"))))</f>
        <v>بالغون (25-44)</v>
      </c>
      <c r="T1645" s="41" t="n">
        <f aca="false">IFERROR(L1645/P1645,0)</f>
        <v>957.52</v>
      </c>
    </row>
    <row r="1646" customFormat="false" ht="15" hidden="false" customHeight="false" outlineLevel="0" collapsed="false">
      <c r="A1646" s="42" t="s">
        <v>1803</v>
      </c>
      <c r="B1646" s="43" t="n">
        <v>45578</v>
      </c>
      <c r="C1646" s="43" t="n">
        <v>45586</v>
      </c>
      <c r="D1646" s="42" t="n">
        <v>57</v>
      </c>
      <c r="E1646" s="42" t="s">
        <v>139</v>
      </c>
      <c r="F1646" s="42" t="s">
        <v>181</v>
      </c>
      <c r="G1646" s="42" t="s">
        <v>188</v>
      </c>
      <c r="H1646" s="42" t="s">
        <v>183</v>
      </c>
      <c r="I1646" s="42" t="s">
        <v>143</v>
      </c>
      <c r="J1646" s="42" t="s">
        <v>159</v>
      </c>
      <c r="K1646" s="42" t="s">
        <v>160</v>
      </c>
      <c r="L1646" s="44" t="n">
        <v>21265.51</v>
      </c>
      <c r="M1646" s="42" t="n">
        <v>4</v>
      </c>
      <c r="N1646" s="42" t="s">
        <v>146</v>
      </c>
      <c r="O1646" s="42" t="s">
        <v>147</v>
      </c>
      <c r="P1646" s="39" t="n">
        <f aca="false">C1646-B1646</f>
        <v>8</v>
      </c>
      <c r="Q1646" s="40" t="str">
        <f aca="false">CHOOSE(MONTH(B1646),"يناير","فبراير","مارس","أبريل","مايو","يونيو","يوليو","أغسطس","سبتمبر","أكتوبر","نوفمبر","ديسمبر")</f>
        <v>أكتوبر</v>
      </c>
      <c r="R1646" s="40" t="str">
        <f aca="false">"الربع "&amp;ROUNDUP(MONTH(B1646)/3,0)</f>
        <v>الربع 4</v>
      </c>
      <c r="S1646" s="40" t="str">
        <f aca="false">IF(D1646&lt;=12,"أطفال (0-12)",IF(D1646&lt;=24,"شباب (13-24)",IF(D1646&lt;=44,"بالغون (25-44)",IF(D1646&lt;=64,"متوسطو العمر (45-64)","كبار السن (+65)"))))</f>
        <v>متوسطو العمر (45-64)</v>
      </c>
      <c r="T1646" s="41" t="n">
        <f aca="false">IFERROR(L1646/P1646,0)</f>
        <v>2658.18875</v>
      </c>
    </row>
    <row r="1647" customFormat="false" ht="15" hidden="false" customHeight="false" outlineLevel="0" collapsed="false">
      <c r="A1647" s="33" t="s">
        <v>2097</v>
      </c>
      <c r="B1647" s="34" t="n">
        <v>45578</v>
      </c>
      <c r="C1647" s="34" t="n">
        <v>45582</v>
      </c>
      <c r="D1647" s="33" t="n">
        <v>17</v>
      </c>
      <c r="E1647" s="33" t="s">
        <v>139</v>
      </c>
      <c r="F1647" s="33" t="s">
        <v>203</v>
      </c>
      <c r="G1647" s="33" t="s">
        <v>204</v>
      </c>
      <c r="H1647" s="33" t="s">
        <v>205</v>
      </c>
      <c r="I1647" s="33" t="s">
        <v>143</v>
      </c>
      <c r="J1647" s="33" t="s">
        <v>159</v>
      </c>
      <c r="K1647" s="33" t="s">
        <v>145</v>
      </c>
      <c r="L1647" s="35" t="n">
        <v>3211.87</v>
      </c>
      <c r="M1647" s="33" t="n">
        <v>4</v>
      </c>
      <c r="N1647" s="33" t="s">
        <v>210</v>
      </c>
      <c r="O1647" s="33" t="s">
        <v>147</v>
      </c>
      <c r="P1647" s="39" t="n">
        <f aca="false">C1647-B1647</f>
        <v>4</v>
      </c>
      <c r="Q1647" s="40" t="str">
        <f aca="false">CHOOSE(MONTH(B1647),"يناير","فبراير","مارس","أبريل","مايو","يونيو","يوليو","أغسطس","سبتمبر","أكتوبر","نوفمبر","ديسمبر")</f>
        <v>أكتوبر</v>
      </c>
      <c r="R1647" s="40" t="str">
        <f aca="false">"الربع "&amp;ROUNDUP(MONTH(B1647)/3,0)</f>
        <v>الربع 4</v>
      </c>
      <c r="S1647" s="40" t="str">
        <f aca="false">IF(D1647&lt;=12,"أطفال (0-12)",IF(D1647&lt;=24,"شباب (13-24)",IF(D1647&lt;=44,"بالغون (25-44)",IF(D1647&lt;=64,"متوسطو العمر (45-64)","كبار السن (+65)"))))</f>
        <v>شباب (13-24)</v>
      </c>
      <c r="T1647" s="41" t="n">
        <f aca="false">IFERROR(L1647/P1647,0)</f>
        <v>802.9675</v>
      </c>
    </row>
    <row r="1648" customFormat="false" ht="15" hidden="false" customHeight="false" outlineLevel="0" collapsed="false">
      <c r="A1648" s="42" t="s">
        <v>2284</v>
      </c>
      <c r="B1648" s="43" t="n">
        <v>45578</v>
      </c>
      <c r="C1648" s="43" t="n">
        <v>45579</v>
      </c>
      <c r="D1648" s="42" t="n">
        <v>7</v>
      </c>
      <c r="E1648" s="42" t="s">
        <v>139</v>
      </c>
      <c r="F1648" s="42" t="s">
        <v>203</v>
      </c>
      <c r="G1648" s="42" t="s">
        <v>204</v>
      </c>
      <c r="H1648" s="42" t="s">
        <v>205</v>
      </c>
      <c r="I1648" s="42" t="s">
        <v>143</v>
      </c>
      <c r="J1648" s="42" t="s">
        <v>159</v>
      </c>
      <c r="K1648" s="42" t="s">
        <v>209</v>
      </c>
      <c r="L1648" s="44" t="n">
        <v>1064.53</v>
      </c>
      <c r="M1648" s="42" t="n">
        <v>2</v>
      </c>
      <c r="N1648" s="42" t="s">
        <v>146</v>
      </c>
      <c r="O1648" s="42" t="s">
        <v>147</v>
      </c>
      <c r="P1648" s="39" t="n">
        <f aca="false">C1648-B1648</f>
        <v>1</v>
      </c>
      <c r="Q1648" s="40" t="str">
        <f aca="false">CHOOSE(MONTH(B1648),"يناير","فبراير","مارس","أبريل","مايو","يونيو","يوليو","أغسطس","سبتمبر","أكتوبر","نوفمبر","ديسمبر")</f>
        <v>أكتوبر</v>
      </c>
      <c r="R1648" s="40" t="str">
        <f aca="false">"الربع "&amp;ROUNDUP(MONTH(B1648)/3,0)</f>
        <v>الربع 4</v>
      </c>
      <c r="S1648" s="40" t="str">
        <f aca="false">IF(D1648&lt;=12,"أطفال (0-12)",IF(D1648&lt;=24,"شباب (13-24)",IF(D1648&lt;=44,"بالغون (25-44)",IF(D1648&lt;=64,"متوسطو العمر (45-64)","كبار السن (+65)"))))</f>
        <v>أطفال (0-12)</v>
      </c>
      <c r="T1648" s="41" t="n">
        <f aca="false">IFERROR(L1648/P1648,0)</f>
        <v>1064.53</v>
      </c>
    </row>
    <row r="1649" customFormat="false" ht="15" hidden="false" customHeight="false" outlineLevel="0" collapsed="false">
      <c r="A1649" s="33" t="s">
        <v>269</v>
      </c>
      <c r="B1649" s="34" t="n">
        <v>45578</v>
      </c>
      <c r="C1649" s="34" t="n">
        <v>45580</v>
      </c>
      <c r="D1649" s="33" t="n">
        <v>44</v>
      </c>
      <c r="E1649" s="33" t="s">
        <v>154</v>
      </c>
      <c r="F1649" s="33" t="s">
        <v>203</v>
      </c>
      <c r="G1649" s="33" t="s">
        <v>241</v>
      </c>
      <c r="H1649" s="33" t="s">
        <v>205</v>
      </c>
      <c r="I1649" s="33" t="s">
        <v>143</v>
      </c>
      <c r="J1649" s="33" t="s">
        <v>144</v>
      </c>
      <c r="K1649" s="33" t="s">
        <v>160</v>
      </c>
      <c r="L1649" s="35" t="n">
        <v>3286.54</v>
      </c>
      <c r="M1649" s="33" t="n">
        <v>3</v>
      </c>
      <c r="N1649" s="33" t="s">
        <v>146</v>
      </c>
      <c r="O1649" s="33" t="s">
        <v>147</v>
      </c>
      <c r="P1649" s="39" t="n">
        <f aca="false">C1649-B1649</f>
        <v>2</v>
      </c>
      <c r="Q1649" s="40" t="str">
        <f aca="false">CHOOSE(MONTH(B1649),"يناير","فبراير","مارس","أبريل","مايو","يونيو","يوليو","أغسطس","سبتمبر","أكتوبر","نوفمبر","ديسمبر")</f>
        <v>أكتوبر</v>
      </c>
      <c r="R1649" s="40" t="str">
        <f aca="false">"الربع "&amp;ROUNDUP(MONTH(B1649)/3,0)</f>
        <v>الربع 4</v>
      </c>
      <c r="S1649" s="40" t="str">
        <f aca="false">IF(D1649&lt;=12,"أطفال (0-12)",IF(D1649&lt;=24,"شباب (13-24)",IF(D1649&lt;=44,"بالغون (25-44)",IF(D1649&lt;=64,"متوسطو العمر (45-64)","كبار السن (+65)"))))</f>
        <v>بالغون (25-44)</v>
      </c>
      <c r="T1649" s="41" t="n">
        <f aca="false">IFERROR(L1649/P1649,0)</f>
        <v>1643.27</v>
      </c>
    </row>
    <row r="1650" customFormat="false" ht="15" hidden="false" customHeight="false" outlineLevel="0" collapsed="false">
      <c r="A1650" s="42" t="s">
        <v>1526</v>
      </c>
      <c r="B1650" s="43" t="n">
        <v>45578</v>
      </c>
      <c r="C1650" s="43" t="n">
        <v>45581</v>
      </c>
      <c r="D1650" s="42" t="n">
        <v>8</v>
      </c>
      <c r="E1650" s="42" t="s">
        <v>154</v>
      </c>
      <c r="F1650" s="42" t="s">
        <v>155</v>
      </c>
      <c r="G1650" s="42" t="s">
        <v>302</v>
      </c>
      <c r="H1650" s="42" t="s">
        <v>157</v>
      </c>
      <c r="I1650" s="42" t="s">
        <v>143</v>
      </c>
      <c r="J1650" s="42" t="s">
        <v>159</v>
      </c>
      <c r="K1650" s="42" t="s">
        <v>145</v>
      </c>
      <c r="L1650" s="44" t="n">
        <v>2586.14</v>
      </c>
      <c r="M1650" s="42" t="n">
        <v>4</v>
      </c>
      <c r="N1650" s="42" t="s">
        <v>210</v>
      </c>
      <c r="O1650" s="42" t="s">
        <v>147</v>
      </c>
      <c r="P1650" s="39" t="n">
        <f aca="false">C1650-B1650</f>
        <v>3</v>
      </c>
      <c r="Q1650" s="40" t="str">
        <f aca="false">CHOOSE(MONTH(B1650),"يناير","فبراير","مارس","أبريل","مايو","يونيو","يوليو","أغسطس","سبتمبر","أكتوبر","نوفمبر","ديسمبر")</f>
        <v>أكتوبر</v>
      </c>
      <c r="R1650" s="40" t="str">
        <f aca="false">"الربع "&amp;ROUNDUP(MONTH(B1650)/3,0)</f>
        <v>الربع 4</v>
      </c>
      <c r="S1650" s="40" t="str">
        <f aca="false">IF(D1650&lt;=12,"أطفال (0-12)",IF(D1650&lt;=24,"شباب (13-24)",IF(D1650&lt;=44,"بالغون (25-44)",IF(D1650&lt;=64,"متوسطو العمر (45-64)","كبار السن (+65)"))))</f>
        <v>أطفال (0-12)</v>
      </c>
      <c r="T1650" s="41" t="n">
        <f aca="false">IFERROR(L1650/P1650,0)</f>
        <v>862.046666666667</v>
      </c>
    </row>
    <row r="1651" customFormat="false" ht="15" hidden="false" customHeight="false" outlineLevel="0" collapsed="false">
      <c r="A1651" s="33" t="s">
        <v>1675</v>
      </c>
      <c r="B1651" s="34" t="n">
        <v>45578</v>
      </c>
      <c r="C1651" s="34" t="n">
        <v>45583</v>
      </c>
      <c r="D1651" s="33" t="n">
        <v>7</v>
      </c>
      <c r="E1651" s="33" t="s">
        <v>139</v>
      </c>
      <c r="F1651" s="33" t="s">
        <v>169</v>
      </c>
      <c r="G1651" s="33" t="s">
        <v>213</v>
      </c>
      <c r="H1651" s="33" t="s">
        <v>195</v>
      </c>
      <c r="I1651" s="33" t="s">
        <v>143</v>
      </c>
      <c r="J1651" s="33" t="s">
        <v>159</v>
      </c>
      <c r="K1651" s="33" t="s">
        <v>160</v>
      </c>
      <c r="L1651" s="35" t="n">
        <v>5319.56</v>
      </c>
      <c r="M1651" s="33" t="n">
        <v>4</v>
      </c>
      <c r="N1651" s="33" t="s">
        <v>146</v>
      </c>
      <c r="O1651" s="33" t="s">
        <v>147</v>
      </c>
      <c r="P1651" s="39" t="n">
        <f aca="false">C1651-B1651</f>
        <v>5</v>
      </c>
      <c r="Q1651" s="40" t="str">
        <f aca="false">CHOOSE(MONTH(B1651),"يناير","فبراير","مارس","أبريل","مايو","يونيو","يوليو","أغسطس","سبتمبر","أكتوبر","نوفمبر","ديسمبر")</f>
        <v>أكتوبر</v>
      </c>
      <c r="R1651" s="40" t="str">
        <f aca="false">"الربع "&amp;ROUNDUP(MONTH(B1651)/3,0)</f>
        <v>الربع 4</v>
      </c>
      <c r="S1651" s="40" t="str">
        <f aca="false">IF(D1651&lt;=12,"أطفال (0-12)",IF(D1651&lt;=24,"شباب (13-24)",IF(D1651&lt;=44,"بالغون (25-44)",IF(D1651&lt;=64,"متوسطو العمر (45-64)","كبار السن (+65)"))))</f>
        <v>أطفال (0-12)</v>
      </c>
      <c r="T1651" s="41" t="n">
        <f aca="false">IFERROR(L1651/P1651,0)</f>
        <v>1063.912</v>
      </c>
    </row>
    <row r="1652" customFormat="false" ht="15" hidden="false" customHeight="false" outlineLevel="0" collapsed="false">
      <c r="A1652" s="42" t="s">
        <v>2119</v>
      </c>
      <c r="B1652" s="43" t="n">
        <v>45578</v>
      </c>
      <c r="C1652" s="43" t="n">
        <v>45581</v>
      </c>
      <c r="D1652" s="42" t="n">
        <v>5</v>
      </c>
      <c r="E1652" s="42" t="s">
        <v>154</v>
      </c>
      <c r="F1652" s="42" t="s">
        <v>173</v>
      </c>
      <c r="G1652" s="42" t="s">
        <v>198</v>
      </c>
      <c r="H1652" s="42" t="s">
        <v>175</v>
      </c>
      <c r="I1652" s="42" t="s">
        <v>143</v>
      </c>
      <c r="J1652" s="42" t="s">
        <v>159</v>
      </c>
      <c r="K1652" s="42" t="s">
        <v>145</v>
      </c>
      <c r="L1652" s="44" t="n">
        <v>6716.93</v>
      </c>
      <c r="M1652" s="42" t="n">
        <v>4</v>
      </c>
      <c r="N1652" s="42" t="s">
        <v>146</v>
      </c>
      <c r="O1652" s="42" t="s">
        <v>295</v>
      </c>
      <c r="P1652" s="39" t="n">
        <f aca="false">C1652-B1652</f>
        <v>3</v>
      </c>
      <c r="Q1652" s="40" t="str">
        <f aca="false">CHOOSE(MONTH(B1652),"يناير","فبراير","مارس","أبريل","مايو","يونيو","يوليو","أغسطس","سبتمبر","أكتوبر","نوفمبر","ديسمبر")</f>
        <v>أكتوبر</v>
      </c>
      <c r="R1652" s="40" t="str">
        <f aca="false">"الربع "&amp;ROUNDUP(MONTH(B1652)/3,0)</f>
        <v>الربع 4</v>
      </c>
      <c r="S1652" s="40" t="str">
        <f aca="false">IF(D1652&lt;=12,"أطفال (0-12)",IF(D1652&lt;=24,"شباب (13-24)",IF(D1652&lt;=44,"بالغون (25-44)",IF(D1652&lt;=64,"متوسطو العمر (45-64)","كبار السن (+65)"))))</f>
        <v>أطفال (0-12)</v>
      </c>
      <c r="T1652" s="41" t="n">
        <f aca="false">IFERROR(L1652/P1652,0)</f>
        <v>2238.97666666667</v>
      </c>
    </row>
    <row r="1653" customFormat="false" ht="15" hidden="false" customHeight="false" outlineLevel="0" collapsed="false">
      <c r="A1653" s="33" t="s">
        <v>1476</v>
      </c>
      <c r="B1653" s="34" t="n">
        <v>45578</v>
      </c>
      <c r="C1653" s="34" t="n">
        <v>45581</v>
      </c>
      <c r="D1653" s="33" t="n">
        <v>66</v>
      </c>
      <c r="E1653" s="33" t="s">
        <v>139</v>
      </c>
      <c r="F1653" s="33" t="s">
        <v>140</v>
      </c>
      <c r="G1653" s="33" t="s">
        <v>316</v>
      </c>
      <c r="H1653" s="33" t="s">
        <v>142</v>
      </c>
      <c r="I1653" s="33" t="s">
        <v>143</v>
      </c>
      <c r="J1653" s="33" t="s">
        <v>176</v>
      </c>
      <c r="K1653" s="33" t="s">
        <v>209</v>
      </c>
      <c r="L1653" s="35" t="n">
        <v>21250.61</v>
      </c>
      <c r="M1653" s="33" t="n">
        <v>3</v>
      </c>
      <c r="N1653" s="33" t="s">
        <v>210</v>
      </c>
      <c r="O1653" s="33" t="s">
        <v>147</v>
      </c>
      <c r="P1653" s="39" t="n">
        <f aca="false">C1653-B1653</f>
        <v>3</v>
      </c>
      <c r="Q1653" s="40" t="str">
        <f aca="false">CHOOSE(MONTH(B1653),"يناير","فبراير","مارس","أبريل","مايو","يونيو","يوليو","أغسطس","سبتمبر","أكتوبر","نوفمبر","ديسمبر")</f>
        <v>أكتوبر</v>
      </c>
      <c r="R1653" s="40" t="str">
        <f aca="false">"الربع "&amp;ROUNDUP(MONTH(B1653)/3,0)</f>
        <v>الربع 4</v>
      </c>
      <c r="S1653" s="40" t="str">
        <f aca="false">IF(D1653&lt;=12,"أطفال (0-12)",IF(D1653&lt;=24,"شباب (13-24)",IF(D1653&lt;=44,"بالغون (25-44)",IF(D1653&lt;=64,"متوسطو العمر (45-64)","كبار السن (+65)"))))</f>
        <v>كبار السن (+65)</v>
      </c>
      <c r="T1653" s="41" t="n">
        <f aca="false">IFERROR(L1653/P1653,0)</f>
        <v>7083.53666666667</v>
      </c>
    </row>
    <row r="1654" customFormat="false" ht="15" hidden="false" customHeight="false" outlineLevel="0" collapsed="false">
      <c r="A1654" s="42" t="s">
        <v>443</v>
      </c>
      <c r="B1654" s="43" t="n">
        <v>45578</v>
      </c>
      <c r="C1654" s="43" t="n">
        <v>45584</v>
      </c>
      <c r="D1654" s="42" t="n">
        <v>40</v>
      </c>
      <c r="E1654" s="42" t="s">
        <v>154</v>
      </c>
      <c r="F1654" s="42" t="s">
        <v>181</v>
      </c>
      <c r="G1654" s="42" t="s">
        <v>237</v>
      </c>
      <c r="H1654" s="42" t="s">
        <v>245</v>
      </c>
      <c r="I1654" s="42" t="s">
        <v>143</v>
      </c>
      <c r="J1654" s="42" t="s">
        <v>159</v>
      </c>
      <c r="K1654" s="42" t="s">
        <v>145</v>
      </c>
      <c r="L1654" s="44" t="n">
        <v>15682.23</v>
      </c>
      <c r="M1654" s="42" t="n">
        <v>3</v>
      </c>
      <c r="N1654" s="42" t="s">
        <v>146</v>
      </c>
      <c r="O1654" s="42" t="s">
        <v>147</v>
      </c>
      <c r="P1654" s="39" t="n">
        <f aca="false">C1654-B1654</f>
        <v>6</v>
      </c>
      <c r="Q1654" s="40" t="str">
        <f aca="false">CHOOSE(MONTH(B1654),"يناير","فبراير","مارس","أبريل","مايو","يونيو","يوليو","أغسطس","سبتمبر","أكتوبر","نوفمبر","ديسمبر")</f>
        <v>أكتوبر</v>
      </c>
      <c r="R1654" s="40" t="str">
        <f aca="false">"الربع "&amp;ROUNDUP(MONTH(B1654)/3,0)</f>
        <v>الربع 4</v>
      </c>
      <c r="S1654" s="40" t="str">
        <f aca="false">IF(D1654&lt;=12,"أطفال (0-12)",IF(D1654&lt;=24,"شباب (13-24)",IF(D1654&lt;=44,"بالغون (25-44)",IF(D1654&lt;=64,"متوسطو العمر (45-64)","كبار السن (+65)"))))</f>
        <v>بالغون (25-44)</v>
      </c>
      <c r="T1654" s="41" t="n">
        <f aca="false">IFERROR(L1654/P1654,0)</f>
        <v>2613.705</v>
      </c>
    </row>
    <row r="1655" customFormat="false" ht="15" hidden="false" customHeight="false" outlineLevel="0" collapsed="false">
      <c r="A1655" s="33" t="s">
        <v>2198</v>
      </c>
      <c r="B1655" s="34" t="n">
        <v>45579</v>
      </c>
      <c r="C1655" s="34" t="n">
        <v>45580</v>
      </c>
      <c r="D1655" s="33" t="n">
        <v>30</v>
      </c>
      <c r="E1655" s="33" t="s">
        <v>139</v>
      </c>
      <c r="F1655" s="33" t="s">
        <v>149</v>
      </c>
      <c r="G1655" s="33" t="s">
        <v>150</v>
      </c>
      <c r="H1655" s="33" t="s">
        <v>151</v>
      </c>
      <c r="I1655" s="33" t="s">
        <v>152</v>
      </c>
      <c r="J1655" s="33" t="s">
        <v>144</v>
      </c>
      <c r="K1655" s="33" t="s">
        <v>160</v>
      </c>
      <c r="L1655" s="35" t="n">
        <v>1961.7</v>
      </c>
      <c r="M1655" s="33" t="n">
        <v>4</v>
      </c>
      <c r="N1655" s="33" t="s">
        <v>146</v>
      </c>
      <c r="O1655" s="33" t="s">
        <v>147</v>
      </c>
      <c r="P1655" s="39" t="n">
        <f aca="false">C1655-B1655</f>
        <v>1</v>
      </c>
      <c r="Q1655" s="40" t="str">
        <f aca="false">CHOOSE(MONTH(B1655),"يناير","فبراير","مارس","أبريل","مايو","يونيو","يوليو","أغسطس","سبتمبر","أكتوبر","نوفمبر","ديسمبر")</f>
        <v>أكتوبر</v>
      </c>
      <c r="R1655" s="40" t="str">
        <f aca="false">"الربع "&amp;ROUNDUP(MONTH(B1655)/3,0)</f>
        <v>الربع 4</v>
      </c>
      <c r="S1655" s="40" t="str">
        <f aca="false">IF(D1655&lt;=12,"أطفال (0-12)",IF(D1655&lt;=24,"شباب (13-24)",IF(D1655&lt;=44,"بالغون (25-44)",IF(D1655&lt;=64,"متوسطو العمر (45-64)","كبار السن (+65)"))))</f>
        <v>بالغون (25-44)</v>
      </c>
      <c r="T1655" s="41" t="n">
        <f aca="false">IFERROR(L1655/P1655,0)</f>
        <v>1961.7</v>
      </c>
    </row>
    <row r="1656" customFormat="false" ht="15" hidden="false" customHeight="false" outlineLevel="0" collapsed="false">
      <c r="A1656" s="42" t="s">
        <v>1587</v>
      </c>
      <c r="B1656" s="43" t="n">
        <v>45579</v>
      </c>
      <c r="C1656" s="43" t="n">
        <v>45580</v>
      </c>
      <c r="D1656" s="42" t="n">
        <v>9</v>
      </c>
      <c r="E1656" s="42" t="s">
        <v>139</v>
      </c>
      <c r="F1656" s="42" t="s">
        <v>155</v>
      </c>
      <c r="G1656" s="42" t="s">
        <v>302</v>
      </c>
      <c r="H1656" s="42" t="s">
        <v>222</v>
      </c>
      <c r="I1656" s="42" t="s">
        <v>143</v>
      </c>
      <c r="J1656" s="42" t="s">
        <v>144</v>
      </c>
      <c r="K1656" s="42" t="s">
        <v>145</v>
      </c>
      <c r="L1656" s="44" t="n">
        <v>1267.65</v>
      </c>
      <c r="M1656" s="42" t="n">
        <v>4</v>
      </c>
      <c r="N1656" s="42" t="s">
        <v>146</v>
      </c>
      <c r="O1656" s="42" t="s">
        <v>147</v>
      </c>
      <c r="P1656" s="39" t="n">
        <f aca="false">C1656-B1656</f>
        <v>1</v>
      </c>
      <c r="Q1656" s="40" t="str">
        <f aca="false">CHOOSE(MONTH(B1656),"يناير","فبراير","مارس","أبريل","مايو","يونيو","يوليو","أغسطس","سبتمبر","أكتوبر","نوفمبر","ديسمبر")</f>
        <v>أكتوبر</v>
      </c>
      <c r="R1656" s="40" t="str">
        <f aca="false">"الربع "&amp;ROUNDUP(MONTH(B1656)/3,0)</f>
        <v>الربع 4</v>
      </c>
      <c r="S1656" s="40" t="str">
        <f aca="false">IF(D1656&lt;=12,"أطفال (0-12)",IF(D1656&lt;=24,"شباب (13-24)",IF(D1656&lt;=44,"بالغون (25-44)",IF(D1656&lt;=64,"متوسطو العمر (45-64)","كبار السن (+65)"))))</f>
        <v>أطفال (0-12)</v>
      </c>
      <c r="T1656" s="41" t="n">
        <f aca="false">IFERROR(L1656/P1656,0)</f>
        <v>1267.65</v>
      </c>
    </row>
    <row r="1657" customFormat="false" ht="15" hidden="false" customHeight="false" outlineLevel="0" collapsed="false">
      <c r="A1657" s="33" t="s">
        <v>1284</v>
      </c>
      <c r="B1657" s="34" t="n">
        <v>45579</v>
      </c>
      <c r="C1657" s="34" t="n">
        <v>45581</v>
      </c>
      <c r="D1657" s="33" t="n">
        <v>3</v>
      </c>
      <c r="E1657" s="33" t="s">
        <v>139</v>
      </c>
      <c r="F1657" s="33" t="s">
        <v>155</v>
      </c>
      <c r="G1657" s="33" t="s">
        <v>302</v>
      </c>
      <c r="H1657" s="33" t="s">
        <v>222</v>
      </c>
      <c r="I1657" s="33" t="s">
        <v>143</v>
      </c>
      <c r="J1657" s="33" t="s">
        <v>159</v>
      </c>
      <c r="K1657" s="33" t="s">
        <v>145</v>
      </c>
      <c r="L1657" s="35" t="n">
        <v>1836.26</v>
      </c>
      <c r="M1657" s="33" t="n">
        <v>5</v>
      </c>
      <c r="N1657" s="33" t="s">
        <v>146</v>
      </c>
      <c r="O1657" s="33" t="s">
        <v>147</v>
      </c>
      <c r="P1657" s="39" t="n">
        <f aca="false">C1657-B1657</f>
        <v>2</v>
      </c>
      <c r="Q1657" s="40" t="str">
        <f aca="false">CHOOSE(MONTH(B1657),"يناير","فبراير","مارس","أبريل","مايو","يونيو","يوليو","أغسطس","سبتمبر","أكتوبر","نوفمبر","ديسمبر")</f>
        <v>أكتوبر</v>
      </c>
      <c r="R1657" s="40" t="str">
        <f aca="false">"الربع "&amp;ROUNDUP(MONTH(B1657)/3,0)</f>
        <v>الربع 4</v>
      </c>
      <c r="S1657" s="40" t="str">
        <f aca="false">IF(D1657&lt;=12,"أطفال (0-12)",IF(D1657&lt;=24,"شباب (13-24)",IF(D1657&lt;=44,"بالغون (25-44)",IF(D1657&lt;=64,"متوسطو العمر (45-64)","كبار السن (+65)"))))</f>
        <v>أطفال (0-12)</v>
      </c>
      <c r="T1657" s="41" t="n">
        <f aca="false">IFERROR(L1657/P1657,0)</f>
        <v>918.13</v>
      </c>
    </row>
    <row r="1658" customFormat="false" ht="15" hidden="false" customHeight="false" outlineLevel="0" collapsed="false">
      <c r="A1658" s="42" t="s">
        <v>888</v>
      </c>
      <c r="B1658" s="43" t="n">
        <v>45579</v>
      </c>
      <c r="C1658" s="43" t="n">
        <v>45586</v>
      </c>
      <c r="D1658" s="42" t="n">
        <v>25</v>
      </c>
      <c r="E1658" s="42" t="s">
        <v>139</v>
      </c>
      <c r="F1658" s="42" t="s">
        <v>169</v>
      </c>
      <c r="G1658" s="42" t="s">
        <v>230</v>
      </c>
      <c r="H1658" s="42" t="s">
        <v>195</v>
      </c>
      <c r="I1658" s="42" t="s">
        <v>143</v>
      </c>
      <c r="J1658" s="42" t="s">
        <v>176</v>
      </c>
      <c r="K1658" s="42" t="s">
        <v>145</v>
      </c>
      <c r="L1658" s="44" t="n">
        <v>23938.3</v>
      </c>
      <c r="M1658" s="42" t="n">
        <v>3</v>
      </c>
      <c r="N1658" s="42" t="s">
        <v>146</v>
      </c>
      <c r="O1658" s="42" t="s">
        <v>147</v>
      </c>
      <c r="P1658" s="39" t="n">
        <f aca="false">C1658-B1658</f>
        <v>7</v>
      </c>
      <c r="Q1658" s="40" t="str">
        <f aca="false">CHOOSE(MONTH(B1658),"يناير","فبراير","مارس","أبريل","مايو","يونيو","يوليو","أغسطس","سبتمبر","أكتوبر","نوفمبر","ديسمبر")</f>
        <v>أكتوبر</v>
      </c>
      <c r="R1658" s="40" t="str">
        <f aca="false">"الربع "&amp;ROUNDUP(MONTH(B1658)/3,0)</f>
        <v>الربع 4</v>
      </c>
      <c r="S1658" s="40" t="str">
        <f aca="false">IF(D1658&lt;=12,"أطفال (0-12)",IF(D1658&lt;=24,"شباب (13-24)",IF(D1658&lt;=44,"بالغون (25-44)",IF(D1658&lt;=64,"متوسطو العمر (45-64)","كبار السن (+65)"))))</f>
        <v>بالغون (25-44)</v>
      </c>
      <c r="T1658" s="41" t="n">
        <f aca="false">IFERROR(L1658/P1658,0)</f>
        <v>3419.75714285714</v>
      </c>
    </row>
    <row r="1659" customFormat="false" ht="15" hidden="false" customHeight="false" outlineLevel="0" collapsed="false">
      <c r="A1659" s="33" t="s">
        <v>1046</v>
      </c>
      <c r="B1659" s="34" t="n">
        <v>45580</v>
      </c>
      <c r="C1659" s="34" t="n">
        <v>45592</v>
      </c>
      <c r="D1659" s="33" t="n">
        <v>49</v>
      </c>
      <c r="E1659" s="33" t="s">
        <v>154</v>
      </c>
      <c r="F1659" s="33" t="s">
        <v>181</v>
      </c>
      <c r="G1659" s="33" t="s">
        <v>237</v>
      </c>
      <c r="H1659" s="33" t="s">
        <v>183</v>
      </c>
      <c r="I1659" s="33" t="s">
        <v>143</v>
      </c>
      <c r="J1659" s="33" t="s">
        <v>144</v>
      </c>
      <c r="K1659" s="33" t="s">
        <v>145</v>
      </c>
      <c r="L1659" s="35" t="n">
        <v>57783.82</v>
      </c>
      <c r="M1659" s="33" t="n">
        <v>5</v>
      </c>
      <c r="N1659" s="33" t="s">
        <v>146</v>
      </c>
      <c r="O1659" s="33" t="s">
        <v>147</v>
      </c>
      <c r="P1659" s="39" t="n">
        <f aca="false">C1659-B1659</f>
        <v>12</v>
      </c>
      <c r="Q1659" s="40" t="str">
        <f aca="false">CHOOSE(MONTH(B1659),"يناير","فبراير","مارس","أبريل","مايو","يونيو","يوليو","أغسطس","سبتمبر","أكتوبر","نوفمبر","ديسمبر")</f>
        <v>أكتوبر</v>
      </c>
      <c r="R1659" s="40" t="str">
        <f aca="false">"الربع "&amp;ROUNDUP(MONTH(B1659)/3,0)</f>
        <v>الربع 4</v>
      </c>
      <c r="S1659" s="40" t="str">
        <f aca="false">IF(D1659&lt;=12,"أطفال (0-12)",IF(D1659&lt;=24,"شباب (13-24)",IF(D1659&lt;=44,"بالغون (25-44)",IF(D1659&lt;=64,"متوسطو العمر (45-64)","كبار السن (+65)"))))</f>
        <v>متوسطو العمر (45-64)</v>
      </c>
      <c r="T1659" s="41" t="n">
        <f aca="false">IFERROR(L1659/P1659,0)</f>
        <v>4815.31833333333</v>
      </c>
    </row>
    <row r="1660" customFormat="false" ht="15" hidden="false" customHeight="false" outlineLevel="0" collapsed="false">
      <c r="A1660" s="42" t="s">
        <v>548</v>
      </c>
      <c r="B1660" s="43" t="n">
        <v>45580</v>
      </c>
      <c r="C1660" s="43" t="n">
        <v>45583</v>
      </c>
      <c r="D1660" s="42" t="n">
        <v>32</v>
      </c>
      <c r="E1660" s="42" t="s">
        <v>139</v>
      </c>
      <c r="F1660" s="42" t="s">
        <v>169</v>
      </c>
      <c r="G1660" s="42" t="s">
        <v>230</v>
      </c>
      <c r="H1660" s="42" t="s">
        <v>164</v>
      </c>
      <c r="I1660" s="42" t="s">
        <v>143</v>
      </c>
      <c r="J1660" s="42" t="s">
        <v>159</v>
      </c>
      <c r="K1660" s="42" t="s">
        <v>145</v>
      </c>
      <c r="L1660" s="44" t="n">
        <v>3915.71</v>
      </c>
      <c r="M1660" s="42" t="n">
        <v>3</v>
      </c>
      <c r="N1660" s="42" t="s">
        <v>146</v>
      </c>
      <c r="O1660" s="42" t="s">
        <v>247</v>
      </c>
      <c r="P1660" s="39" t="n">
        <f aca="false">C1660-B1660</f>
        <v>3</v>
      </c>
      <c r="Q1660" s="40" t="str">
        <f aca="false">CHOOSE(MONTH(B1660),"يناير","فبراير","مارس","أبريل","مايو","يونيو","يوليو","أغسطس","سبتمبر","أكتوبر","نوفمبر","ديسمبر")</f>
        <v>أكتوبر</v>
      </c>
      <c r="R1660" s="40" t="str">
        <f aca="false">"الربع "&amp;ROUNDUP(MONTH(B1660)/3,0)</f>
        <v>الربع 4</v>
      </c>
      <c r="S1660" s="40" t="str">
        <f aca="false">IF(D1660&lt;=12,"أطفال (0-12)",IF(D1660&lt;=24,"شباب (13-24)",IF(D1660&lt;=44,"بالغون (25-44)",IF(D1660&lt;=64,"متوسطو العمر (45-64)","كبار السن (+65)"))))</f>
        <v>بالغون (25-44)</v>
      </c>
      <c r="T1660" s="41" t="n">
        <f aca="false">IFERROR(L1660/P1660,0)</f>
        <v>1305.23666666667</v>
      </c>
    </row>
    <row r="1661" customFormat="false" ht="15" hidden="false" customHeight="false" outlineLevel="0" collapsed="false">
      <c r="A1661" s="33" t="s">
        <v>2270</v>
      </c>
      <c r="B1661" s="34" t="n">
        <v>45580</v>
      </c>
      <c r="C1661" s="34" t="n">
        <v>45583</v>
      </c>
      <c r="D1661" s="33" t="n">
        <v>72</v>
      </c>
      <c r="E1661" s="33" t="s">
        <v>139</v>
      </c>
      <c r="F1661" s="33" t="s">
        <v>226</v>
      </c>
      <c r="G1661" s="33" t="s">
        <v>227</v>
      </c>
      <c r="H1661" s="33" t="s">
        <v>263</v>
      </c>
      <c r="I1661" s="33" t="s">
        <v>143</v>
      </c>
      <c r="J1661" s="33" t="s">
        <v>159</v>
      </c>
      <c r="K1661" s="33" t="s">
        <v>160</v>
      </c>
      <c r="L1661" s="35" t="n">
        <v>9399.55</v>
      </c>
      <c r="M1661" s="33" t="n">
        <v>4</v>
      </c>
      <c r="N1661" s="33" t="s">
        <v>146</v>
      </c>
      <c r="O1661" s="33" t="s">
        <v>147</v>
      </c>
      <c r="P1661" s="39" t="n">
        <f aca="false">C1661-B1661</f>
        <v>3</v>
      </c>
      <c r="Q1661" s="40" t="str">
        <f aca="false">CHOOSE(MONTH(B1661),"يناير","فبراير","مارس","أبريل","مايو","يونيو","يوليو","أغسطس","سبتمبر","أكتوبر","نوفمبر","ديسمبر")</f>
        <v>أكتوبر</v>
      </c>
      <c r="R1661" s="40" t="str">
        <f aca="false">"الربع "&amp;ROUNDUP(MONTH(B1661)/3,0)</f>
        <v>الربع 4</v>
      </c>
      <c r="S1661" s="40" t="str">
        <f aca="false">IF(D1661&lt;=12,"أطفال (0-12)",IF(D1661&lt;=24,"شباب (13-24)",IF(D1661&lt;=44,"بالغون (25-44)",IF(D1661&lt;=64,"متوسطو العمر (45-64)","كبار السن (+65)"))))</f>
        <v>كبار السن (+65)</v>
      </c>
      <c r="T1661" s="41" t="n">
        <f aca="false">IFERROR(L1661/P1661,0)</f>
        <v>3133.18333333333</v>
      </c>
    </row>
    <row r="1662" customFormat="false" ht="15" hidden="false" customHeight="false" outlineLevel="0" collapsed="false">
      <c r="A1662" s="42" t="s">
        <v>1352</v>
      </c>
      <c r="B1662" s="43" t="n">
        <v>45580</v>
      </c>
      <c r="C1662" s="43" t="n">
        <v>45581</v>
      </c>
      <c r="D1662" s="42" t="n">
        <v>62</v>
      </c>
      <c r="E1662" s="42" t="s">
        <v>139</v>
      </c>
      <c r="F1662" s="42" t="s">
        <v>203</v>
      </c>
      <c r="G1662" s="42" t="s">
        <v>204</v>
      </c>
      <c r="H1662" s="42" t="s">
        <v>233</v>
      </c>
      <c r="I1662" s="42" t="s">
        <v>143</v>
      </c>
      <c r="J1662" s="42" t="s">
        <v>176</v>
      </c>
      <c r="K1662" s="42" t="s">
        <v>145</v>
      </c>
      <c r="L1662" s="44" t="n">
        <v>2164.31</v>
      </c>
      <c r="M1662" s="42" t="n">
        <v>3</v>
      </c>
      <c r="N1662" s="42" t="s">
        <v>146</v>
      </c>
      <c r="O1662" s="42" t="s">
        <v>147</v>
      </c>
      <c r="P1662" s="39" t="n">
        <f aca="false">C1662-B1662</f>
        <v>1</v>
      </c>
      <c r="Q1662" s="40" t="str">
        <f aca="false">CHOOSE(MONTH(B1662),"يناير","فبراير","مارس","أبريل","مايو","يونيو","يوليو","أغسطس","سبتمبر","أكتوبر","نوفمبر","ديسمبر")</f>
        <v>أكتوبر</v>
      </c>
      <c r="R1662" s="40" t="str">
        <f aca="false">"الربع "&amp;ROUNDUP(MONTH(B1662)/3,0)</f>
        <v>الربع 4</v>
      </c>
      <c r="S1662" s="40" t="str">
        <f aca="false">IF(D1662&lt;=12,"أطفال (0-12)",IF(D1662&lt;=24,"شباب (13-24)",IF(D1662&lt;=44,"بالغون (25-44)",IF(D1662&lt;=64,"متوسطو العمر (45-64)","كبار السن (+65)"))))</f>
        <v>متوسطو العمر (45-64)</v>
      </c>
      <c r="T1662" s="41" t="n">
        <f aca="false">IFERROR(L1662/P1662,0)</f>
        <v>2164.31</v>
      </c>
    </row>
    <row r="1663" customFormat="false" ht="15" hidden="false" customHeight="false" outlineLevel="0" collapsed="false">
      <c r="A1663" s="33" t="s">
        <v>1730</v>
      </c>
      <c r="B1663" s="34" t="n">
        <v>45580</v>
      </c>
      <c r="C1663" s="34" t="n">
        <v>45582</v>
      </c>
      <c r="D1663" s="33" t="n">
        <v>57</v>
      </c>
      <c r="E1663" s="33" t="s">
        <v>139</v>
      </c>
      <c r="F1663" s="33" t="s">
        <v>203</v>
      </c>
      <c r="G1663" s="33" t="s">
        <v>232</v>
      </c>
      <c r="H1663" s="33" t="s">
        <v>233</v>
      </c>
      <c r="I1663" s="33" t="s">
        <v>143</v>
      </c>
      <c r="J1663" s="33" t="s">
        <v>159</v>
      </c>
      <c r="K1663" s="33" t="s">
        <v>160</v>
      </c>
      <c r="L1663" s="35" t="n">
        <v>1445.89</v>
      </c>
      <c r="M1663" s="33" t="n">
        <v>4</v>
      </c>
      <c r="N1663" s="33" t="s">
        <v>146</v>
      </c>
      <c r="O1663" s="33" t="s">
        <v>147</v>
      </c>
      <c r="P1663" s="39" t="n">
        <f aca="false">C1663-B1663</f>
        <v>2</v>
      </c>
      <c r="Q1663" s="40" t="str">
        <f aca="false">CHOOSE(MONTH(B1663),"يناير","فبراير","مارس","أبريل","مايو","يونيو","يوليو","أغسطس","سبتمبر","أكتوبر","نوفمبر","ديسمبر")</f>
        <v>أكتوبر</v>
      </c>
      <c r="R1663" s="40" t="str">
        <f aca="false">"الربع "&amp;ROUNDUP(MONTH(B1663)/3,0)</f>
        <v>الربع 4</v>
      </c>
      <c r="S1663" s="40" t="str">
        <f aca="false">IF(D1663&lt;=12,"أطفال (0-12)",IF(D1663&lt;=24,"شباب (13-24)",IF(D1663&lt;=44,"بالغون (25-44)",IF(D1663&lt;=64,"متوسطو العمر (45-64)","كبار السن (+65)"))))</f>
        <v>متوسطو العمر (45-64)</v>
      </c>
      <c r="T1663" s="41" t="n">
        <f aca="false">IFERROR(L1663/P1663,0)</f>
        <v>722.945</v>
      </c>
    </row>
    <row r="1664" customFormat="false" ht="15" hidden="false" customHeight="false" outlineLevel="0" collapsed="false">
      <c r="A1664" s="42" t="s">
        <v>1980</v>
      </c>
      <c r="B1664" s="43" t="n">
        <v>45580</v>
      </c>
      <c r="C1664" s="43" t="n">
        <v>45584</v>
      </c>
      <c r="D1664" s="42" t="n">
        <v>50</v>
      </c>
      <c r="E1664" s="42" t="s">
        <v>139</v>
      </c>
      <c r="F1664" s="42" t="s">
        <v>173</v>
      </c>
      <c r="G1664" s="42" t="s">
        <v>198</v>
      </c>
      <c r="H1664" s="42" t="s">
        <v>175</v>
      </c>
      <c r="I1664" s="42" t="s">
        <v>143</v>
      </c>
      <c r="J1664" s="42" t="s">
        <v>144</v>
      </c>
      <c r="K1664" s="42" t="s">
        <v>184</v>
      </c>
      <c r="L1664" s="44" t="n">
        <v>25111.67</v>
      </c>
      <c r="M1664" s="42" t="n">
        <v>4</v>
      </c>
      <c r="N1664" s="42" t="s">
        <v>146</v>
      </c>
      <c r="O1664" s="42" t="s">
        <v>147</v>
      </c>
      <c r="P1664" s="39" t="n">
        <f aca="false">C1664-B1664</f>
        <v>4</v>
      </c>
      <c r="Q1664" s="40" t="str">
        <f aca="false">CHOOSE(MONTH(B1664),"يناير","فبراير","مارس","أبريل","مايو","يونيو","يوليو","أغسطس","سبتمبر","أكتوبر","نوفمبر","ديسمبر")</f>
        <v>أكتوبر</v>
      </c>
      <c r="R1664" s="40" t="str">
        <f aca="false">"الربع "&amp;ROUNDUP(MONTH(B1664)/3,0)</f>
        <v>الربع 4</v>
      </c>
      <c r="S1664" s="40" t="str">
        <f aca="false">IF(D1664&lt;=12,"أطفال (0-12)",IF(D1664&lt;=24,"شباب (13-24)",IF(D1664&lt;=44,"بالغون (25-44)",IF(D1664&lt;=64,"متوسطو العمر (45-64)","كبار السن (+65)"))))</f>
        <v>متوسطو العمر (45-64)</v>
      </c>
      <c r="T1664" s="41" t="n">
        <f aca="false">IFERROR(L1664/P1664,0)</f>
        <v>6277.9175</v>
      </c>
    </row>
    <row r="1665" customFormat="false" ht="15" hidden="false" customHeight="false" outlineLevel="0" collapsed="false">
      <c r="A1665" s="33" t="s">
        <v>970</v>
      </c>
      <c r="B1665" s="34" t="n">
        <v>45581</v>
      </c>
      <c r="C1665" s="34" t="n">
        <v>45582</v>
      </c>
      <c r="D1665" s="33" t="n">
        <v>45</v>
      </c>
      <c r="E1665" s="33" t="s">
        <v>139</v>
      </c>
      <c r="F1665" s="33" t="s">
        <v>203</v>
      </c>
      <c r="G1665" s="33" t="s">
        <v>241</v>
      </c>
      <c r="H1665" s="33" t="s">
        <v>193</v>
      </c>
      <c r="I1665" s="33" t="s">
        <v>158</v>
      </c>
      <c r="J1665" s="33" t="s">
        <v>144</v>
      </c>
      <c r="K1665" s="33" t="s">
        <v>145</v>
      </c>
      <c r="L1665" s="35" t="n">
        <v>1732.76</v>
      </c>
      <c r="M1665" s="33" t="n">
        <v>4</v>
      </c>
      <c r="N1665" s="33" t="s">
        <v>146</v>
      </c>
      <c r="O1665" s="33" t="s">
        <v>147</v>
      </c>
      <c r="P1665" s="39" t="n">
        <f aca="false">C1665-B1665</f>
        <v>1</v>
      </c>
      <c r="Q1665" s="40" t="str">
        <f aca="false">CHOOSE(MONTH(B1665),"يناير","فبراير","مارس","أبريل","مايو","يونيو","يوليو","أغسطس","سبتمبر","أكتوبر","نوفمبر","ديسمبر")</f>
        <v>أكتوبر</v>
      </c>
      <c r="R1665" s="40" t="str">
        <f aca="false">"الربع "&amp;ROUNDUP(MONTH(B1665)/3,0)</f>
        <v>الربع 4</v>
      </c>
      <c r="S1665" s="40" t="str">
        <f aca="false">IF(D1665&lt;=12,"أطفال (0-12)",IF(D1665&lt;=24,"شباب (13-24)",IF(D1665&lt;=44,"بالغون (25-44)",IF(D1665&lt;=64,"متوسطو العمر (45-64)","كبار السن (+65)"))))</f>
        <v>متوسطو العمر (45-64)</v>
      </c>
      <c r="T1665" s="41" t="n">
        <f aca="false">IFERROR(L1665/P1665,0)</f>
        <v>1732.76</v>
      </c>
    </row>
    <row r="1666" customFormat="false" ht="15" hidden="false" customHeight="false" outlineLevel="0" collapsed="false">
      <c r="A1666" s="42" t="s">
        <v>2126</v>
      </c>
      <c r="B1666" s="43" t="n">
        <v>45581</v>
      </c>
      <c r="C1666" s="43" t="n">
        <v>45583</v>
      </c>
      <c r="D1666" s="42" t="n">
        <v>24</v>
      </c>
      <c r="E1666" s="42" t="s">
        <v>154</v>
      </c>
      <c r="F1666" s="42" t="s">
        <v>203</v>
      </c>
      <c r="G1666" s="42" t="s">
        <v>241</v>
      </c>
      <c r="H1666" s="42" t="s">
        <v>233</v>
      </c>
      <c r="I1666" s="42" t="s">
        <v>143</v>
      </c>
      <c r="J1666" s="42" t="s">
        <v>144</v>
      </c>
      <c r="K1666" s="42" t="s">
        <v>209</v>
      </c>
      <c r="L1666" s="44" t="n">
        <v>3261.54</v>
      </c>
      <c r="M1666" s="42" t="n">
        <v>4</v>
      </c>
      <c r="N1666" s="42" t="s">
        <v>146</v>
      </c>
      <c r="O1666" s="42" t="s">
        <v>147</v>
      </c>
      <c r="P1666" s="39" t="n">
        <f aca="false">C1666-B1666</f>
        <v>2</v>
      </c>
      <c r="Q1666" s="40" t="str">
        <f aca="false">CHOOSE(MONTH(B1666),"يناير","فبراير","مارس","أبريل","مايو","يونيو","يوليو","أغسطس","سبتمبر","أكتوبر","نوفمبر","ديسمبر")</f>
        <v>أكتوبر</v>
      </c>
      <c r="R1666" s="40" t="str">
        <f aca="false">"الربع "&amp;ROUNDUP(MONTH(B1666)/3,0)</f>
        <v>الربع 4</v>
      </c>
      <c r="S1666" s="40" t="str">
        <f aca="false">IF(D1666&lt;=12,"أطفال (0-12)",IF(D1666&lt;=24,"شباب (13-24)",IF(D1666&lt;=44,"بالغون (25-44)",IF(D1666&lt;=64,"متوسطو العمر (45-64)","كبار السن (+65)"))))</f>
        <v>شباب (13-24)</v>
      </c>
      <c r="T1666" s="41" t="n">
        <f aca="false">IFERROR(L1666/P1666,0)</f>
        <v>1630.77</v>
      </c>
    </row>
    <row r="1667" customFormat="false" ht="15" hidden="false" customHeight="false" outlineLevel="0" collapsed="false">
      <c r="A1667" s="33" t="s">
        <v>1216</v>
      </c>
      <c r="B1667" s="34" t="n">
        <v>45582</v>
      </c>
      <c r="C1667" s="34" t="n">
        <v>45583</v>
      </c>
      <c r="D1667" s="33" t="n">
        <v>11</v>
      </c>
      <c r="E1667" s="33" t="s">
        <v>139</v>
      </c>
      <c r="F1667" s="33" t="s">
        <v>155</v>
      </c>
      <c r="G1667" s="33" t="s">
        <v>156</v>
      </c>
      <c r="H1667" s="33" t="s">
        <v>222</v>
      </c>
      <c r="I1667" s="33" t="s">
        <v>152</v>
      </c>
      <c r="J1667" s="33" t="s">
        <v>159</v>
      </c>
      <c r="K1667" s="33" t="s">
        <v>145</v>
      </c>
      <c r="L1667" s="35" t="n">
        <v>968.33</v>
      </c>
      <c r="M1667" s="33" t="n">
        <v>4</v>
      </c>
      <c r="N1667" s="33" t="s">
        <v>210</v>
      </c>
      <c r="O1667" s="33" t="s">
        <v>147</v>
      </c>
      <c r="P1667" s="39" t="n">
        <f aca="false">C1667-B1667</f>
        <v>1</v>
      </c>
      <c r="Q1667" s="40" t="str">
        <f aca="false">CHOOSE(MONTH(B1667),"يناير","فبراير","مارس","أبريل","مايو","يونيو","يوليو","أغسطس","سبتمبر","أكتوبر","نوفمبر","ديسمبر")</f>
        <v>أكتوبر</v>
      </c>
      <c r="R1667" s="40" t="str">
        <f aca="false">"الربع "&amp;ROUNDUP(MONTH(B1667)/3,0)</f>
        <v>الربع 4</v>
      </c>
      <c r="S1667" s="40" t="str">
        <f aca="false">IF(D1667&lt;=12,"أطفال (0-12)",IF(D1667&lt;=24,"شباب (13-24)",IF(D1667&lt;=44,"بالغون (25-44)",IF(D1667&lt;=64,"متوسطو العمر (45-64)","كبار السن (+65)"))))</f>
        <v>أطفال (0-12)</v>
      </c>
      <c r="T1667" s="41" t="n">
        <f aca="false">IFERROR(L1667/P1667,0)</f>
        <v>968.33</v>
      </c>
    </row>
    <row r="1668" customFormat="false" ht="15" hidden="false" customHeight="false" outlineLevel="0" collapsed="false">
      <c r="A1668" s="42" t="s">
        <v>2039</v>
      </c>
      <c r="B1668" s="43" t="n">
        <v>45582</v>
      </c>
      <c r="C1668" s="43" t="n">
        <v>45584</v>
      </c>
      <c r="D1668" s="42" t="n">
        <v>16</v>
      </c>
      <c r="E1668" s="42" t="s">
        <v>139</v>
      </c>
      <c r="F1668" s="42" t="s">
        <v>149</v>
      </c>
      <c r="G1668" s="42" t="s">
        <v>243</v>
      </c>
      <c r="H1668" s="42" t="s">
        <v>186</v>
      </c>
      <c r="I1668" s="42" t="s">
        <v>143</v>
      </c>
      <c r="J1668" s="42" t="s">
        <v>159</v>
      </c>
      <c r="K1668" s="42" t="s">
        <v>184</v>
      </c>
      <c r="L1668" s="44" t="n">
        <v>3129.05</v>
      </c>
      <c r="M1668" s="42" t="n">
        <v>2</v>
      </c>
      <c r="N1668" s="42" t="s">
        <v>146</v>
      </c>
      <c r="O1668" s="42" t="s">
        <v>147</v>
      </c>
      <c r="P1668" s="39" t="n">
        <f aca="false">C1668-B1668</f>
        <v>2</v>
      </c>
      <c r="Q1668" s="40" t="str">
        <f aca="false">CHOOSE(MONTH(B1668),"يناير","فبراير","مارس","أبريل","مايو","يونيو","يوليو","أغسطس","سبتمبر","أكتوبر","نوفمبر","ديسمبر")</f>
        <v>أكتوبر</v>
      </c>
      <c r="R1668" s="40" t="str">
        <f aca="false">"الربع "&amp;ROUNDUP(MONTH(B1668)/3,0)</f>
        <v>الربع 4</v>
      </c>
      <c r="S1668" s="40" t="str">
        <f aca="false">IF(D1668&lt;=12,"أطفال (0-12)",IF(D1668&lt;=24,"شباب (13-24)",IF(D1668&lt;=44,"بالغون (25-44)",IF(D1668&lt;=64,"متوسطو العمر (45-64)","كبار السن (+65)"))))</f>
        <v>شباب (13-24)</v>
      </c>
      <c r="T1668" s="41" t="n">
        <f aca="false">IFERROR(L1668/P1668,0)</f>
        <v>1564.525</v>
      </c>
    </row>
    <row r="1669" customFormat="false" ht="15" hidden="false" customHeight="false" outlineLevel="0" collapsed="false">
      <c r="A1669" s="33" t="s">
        <v>1138</v>
      </c>
      <c r="B1669" s="34" t="n">
        <v>45582</v>
      </c>
      <c r="C1669" s="34" t="n">
        <v>45584</v>
      </c>
      <c r="D1669" s="33" t="n">
        <v>54</v>
      </c>
      <c r="E1669" s="33" t="s">
        <v>154</v>
      </c>
      <c r="F1669" s="33" t="s">
        <v>169</v>
      </c>
      <c r="G1669" s="33" t="s">
        <v>170</v>
      </c>
      <c r="H1669" s="33" t="s">
        <v>171</v>
      </c>
      <c r="I1669" s="33" t="s">
        <v>158</v>
      </c>
      <c r="J1669" s="33" t="s">
        <v>144</v>
      </c>
      <c r="K1669" s="33" t="s">
        <v>209</v>
      </c>
      <c r="L1669" s="35" t="n">
        <v>3842.95</v>
      </c>
      <c r="M1669" s="33" t="n">
        <v>4</v>
      </c>
      <c r="N1669" s="33" t="s">
        <v>146</v>
      </c>
      <c r="O1669" s="33" t="s">
        <v>147</v>
      </c>
      <c r="P1669" s="39" t="n">
        <f aca="false">C1669-B1669</f>
        <v>2</v>
      </c>
      <c r="Q1669" s="40" t="str">
        <f aca="false">CHOOSE(MONTH(B1669),"يناير","فبراير","مارس","أبريل","مايو","يونيو","يوليو","أغسطس","سبتمبر","أكتوبر","نوفمبر","ديسمبر")</f>
        <v>أكتوبر</v>
      </c>
      <c r="R1669" s="40" t="str">
        <f aca="false">"الربع "&amp;ROUNDUP(MONTH(B1669)/3,0)</f>
        <v>الربع 4</v>
      </c>
      <c r="S1669" s="40" t="str">
        <f aca="false">IF(D1669&lt;=12,"أطفال (0-12)",IF(D1669&lt;=24,"شباب (13-24)",IF(D1669&lt;=44,"بالغون (25-44)",IF(D1669&lt;=64,"متوسطو العمر (45-64)","كبار السن (+65)"))))</f>
        <v>متوسطو العمر (45-64)</v>
      </c>
      <c r="T1669" s="41" t="n">
        <f aca="false">IFERROR(L1669/P1669,0)</f>
        <v>1921.475</v>
      </c>
    </row>
    <row r="1670" customFormat="false" ht="15" hidden="false" customHeight="false" outlineLevel="0" collapsed="false">
      <c r="A1670" s="42" t="s">
        <v>714</v>
      </c>
      <c r="B1670" s="43" t="n">
        <v>45582</v>
      </c>
      <c r="C1670" s="43" t="n">
        <v>45583</v>
      </c>
      <c r="D1670" s="42" t="n">
        <v>25</v>
      </c>
      <c r="E1670" s="42" t="s">
        <v>139</v>
      </c>
      <c r="F1670" s="42" t="s">
        <v>149</v>
      </c>
      <c r="G1670" s="42" t="s">
        <v>243</v>
      </c>
      <c r="H1670" s="42" t="s">
        <v>151</v>
      </c>
      <c r="I1670" s="42" t="s">
        <v>158</v>
      </c>
      <c r="J1670" s="42" t="s">
        <v>176</v>
      </c>
      <c r="K1670" s="42" t="s">
        <v>145</v>
      </c>
      <c r="L1670" s="44" t="n">
        <v>4920.65</v>
      </c>
      <c r="M1670" s="42" t="n">
        <v>4</v>
      </c>
      <c r="N1670" s="42" t="s">
        <v>146</v>
      </c>
      <c r="O1670" s="42" t="s">
        <v>147</v>
      </c>
      <c r="P1670" s="39" t="n">
        <f aca="false">C1670-B1670</f>
        <v>1</v>
      </c>
      <c r="Q1670" s="40" t="str">
        <f aca="false">CHOOSE(MONTH(B1670),"يناير","فبراير","مارس","أبريل","مايو","يونيو","يوليو","أغسطس","سبتمبر","أكتوبر","نوفمبر","ديسمبر")</f>
        <v>أكتوبر</v>
      </c>
      <c r="R1670" s="40" t="str">
        <f aca="false">"الربع "&amp;ROUNDUP(MONTH(B1670)/3,0)</f>
        <v>الربع 4</v>
      </c>
      <c r="S1670" s="40" t="str">
        <f aca="false">IF(D1670&lt;=12,"أطفال (0-12)",IF(D1670&lt;=24,"شباب (13-24)",IF(D1670&lt;=44,"بالغون (25-44)",IF(D1670&lt;=64,"متوسطو العمر (45-64)","كبار السن (+65)"))))</f>
        <v>بالغون (25-44)</v>
      </c>
      <c r="T1670" s="41" t="n">
        <f aca="false">IFERROR(L1670/P1670,0)</f>
        <v>4920.65</v>
      </c>
    </row>
    <row r="1671" customFormat="false" ht="15" hidden="false" customHeight="false" outlineLevel="0" collapsed="false">
      <c r="A1671" s="33" t="s">
        <v>928</v>
      </c>
      <c r="B1671" s="34" t="n">
        <v>45582</v>
      </c>
      <c r="C1671" s="34" t="n">
        <v>45584</v>
      </c>
      <c r="D1671" s="33" t="n">
        <v>40</v>
      </c>
      <c r="E1671" s="33" t="s">
        <v>139</v>
      </c>
      <c r="F1671" s="33" t="s">
        <v>203</v>
      </c>
      <c r="G1671" s="33" t="s">
        <v>192</v>
      </c>
      <c r="H1671" s="33" t="s">
        <v>233</v>
      </c>
      <c r="I1671" s="33" t="s">
        <v>143</v>
      </c>
      <c r="J1671" s="33" t="s">
        <v>144</v>
      </c>
      <c r="K1671" s="33" t="s">
        <v>145</v>
      </c>
      <c r="L1671" s="35" t="n">
        <v>3502.88</v>
      </c>
      <c r="M1671" s="33" t="n">
        <v>5</v>
      </c>
      <c r="N1671" s="33" t="s">
        <v>146</v>
      </c>
      <c r="O1671" s="33" t="s">
        <v>147</v>
      </c>
      <c r="P1671" s="39" t="n">
        <f aca="false">C1671-B1671</f>
        <v>2</v>
      </c>
      <c r="Q1671" s="40" t="str">
        <f aca="false">CHOOSE(MONTH(B1671),"يناير","فبراير","مارس","أبريل","مايو","يونيو","يوليو","أغسطس","سبتمبر","أكتوبر","نوفمبر","ديسمبر")</f>
        <v>أكتوبر</v>
      </c>
      <c r="R1671" s="40" t="str">
        <f aca="false">"الربع "&amp;ROUNDUP(MONTH(B1671)/3,0)</f>
        <v>الربع 4</v>
      </c>
      <c r="S1671" s="40" t="str">
        <f aca="false">IF(D1671&lt;=12,"أطفال (0-12)",IF(D1671&lt;=24,"شباب (13-24)",IF(D1671&lt;=44,"بالغون (25-44)",IF(D1671&lt;=64,"متوسطو العمر (45-64)","كبار السن (+65)"))))</f>
        <v>بالغون (25-44)</v>
      </c>
      <c r="T1671" s="41" t="n">
        <f aca="false">IFERROR(L1671/P1671,0)</f>
        <v>1751.44</v>
      </c>
    </row>
    <row r="1672" customFormat="false" ht="15" hidden="false" customHeight="false" outlineLevel="0" collapsed="false">
      <c r="A1672" s="42" t="s">
        <v>1423</v>
      </c>
      <c r="B1672" s="43" t="n">
        <v>45582</v>
      </c>
      <c r="C1672" s="43" t="n">
        <v>45588</v>
      </c>
      <c r="D1672" s="42" t="n">
        <v>30</v>
      </c>
      <c r="E1672" s="42" t="s">
        <v>139</v>
      </c>
      <c r="F1672" s="42" t="s">
        <v>140</v>
      </c>
      <c r="G1672" s="42" t="s">
        <v>141</v>
      </c>
      <c r="H1672" s="42" t="s">
        <v>142</v>
      </c>
      <c r="I1672" s="42" t="s">
        <v>143</v>
      </c>
      <c r="J1672" s="42" t="s">
        <v>159</v>
      </c>
      <c r="K1672" s="42" t="s">
        <v>184</v>
      </c>
      <c r="L1672" s="44" t="n">
        <v>13393</v>
      </c>
      <c r="M1672" s="42" t="n">
        <v>4</v>
      </c>
      <c r="N1672" s="42" t="s">
        <v>146</v>
      </c>
      <c r="O1672" s="42" t="s">
        <v>147</v>
      </c>
      <c r="P1672" s="39" t="n">
        <f aca="false">C1672-B1672</f>
        <v>6</v>
      </c>
      <c r="Q1672" s="40" t="str">
        <f aca="false">CHOOSE(MONTH(B1672),"يناير","فبراير","مارس","أبريل","مايو","يونيو","يوليو","أغسطس","سبتمبر","أكتوبر","نوفمبر","ديسمبر")</f>
        <v>أكتوبر</v>
      </c>
      <c r="R1672" s="40" t="str">
        <f aca="false">"الربع "&amp;ROUNDUP(MONTH(B1672)/3,0)</f>
        <v>الربع 4</v>
      </c>
      <c r="S1672" s="40" t="str">
        <f aca="false">IF(D1672&lt;=12,"أطفال (0-12)",IF(D1672&lt;=24,"شباب (13-24)",IF(D1672&lt;=44,"بالغون (25-44)",IF(D1672&lt;=64,"متوسطو العمر (45-64)","كبار السن (+65)"))))</f>
        <v>بالغون (25-44)</v>
      </c>
      <c r="T1672" s="41" t="n">
        <f aca="false">IFERROR(L1672/P1672,0)</f>
        <v>2232.16666666667</v>
      </c>
    </row>
    <row r="1673" customFormat="false" ht="15" hidden="false" customHeight="false" outlineLevel="0" collapsed="false">
      <c r="A1673" s="33" t="s">
        <v>1650</v>
      </c>
      <c r="B1673" s="34" t="n">
        <v>45582</v>
      </c>
      <c r="C1673" s="34" t="n">
        <v>45585</v>
      </c>
      <c r="D1673" s="33" t="n">
        <v>38</v>
      </c>
      <c r="E1673" s="33" t="s">
        <v>154</v>
      </c>
      <c r="F1673" s="33" t="s">
        <v>140</v>
      </c>
      <c r="G1673" s="33" t="s">
        <v>316</v>
      </c>
      <c r="H1673" s="33" t="s">
        <v>290</v>
      </c>
      <c r="I1673" s="33" t="s">
        <v>143</v>
      </c>
      <c r="J1673" s="33" t="s">
        <v>159</v>
      </c>
      <c r="K1673" s="33" t="s">
        <v>145</v>
      </c>
      <c r="L1673" s="35" t="n">
        <v>7213.19</v>
      </c>
      <c r="M1673" s="33" t="n">
        <v>3</v>
      </c>
      <c r="N1673" s="33" t="s">
        <v>146</v>
      </c>
      <c r="O1673" s="33" t="s">
        <v>147</v>
      </c>
      <c r="P1673" s="39" t="n">
        <f aca="false">C1673-B1673</f>
        <v>3</v>
      </c>
      <c r="Q1673" s="40" t="str">
        <f aca="false">CHOOSE(MONTH(B1673),"يناير","فبراير","مارس","أبريل","مايو","يونيو","يوليو","أغسطس","سبتمبر","أكتوبر","نوفمبر","ديسمبر")</f>
        <v>أكتوبر</v>
      </c>
      <c r="R1673" s="40" t="str">
        <f aca="false">"الربع "&amp;ROUNDUP(MONTH(B1673)/3,0)</f>
        <v>الربع 4</v>
      </c>
      <c r="S1673" s="40" t="str">
        <f aca="false">IF(D1673&lt;=12,"أطفال (0-12)",IF(D1673&lt;=24,"شباب (13-24)",IF(D1673&lt;=44,"بالغون (25-44)",IF(D1673&lt;=64,"متوسطو العمر (45-64)","كبار السن (+65)"))))</f>
        <v>بالغون (25-44)</v>
      </c>
      <c r="T1673" s="41" t="n">
        <f aca="false">IFERROR(L1673/P1673,0)</f>
        <v>2404.39666666667</v>
      </c>
    </row>
    <row r="1674" customFormat="false" ht="15" hidden="false" customHeight="false" outlineLevel="0" collapsed="false">
      <c r="A1674" s="42" t="s">
        <v>1524</v>
      </c>
      <c r="B1674" s="43" t="n">
        <v>45582</v>
      </c>
      <c r="C1674" s="43" t="n">
        <v>45592</v>
      </c>
      <c r="D1674" s="42" t="n">
        <v>44</v>
      </c>
      <c r="E1674" s="42" t="s">
        <v>139</v>
      </c>
      <c r="F1674" s="42" t="s">
        <v>169</v>
      </c>
      <c r="G1674" s="42" t="s">
        <v>213</v>
      </c>
      <c r="H1674" s="42" t="s">
        <v>195</v>
      </c>
      <c r="I1674" s="42" t="s">
        <v>143</v>
      </c>
      <c r="J1674" s="42" t="s">
        <v>159</v>
      </c>
      <c r="K1674" s="42" t="s">
        <v>160</v>
      </c>
      <c r="L1674" s="44" t="n">
        <v>13751.88</v>
      </c>
      <c r="M1674" s="42" t="n">
        <v>4</v>
      </c>
      <c r="N1674" s="42" t="s">
        <v>146</v>
      </c>
      <c r="O1674" s="42" t="s">
        <v>147</v>
      </c>
      <c r="P1674" s="39" t="n">
        <f aca="false">C1674-B1674</f>
        <v>10</v>
      </c>
      <c r="Q1674" s="40" t="str">
        <f aca="false">CHOOSE(MONTH(B1674),"يناير","فبراير","مارس","أبريل","مايو","يونيو","يوليو","أغسطس","سبتمبر","أكتوبر","نوفمبر","ديسمبر")</f>
        <v>أكتوبر</v>
      </c>
      <c r="R1674" s="40" t="str">
        <f aca="false">"الربع "&amp;ROUNDUP(MONTH(B1674)/3,0)</f>
        <v>الربع 4</v>
      </c>
      <c r="S1674" s="40" t="str">
        <f aca="false">IF(D1674&lt;=12,"أطفال (0-12)",IF(D1674&lt;=24,"شباب (13-24)",IF(D1674&lt;=44,"بالغون (25-44)",IF(D1674&lt;=64,"متوسطو العمر (45-64)","كبار السن (+65)"))))</f>
        <v>بالغون (25-44)</v>
      </c>
      <c r="T1674" s="41" t="n">
        <f aca="false">IFERROR(L1674/P1674,0)</f>
        <v>1375.188</v>
      </c>
    </row>
    <row r="1675" customFormat="false" ht="15" hidden="false" customHeight="false" outlineLevel="0" collapsed="false">
      <c r="A1675" s="33" t="s">
        <v>1543</v>
      </c>
      <c r="B1675" s="34" t="n">
        <v>45582</v>
      </c>
      <c r="C1675" s="34" t="n">
        <v>45584</v>
      </c>
      <c r="D1675" s="33" t="n">
        <v>62</v>
      </c>
      <c r="E1675" s="33" t="s">
        <v>154</v>
      </c>
      <c r="F1675" s="33" t="s">
        <v>140</v>
      </c>
      <c r="G1675" s="33" t="s">
        <v>316</v>
      </c>
      <c r="H1675" s="33" t="s">
        <v>142</v>
      </c>
      <c r="I1675" s="33" t="s">
        <v>143</v>
      </c>
      <c r="J1675" s="33" t="s">
        <v>144</v>
      </c>
      <c r="K1675" s="33" t="s">
        <v>145</v>
      </c>
      <c r="L1675" s="35" t="n">
        <v>8541.26</v>
      </c>
      <c r="M1675" s="33" t="n">
        <v>4</v>
      </c>
      <c r="N1675" s="33" t="s">
        <v>146</v>
      </c>
      <c r="O1675" s="33" t="s">
        <v>147</v>
      </c>
      <c r="P1675" s="39" t="n">
        <f aca="false">C1675-B1675</f>
        <v>2</v>
      </c>
      <c r="Q1675" s="40" t="str">
        <f aca="false">CHOOSE(MONTH(B1675),"يناير","فبراير","مارس","أبريل","مايو","يونيو","يوليو","أغسطس","سبتمبر","أكتوبر","نوفمبر","ديسمبر")</f>
        <v>أكتوبر</v>
      </c>
      <c r="R1675" s="40" t="str">
        <f aca="false">"الربع "&amp;ROUNDUP(MONTH(B1675)/3,0)</f>
        <v>الربع 4</v>
      </c>
      <c r="S1675" s="40" t="str">
        <f aca="false">IF(D1675&lt;=12,"أطفال (0-12)",IF(D1675&lt;=24,"شباب (13-24)",IF(D1675&lt;=44,"بالغون (25-44)",IF(D1675&lt;=64,"متوسطو العمر (45-64)","كبار السن (+65)"))))</f>
        <v>متوسطو العمر (45-64)</v>
      </c>
      <c r="T1675" s="41" t="n">
        <f aca="false">IFERROR(L1675/P1675,0)</f>
        <v>4270.63</v>
      </c>
    </row>
    <row r="1676" customFormat="false" ht="15" hidden="false" customHeight="false" outlineLevel="0" collapsed="false">
      <c r="A1676" s="42" t="s">
        <v>2002</v>
      </c>
      <c r="B1676" s="43" t="n">
        <v>45583</v>
      </c>
      <c r="C1676" s="43" t="n">
        <v>45592</v>
      </c>
      <c r="D1676" s="42" t="n">
        <v>52</v>
      </c>
      <c r="E1676" s="42" t="s">
        <v>154</v>
      </c>
      <c r="F1676" s="42" t="s">
        <v>173</v>
      </c>
      <c r="G1676" s="42" t="s">
        <v>198</v>
      </c>
      <c r="H1676" s="42" t="s">
        <v>199</v>
      </c>
      <c r="I1676" s="42" t="s">
        <v>143</v>
      </c>
      <c r="J1676" s="42" t="s">
        <v>176</v>
      </c>
      <c r="K1676" s="42" t="s">
        <v>160</v>
      </c>
      <c r="L1676" s="44" t="n">
        <v>76196.86</v>
      </c>
      <c r="M1676" s="42" t="n">
        <v>5</v>
      </c>
      <c r="N1676" s="42" t="s">
        <v>146</v>
      </c>
      <c r="O1676" s="42" t="s">
        <v>147</v>
      </c>
      <c r="P1676" s="39" t="n">
        <f aca="false">C1676-B1676</f>
        <v>9</v>
      </c>
      <c r="Q1676" s="40" t="str">
        <f aca="false">CHOOSE(MONTH(B1676),"يناير","فبراير","مارس","أبريل","مايو","يونيو","يوليو","أغسطس","سبتمبر","أكتوبر","نوفمبر","ديسمبر")</f>
        <v>أكتوبر</v>
      </c>
      <c r="R1676" s="40" t="str">
        <f aca="false">"الربع "&amp;ROUNDUP(MONTH(B1676)/3,0)</f>
        <v>الربع 4</v>
      </c>
      <c r="S1676" s="40" t="str">
        <f aca="false">IF(D1676&lt;=12,"أطفال (0-12)",IF(D1676&lt;=24,"شباب (13-24)",IF(D1676&lt;=44,"بالغون (25-44)",IF(D1676&lt;=64,"متوسطو العمر (45-64)","كبار السن (+65)"))))</f>
        <v>متوسطو العمر (45-64)</v>
      </c>
      <c r="T1676" s="41" t="n">
        <f aca="false">IFERROR(L1676/P1676,0)</f>
        <v>8466.31777777778</v>
      </c>
    </row>
    <row r="1677" customFormat="false" ht="15" hidden="false" customHeight="false" outlineLevel="0" collapsed="false">
      <c r="A1677" s="33" t="s">
        <v>607</v>
      </c>
      <c r="B1677" s="34" t="n">
        <v>45583</v>
      </c>
      <c r="C1677" s="34" t="n">
        <v>45586</v>
      </c>
      <c r="D1677" s="33" t="n">
        <v>46</v>
      </c>
      <c r="E1677" s="33" t="s">
        <v>154</v>
      </c>
      <c r="F1677" s="33" t="s">
        <v>173</v>
      </c>
      <c r="G1677" s="33" t="s">
        <v>198</v>
      </c>
      <c r="H1677" s="33" t="s">
        <v>175</v>
      </c>
      <c r="I1677" s="33" t="s">
        <v>152</v>
      </c>
      <c r="J1677" s="33" t="s">
        <v>159</v>
      </c>
      <c r="K1677" s="33" t="s">
        <v>184</v>
      </c>
      <c r="L1677" s="35" t="n">
        <v>7148.64</v>
      </c>
      <c r="M1677" s="33" t="n">
        <v>5</v>
      </c>
      <c r="N1677" s="33" t="s">
        <v>146</v>
      </c>
      <c r="O1677" s="33" t="s">
        <v>147</v>
      </c>
      <c r="P1677" s="39" t="n">
        <f aca="false">C1677-B1677</f>
        <v>3</v>
      </c>
      <c r="Q1677" s="40" t="str">
        <f aca="false">CHOOSE(MONTH(B1677),"يناير","فبراير","مارس","أبريل","مايو","يونيو","يوليو","أغسطس","سبتمبر","أكتوبر","نوفمبر","ديسمبر")</f>
        <v>أكتوبر</v>
      </c>
      <c r="R1677" s="40" t="str">
        <f aca="false">"الربع "&amp;ROUNDUP(MONTH(B1677)/3,0)</f>
        <v>الربع 4</v>
      </c>
      <c r="S1677" s="40" t="str">
        <f aca="false">IF(D1677&lt;=12,"أطفال (0-12)",IF(D1677&lt;=24,"شباب (13-24)",IF(D1677&lt;=44,"بالغون (25-44)",IF(D1677&lt;=64,"متوسطو العمر (45-64)","كبار السن (+65)"))))</f>
        <v>متوسطو العمر (45-64)</v>
      </c>
      <c r="T1677" s="41" t="n">
        <f aca="false">IFERROR(L1677/P1677,0)</f>
        <v>2382.88</v>
      </c>
    </row>
    <row r="1678" customFormat="false" ht="15" hidden="false" customHeight="false" outlineLevel="0" collapsed="false">
      <c r="A1678" s="42" t="s">
        <v>1458</v>
      </c>
      <c r="B1678" s="43" t="n">
        <v>45583</v>
      </c>
      <c r="C1678" s="43" t="n">
        <v>45586</v>
      </c>
      <c r="D1678" s="42" t="n">
        <v>43</v>
      </c>
      <c r="E1678" s="42" t="s">
        <v>154</v>
      </c>
      <c r="F1678" s="42" t="s">
        <v>169</v>
      </c>
      <c r="G1678" s="42" t="s">
        <v>213</v>
      </c>
      <c r="H1678" s="42" t="s">
        <v>164</v>
      </c>
      <c r="I1678" s="42" t="s">
        <v>143</v>
      </c>
      <c r="J1678" s="42" t="s">
        <v>159</v>
      </c>
      <c r="K1678" s="42" t="s">
        <v>145</v>
      </c>
      <c r="L1678" s="44" t="n">
        <v>3475.98</v>
      </c>
      <c r="M1678" s="42" t="n">
        <v>5</v>
      </c>
      <c r="N1678" s="42" t="s">
        <v>146</v>
      </c>
      <c r="O1678" s="42" t="s">
        <v>147</v>
      </c>
      <c r="P1678" s="39" t="n">
        <f aca="false">C1678-B1678</f>
        <v>3</v>
      </c>
      <c r="Q1678" s="40" t="str">
        <f aca="false">CHOOSE(MONTH(B1678),"يناير","فبراير","مارس","أبريل","مايو","يونيو","يوليو","أغسطس","سبتمبر","أكتوبر","نوفمبر","ديسمبر")</f>
        <v>أكتوبر</v>
      </c>
      <c r="R1678" s="40" t="str">
        <f aca="false">"الربع "&amp;ROUNDUP(MONTH(B1678)/3,0)</f>
        <v>الربع 4</v>
      </c>
      <c r="S1678" s="40" t="str">
        <f aca="false">IF(D1678&lt;=12,"أطفال (0-12)",IF(D1678&lt;=24,"شباب (13-24)",IF(D1678&lt;=44,"بالغون (25-44)",IF(D1678&lt;=64,"متوسطو العمر (45-64)","كبار السن (+65)"))))</f>
        <v>بالغون (25-44)</v>
      </c>
      <c r="T1678" s="41" t="n">
        <f aca="false">IFERROR(L1678/P1678,0)</f>
        <v>1158.66</v>
      </c>
    </row>
    <row r="1679" customFormat="false" ht="15" hidden="false" customHeight="false" outlineLevel="0" collapsed="false">
      <c r="A1679" s="33" t="s">
        <v>835</v>
      </c>
      <c r="B1679" s="34" t="n">
        <v>45583</v>
      </c>
      <c r="C1679" s="34" t="n">
        <v>45592</v>
      </c>
      <c r="D1679" s="33" t="n">
        <v>68</v>
      </c>
      <c r="E1679" s="33" t="s">
        <v>154</v>
      </c>
      <c r="F1679" s="33" t="s">
        <v>169</v>
      </c>
      <c r="G1679" s="33" t="s">
        <v>230</v>
      </c>
      <c r="H1679" s="33" t="s">
        <v>164</v>
      </c>
      <c r="I1679" s="33" t="s">
        <v>152</v>
      </c>
      <c r="J1679" s="33" t="s">
        <v>159</v>
      </c>
      <c r="K1679" s="33" t="s">
        <v>160</v>
      </c>
      <c r="L1679" s="35" t="n">
        <v>10444.44</v>
      </c>
      <c r="M1679" s="33" t="n">
        <v>4</v>
      </c>
      <c r="N1679" s="33" t="s">
        <v>146</v>
      </c>
      <c r="O1679" s="33" t="s">
        <v>147</v>
      </c>
      <c r="P1679" s="39" t="n">
        <f aca="false">C1679-B1679</f>
        <v>9</v>
      </c>
      <c r="Q1679" s="40" t="str">
        <f aca="false">CHOOSE(MONTH(B1679),"يناير","فبراير","مارس","أبريل","مايو","يونيو","يوليو","أغسطس","سبتمبر","أكتوبر","نوفمبر","ديسمبر")</f>
        <v>أكتوبر</v>
      </c>
      <c r="R1679" s="40" t="str">
        <f aca="false">"الربع "&amp;ROUNDUP(MONTH(B1679)/3,0)</f>
        <v>الربع 4</v>
      </c>
      <c r="S1679" s="40" t="str">
        <f aca="false">IF(D1679&lt;=12,"أطفال (0-12)",IF(D1679&lt;=24,"شباب (13-24)",IF(D1679&lt;=44,"بالغون (25-44)",IF(D1679&lt;=64,"متوسطو العمر (45-64)","كبار السن (+65)"))))</f>
        <v>كبار السن (+65)</v>
      </c>
      <c r="T1679" s="41" t="n">
        <f aca="false">IFERROR(L1679/P1679,0)</f>
        <v>1160.49333333333</v>
      </c>
    </row>
    <row r="1680" customFormat="false" ht="15" hidden="false" customHeight="false" outlineLevel="0" collapsed="false">
      <c r="A1680" s="42" t="s">
        <v>251</v>
      </c>
      <c r="B1680" s="43" t="n">
        <v>45583</v>
      </c>
      <c r="C1680" s="43" t="n">
        <v>45588</v>
      </c>
      <c r="D1680" s="42" t="n">
        <v>57</v>
      </c>
      <c r="E1680" s="42" t="s">
        <v>154</v>
      </c>
      <c r="F1680" s="42" t="s">
        <v>181</v>
      </c>
      <c r="G1680" s="42" t="s">
        <v>237</v>
      </c>
      <c r="H1680" s="42" t="s">
        <v>245</v>
      </c>
      <c r="I1680" s="42" t="s">
        <v>152</v>
      </c>
      <c r="J1680" s="42" t="s">
        <v>159</v>
      </c>
      <c r="K1680" s="42" t="s">
        <v>184</v>
      </c>
      <c r="L1680" s="44" t="n">
        <v>11210.85</v>
      </c>
      <c r="M1680" s="42" t="n">
        <v>4</v>
      </c>
      <c r="N1680" s="42" t="s">
        <v>146</v>
      </c>
      <c r="O1680" s="42" t="s">
        <v>247</v>
      </c>
      <c r="P1680" s="39" t="n">
        <f aca="false">C1680-B1680</f>
        <v>5</v>
      </c>
      <c r="Q1680" s="40" t="str">
        <f aca="false">CHOOSE(MONTH(B1680),"يناير","فبراير","مارس","أبريل","مايو","يونيو","يوليو","أغسطس","سبتمبر","أكتوبر","نوفمبر","ديسمبر")</f>
        <v>أكتوبر</v>
      </c>
      <c r="R1680" s="40" t="str">
        <f aca="false">"الربع "&amp;ROUNDUP(MONTH(B1680)/3,0)</f>
        <v>الربع 4</v>
      </c>
      <c r="S1680" s="40" t="str">
        <f aca="false">IF(D1680&lt;=12,"أطفال (0-12)",IF(D1680&lt;=24,"شباب (13-24)",IF(D1680&lt;=44,"بالغون (25-44)",IF(D1680&lt;=64,"متوسطو العمر (45-64)","كبار السن (+65)"))))</f>
        <v>متوسطو العمر (45-64)</v>
      </c>
      <c r="T1680" s="41" t="n">
        <f aca="false">IFERROR(L1680/P1680,0)</f>
        <v>2242.17</v>
      </c>
    </row>
    <row r="1681" customFormat="false" ht="15" hidden="false" customHeight="false" outlineLevel="0" collapsed="false">
      <c r="A1681" s="33" t="s">
        <v>380</v>
      </c>
      <c r="B1681" s="34" t="n">
        <v>45583</v>
      </c>
      <c r="C1681" s="34" t="n">
        <v>45584</v>
      </c>
      <c r="D1681" s="33" t="n">
        <v>0</v>
      </c>
      <c r="E1681" s="33" t="s">
        <v>154</v>
      </c>
      <c r="F1681" s="33" t="s">
        <v>203</v>
      </c>
      <c r="G1681" s="33" t="s">
        <v>232</v>
      </c>
      <c r="H1681" s="33" t="s">
        <v>205</v>
      </c>
      <c r="I1681" s="33" t="s">
        <v>143</v>
      </c>
      <c r="J1681" s="33" t="s">
        <v>159</v>
      </c>
      <c r="K1681" s="33" t="s">
        <v>145</v>
      </c>
      <c r="L1681" s="35" t="n">
        <v>741.65</v>
      </c>
      <c r="M1681" s="33" t="n">
        <v>4</v>
      </c>
      <c r="N1681" s="33" t="s">
        <v>146</v>
      </c>
      <c r="O1681" s="33" t="s">
        <v>147</v>
      </c>
      <c r="P1681" s="39" t="n">
        <f aca="false">C1681-B1681</f>
        <v>1</v>
      </c>
      <c r="Q1681" s="40" t="str">
        <f aca="false">CHOOSE(MONTH(B1681),"يناير","فبراير","مارس","أبريل","مايو","يونيو","يوليو","أغسطس","سبتمبر","أكتوبر","نوفمبر","ديسمبر")</f>
        <v>أكتوبر</v>
      </c>
      <c r="R1681" s="40" t="str">
        <f aca="false">"الربع "&amp;ROUNDUP(MONTH(B1681)/3,0)</f>
        <v>الربع 4</v>
      </c>
      <c r="S1681" s="40" t="str">
        <f aca="false">IF(D1681&lt;=12,"أطفال (0-12)",IF(D1681&lt;=24,"شباب (13-24)",IF(D1681&lt;=44,"بالغون (25-44)",IF(D1681&lt;=64,"متوسطو العمر (45-64)","كبار السن (+65)"))))</f>
        <v>أطفال (0-12)</v>
      </c>
      <c r="T1681" s="41" t="n">
        <f aca="false">IFERROR(L1681/P1681,0)</f>
        <v>741.65</v>
      </c>
    </row>
    <row r="1682" customFormat="false" ht="15" hidden="false" customHeight="false" outlineLevel="0" collapsed="false">
      <c r="A1682" s="42" t="s">
        <v>2177</v>
      </c>
      <c r="B1682" s="43" t="n">
        <v>45584</v>
      </c>
      <c r="C1682" s="43" t="n">
        <v>45589</v>
      </c>
      <c r="D1682" s="42" t="n">
        <v>69</v>
      </c>
      <c r="E1682" s="42" t="s">
        <v>139</v>
      </c>
      <c r="F1682" s="42" t="s">
        <v>173</v>
      </c>
      <c r="G1682" s="42" t="s">
        <v>178</v>
      </c>
      <c r="H1682" s="42" t="s">
        <v>199</v>
      </c>
      <c r="I1682" s="42" t="s">
        <v>152</v>
      </c>
      <c r="J1682" s="42" t="s">
        <v>159</v>
      </c>
      <c r="K1682" s="42" t="s">
        <v>160</v>
      </c>
      <c r="L1682" s="44" t="n">
        <v>12982.6</v>
      </c>
      <c r="M1682" s="42" t="n">
        <v>4</v>
      </c>
      <c r="N1682" s="42" t="s">
        <v>146</v>
      </c>
      <c r="O1682" s="42" t="s">
        <v>147</v>
      </c>
      <c r="P1682" s="39" t="n">
        <f aca="false">C1682-B1682</f>
        <v>5</v>
      </c>
      <c r="Q1682" s="40" t="str">
        <f aca="false">CHOOSE(MONTH(B1682),"يناير","فبراير","مارس","أبريل","مايو","يونيو","يوليو","أغسطس","سبتمبر","أكتوبر","نوفمبر","ديسمبر")</f>
        <v>أكتوبر</v>
      </c>
      <c r="R1682" s="40" t="str">
        <f aca="false">"الربع "&amp;ROUNDUP(MONTH(B1682)/3,0)</f>
        <v>الربع 4</v>
      </c>
      <c r="S1682" s="40" t="str">
        <f aca="false">IF(D1682&lt;=12,"أطفال (0-12)",IF(D1682&lt;=24,"شباب (13-24)",IF(D1682&lt;=44,"بالغون (25-44)",IF(D1682&lt;=64,"متوسطو العمر (45-64)","كبار السن (+65)"))))</f>
        <v>كبار السن (+65)</v>
      </c>
      <c r="T1682" s="41" t="n">
        <f aca="false">IFERROR(L1682/P1682,0)</f>
        <v>2596.52</v>
      </c>
    </row>
    <row r="1683" customFormat="false" ht="15" hidden="false" customHeight="false" outlineLevel="0" collapsed="false">
      <c r="A1683" s="33" t="s">
        <v>426</v>
      </c>
      <c r="B1683" s="34" t="n">
        <v>45584</v>
      </c>
      <c r="C1683" s="34" t="n">
        <v>45592</v>
      </c>
      <c r="D1683" s="33" t="n">
        <v>31</v>
      </c>
      <c r="E1683" s="33" t="s">
        <v>154</v>
      </c>
      <c r="F1683" s="33" t="s">
        <v>140</v>
      </c>
      <c r="G1683" s="33" t="s">
        <v>316</v>
      </c>
      <c r="H1683" s="33" t="s">
        <v>142</v>
      </c>
      <c r="I1683" s="33" t="s">
        <v>143</v>
      </c>
      <c r="J1683" s="33" t="s">
        <v>159</v>
      </c>
      <c r="K1683" s="33" t="s">
        <v>160</v>
      </c>
      <c r="L1683" s="35" t="n">
        <v>15775.49</v>
      </c>
      <c r="M1683" s="33" t="n">
        <v>4</v>
      </c>
      <c r="N1683" s="33" t="s">
        <v>146</v>
      </c>
      <c r="O1683" s="33" t="s">
        <v>147</v>
      </c>
      <c r="P1683" s="39" t="n">
        <f aca="false">C1683-B1683</f>
        <v>8</v>
      </c>
      <c r="Q1683" s="40" t="str">
        <f aca="false">CHOOSE(MONTH(B1683),"يناير","فبراير","مارس","أبريل","مايو","يونيو","يوليو","أغسطس","سبتمبر","أكتوبر","نوفمبر","ديسمبر")</f>
        <v>أكتوبر</v>
      </c>
      <c r="R1683" s="40" t="str">
        <f aca="false">"الربع "&amp;ROUNDUP(MONTH(B1683)/3,0)</f>
        <v>الربع 4</v>
      </c>
      <c r="S1683" s="40" t="str">
        <f aca="false">IF(D1683&lt;=12,"أطفال (0-12)",IF(D1683&lt;=24,"شباب (13-24)",IF(D1683&lt;=44,"بالغون (25-44)",IF(D1683&lt;=64,"متوسطو العمر (45-64)","كبار السن (+65)"))))</f>
        <v>بالغون (25-44)</v>
      </c>
      <c r="T1683" s="41" t="n">
        <f aca="false">IFERROR(L1683/P1683,0)</f>
        <v>1971.93625</v>
      </c>
    </row>
    <row r="1684" customFormat="false" ht="15" hidden="false" customHeight="false" outlineLevel="0" collapsed="false">
      <c r="A1684" s="42" t="s">
        <v>674</v>
      </c>
      <c r="B1684" s="43" t="n">
        <v>45584</v>
      </c>
      <c r="C1684" s="43" t="n">
        <v>45585</v>
      </c>
      <c r="D1684" s="42" t="n">
        <v>65</v>
      </c>
      <c r="E1684" s="42" t="s">
        <v>154</v>
      </c>
      <c r="F1684" s="42" t="s">
        <v>203</v>
      </c>
      <c r="G1684" s="42" t="s">
        <v>217</v>
      </c>
      <c r="H1684" s="42" t="s">
        <v>205</v>
      </c>
      <c r="I1684" s="42" t="s">
        <v>143</v>
      </c>
      <c r="J1684" s="42" t="s">
        <v>159</v>
      </c>
      <c r="K1684" s="42" t="s">
        <v>160</v>
      </c>
      <c r="L1684" s="44" t="n">
        <v>878.79</v>
      </c>
      <c r="M1684" s="42" t="n">
        <v>4</v>
      </c>
      <c r="N1684" s="42" t="s">
        <v>146</v>
      </c>
      <c r="O1684" s="42" t="s">
        <v>147</v>
      </c>
      <c r="P1684" s="39" t="n">
        <f aca="false">C1684-B1684</f>
        <v>1</v>
      </c>
      <c r="Q1684" s="40" t="str">
        <f aca="false">CHOOSE(MONTH(B1684),"يناير","فبراير","مارس","أبريل","مايو","يونيو","يوليو","أغسطس","سبتمبر","أكتوبر","نوفمبر","ديسمبر")</f>
        <v>أكتوبر</v>
      </c>
      <c r="R1684" s="40" t="str">
        <f aca="false">"الربع "&amp;ROUNDUP(MONTH(B1684)/3,0)</f>
        <v>الربع 4</v>
      </c>
      <c r="S1684" s="40" t="str">
        <f aca="false">IF(D1684&lt;=12,"أطفال (0-12)",IF(D1684&lt;=24,"شباب (13-24)",IF(D1684&lt;=44,"بالغون (25-44)",IF(D1684&lt;=64,"متوسطو العمر (45-64)","كبار السن (+65)"))))</f>
        <v>كبار السن (+65)</v>
      </c>
      <c r="T1684" s="41" t="n">
        <f aca="false">IFERROR(L1684/P1684,0)</f>
        <v>878.79</v>
      </c>
    </row>
    <row r="1685" customFormat="false" ht="15" hidden="false" customHeight="false" outlineLevel="0" collapsed="false">
      <c r="A1685" s="33" t="s">
        <v>1632</v>
      </c>
      <c r="B1685" s="34" t="n">
        <v>45584</v>
      </c>
      <c r="C1685" s="34" t="n">
        <v>45585</v>
      </c>
      <c r="D1685" s="33" t="n">
        <v>4</v>
      </c>
      <c r="E1685" s="33" t="s">
        <v>139</v>
      </c>
      <c r="F1685" s="33" t="s">
        <v>203</v>
      </c>
      <c r="G1685" s="33" t="s">
        <v>232</v>
      </c>
      <c r="H1685" s="33" t="s">
        <v>205</v>
      </c>
      <c r="I1685" s="33" t="s">
        <v>143</v>
      </c>
      <c r="J1685" s="33" t="s">
        <v>159</v>
      </c>
      <c r="K1685" s="33" t="s">
        <v>145</v>
      </c>
      <c r="L1685" s="35" t="n">
        <v>980.45</v>
      </c>
      <c r="M1685" s="33" t="n">
        <v>4</v>
      </c>
      <c r="N1685" s="33" t="s">
        <v>146</v>
      </c>
      <c r="O1685" s="33" t="s">
        <v>147</v>
      </c>
      <c r="P1685" s="39" t="n">
        <f aca="false">C1685-B1685</f>
        <v>1</v>
      </c>
      <c r="Q1685" s="40" t="str">
        <f aca="false">CHOOSE(MONTH(B1685),"يناير","فبراير","مارس","أبريل","مايو","يونيو","يوليو","أغسطس","سبتمبر","أكتوبر","نوفمبر","ديسمبر")</f>
        <v>أكتوبر</v>
      </c>
      <c r="R1685" s="40" t="str">
        <f aca="false">"الربع "&amp;ROUNDUP(MONTH(B1685)/3,0)</f>
        <v>الربع 4</v>
      </c>
      <c r="S1685" s="40" t="str">
        <f aca="false">IF(D1685&lt;=12,"أطفال (0-12)",IF(D1685&lt;=24,"شباب (13-24)",IF(D1685&lt;=44,"بالغون (25-44)",IF(D1685&lt;=64,"متوسطو العمر (45-64)","كبار السن (+65)"))))</f>
        <v>أطفال (0-12)</v>
      </c>
      <c r="T1685" s="41" t="n">
        <f aca="false">IFERROR(L1685/P1685,0)</f>
        <v>980.45</v>
      </c>
    </row>
    <row r="1686" customFormat="false" ht="15" hidden="false" customHeight="false" outlineLevel="0" collapsed="false">
      <c r="A1686" s="42" t="s">
        <v>1010</v>
      </c>
      <c r="B1686" s="43" t="n">
        <v>45584</v>
      </c>
      <c r="C1686" s="43" t="n">
        <v>45585</v>
      </c>
      <c r="D1686" s="42" t="n">
        <v>58</v>
      </c>
      <c r="E1686" s="42" t="s">
        <v>139</v>
      </c>
      <c r="F1686" s="42" t="s">
        <v>226</v>
      </c>
      <c r="G1686" s="42" t="s">
        <v>386</v>
      </c>
      <c r="H1686" s="42" t="s">
        <v>263</v>
      </c>
      <c r="I1686" s="42" t="s">
        <v>152</v>
      </c>
      <c r="J1686" s="42" t="s">
        <v>176</v>
      </c>
      <c r="K1686" s="42" t="s">
        <v>145</v>
      </c>
      <c r="L1686" s="44" t="n">
        <v>10023.93</v>
      </c>
      <c r="M1686" s="42" t="n">
        <v>4</v>
      </c>
      <c r="N1686" s="42" t="s">
        <v>146</v>
      </c>
      <c r="O1686" s="42" t="s">
        <v>147</v>
      </c>
      <c r="P1686" s="39" t="n">
        <f aca="false">C1686-B1686</f>
        <v>1</v>
      </c>
      <c r="Q1686" s="40" t="str">
        <f aca="false">CHOOSE(MONTH(B1686),"يناير","فبراير","مارس","أبريل","مايو","يونيو","يوليو","أغسطس","سبتمبر","أكتوبر","نوفمبر","ديسمبر")</f>
        <v>أكتوبر</v>
      </c>
      <c r="R1686" s="40" t="str">
        <f aca="false">"الربع "&amp;ROUNDUP(MONTH(B1686)/3,0)</f>
        <v>الربع 4</v>
      </c>
      <c r="S1686" s="40" t="str">
        <f aca="false">IF(D1686&lt;=12,"أطفال (0-12)",IF(D1686&lt;=24,"شباب (13-24)",IF(D1686&lt;=44,"بالغون (25-44)",IF(D1686&lt;=64,"متوسطو العمر (45-64)","كبار السن (+65)"))))</f>
        <v>متوسطو العمر (45-64)</v>
      </c>
      <c r="T1686" s="41" t="n">
        <f aca="false">IFERROR(L1686/P1686,0)</f>
        <v>10023.93</v>
      </c>
    </row>
    <row r="1687" customFormat="false" ht="15" hidden="false" customHeight="false" outlineLevel="0" collapsed="false">
      <c r="A1687" s="33" t="s">
        <v>1410</v>
      </c>
      <c r="B1687" s="34" t="n">
        <v>45585</v>
      </c>
      <c r="C1687" s="34" t="n">
        <v>45591</v>
      </c>
      <c r="D1687" s="33" t="n">
        <v>21</v>
      </c>
      <c r="E1687" s="33" t="s">
        <v>139</v>
      </c>
      <c r="F1687" s="33" t="s">
        <v>140</v>
      </c>
      <c r="G1687" s="33" t="s">
        <v>167</v>
      </c>
      <c r="H1687" s="33" t="s">
        <v>142</v>
      </c>
      <c r="I1687" s="33" t="s">
        <v>152</v>
      </c>
      <c r="J1687" s="33" t="s">
        <v>159</v>
      </c>
      <c r="K1687" s="33" t="s">
        <v>160</v>
      </c>
      <c r="L1687" s="35" t="n">
        <v>11534.32</v>
      </c>
      <c r="M1687" s="33" t="n">
        <v>5</v>
      </c>
      <c r="N1687" s="33" t="s">
        <v>146</v>
      </c>
      <c r="O1687" s="33" t="s">
        <v>147</v>
      </c>
      <c r="P1687" s="39" t="n">
        <f aca="false">C1687-B1687</f>
        <v>6</v>
      </c>
      <c r="Q1687" s="40" t="str">
        <f aca="false">CHOOSE(MONTH(B1687),"يناير","فبراير","مارس","أبريل","مايو","يونيو","يوليو","أغسطس","سبتمبر","أكتوبر","نوفمبر","ديسمبر")</f>
        <v>أكتوبر</v>
      </c>
      <c r="R1687" s="40" t="str">
        <f aca="false">"الربع "&amp;ROUNDUP(MONTH(B1687)/3,0)</f>
        <v>الربع 4</v>
      </c>
      <c r="S1687" s="40" t="str">
        <f aca="false">IF(D1687&lt;=12,"أطفال (0-12)",IF(D1687&lt;=24,"شباب (13-24)",IF(D1687&lt;=44,"بالغون (25-44)",IF(D1687&lt;=64,"متوسطو العمر (45-64)","كبار السن (+65)"))))</f>
        <v>شباب (13-24)</v>
      </c>
      <c r="T1687" s="41" t="n">
        <f aca="false">IFERROR(L1687/P1687,0)</f>
        <v>1922.38666666667</v>
      </c>
    </row>
    <row r="1688" customFormat="false" ht="15" hidden="false" customHeight="false" outlineLevel="0" collapsed="false">
      <c r="A1688" s="42" t="s">
        <v>1474</v>
      </c>
      <c r="B1688" s="43" t="n">
        <v>45585</v>
      </c>
      <c r="C1688" s="43" t="n">
        <v>45586</v>
      </c>
      <c r="D1688" s="42" t="n">
        <v>69</v>
      </c>
      <c r="E1688" s="42" t="s">
        <v>139</v>
      </c>
      <c r="F1688" s="42" t="s">
        <v>203</v>
      </c>
      <c r="G1688" s="42" t="s">
        <v>192</v>
      </c>
      <c r="H1688" s="42" t="s">
        <v>205</v>
      </c>
      <c r="I1688" s="42" t="s">
        <v>143</v>
      </c>
      <c r="J1688" s="42" t="s">
        <v>159</v>
      </c>
      <c r="K1688" s="42" t="s">
        <v>184</v>
      </c>
      <c r="L1688" s="44" t="n">
        <v>696.6</v>
      </c>
      <c r="M1688" s="42" t="n">
        <v>3</v>
      </c>
      <c r="N1688" s="42" t="s">
        <v>210</v>
      </c>
      <c r="O1688" s="42" t="s">
        <v>147</v>
      </c>
      <c r="P1688" s="39" t="n">
        <f aca="false">C1688-B1688</f>
        <v>1</v>
      </c>
      <c r="Q1688" s="40" t="str">
        <f aca="false">CHOOSE(MONTH(B1688),"يناير","فبراير","مارس","أبريل","مايو","يونيو","يوليو","أغسطس","سبتمبر","أكتوبر","نوفمبر","ديسمبر")</f>
        <v>أكتوبر</v>
      </c>
      <c r="R1688" s="40" t="str">
        <f aca="false">"الربع "&amp;ROUNDUP(MONTH(B1688)/3,0)</f>
        <v>الربع 4</v>
      </c>
      <c r="S1688" s="40" t="str">
        <f aca="false">IF(D1688&lt;=12,"أطفال (0-12)",IF(D1688&lt;=24,"شباب (13-24)",IF(D1688&lt;=44,"بالغون (25-44)",IF(D1688&lt;=64,"متوسطو العمر (45-64)","كبار السن (+65)"))))</f>
        <v>كبار السن (+65)</v>
      </c>
      <c r="T1688" s="41" t="n">
        <f aca="false">IFERROR(L1688/P1688,0)</f>
        <v>696.6</v>
      </c>
    </row>
    <row r="1689" customFormat="false" ht="15" hidden="false" customHeight="false" outlineLevel="0" collapsed="false">
      <c r="A1689" s="33" t="s">
        <v>622</v>
      </c>
      <c r="B1689" s="34" t="n">
        <v>45585</v>
      </c>
      <c r="C1689" s="34" t="n">
        <v>45589</v>
      </c>
      <c r="D1689" s="33" t="n">
        <v>88</v>
      </c>
      <c r="E1689" s="33" t="s">
        <v>139</v>
      </c>
      <c r="F1689" s="33" t="s">
        <v>226</v>
      </c>
      <c r="G1689" s="33" t="s">
        <v>227</v>
      </c>
      <c r="H1689" s="33" t="s">
        <v>263</v>
      </c>
      <c r="I1689" s="33" t="s">
        <v>152</v>
      </c>
      <c r="J1689" s="33" t="s">
        <v>159</v>
      </c>
      <c r="K1689" s="33" t="s">
        <v>160</v>
      </c>
      <c r="L1689" s="35" t="n">
        <v>12295.51</v>
      </c>
      <c r="M1689" s="33" t="n">
        <v>1</v>
      </c>
      <c r="N1689" s="33" t="s">
        <v>146</v>
      </c>
      <c r="O1689" s="33" t="s">
        <v>147</v>
      </c>
      <c r="P1689" s="39" t="n">
        <f aca="false">C1689-B1689</f>
        <v>4</v>
      </c>
      <c r="Q1689" s="40" t="str">
        <f aca="false">CHOOSE(MONTH(B1689),"يناير","فبراير","مارس","أبريل","مايو","يونيو","يوليو","أغسطس","سبتمبر","أكتوبر","نوفمبر","ديسمبر")</f>
        <v>أكتوبر</v>
      </c>
      <c r="R1689" s="40" t="str">
        <f aca="false">"الربع "&amp;ROUNDUP(MONTH(B1689)/3,0)</f>
        <v>الربع 4</v>
      </c>
      <c r="S1689" s="40" t="str">
        <f aca="false">IF(D1689&lt;=12,"أطفال (0-12)",IF(D1689&lt;=24,"شباب (13-24)",IF(D1689&lt;=44,"بالغون (25-44)",IF(D1689&lt;=64,"متوسطو العمر (45-64)","كبار السن (+65)"))))</f>
        <v>كبار السن (+65)</v>
      </c>
      <c r="T1689" s="41" t="n">
        <f aca="false">IFERROR(L1689/P1689,0)</f>
        <v>3073.8775</v>
      </c>
    </row>
    <row r="1690" customFormat="false" ht="15" hidden="false" customHeight="false" outlineLevel="0" collapsed="false">
      <c r="A1690" s="42" t="s">
        <v>1935</v>
      </c>
      <c r="B1690" s="43" t="n">
        <v>45585</v>
      </c>
      <c r="C1690" s="43" t="n">
        <v>45586</v>
      </c>
      <c r="D1690" s="42" t="n">
        <v>51</v>
      </c>
      <c r="E1690" s="42" t="s">
        <v>154</v>
      </c>
      <c r="F1690" s="42" t="s">
        <v>203</v>
      </c>
      <c r="G1690" s="42" t="s">
        <v>232</v>
      </c>
      <c r="H1690" s="42" t="s">
        <v>193</v>
      </c>
      <c r="I1690" s="42" t="s">
        <v>143</v>
      </c>
      <c r="J1690" s="42" t="s">
        <v>159</v>
      </c>
      <c r="K1690" s="42" t="s">
        <v>160</v>
      </c>
      <c r="L1690" s="44" t="n">
        <v>778.4</v>
      </c>
      <c r="M1690" s="42" t="n">
        <v>3</v>
      </c>
      <c r="N1690" s="42" t="s">
        <v>146</v>
      </c>
      <c r="O1690" s="42" t="s">
        <v>147</v>
      </c>
      <c r="P1690" s="39" t="n">
        <f aca="false">C1690-B1690</f>
        <v>1</v>
      </c>
      <c r="Q1690" s="40" t="str">
        <f aca="false">CHOOSE(MONTH(B1690),"يناير","فبراير","مارس","أبريل","مايو","يونيو","يوليو","أغسطس","سبتمبر","أكتوبر","نوفمبر","ديسمبر")</f>
        <v>أكتوبر</v>
      </c>
      <c r="R1690" s="40" t="str">
        <f aca="false">"الربع "&amp;ROUNDUP(MONTH(B1690)/3,0)</f>
        <v>الربع 4</v>
      </c>
      <c r="S1690" s="40" t="str">
        <f aca="false">IF(D1690&lt;=12,"أطفال (0-12)",IF(D1690&lt;=24,"شباب (13-24)",IF(D1690&lt;=44,"بالغون (25-44)",IF(D1690&lt;=64,"متوسطو العمر (45-64)","كبار السن (+65)"))))</f>
        <v>متوسطو العمر (45-64)</v>
      </c>
      <c r="T1690" s="41" t="n">
        <f aca="false">IFERROR(L1690/P1690,0)</f>
        <v>778.4</v>
      </c>
    </row>
    <row r="1691" customFormat="false" ht="15" hidden="false" customHeight="false" outlineLevel="0" collapsed="false">
      <c r="A1691" s="33" t="s">
        <v>843</v>
      </c>
      <c r="B1691" s="34" t="n">
        <v>45585</v>
      </c>
      <c r="C1691" s="34" t="n">
        <v>45588</v>
      </c>
      <c r="D1691" s="33" t="n">
        <v>54</v>
      </c>
      <c r="E1691" s="33" t="s">
        <v>154</v>
      </c>
      <c r="F1691" s="33" t="s">
        <v>169</v>
      </c>
      <c r="G1691" s="33" t="s">
        <v>213</v>
      </c>
      <c r="H1691" s="33" t="s">
        <v>195</v>
      </c>
      <c r="I1691" s="33" t="s">
        <v>143</v>
      </c>
      <c r="J1691" s="33" t="s">
        <v>159</v>
      </c>
      <c r="K1691" s="33" t="s">
        <v>145</v>
      </c>
      <c r="L1691" s="35" t="n">
        <v>3447.45</v>
      </c>
      <c r="M1691" s="33" t="n">
        <v>3</v>
      </c>
      <c r="N1691" s="33" t="s">
        <v>146</v>
      </c>
      <c r="O1691" s="33" t="s">
        <v>147</v>
      </c>
      <c r="P1691" s="39" t="n">
        <f aca="false">C1691-B1691</f>
        <v>3</v>
      </c>
      <c r="Q1691" s="40" t="str">
        <f aca="false">CHOOSE(MONTH(B1691),"يناير","فبراير","مارس","أبريل","مايو","يونيو","يوليو","أغسطس","سبتمبر","أكتوبر","نوفمبر","ديسمبر")</f>
        <v>أكتوبر</v>
      </c>
      <c r="R1691" s="40" t="str">
        <f aca="false">"الربع "&amp;ROUNDUP(MONTH(B1691)/3,0)</f>
        <v>الربع 4</v>
      </c>
      <c r="S1691" s="40" t="str">
        <f aca="false">IF(D1691&lt;=12,"أطفال (0-12)",IF(D1691&lt;=24,"شباب (13-24)",IF(D1691&lt;=44,"بالغون (25-44)",IF(D1691&lt;=64,"متوسطو العمر (45-64)","كبار السن (+65)"))))</f>
        <v>متوسطو العمر (45-64)</v>
      </c>
      <c r="T1691" s="41" t="n">
        <f aca="false">IFERROR(L1691/P1691,0)</f>
        <v>1149.15</v>
      </c>
    </row>
    <row r="1692" customFormat="false" ht="15" hidden="false" customHeight="false" outlineLevel="0" collapsed="false">
      <c r="A1692" s="42" t="s">
        <v>1167</v>
      </c>
      <c r="B1692" s="43" t="n">
        <v>45585</v>
      </c>
      <c r="C1692" s="43" t="n">
        <v>45586</v>
      </c>
      <c r="D1692" s="42" t="n">
        <v>56</v>
      </c>
      <c r="E1692" s="42" t="s">
        <v>154</v>
      </c>
      <c r="F1692" s="42" t="s">
        <v>203</v>
      </c>
      <c r="G1692" s="42" t="s">
        <v>192</v>
      </c>
      <c r="H1692" s="42" t="s">
        <v>233</v>
      </c>
      <c r="I1692" s="42" t="s">
        <v>152</v>
      </c>
      <c r="J1692" s="42" t="s">
        <v>159</v>
      </c>
      <c r="K1692" s="42" t="s">
        <v>160</v>
      </c>
      <c r="L1692" s="44" t="n">
        <v>885.82</v>
      </c>
      <c r="M1692" s="42" t="n">
        <v>4</v>
      </c>
      <c r="N1692" s="42" t="s">
        <v>146</v>
      </c>
      <c r="O1692" s="42" t="s">
        <v>206</v>
      </c>
      <c r="P1692" s="39" t="n">
        <f aca="false">C1692-B1692</f>
        <v>1</v>
      </c>
      <c r="Q1692" s="40" t="str">
        <f aca="false">CHOOSE(MONTH(B1692),"يناير","فبراير","مارس","أبريل","مايو","يونيو","يوليو","أغسطس","سبتمبر","أكتوبر","نوفمبر","ديسمبر")</f>
        <v>أكتوبر</v>
      </c>
      <c r="R1692" s="40" t="str">
        <f aca="false">"الربع "&amp;ROUNDUP(MONTH(B1692)/3,0)</f>
        <v>الربع 4</v>
      </c>
      <c r="S1692" s="40" t="str">
        <f aca="false">IF(D1692&lt;=12,"أطفال (0-12)",IF(D1692&lt;=24,"شباب (13-24)",IF(D1692&lt;=44,"بالغون (25-44)",IF(D1692&lt;=64,"متوسطو العمر (45-64)","كبار السن (+65)"))))</f>
        <v>متوسطو العمر (45-64)</v>
      </c>
      <c r="T1692" s="41" t="n">
        <f aca="false">IFERROR(L1692/P1692,0)</f>
        <v>885.82</v>
      </c>
    </row>
    <row r="1693" customFormat="false" ht="15" hidden="false" customHeight="false" outlineLevel="0" collapsed="false">
      <c r="A1693" s="33" t="s">
        <v>1630</v>
      </c>
      <c r="B1693" s="34" t="n">
        <v>45585</v>
      </c>
      <c r="C1693" s="34" t="n">
        <v>45586</v>
      </c>
      <c r="D1693" s="33" t="n">
        <v>63</v>
      </c>
      <c r="E1693" s="33" t="s">
        <v>139</v>
      </c>
      <c r="F1693" s="33" t="s">
        <v>169</v>
      </c>
      <c r="G1693" s="33" t="s">
        <v>170</v>
      </c>
      <c r="H1693" s="33" t="s">
        <v>195</v>
      </c>
      <c r="I1693" s="33" t="s">
        <v>143</v>
      </c>
      <c r="J1693" s="33" t="s">
        <v>159</v>
      </c>
      <c r="K1693" s="33" t="s">
        <v>145</v>
      </c>
      <c r="L1693" s="35" t="n">
        <v>1131.19</v>
      </c>
      <c r="M1693" s="33" t="n">
        <v>4</v>
      </c>
      <c r="N1693" s="33" t="s">
        <v>146</v>
      </c>
      <c r="O1693" s="33" t="s">
        <v>147</v>
      </c>
      <c r="P1693" s="39" t="n">
        <f aca="false">C1693-B1693</f>
        <v>1</v>
      </c>
      <c r="Q1693" s="40" t="str">
        <f aca="false">CHOOSE(MONTH(B1693),"يناير","فبراير","مارس","أبريل","مايو","يونيو","يوليو","أغسطس","سبتمبر","أكتوبر","نوفمبر","ديسمبر")</f>
        <v>أكتوبر</v>
      </c>
      <c r="R1693" s="40" t="str">
        <f aca="false">"الربع "&amp;ROUNDUP(MONTH(B1693)/3,0)</f>
        <v>الربع 4</v>
      </c>
      <c r="S1693" s="40" t="str">
        <f aca="false">IF(D1693&lt;=12,"أطفال (0-12)",IF(D1693&lt;=24,"شباب (13-24)",IF(D1693&lt;=44,"بالغون (25-44)",IF(D1693&lt;=64,"متوسطو العمر (45-64)","كبار السن (+65)"))))</f>
        <v>متوسطو العمر (45-64)</v>
      </c>
      <c r="T1693" s="41" t="n">
        <f aca="false">IFERROR(L1693/P1693,0)</f>
        <v>1131.19</v>
      </c>
    </row>
    <row r="1694" customFormat="false" ht="15" hidden="false" customHeight="false" outlineLevel="0" collapsed="false">
      <c r="A1694" s="42" t="s">
        <v>452</v>
      </c>
      <c r="B1694" s="43" t="n">
        <v>45585</v>
      </c>
      <c r="C1694" s="43" t="n">
        <v>45593</v>
      </c>
      <c r="D1694" s="42" t="n">
        <v>11</v>
      </c>
      <c r="E1694" s="42" t="s">
        <v>154</v>
      </c>
      <c r="F1694" s="42" t="s">
        <v>155</v>
      </c>
      <c r="G1694" s="42" t="s">
        <v>156</v>
      </c>
      <c r="H1694" s="42" t="s">
        <v>222</v>
      </c>
      <c r="I1694" s="42" t="s">
        <v>152</v>
      </c>
      <c r="J1694" s="42" t="s">
        <v>159</v>
      </c>
      <c r="K1694" s="42" t="s">
        <v>145</v>
      </c>
      <c r="L1694" s="44" t="n">
        <v>6968.8</v>
      </c>
      <c r="M1694" s="42" t="n">
        <v>4</v>
      </c>
      <c r="N1694" s="42" t="s">
        <v>146</v>
      </c>
      <c r="O1694" s="42" t="s">
        <v>147</v>
      </c>
      <c r="P1694" s="39" t="n">
        <f aca="false">C1694-B1694</f>
        <v>8</v>
      </c>
      <c r="Q1694" s="40" t="str">
        <f aca="false">CHOOSE(MONTH(B1694),"يناير","فبراير","مارس","أبريل","مايو","يونيو","يوليو","أغسطس","سبتمبر","أكتوبر","نوفمبر","ديسمبر")</f>
        <v>أكتوبر</v>
      </c>
      <c r="R1694" s="40" t="str">
        <f aca="false">"الربع "&amp;ROUNDUP(MONTH(B1694)/3,0)</f>
        <v>الربع 4</v>
      </c>
      <c r="S1694" s="40" t="str">
        <f aca="false">IF(D1694&lt;=12,"أطفال (0-12)",IF(D1694&lt;=24,"شباب (13-24)",IF(D1694&lt;=44,"بالغون (25-44)",IF(D1694&lt;=64,"متوسطو العمر (45-64)","كبار السن (+65)"))))</f>
        <v>أطفال (0-12)</v>
      </c>
      <c r="T1694" s="41" t="n">
        <f aca="false">IFERROR(L1694/P1694,0)</f>
        <v>871.1</v>
      </c>
    </row>
    <row r="1695" customFormat="false" ht="15" hidden="false" customHeight="false" outlineLevel="0" collapsed="false">
      <c r="A1695" s="33" t="s">
        <v>1383</v>
      </c>
      <c r="B1695" s="34" t="n">
        <v>45585</v>
      </c>
      <c r="C1695" s="34" t="n">
        <v>45586</v>
      </c>
      <c r="D1695" s="33" t="n">
        <v>73</v>
      </c>
      <c r="E1695" s="33" t="s">
        <v>139</v>
      </c>
      <c r="F1695" s="33" t="s">
        <v>203</v>
      </c>
      <c r="G1695" s="33" t="s">
        <v>204</v>
      </c>
      <c r="H1695" s="33" t="s">
        <v>193</v>
      </c>
      <c r="I1695" s="33" t="s">
        <v>143</v>
      </c>
      <c r="J1695" s="33" t="s">
        <v>144</v>
      </c>
      <c r="K1695" s="33" t="s">
        <v>160</v>
      </c>
      <c r="L1695" s="35" t="n">
        <v>1551.57</v>
      </c>
      <c r="M1695" s="33" t="n">
        <v>3</v>
      </c>
      <c r="N1695" s="33" t="s">
        <v>146</v>
      </c>
      <c r="O1695" s="33" t="s">
        <v>147</v>
      </c>
      <c r="P1695" s="39" t="n">
        <f aca="false">C1695-B1695</f>
        <v>1</v>
      </c>
      <c r="Q1695" s="40" t="str">
        <f aca="false">CHOOSE(MONTH(B1695),"يناير","فبراير","مارس","أبريل","مايو","يونيو","يوليو","أغسطس","سبتمبر","أكتوبر","نوفمبر","ديسمبر")</f>
        <v>أكتوبر</v>
      </c>
      <c r="R1695" s="40" t="str">
        <f aca="false">"الربع "&amp;ROUNDUP(MONTH(B1695)/3,0)</f>
        <v>الربع 4</v>
      </c>
      <c r="S1695" s="40" t="str">
        <f aca="false">IF(D1695&lt;=12,"أطفال (0-12)",IF(D1695&lt;=24,"شباب (13-24)",IF(D1695&lt;=44,"بالغون (25-44)",IF(D1695&lt;=64,"متوسطو العمر (45-64)","كبار السن (+65)"))))</f>
        <v>كبار السن (+65)</v>
      </c>
      <c r="T1695" s="41" t="n">
        <f aca="false">IFERROR(L1695/P1695,0)</f>
        <v>1551.57</v>
      </c>
    </row>
    <row r="1696" customFormat="false" ht="15" hidden="false" customHeight="false" outlineLevel="0" collapsed="false">
      <c r="A1696" s="42" t="s">
        <v>590</v>
      </c>
      <c r="B1696" s="43" t="n">
        <v>45585</v>
      </c>
      <c r="C1696" s="43" t="n">
        <v>45586</v>
      </c>
      <c r="D1696" s="42" t="n">
        <v>48</v>
      </c>
      <c r="E1696" s="42" t="s">
        <v>139</v>
      </c>
      <c r="F1696" s="42" t="s">
        <v>169</v>
      </c>
      <c r="G1696" s="42" t="s">
        <v>230</v>
      </c>
      <c r="H1696" s="42" t="s">
        <v>171</v>
      </c>
      <c r="I1696" s="42" t="s">
        <v>152</v>
      </c>
      <c r="J1696" s="42" t="s">
        <v>159</v>
      </c>
      <c r="K1696" s="42" t="s">
        <v>145</v>
      </c>
      <c r="L1696" s="44" t="n">
        <v>1010.36</v>
      </c>
      <c r="M1696" s="42" t="n">
        <v>5</v>
      </c>
      <c r="N1696" s="42" t="s">
        <v>146</v>
      </c>
      <c r="O1696" s="42" t="s">
        <v>147</v>
      </c>
      <c r="P1696" s="39" t="n">
        <f aca="false">C1696-B1696</f>
        <v>1</v>
      </c>
      <c r="Q1696" s="40" t="str">
        <f aca="false">CHOOSE(MONTH(B1696),"يناير","فبراير","مارس","أبريل","مايو","يونيو","يوليو","أغسطس","سبتمبر","أكتوبر","نوفمبر","ديسمبر")</f>
        <v>أكتوبر</v>
      </c>
      <c r="R1696" s="40" t="str">
        <f aca="false">"الربع "&amp;ROUNDUP(MONTH(B1696)/3,0)</f>
        <v>الربع 4</v>
      </c>
      <c r="S1696" s="40" t="str">
        <f aca="false">IF(D1696&lt;=12,"أطفال (0-12)",IF(D1696&lt;=24,"شباب (13-24)",IF(D1696&lt;=44,"بالغون (25-44)",IF(D1696&lt;=64,"متوسطو العمر (45-64)","كبار السن (+65)"))))</f>
        <v>متوسطو العمر (45-64)</v>
      </c>
      <c r="T1696" s="41" t="n">
        <f aca="false">IFERROR(L1696/P1696,0)</f>
        <v>1010.36</v>
      </c>
    </row>
    <row r="1697" customFormat="false" ht="15" hidden="false" customHeight="false" outlineLevel="0" collapsed="false">
      <c r="A1697" s="33" t="s">
        <v>2009</v>
      </c>
      <c r="B1697" s="34" t="n">
        <v>45586</v>
      </c>
      <c r="C1697" s="34" t="n">
        <v>45593</v>
      </c>
      <c r="D1697" s="33" t="n">
        <v>5</v>
      </c>
      <c r="E1697" s="33" t="s">
        <v>139</v>
      </c>
      <c r="F1697" s="33" t="s">
        <v>155</v>
      </c>
      <c r="G1697" s="33" t="s">
        <v>156</v>
      </c>
      <c r="H1697" s="33" t="s">
        <v>157</v>
      </c>
      <c r="I1697" s="33" t="s">
        <v>143</v>
      </c>
      <c r="J1697" s="33" t="s">
        <v>159</v>
      </c>
      <c r="K1697" s="33" t="s">
        <v>145</v>
      </c>
      <c r="L1697" s="35" t="n">
        <v>5285.21</v>
      </c>
      <c r="M1697" s="33" t="n">
        <v>4</v>
      </c>
      <c r="N1697" s="33" t="s">
        <v>146</v>
      </c>
      <c r="O1697" s="33" t="s">
        <v>147</v>
      </c>
      <c r="P1697" s="39" t="n">
        <f aca="false">C1697-B1697</f>
        <v>7</v>
      </c>
      <c r="Q1697" s="40" t="str">
        <f aca="false">CHOOSE(MONTH(B1697),"يناير","فبراير","مارس","أبريل","مايو","يونيو","يوليو","أغسطس","سبتمبر","أكتوبر","نوفمبر","ديسمبر")</f>
        <v>أكتوبر</v>
      </c>
      <c r="R1697" s="40" t="str">
        <f aca="false">"الربع "&amp;ROUNDUP(MONTH(B1697)/3,0)</f>
        <v>الربع 4</v>
      </c>
      <c r="S1697" s="40" t="str">
        <f aca="false">IF(D1697&lt;=12,"أطفال (0-12)",IF(D1697&lt;=24,"شباب (13-24)",IF(D1697&lt;=44,"بالغون (25-44)",IF(D1697&lt;=64,"متوسطو العمر (45-64)","كبار السن (+65)"))))</f>
        <v>أطفال (0-12)</v>
      </c>
      <c r="T1697" s="41" t="n">
        <f aca="false">IFERROR(L1697/P1697,0)</f>
        <v>755.03</v>
      </c>
    </row>
    <row r="1698" customFormat="false" ht="15" hidden="false" customHeight="false" outlineLevel="0" collapsed="false">
      <c r="A1698" s="42" t="s">
        <v>1793</v>
      </c>
      <c r="B1698" s="43" t="n">
        <v>45586</v>
      </c>
      <c r="C1698" s="43" t="n">
        <v>45588</v>
      </c>
      <c r="D1698" s="42" t="n">
        <v>11</v>
      </c>
      <c r="E1698" s="42" t="s">
        <v>154</v>
      </c>
      <c r="F1698" s="42" t="s">
        <v>155</v>
      </c>
      <c r="G1698" s="42" t="s">
        <v>220</v>
      </c>
      <c r="H1698" s="42" t="s">
        <v>222</v>
      </c>
      <c r="I1698" s="42" t="s">
        <v>143</v>
      </c>
      <c r="J1698" s="42" t="s">
        <v>159</v>
      </c>
      <c r="K1698" s="42" t="s">
        <v>160</v>
      </c>
      <c r="L1698" s="44" t="n">
        <v>1371.39</v>
      </c>
      <c r="M1698" s="42" t="n">
        <v>4</v>
      </c>
      <c r="N1698" s="42" t="s">
        <v>146</v>
      </c>
      <c r="O1698" s="42" t="s">
        <v>147</v>
      </c>
      <c r="P1698" s="39" t="n">
        <f aca="false">C1698-B1698</f>
        <v>2</v>
      </c>
      <c r="Q1698" s="40" t="str">
        <f aca="false">CHOOSE(MONTH(B1698),"يناير","فبراير","مارس","أبريل","مايو","يونيو","يوليو","أغسطس","سبتمبر","أكتوبر","نوفمبر","ديسمبر")</f>
        <v>أكتوبر</v>
      </c>
      <c r="R1698" s="40" t="str">
        <f aca="false">"الربع "&amp;ROUNDUP(MONTH(B1698)/3,0)</f>
        <v>الربع 4</v>
      </c>
      <c r="S1698" s="40" t="str">
        <f aca="false">IF(D1698&lt;=12,"أطفال (0-12)",IF(D1698&lt;=24,"شباب (13-24)",IF(D1698&lt;=44,"بالغون (25-44)",IF(D1698&lt;=64,"متوسطو العمر (45-64)","كبار السن (+65)"))))</f>
        <v>أطفال (0-12)</v>
      </c>
      <c r="T1698" s="41" t="n">
        <f aca="false">IFERROR(L1698/P1698,0)</f>
        <v>685.695</v>
      </c>
    </row>
    <row r="1699" customFormat="false" ht="15" hidden="false" customHeight="false" outlineLevel="0" collapsed="false">
      <c r="A1699" s="33" t="s">
        <v>2015</v>
      </c>
      <c r="B1699" s="34" t="n">
        <v>45586</v>
      </c>
      <c r="C1699" s="34" t="n">
        <v>45591</v>
      </c>
      <c r="D1699" s="33" t="n">
        <v>40</v>
      </c>
      <c r="E1699" s="33" t="s">
        <v>154</v>
      </c>
      <c r="F1699" s="33" t="s">
        <v>181</v>
      </c>
      <c r="G1699" s="33" t="s">
        <v>188</v>
      </c>
      <c r="H1699" s="33" t="s">
        <v>245</v>
      </c>
      <c r="I1699" s="33" t="s">
        <v>143</v>
      </c>
      <c r="J1699" s="33" t="s">
        <v>144</v>
      </c>
      <c r="K1699" s="33" t="s">
        <v>145</v>
      </c>
      <c r="L1699" s="35" t="n">
        <v>28773.19</v>
      </c>
      <c r="M1699" s="33" t="n">
        <v>5</v>
      </c>
      <c r="N1699" s="33" t="s">
        <v>210</v>
      </c>
      <c r="O1699" s="33" t="s">
        <v>147</v>
      </c>
      <c r="P1699" s="39" t="n">
        <f aca="false">C1699-B1699</f>
        <v>5</v>
      </c>
      <c r="Q1699" s="40" t="str">
        <f aca="false">CHOOSE(MONTH(B1699),"يناير","فبراير","مارس","أبريل","مايو","يونيو","يوليو","أغسطس","سبتمبر","أكتوبر","نوفمبر","ديسمبر")</f>
        <v>أكتوبر</v>
      </c>
      <c r="R1699" s="40" t="str">
        <f aca="false">"الربع "&amp;ROUNDUP(MONTH(B1699)/3,0)</f>
        <v>الربع 4</v>
      </c>
      <c r="S1699" s="40" t="str">
        <f aca="false">IF(D1699&lt;=12,"أطفال (0-12)",IF(D1699&lt;=24,"شباب (13-24)",IF(D1699&lt;=44,"بالغون (25-44)",IF(D1699&lt;=64,"متوسطو العمر (45-64)","كبار السن (+65)"))))</f>
        <v>بالغون (25-44)</v>
      </c>
      <c r="T1699" s="41" t="n">
        <f aca="false">IFERROR(L1699/P1699,0)</f>
        <v>5754.638</v>
      </c>
    </row>
    <row r="1700" customFormat="false" ht="15" hidden="false" customHeight="false" outlineLevel="0" collapsed="false">
      <c r="A1700" s="42" t="s">
        <v>1199</v>
      </c>
      <c r="B1700" s="43" t="n">
        <v>45586</v>
      </c>
      <c r="C1700" s="43" t="n">
        <v>45595</v>
      </c>
      <c r="D1700" s="42" t="n">
        <v>44</v>
      </c>
      <c r="E1700" s="42" t="s">
        <v>139</v>
      </c>
      <c r="F1700" s="42" t="s">
        <v>226</v>
      </c>
      <c r="G1700" s="42" t="s">
        <v>258</v>
      </c>
      <c r="H1700" s="42" t="s">
        <v>263</v>
      </c>
      <c r="I1700" s="42" t="s">
        <v>143</v>
      </c>
      <c r="J1700" s="42" t="s">
        <v>176</v>
      </c>
      <c r="K1700" s="42" t="s">
        <v>145</v>
      </c>
      <c r="L1700" s="44" t="n">
        <v>124313.49</v>
      </c>
      <c r="M1700" s="42" t="n">
        <v>4</v>
      </c>
      <c r="N1700" s="42" t="s">
        <v>146</v>
      </c>
      <c r="O1700" s="42" t="s">
        <v>147</v>
      </c>
      <c r="P1700" s="39" t="n">
        <f aca="false">C1700-B1700</f>
        <v>9</v>
      </c>
      <c r="Q1700" s="40" t="str">
        <f aca="false">CHOOSE(MONTH(B1700),"يناير","فبراير","مارس","أبريل","مايو","يونيو","يوليو","أغسطس","سبتمبر","أكتوبر","نوفمبر","ديسمبر")</f>
        <v>أكتوبر</v>
      </c>
      <c r="R1700" s="40" t="str">
        <f aca="false">"الربع "&amp;ROUNDUP(MONTH(B1700)/3,0)</f>
        <v>الربع 4</v>
      </c>
      <c r="S1700" s="40" t="str">
        <f aca="false">IF(D1700&lt;=12,"أطفال (0-12)",IF(D1700&lt;=24,"شباب (13-24)",IF(D1700&lt;=44,"بالغون (25-44)",IF(D1700&lt;=64,"متوسطو العمر (45-64)","كبار السن (+65)"))))</f>
        <v>بالغون (25-44)</v>
      </c>
      <c r="T1700" s="41" t="n">
        <f aca="false">IFERROR(L1700/P1700,0)</f>
        <v>13812.61</v>
      </c>
    </row>
    <row r="1701" customFormat="false" ht="15" hidden="false" customHeight="false" outlineLevel="0" collapsed="false">
      <c r="A1701" s="33" t="s">
        <v>2056</v>
      </c>
      <c r="B1701" s="34" t="n">
        <v>45586</v>
      </c>
      <c r="C1701" s="34" t="n">
        <v>45590</v>
      </c>
      <c r="D1701" s="33" t="n">
        <v>44</v>
      </c>
      <c r="E1701" s="33" t="s">
        <v>139</v>
      </c>
      <c r="F1701" s="33" t="s">
        <v>169</v>
      </c>
      <c r="G1701" s="33" t="s">
        <v>163</v>
      </c>
      <c r="H1701" s="33" t="s">
        <v>195</v>
      </c>
      <c r="I1701" s="33" t="s">
        <v>143</v>
      </c>
      <c r="J1701" s="33" t="s">
        <v>159</v>
      </c>
      <c r="K1701" s="33" t="s">
        <v>145</v>
      </c>
      <c r="L1701" s="35" t="n">
        <v>4877.22</v>
      </c>
      <c r="M1701" s="33" t="n">
        <v>5</v>
      </c>
      <c r="N1701" s="33" t="s">
        <v>146</v>
      </c>
      <c r="O1701" s="33" t="s">
        <v>147</v>
      </c>
      <c r="P1701" s="39" t="n">
        <f aca="false">C1701-B1701</f>
        <v>4</v>
      </c>
      <c r="Q1701" s="40" t="str">
        <f aca="false">CHOOSE(MONTH(B1701),"يناير","فبراير","مارس","أبريل","مايو","يونيو","يوليو","أغسطس","سبتمبر","أكتوبر","نوفمبر","ديسمبر")</f>
        <v>أكتوبر</v>
      </c>
      <c r="R1701" s="40" t="str">
        <f aca="false">"الربع "&amp;ROUNDUP(MONTH(B1701)/3,0)</f>
        <v>الربع 4</v>
      </c>
      <c r="S1701" s="40" t="str">
        <f aca="false">IF(D1701&lt;=12,"أطفال (0-12)",IF(D1701&lt;=24,"شباب (13-24)",IF(D1701&lt;=44,"بالغون (25-44)",IF(D1701&lt;=64,"متوسطو العمر (45-64)","كبار السن (+65)"))))</f>
        <v>بالغون (25-44)</v>
      </c>
      <c r="T1701" s="41" t="n">
        <f aca="false">IFERROR(L1701/P1701,0)</f>
        <v>1219.305</v>
      </c>
    </row>
    <row r="1702" customFormat="false" ht="15" hidden="false" customHeight="false" outlineLevel="0" collapsed="false">
      <c r="A1702" s="42" t="s">
        <v>393</v>
      </c>
      <c r="B1702" s="43" t="n">
        <v>45586</v>
      </c>
      <c r="C1702" s="43" t="n">
        <v>45587</v>
      </c>
      <c r="D1702" s="42" t="n">
        <v>47</v>
      </c>
      <c r="E1702" s="42" t="s">
        <v>139</v>
      </c>
      <c r="F1702" s="42" t="s">
        <v>203</v>
      </c>
      <c r="G1702" s="42" t="s">
        <v>204</v>
      </c>
      <c r="H1702" s="42" t="s">
        <v>233</v>
      </c>
      <c r="I1702" s="42" t="s">
        <v>143</v>
      </c>
      <c r="J1702" s="42" t="s">
        <v>159</v>
      </c>
      <c r="K1702" s="42" t="s">
        <v>209</v>
      </c>
      <c r="L1702" s="44" t="n">
        <v>904.52</v>
      </c>
      <c r="M1702" s="42" t="n">
        <v>4</v>
      </c>
      <c r="N1702" s="42" t="s">
        <v>146</v>
      </c>
      <c r="O1702" s="42" t="s">
        <v>147</v>
      </c>
      <c r="P1702" s="39" t="n">
        <f aca="false">C1702-B1702</f>
        <v>1</v>
      </c>
      <c r="Q1702" s="40" t="str">
        <f aca="false">CHOOSE(MONTH(B1702),"يناير","فبراير","مارس","أبريل","مايو","يونيو","يوليو","أغسطس","سبتمبر","أكتوبر","نوفمبر","ديسمبر")</f>
        <v>أكتوبر</v>
      </c>
      <c r="R1702" s="40" t="str">
        <f aca="false">"الربع "&amp;ROUNDUP(MONTH(B1702)/3,0)</f>
        <v>الربع 4</v>
      </c>
      <c r="S1702" s="40" t="str">
        <f aca="false">IF(D1702&lt;=12,"أطفال (0-12)",IF(D1702&lt;=24,"شباب (13-24)",IF(D1702&lt;=44,"بالغون (25-44)",IF(D1702&lt;=64,"متوسطو العمر (45-64)","كبار السن (+65)"))))</f>
        <v>متوسطو العمر (45-64)</v>
      </c>
      <c r="T1702" s="41" t="n">
        <f aca="false">IFERROR(L1702/P1702,0)</f>
        <v>904.52</v>
      </c>
    </row>
    <row r="1703" customFormat="false" ht="15" hidden="false" customHeight="false" outlineLevel="0" collapsed="false">
      <c r="A1703" s="33" t="s">
        <v>828</v>
      </c>
      <c r="B1703" s="34" t="n">
        <v>45586</v>
      </c>
      <c r="C1703" s="34" t="n">
        <v>45588</v>
      </c>
      <c r="D1703" s="33" t="n">
        <v>5</v>
      </c>
      <c r="E1703" s="33" t="s">
        <v>154</v>
      </c>
      <c r="F1703" s="33" t="s">
        <v>155</v>
      </c>
      <c r="G1703" s="33" t="s">
        <v>156</v>
      </c>
      <c r="H1703" s="33" t="s">
        <v>157</v>
      </c>
      <c r="I1703" s="33" t="s">
        <v>143</v>
      </c>
      <c r="J1703" s="33" t="s">
        <v>144</v>
      </c>
      <c r="K1703" s="33" t="s">
        <v>160</v>
      </c>
      <c r="L1703" s="35" t="n">
        <v>3202.24</v>
      </c>
      <c r="M1703" s="33" t="n">
        <v>4</v>
      </c>
      <c r="N1703" s="33" t="s">
        <v>146</v>
      </c>
      <c r="O1703" s="33" t="s">
        <v>147</v>
      </c>
      <c r="P1703" s="39" t="n">
        <f aca="false">C1703-B1703</f>
        <v>2</v>
      </c>
      <c r="Q1703" s="40" t="str">
        <f aca="false">CHOOSE(MONTH(B1703),"يناير","فبراير","مارس","أبريل","مايو","يونيو","يوليو","أغسطس","سبتمبر","أكتوبر","نوفمبر","ديسمبر")</f>
        <v>أكتوبر</v>
      </c>
      <c r="R1703" s="40" t="str">
        <f aca="false">"الربع "&amp;ROUNDUP(MONTH(B1703)/3,0)</f>
        <v>الربع 4</v>
      </c>
      <c r="S1703" s="40" t="str">
        <f aca="false">IF(D1703&lt;=12,"أطفال (0-12)",IF(D1703&lt;=24,"شباب (13-24)",IF(D1703&lt;=44,"بالغون (25-44)",IF(D1703&lt;=64,"متوسطو العمر (45-64)","كبار السن (+65)"))))</f>
        <v>أطفال (0-12)</v>
      </c>
      <c r="T1703" s="41" t="n">
        <f aca="false">IFERROR(L1703/P1703,0)</f>
        <v>1601.12</v>
      </c>
    </row>
    <row r="1704" customFormat="false" ht="15" hidden="false" customHeight="false" outlineLevel="0" collapsed="false">
      <c r="A1704" s="42" t="s">
        <v>858</v>
      </c>
      <c r="B1704" s="43" t="n">
        <v>45587</v>
      </c>
      <c r="C1704" s="43" t="n">
        <v>45590</v>
      </c>
      <c r="D1704" s="42" t="n">
        <v>6</v>
      </c>
      <c r="E1704" s="42" t="s">
        <v>154</v>
      </c>
      <c r="F1704" s="42" t="s">
        <v>155</v>
      </c>
      <c r="G1704" s="42" t="s">
        <v>302</v>
      </c>
      <c r="H1704" s="42" t="s">
        <v>157</v>
      </c>
      <c r="I1704" s="42" t="s">
        <v>143</v>
      </c>
      <c r="J1704" s="42" t="s">
        <v>144</v>
      </c>
      <c r="K1704" s="42" t="s">
        <v>160</v>
      </c>
      <c r="L1704" s="44" t="n">
        <v>3005.77</v>
      </c>
      <c r="M1704" s="42" t="n">
        <v>3</v>
      </c>
      <c r="N1704" s="42" t="s">
        <v>146</v>
      </c>
      <c r="O1704" s="42" t="s">
        <v>147</v>
      </c>
      <c r="P1704" s="39" t="n">
        <f aca="false">C1704-B1704</f>
        <v>3</v>
      </c>
      <c r="Q1704" s="40" t="str">
        <f aca="false">CHOOSE(MONTH(B1704),"يناير","فبراير","مارس","أبريل","مايو","يونيو","يوليو","أغسطس","سبتمبر","أكتوبر","نوفمبر","ديسمبر")</f>
        <v>أكتوبر</v>
      </c>
      <c r="R1704" s="40" t="str">
        <f aca="false">"الربع "&amp;ROUNDUP(MONTH(B1704)/3,0)</f>
        <v>الربع 4</v>
      </c>
      <c r="S1704" s="40" t="str">
        <f aca="false">IF(D1704&lt;=12,"أطفال (0-12)",IF(D1704&lt;=24,"شباب (13-24)",IF(D1704&lt;=44,"بالغون (25-44)",IF(D1704&lt;=64,"متوسطو العمر (45-64)","كبار السن (+65)"))))</f>
        <v>أطفال (0-12)</v>
      </c>
      <c r="T1704" s="41" t="n">
        <f aca="false">IFERROR(L1704/P1704,0)</f>
        <v>1001.92333333333</v>
      </c>
    </row>
    <row r="1705" customFormat="false" ht="15" hidden="false" customHeight="false" outlineLevel="0" collapsed="false">
      <c r="A1705" s="33" t="s">
        <v>2299</v>
      </c>
      <c r="B1705" s="34" t="n">
        <v>45587</v>
      </c>
      <c r="C1705" s="34" t="n">
        <v>45588</v>
      </c>
      <c r="D1705" s="33" t="n">
        <v>45</v>
      </c>
      <c r="E1705" s="33" t="s">
        <v>139</v>
      </c>
      <c r="F1705" s="33" t="s">
        <v>203</v>
      </c>
      <c r="G1705" s="33" t="s">
        <v>232</v>
      </c>
      <c r="H1705" s="33" t="s">
        <v>233</v>
      </c>
      <c r="I1705" s="33" t="s">
        <v>143</v>
      </c>
      <c r="J1705" s="33" t="s">
        <v>159</v>
      </c>
      <c r="K1705" s="33" t="s">
        <v>160</v>
      </c>
      <c r="L1705" s="35" t="n">
        <v>926.69</v>
      </c>
      <c r="M1705" s="33" t="n">
        <v>3</v>
      </c>
      <c r="N1705" s="33" t="s">
        <v>146</v>
      </c>
      <c r="O1705" s="33" t="s">
        <v>147</v>
      </c>
      <c r="P1705" s="39" t="n">
        <f aca="false">C1705-B1705</f>
        <v>1</v>
      </c>
      <c r="Q1705" s="40" t="str">
        <f aca="false">CHOOSE(MONTH(B1705),"يناير","فبراير","مارس","أبريل","مايو","يونيو","يوليو","أغسطس","سبتمبر","أكتوبر","نوفمبر","ديسمبر")</f>
        <v>أكتوبر</v>
      </c>
      <c r="R1705" s="40" t="str">
        <f aca="false">"الربع "&amp;ROUNDUP(MONTH(B1705)/3,0)</f>
        <v>الربع 4</v>
      </c>
      <c r="S1705" s="40" t="str">
        <f aca="false">IF(D1705&lt;=12,"أطفال (0-12)",IF(D1705&lt;=24,"شباب (13-24)",IF(D1705&lt;=44,"بالغون (25-44)",IF(D1705&lt;=64,"متوسطو العمر (45-64)","كبار السن (+65)"))))</f>
        <v>متوسطو العمر (45-64)</v>
      </c>
      <c r="T1705" s="41" t="n">
        <f aca="false">IFERROR(L1705/P1705,0)</f>
        <v>926.69</v>
      </c>
    </row>
    <row r="1706" customFormat="false" ht="15" hidden="false" customHeight="false" outlineLevel="0" collapsed="false">
      <c r="A1706" s="42" t="s">
        <v>1843</v>
      </c>
      <c r="B1706" s="43" t="n">
        <v>45587</v>
      </c>
      <c r="C1706" s="43" t="n">
        <v>45588</v>
      </c>
      <c r="D1706" s="42" t="n">
        <v>78</v>
      </c>
      <c r="E1706" s="42" t="s">
        <v>154</v>
      </c>
      <c r="F1706" s="42" t="s">
        <v>181</v>
      </c>
      <c r="G1706" s="42" t="s">
        <v>182</v>
      </c>
      <c r="H1706" s="42" t="s">
        <v>245</v>
      </c>
      <c r="I1706" s="42" t="s">
        <v>143</v>
      </c>
      <c r="J1706" s="42" t="s">
        <v>159</v>
      </c>
      <c r="K1706" s="42" t="s">
        <v>160</v>
      </c>
      <c r="L1706" s="44" t="n">
        <v>2308.89</v>
      </c>
      <c r="M1706" s="42" t="n">
        <v>4</v>
      </c>
      <c r="N1706" s="42" t="s">
        <v>210</v>
      </c>
      <c r="O1706" s="42" t="s">
        <v>206</v>
      </c>
      <c r="P1706" s="39" t="n">
        <f aca="false">C1706-B1706</f>
        <v>1</v>
      </c>
      <c r="Q1706" s="40" t="str">
        <f aca="false">CHOOSE(MONTH(B1706),"يناير","فبراير","مارس","أبريل","مايو","يونيو","يوليو","أغسطس","سبتمبر","أكتوبر","نوفمبر","ديسمبر")</f>
        <v>أكتوبر</v>
      </c>
      <c r="R1706" s="40" t="str">
        <f aca="false">"الربع "&amp;ROUNDUP(MONTH(B1706)/3,0)</f>
        <v>الربع 4</v>
      </c>
      <c r="S1706" s="40" t="str">
        <f aca="false">IF(D1706&lt;=12,"أطفال (0-12)",IF(D1706&lt;=24,"شباب (13-24)",IF(D1706&lt;=44,"بالغون (25-44)",IF(D1706&lt;=64,"متوسطو العمر (45-64)","كبار السن (+65)"))))</f>
        <v>كبار السن (+65)</v>
      </c>
      <c r="T1706" s="41" t="n">
        <f aca="false">IFERROR(L1706/P1706,0)</f>
        <v>2308.89</v>
      </c>
    </row>
    <row r="1707" customFormat="false" ht="15" hidden="false" customHeight="false" outlineLevel="0" collapsed="false">
      <c r="A1707" s="33" t="s">
        <v>1878</v>
      </c>
      <c r="B1707" s="34" t="n">
        <v>45587</v>
      </c>
      <c r="C1707" s="34" t="n">
        <v>45595</v>
      </c>
      <c r="D1707" s="33" t="n">
        <v>57</v>
      </c>
      <c r="E1707" s="33" t="s">
        <v>139</v>
      </c>
      <c r="F1707" s="33" t="s">
        <v>169</v>
      </c>
      <c r="G1707" s="33" t="s">
        <v>170</v>
      </c>
      <c r="H1707" s="33" t="s">
        <v>164</v>
      </c>
      <c r="I1707" s="33" t="s">
        <v>158</v>
      </c>
      <c r="J1707" s="33" t="s">
        <v>159</v>
      </c>
      <c r="K1707" s="33" t="s">
        <v>160</v>
      </c>
      <c r="L1707" s="35" t="n">
        <v>7958.26</v>
      </c>
      <c r="M1707" s="33" t="n">
        <v>4</v>
      </c>
      <c r="N1707" s="33" t="s">
        <v>146</v>
      </c>
      <c r="O1707" s="33" t="s">
        <v>147</v>
      </c>
      <c r="P1707" s="39" t="n">
        <f aca="false">C1707-B1707</f>
        <v>8</v>
      </c>
      <c r="Q1707" s="40" t="str">
        <f aca="false">CHOOSE(MONTH(B1707),"يناير","فبراير","مارس","أبريل","مايو","يونيو","يوليو","أغسطس","سبتمبر","أكتوبر","نوفمبر","ديسمبر")</f>
        <v>أكتوبر</v>
      </c>
      <c r="R1707" s="40" t="str">
        <f aca="false">"الربع "&amp;ROUNDUP(MONTH(B1707)/3,0)</f>
        <v>الربع 4</v>
      </c>
      <c r="S1707" s="40" t="str">
        <f aca="false">IF(D1707&lt;=12,"أطفال (0-12)",IF(D1707&lt;=24,"شباب (13-24)",IF(D1707&lt;=44,"بالغون (25-44)",IF(D1707&lt;=64,"متوسطو العمر (45-64)","كبار السن (+65)"))))</f>
        <v>متوسطو العمر (45-64)</v>
      </c>
      <c r="T1707" s="41" t="n">
        <f aca="false">IFERROR(L1707/P1707,0)</f>
        <v>994.7825</v>
      </c>
    </row>
    <row r="1708" customFormat="false" ht="15" hidden="false" customHeight="false" outlineLevel="0" collapsed="false">
      <c r="A1708" s="42" t="s">
        <v>1393</v>
      </c>
      <c r="B1708" s="43" t="n">
        <v>45587</v>
      </c>
      <c r="C1708" s="43" t="n">
        <v>45593</v>
      </c>
      <c r="D1708" s="42" t="n">
        <v>77</v>
      </c>
      <c r="E1708" s="42" t="s">
        <v>139</v>
      </c>
      <c r="F1708" s="42" t="s">
        <v>169</v>
      </c>
      <c r="G1708" s="42" t="s">
        <v>163</v>
      </c>
      <c r="H1708" s="42" t="s">
        <v>171</v>
      </c>
      <c r="I1708" s="42" t="s">
        <v>143</v>
      </c>
      <c r="J1708" s="42" t="s">
        <v>176</v>
      </c>
      <c r="K1708" s="42" t="s">
        <v>209</v>
      </c>
      <c r="L1708" s="44" t="n">
        <v>20260.13</v>
      </c>
      <c r="M1708" s="42" t="n">
        <v>5</v>
      </c>
      <c r="N1708" s="42" t="s">
        <v>146</v>
      </c>
      <c r="O1708" s="42" t="s">
        <v>147</v>
      </c>
      <c r="P1708" s="39" t="n">
        <f aca="false">C1708-B1708</f>
        <v>6</v>
      </c>
      <c r="Q1708" s="40" t="str">
        <f aca="false">CHOOSE(MONTH(B1708),"يناير","فبراير","مارس","أبريل","مايو","يونيو","يوليو","أغسطس","سبتمبر","أكتوبر","نوفمبر","ديسمبر")</f>
        <v>أكتوبر</v>
      </c>
      <c r="R1708" s="40" t="str">
        <f aca="false">"الربع "&amp;ROUNDUP(MONTH(B1708)/3,0)</f>
        <v>الربع 4</v>
      </c>
      <c r="S1708" s="40" t="str">
        <f aca="false">IF(D1708&lt;=12,"أطفال (0-12)",IF(D1708&lt;=24,"شباب (13-24)",IF(D1708&lt;=44,"بالغون (25-44)",IF(D1708&lt;=64,"متوسطو العمر (45-64)","كبار السن (+65)"))))</f>
        <v>كبار السن (+65)</v>
      </c>
      <c r="T1708" s="41" t="n">
        <f aca="false">IFERROR(L1708/P1708,0)</f>
        <v>3376.68833333333</v>
      </c>
    </row>
    <row r="1709" customFormat="false" ht="15" hidden="false" customHeight="false" outlineLevel="0" collapsed="false">
      <c r="A1709" s="33" t="s">
        <v>2206</v>
      </c>
      <c r="B1709" s="34" t="n">
        <v>45587</v>
      </c>
      <c r="C1709" s="34" t="n">
        <v>45589</v>
      </c>
      <c r="D1709" s="33" t="n">
        <v>96</v>
      </c>
      <c r="E1709" s="33" t="s">
        <v>154</v>
      </c>
      <c r="F1709" s="33" t="s">
        <v>140</v>
      </c>
      <c r="G1709" s="33" t="s">
        <v>316</v>
      </c>
      <c r="H1709" s="33" t="s">
        <v>142</v>
      </c>
      <c r="I1709" s="33" t="s">
        <v>143</v>
      </c>
      <c r="J1709" s="33" t="s">
        <v>159</v>
      </c>
      <c r="K1709" s="33" t="s">
        <v>145</v>
      </c>
      <c r="L1709" s="35" t="n">
        <v>3980.88</v>
      </c>
      <c r="M1709" s="33" t="n">
        <v>4</v>
      </c>
      <c r="N1709" s="33" t="s">
        <v>146</v>
      </c>
      <c r="O1709" s="33" t="s">
        <v>147</v>
      </c>
      <c r="P1709" s="39" t="n">
        <f aca="false">C1709-B1709</f>
        <v>2</v>
      </c>
      <c r="Q1709" s="40" t="str">
        <f aca="false">CHOOSE(MONTH(B1709),"يناير","فبراير","مارس","أبريل","مايو","يونيو","يوليو","أغسطس","سبتمبر","أكتوبر","نوفمبر","ديسمبر")</f>
        <v>أكتوبر</v>
      </c>
      <c r="R1709" s="40" t="str">
        <f aca="false">"الربع "&amp;ROUNDUP(MONTH(B1709)/3,0)</f>
        <v>الربع 4</v>
      </c>
      <c r="S1709" s="40" t="str">
        <f aca="false">IF(D1709&lt;=12,"أطفال (0-12)",IF(D1709&lt;=24,"شباب (13-24)",IF(D1709&lt;=44,"بالغون (25-44)",IF(D1709&lt;=64,"متوسطو العمر (45-64)","كبار السن (+65)"))))</f>
        <v>كبار السن (+65)</v>
      </c>
      <c r="T1709" s="41" t="n">
        <f aca="false">IFERROR(L1709/P1709,0)</f>
        <v>1990.44</v>
      </c>
    </row>
    <row r="1710" customFormat="false" ht="15" hidden="false" customHeight="false" outlineLevel="0" collapsed="false">
      <c r="A1710" s="42" t="s">
        <v>1930</v>
      </c>
      <c r="B1710" s="43" t="n">
        <v>45588</v>
      </c>
      <c r="C1710" s="43" t="n">
        <v>45592</v>
      </c>
      <c r="D1710" s="42" t="n">
        <v>50</v>
      </c>
      <c r="E1710" s="42" t="s">
        <v>139</v>
      </c>
      <c r="F1710" s="42" t="s">
        <v>169</v>
      </c>
      <c r="G1710" s="42" t="s">
        <v>170</v>
      </c>
      <c r="H1710" s="42" t="s">
        <v>164</v>
      </c>
      <c r="I1710" s="42" t="s">
        <v>143</v>
      </c>
      <c r="J1710" s="42" t="s">
        <v>176</v>
      </c>
      <c r="K1710" s="42" t="s">
        <v>209</v>
      </c>
      <c r="L1710" s="44" t="n">
        <v>14084.64</v>
      </c>
      <c r="M1710" s="42" t="n">
        <v>3</v>
      </c>
      <c r="N1710" s="42" t="s">
        <v>210</v>
      </c>
      <c r="O1710" s="42" t="s">
        <v>147</v>
      </c>
      <c r="P1710" s="39" t="n">
        <f aca="false">C1710-B1710</f>
        <v>4</v>
      </c>
      <c r="Q1710" s="40" t="str">
        <f aca="false">CHOOSE(MONTH(B1710),"يناير","فبراير","مارس","أبريل","مايو","يونيو","يوليو","أغسطس","سبتمبر","أكتوبر","نوفمبر","ديسمبر")</f>
        <v>أكتوبر</v>
      </c>
      <c r="R1710" s="40" t="str">
        <f aca="false">"الربع "&amp;ROUNDUP(MONTH(B1710)/3,0)</f>
        <v>الربع 4</v>
      </c>
      <c r="S1710" s="40" t="str">
        <f aca="false">IF(D1710&lt;=12,"أطفال (0-12)",IF(D1710&lt;=24,"شباب (13-24)",IF(D1710&lt;=44,"بالغون (25-44)",IF(D1710&lt;=64,"متوسطو العمر (45-64)","كبار السن (+65)"))))</f>
        <v>متوسطو العمر (45-64)</v>
      </c>
      <c r="T1710" s="41" t="n">
        <f aca="false">IFERROR(L1710/P1710,0)</f>
        <v>3521.16</v>
      </c>
    </row>
    <row r="1711" customFormat="false" ht="15" hidden="false" customHeight="false" outlineLevel="0" collapsed="false">
      <c r="A1711" s="33" t="s">
        <v>1898</v>
      </c>
      <c r="B1711" s="34" t="n">
        <v>45589</v>
      </c>
      <c r="C1711" s="34" t="n">
        <v>45590</v>
      </c>
      <c r="D1711" s="33" t="n">
        <v>3</v>
      </c>
      <c r="E1711" s="33" t="s">
        <v>139</v>
      </c>
      <c r="F1711" s="33" t="s">
        <v>155</v>
      </c>
      <c r="G1711" s="33" t="s">
        <v>302</v>
      </c>
      <c r="H1711" s="33" t="s">
        <v>157</v>
      </c>
      <c r="I1711" s="33" t="s">
        <v>158</v>
      </c>
      <c r="J1711" s="33" t="s">
        <v>159</v>
      </c>
      <c r="K1711" s="33" t="s">
        <v>145</v>
      </c>
      <c r="L1711" s="35" t="n">
        <v>796.3</v>
      </c>
      <c r="M1711" s="33" t="n">
        <v>5</v>
      </c>
      <c r="N1711" s="33" t="s">
        <v>146</v>
      </c>
      <c r="O1711" s="33" t="s">
        <v>147</v>
      </c>
      <c r="P1711" s="39" t="n">
        <f aca="false">C1711-B1711</f>
        <v>1</v>
      </c>
      <c r="Q1711" s="40" t="str">
        <f aca="false">CHOOSE(MONTH(B1711),"يناير","فبراير","مارس","أبريل","مايو","يونيو","يوليو","أغسطس","سبتمبر","أكتوبر","نوفمبر","ديسمبر")</f>
        <v>أكتوبر</v>
      </c>
      <c r="R1711" s="40" t="str">
        <f aca="false">"الربع "&amp;ROUNDUP(MONTH(B1711)/3,0)</f>
        <v>الربع 4</v>
      </c>
      <c r="S1711" s="40" t="str">
        <f aca="false">IF(D1711&lt;=12,"أطفال (0-12)",IF(D1711&lt;=24,"شباب (13-24)",IF(D1711&lt;=44,"بالغون (25-44)",IF(D1711&lt;=64,"متوسطو العمر (45-64)","كبار السن (+65)"))))</f>
        <v>أطفال (0-12)</v>
      </c>
      <c r="T1711" s="41" t="n">
        <f aca="false">IFERROR(L1711/P1711,0)</f>
        <v>796.3</v>
      </c>
    </row>
    <row r="1712" customFormat="false" ht="15" hidden="false" customHeight="false" outlineLevel="0" collapsed="false">
      <c r="A1712" s="42" t="s">
        <v>1628</v>
      </c>
      <c r="B1712" s="43" t="n">
        <v>45589</v>
      </c>
      <c r="C1712" s="43" t="n">
        <v>45600</v>
      </c>
      <c r="D1712" s="42" t="n">
        <v>70</v>
      </c>
      <c r="E1712" s="42" t="s">
        <v>154</v>
      </c>
      <c r="F1712" s="42" t="s">
        <v>181</v>
      </c>
      <c r="G1712" s="42" t="s">
        <v>182</v>
      </c>
      <c r="H1712" s="42" t="s">
        <v>245</v>
      </c>
      <c r="I1712" s="42" t="s">
        <v>152</v>
      </c>
      <c r="J1712" s="42" t="s">
        <v>144</v>
      </c>
      <c r="K1712" s="42" t="s">
        <v>160</v>
      </c>
      <c r="L1712" s="44" t="n">
        <v>36835.68</v>
      </c>
      <c r="M1712" s="42" t="n">
        <v>3</v>
      </c>
      <c r="N1712" s="42" t="s">
        <v>146</v>
      </c>
      <c r="O1712" s="42" t="s">
        <v>247</v>
      </c>
      <c r="P1712" s="39" t="n">
        <f aca="false">C1712-B1712</f>
        <v>11</v>
      </c>
      <c r="Q1712" s="40" t="str">
        <f aca="false">CHOOSE(MONTH(B1712),"يناير","فبراير","مارس","أبريل","مايو","يونيو","يوليو","أغسطس","سبتمبر","أكتوبر","نوفمبر","ديسمبر")</f>
        <v>أكتوبر</v>
      </c>
      <c r="R1712" s="40" t="str">
        <f aca="false">"الربع "&amp;ROUNDUP(MONTH(B1712)/3,0)</f>
        <v>الربع 4</v>
      </c>
      <c r="S1712" s="40" t="str">
        <f aca="false">IF(D1712&lt;=12,"أطفال (0-12)",IF(D1712&lt;=24,"شباب (13-24)",IF(D1712&lt;=44,"بالغون (25-44)",IF(D1712&lt;=64,"متوسطو العمر (45-64)","كبار السن (+65)"))))</f>
        <v>كبار السن (+65)</v>
      </c>
      <c r="T1712" s="41" t="n">
        <f aca="false">IFERROR(L1712/P1712,0)</f>
        <v>3348.69818181818</v>
      </c>
    </row>
    <row r="1713" customFormat="false" ht="15" hidden="false" customHeight="false" outlineLevel="0" collapsed="false">
      <c r="A1713" s="33" t="s">
        <v>1957</v>
      </c>
      <c r="B1713" s="34" t="n">
        <v>45589</v>
      </c>
      <c r="C1713" s="34" t="n">
        <v>45591</v>
      </c>
      <c r="D1713" s="33" t="n">
        <v>53</v>
      </c>
      <c r="E1713" s="33" t="s">
        <v>154</v>
      </c>
      <c r="F1713" s="33" t="s">
        <v>140</v>
      </c>
      <c r="G1713" s="33" t="s">
        <v>141</v>
      </c>
      <c r="H1713" s="33" t="s">
        <v>290</v>
      </c>
      <c r="I1713" s="33" t="s">
        <v>152</v>
      </c>
      <c r="J1713" s="33" t="s">
        <v>159</v>
      </c>
      <c r="K1713" s="33" t="s">
        <v>209</v>
      </c>
      <c r="L1713" s="35" t="n">
        <v>5294.54</v>
      </c>
      <c r="M1713" s="33" t="n">
        <v>4</v>
      </c>
      <c r="N1713" s="33" t="s">
        <v>146</v>
      </c>
      <c r="O1713" s="33" t="s">
        <v>147</v>
      </c>
      <c r="P1713" s="39" t="n">
        <f aca="false">C1713-B1713</f>
        <v>2</v>
      </c>
      <c r="Q1713" s="40" t="str">
        <f aca="false">CHOOSE(MONTH(B1713),"يناير","فبراير","مارس","أبريل","مايو","يونيو","يوليو","أغسطس","سبتمبر","أكتوبر","نوفمبر","ديسمبر")</f>
        <v>أكتوبر</v>
      </c>
      <c r="R1713" s="40" t="str">
        <f aca="false">"الربع "&amp;ROUNDUP(MONTH(B1713)/3,0)</f>
        <v>الربع 4</v>
      </c>
      <c r="S1713" s="40" t="str">
        <f aca="false">IF(D1713&lt;=12,"أطفال (0-12)",IF(D1713&lt;=24,"شباب (13-24)",IF(D1713&lt;=44,"بالغون (25-44)",IF(D1713&lt;=64,"متوسطو العمر (45-64)","كبار السن (+65)"))))</f>
        <v>متوسطو العمر (45-64)</v>
      </c>
      <c r="T1713" s="41" t="n">
        <f aca="false">IFERROR(L1713/P1713,0)</f>
        <v>2647.27</v>
      </c>
    </row>
    <row r="1714" customFormat="false" ht="15" hidden="false" customHeight="false" outlineLevel="0" collapsed="false">
      <c r="A1714" s="42" t="s">
        <v>1192</v>
      </c>
      <c r="B1714" s="43" t="n">
        <v>45590</v>
      </c>
      <c r="C1714" s="43" t="n">
        <v>45594</v>
      </c>
      <c r="D1714" s="42" t="n">
        <v>46</v>
      </c>
      <c r="E1714" s="42" t="s">
        <v>154</v>
      </c>
      <c r="F1714" s="42" t="s">
        <v>140</v>
      </c>
      <c r="G1714" s="42" t="s">
        <v>141</v>
      </c>
      <c r="H1714" s="42" t="s">
        <v>290</v>
      </c>
      <c r="I1714" s="42" t="s">
        <v>152</v>
      </c>
      <c r="J1714" s="42" t="s">
        <v>159</v>
      </c>
      <c r="K1714" s="42" t="s">
        <v>160</v>
      </c>
      <c r="L1714" s="44" t="n">
        <v>8295.34</v>
      </c>
      <c r="M1714" s="42" t="n">
        <v>4</v>
      </c>
      <c r="N1714" s="42" t="s">
        <v>146</v>
      </c>
      <c r="O1714" s="42" t="s">
        <v>147</v>
      </c>
      <c r="P1714" s="39" t="n">
        <f aca="false">C1714-B1714</f>
        <v>4</v>
      </c>
      <c r="Q1714" s="40" t="str">
        <f aca="false">CHOOSE(MONTH(B1714),"يناير","فبراير","مارس","أبريل","مايو","يونيو","يوليو","أغسطس","سبتمبر","أكتوبر","نوفمبر","ديسمبر")</f>
        <v>أكتوبر</v>
      </c>
      <c r="R1714" s="40" t="str">
        <f aca="false">"الربع "&amp;ROUNDUP(MONTH(B1714)/3,0)</f>
        <v>الربع 4</v>
      </c>
      <c r="S1714" s="40" t="str">
        <f aca="false">IF(D1714&lt;=12,"أطفال (0-12)",IF(D1714&lt;=24,"شباب (13-24)",IF(D1714&lt;=44,"بالغون (25-44)",IF(D1714&lt;=64,"متوسطو العمر (45-64)","كبار السن (+65)"))))</f>
        <v>متوسطو العمر (45-64)</v>
      </c>
      <c r="T1714" s="41" t="n">
        <f aca="false">IFERROR(L1714/P1714,0)</f>
        <v>2073.835</v>
      </c>
    </row>
    <row r="1715" customFormat="false" ht="15" hidden="false" customHeight="false" outlineLevel="0" collapsed="false">
      <c r="A1715" s="33" t="s">
        <v>663</v>
      </c>
      <c r="B1715" s="34" t="n">
        <v>45590</v>
      </c>
      <c r="C1715" s="34" t="n">
        <v>45592</v>
      </c>
      <c r="D1715" s="33" t="n">
        <v>25</v>
      </c>
      <c r="E1715" s="33" t="s">
        <v>139</v>
      </c>
      <c r="F1715" s="33" t="s">
        <v>149</v>
      </c>
      <c r="G1715" s="33" t="s">
        <v>243</v>
      </c>
      <c r="H1715" s="33" t="s">
        <v>151</v>
      </c>
      <c r="I1715" s="33" t="s">
        <v>143</v>
      </c>
      <c r="J1715" s="33" t="s">
        <v>159</v>
      </c>
      <c r="K1715" s="33" t="s">
        <v>209</v>
      </c>
      <c r="L1715" s="35" t="n">
        <v>2681.52</v>
      </c>
      <c r="M1715" s="33" t="n">
        <v>4</v>
      </c>
      <c r="N1715" s="33" t="s">
        <v>146</v>
      </c>
      <c r="O1715" s="33" t="s">
        <v>147</v>
      </c>
      <c r="P1715" s="39" t="n">
        <f aca="false">C1715-B1715</f>
        <v>2</v>
      </c>
      <c r="Q1715" s="40" t="str">
        <f aca="false">CHOOSE(MONTH(B1715),"يناير","فبراير","مارس","أبريل","مايو","يونيو","يوليو","أغسطس","سبتمبر","أكتوبر","نوفمبر","ديسمبر")</f>
        <v>أكتوبر</v>
      </c>
      <c r="R1715" s="40" t="str">
        <f aca="false">"الربع "&amp;ROUNDUP(MONTH(B1715)/3,0)</f>
        <v>الربع 4</v>
      </c>
      <c r="S1715" s="40" t="str">
        <f aca="false">IF(D1715&lt;=12,"أطفال (0-12)",IF(D1715&lt;=24,"شباب (13-24)",IF(D1715&lt;=44,"بالغون (25-44)",IF(D1715&lt;=64,"متوسطو العمر (45-64)","كبار السن (+65)"))))</f>
        <v>بالغون (25-44)</v>
      </c>
      <c r="T1715" s="41" t="n">
        <f aca="false">IFERROR(L1715/P1715,0)</f>
        <v>1340.76</v>
      </c>
    </row>
    <row r="1716" customFormat="false" ht="15" hidden="false" customHeight="false" outlineLevel="0" collapsed="false">
      <c r="A1716" s="42" t="s">
        <v>749</v>
      </c>
      <c r="B1716" s="43" t="n">
        <v>45590</v>
      </c>
      <c r="C1716" s="43" t="n">
        <v>45595</v>
      </c>
      <c r="D1716" s="42" t="n">
        <v>72</v>
      </c>
      <c r="E1716" s="42" t="s">
        <v>139</v>
      </c>
      <c r="F1716" s="42" t="s">
        <v>169</v>
      </c>
      <c r="G1716" s="42" t="s">
        <v>163</v>
      </c>
      <c r="H1716" s="42" t="s">
        <v>164</v>
      </c>
      <c r="I1716" s="42" t="s">
        <v>143</v>
      </c>
      <c r="J1716" s="42" t="s">
        <v>159</v>
      </c>
      <c r="K1716" s="42" t="s">
        <v>160</v>
      </c>
      <c r="L1716" s="44" t="n">
        <v>6510.34</v>
      </c>
      <c r="M1716" s="42" t="n">
        <v>5</v>
      </c>
      <c r="N1716" s="42" t="s">
        <v>146</v>
      </c>
      <c r="O1716" s="42" t="s">
        <v>147</v>
      </c>
      <c r="P1716" s="39" t="n">
        <f aca="false">C1716-B1716</f>
        <v>5</v>
      </c>
      <c r="Q1716" s="40" t="str">
        <f aca="false">CHOOSE(MONTH(B1716),"يناير","فبراير","مارس","أبريل","مايو","يونيو","يوليو","أغسطس","سبتمبر","أكتوبر","نوفمبر","ديسمبر")</f>
        <v>أكتوبر</v>
      </c>
      <c r="R1716" s="40" t="str">
        <f aca="false">"الربع "&amp;ROUNDUP(MONTH(B1716)/3,0)</f>
        <v>الربع 4</v>
      </c>
      <c r="S1716" s="40" t="str">
        <f aca="false">IF(D1716&lt;=12,"أطفال (0-12)",IF(D1716&lt;=24,"شباب (13-24)",IF(D1716&lt;=44,"بالغون (25-44)",IF(D1716&lt;=64,"متوسطو العمر (45-64)","كبار السن (+65)"))))</f>
        <v>كبار السن (+65)</v>
      </c>
      <c r="T1716" s="41" t="n">
        <f aca="false">IFERROR(L1716/P1716,0)</f>
        <v>1302.068</v>
      </c>
    </row>
    <row r="1717" customFormat="false" ht="15" hidden="false" customHeight="false" outlineLevel="0" collapsed="false">
      <c r="A1717" s="33" t="s">
        <v>1478</v>
      </c>
      <c r="B1717" s="34" t="n">
        <v>45590</v>
      </c>
      <c r="C1717" s="34" t="n">
        <v>45592</v>
      </c>
      <c r="D1717" s="33" t="n">
        <v>58</v>
      </c>
      <c r="E1717" s="33" t="s">
        <v>139</v>
      </c>
      <c r="F1717" s="33" t="s">
        <v>181</v>
      </c>
      <c r="G1717" s="33" t="s">
        <v>237</v>
      </c>
      <c r="H1717" s="33" t="s">
        <v>183</v>
      </c>
      <c r="I1717" s="33" t="s">
        <v>143</v>
      </c>
      <c r="J1717" s="33" t="s">
        <v>176</v>
      </c>
      <c r="K1717" s="33" t="s">
        <v>145</v>
      </c>
      <c r="L1717" s="35" t="n">
        <v>20223.55</v>
      </c>
      <c r="M1717" s="33" t="n">
        <v>4</v>
      </c>
      <c r="N1717" s="33" t="s">
        <v>146</v>
      </c>
      <c r="O1717" s="33" t="s">
        <v>247</v>
      </c>
      <c r="P1717" s="39" t="n">
        <f aca="false">C1717-B1717</f>
        <v>2</v>
      </c>
      <c r="Q1717" s="40" t="str">
        <f aca="false">CHOOSE(MONTH(B1717),"يناير","فبراير","مارس","أبريل","مايو","يونيو","يوليو","أغسطس","سبتمبر","أكتوبر","نوفمبر","ديسمبر")</f>
        <v>أكتوبر</v>
      </c>
      <c r="R1717" s="40" t="str">
        <f aca="false">"الربع "&amp;ROUNDUP(MONTH(B1717)/3,0)</f>
        <v>الربع 4</v>
      </c>
      <c r="S1717" s="40" t="str">
        <f aca="false">IF(D1717&lt;=12,"أطفال (0-12)",IF(D1717&lt;=24,"شباب (13-24)",IF(D1717&lt;=44,"بالغون (25-44)",IF(D1717&lt;=64,"متوسطو العمر (45-64)","كبار السن (+65)"))))</f>
        <v>متوسطو العمر (45-64)</v>
      </c>
      <c r="T1717" s="41" t="n">
        <f aca="false">IFERROR(L1717/P1717,0)</f>
        <v>10111.775</v>
      </c>
    </row>
    <row r="1718" customFormat="false" ht="15" hidden="false" customHeight="false" outlineLevel="0" collapsed="false">
      <c r="A1718" s="42" t="s">
        <v>1672</v>
      </c>
      <c r="B1718" s="43" t="n">
        <v>45590</v>
      </c>
      <c r="C1718" s="43" t="n">
        <v>45591</v>
      </c>
      <c r="D1718" s="42" t="n">
        <v>43</v>
      </c>
      <c r="E1718" s="42" t="s">
        <v>139</v>
      </c>
      <c r="F1718" s="42" t="s">
        <v>203</v>
      </c>
      <c r="G1718" s="42" t="s">
        <v>217</v>
      </c>
      <c r="H1718" s="42" t="s">
        <v>205</v>
      </c>
      <c r="I1718" s="42" t="s">
        <v>143</v>
      </c>
      <c r="J1718" s="42" t="s">
        <v>159</v>
      </c>
      <c r="K1718" s="42" t="s">
        <v>184</v>
      </c>
      <c r="L1718" s="44" t="n">
        <v>1065.24</v>
      </c>
      <c r="M1718" s="42" t="n">
        <v>5</v>
      </c>
      <c r="N1718" s="42" t="s">
        <v>146</v>
      </c>
      <c r="O1718" s="42" t="s">
        <v>147</v>
      </c>
      <c r="P1718" s="39" t="n">
        <f aca="false">C1718-B1718</f>
        <v>1</v>
      </c>
      <c r="Q1718" s="40" t="str">
        <f aca="false">CHOOSE(MONTH(B1718),"يناير","فبراير","مارس","أبريل","مايو","يونيو","يوليو","أغسطس","سبتمبر","أكتوبر","نوفمبر","ديسمبر")</f>
        <v>أكتوبر</v>
      </c>
      <c r="R1718" s="40" t="str">
        <f aca="false">"الربع "&amp;ROUNDUP(MONTH(B1718)/3,0)</f>
        <v>الربع 4</v>
      </c>
      <c r="S1718" s="40" t="str">
        <f aca="false">IF(D1718&lt;=12,"أطفال (0-12)",IF(D1718&lt;=24,"شباب (13-24)",IF(D1718&lt;=44,"بالغون (25-44)",IF(D1718&lt;=64,"متوسطو العمر (45-64)","كبار السن (+65)"))))</f>
        <v>بالغون (25-44)</v>
      </c>
      <c r="T1718" s="41" t="n">
        <f aca="false">IFERROR(L1718/P1718,0)</f>
        <v>1065.24</v>
      </c>
    </row>
    <row r="1719" customFormat="false" ht="15" hidden="false" customHeight="false" outlineLevel="0" collapsed="false">
      <c r="A1719" s="33" t="s">
        <v>725</v>
      </c>
      <c r="B1719" s="34" t="n">
        <v>45591</v>
      </c>
      <c r="C1719" s="34" t="n">
        <v>45594</v>
      </c>
      <c r="D1719" s="33" t="n">
        <v>51</v>
      </c>
      <c r="E1719" s="33" t="s">
        <v>154</v>
      </c>
      <c r="F1719" s="33" t="s">
        <v>173</v>
      </c>
      <c r="G1719" s="33" t="s">
        <v>174</v>
      </c>
      <c r="H1719" s="33" t="s">
        <v>199</v>
      </c>
      <c r="I1719" s="33" t="s">
        <v>143</v>
      </c>
      <c r="J1719" s="33" t="s">
        <v>159</v>
      </c>
      <c r="K1719" s="33" t="s">
        <v>145</v>
      </c>
      <c r="L1719" s="35" t="n">
        <v>8880.51</v>
      </c>
      <c r="M1719" s="33" t="n">
        <v>4</v>
      </c>
      <c r="N1719" s="33" t="s">
        <v>146</v>
      </c>
      <c r="O1719" s="33" t="s">
        <v>247</v>
      </c>
      <c r="P1719" s="39" t="n">
        <f aca="false">C1719-B1719</f>
        <v>3</v>
      </c>
      <c r="Q1719" s="40" t="str">
        <f aca="false">CHOOSE(MONTH(B1719),"يناير","فبراير","مارس","أبريل","مايو","يونيو","يوليو","أغسطس","سبتمبر","أكتوبر","نوفمبر","ديسمبر")</f>
        <v>أكتوبر</v>
      </c>
      <c r="R1719" s="40" t="str">
        <f aca="false">"الربع "&amp;ROUNDUP(MONTH(B1719)/3,0)</f>
        <v>الربع 4</v>
      </c>
      <c r="S1719" s="40" t="str">
        <f aca="false">IF(D1719&lt;=12,"أطفال (0-12)",IF(D1719&lt;=24,"شباب (13-24)",IF(D1719&lt;=44,"بالغون (25-44)",IF(D1719&lt;=64,"متوسطو العمر (45-64)","كبار السن (+65)"))))</f>
        <v>متوسطو العمر (45-64)</v>
      </c>
      <c r="T1719" s="41" t="n">
        <f aca="false">IFERROR(L1719/P1719,0)</f>
        <v>2960.17</v>
      </c>
    </row>
    <row r="1720" customFormat="false" ht="15" hidden="false" customHeight="false" outlineLevel="0" collapsed="false">
      <c r="A1720" s="42" t="s">
        <v>744</v>
      </c>
      <c r="B1720" s="43" t="n">
        <v>45591</v>
      </c>
      <c r="C1720" s="43" t="n">
        <v>45598</v>
      </c>
      <c r="D1720" s="42" t="n">
        <v>64</v>
      </c>
      <c r="E1720" s="42" t="s">
        <v>139</v>
      </c>
      <c r="F1720" s="42" t="s">
        <v>226</v>
      </c>
      <c r="G1720" s="42" t="s">
        <v>227</v>
      </c>
      <c r="H1720" s="42" t="s">
        <v>263</v>
      </c>
      <c r="I1720" s="42" t="s">
        <v>143</v>
      </c>
      <c r="J1720" s="42" t="s">
        <v>159</v>
      </c>
      <c r="K1720" s="42" t="s">
        <v>184</v>
      </c>
      <c r="L1720" s="44" t="n">
        <v>19590.36</v>
      </c>
      <c r="M1720" s="42" t="n">
        <v>5</v>
      </c>
      <c r="N1720" s="42" t="s">
        <v>146</v>
      </c>
      <c r="O1720" s="42" t="s">
        <v>147</v>
      </c>
      <c r="P1720" s="39" t="n">
        <f aca="false">C1720-B1720</f>
        <v>7</v>
      </c>
      <c r="Q1720" s="40" t="str">
        <f aca="false">CHOOSE(MONTH(B1720),"يناير","فبراير","مارس","أبريل","مايو","يونيو","يوليو","أغسطس","سبتمبر","أكتوبر","نوفمبر","ديسمبر")</f>
        <v>أكتوبر</v>
      </c>
      <c r="R1720" s="40" t="str">
        <f aca="false">"الربع "&amp;ROUNDUP(MONTH(B1720)/3,0)</f>
        <v>الربع 4</v>
      </c>
      <c r="S1720" s="40" t="str">
        <f aca="false">IF(D1720&lt;=12,"أطفال (0-12)",IF(D1720&lt;=24,"شباب (13-24)",IF(D1720&lt;=44,"بالغون (25-44)",IF(D1720&lt;=64,"متوسطو العمر (45-64)","كبار السن (+65)"))))</f>
        <v>متوسطو العمر (45-64)</v>
      </c>
      <c r="T1720" s="41" t="n">
        <f aca="false">IFERROR(L1720/P1720,0)</f>
        <v>2798.62285714286</v>
      </c>
    </row>
    <row r="1721" customFormat="false" ht="15" hidden="false" customHeight="false" outlineLevel="0" collapsed="false">
      <c r="A1721" s="33" t="s">
        <v>441</v>
      </c>
      <c r="B1721" s="34" t="n">
        <v>45592</v>
      </c>
      <c r="C1721" s="34" t="n">
        <v>45594</v>
      </c>
      <c r="D1721" s="33" t="n">
        <v>67</v>
      </c>
      <c r="E1721" s="33" t="s">
        <v>139</v>
      </c>
      <c r="F1721" s="33" t="s">
        <v>203</v>
      </c>
      <c r="G1721" s="33" t="s">
        <v>192</v>
      </c>
      <c r="H1721" s="33" t="s">
        <v>205</v>
      </c>
      <c r="I1721" s="33" t="s">
        <v>143</v>
      </c>
      <c r="J1721" s="33" t="s">
        <v>159</v>
      </c>
      <c r="K1721" s="33" t="s">
        <v>145</v>
      </c>
      <c r="L1721" s="35" t="n">
        <v>1828.73</v>
      </c>
      <c r="M1721" s="33" t="n">
        <v>4</v>
      </c>
      <c r="N1721" s="33" t="s">
        <v>146</v>
      </c>
      <c r="O1721" s="33" t="s">
        <v>147</v>
      </c>
      <c r="P1721" s="39" t="n">
        <f aca="false">C1721-B1721</f>
        <v>2</v>
      </c>
      <c r="Q1721" s="40" t="str">
        <f aca="false">CHOOSE(MONTH(B1721),"يناير","فبراير","مارس","أبريل","مايو","يونيو","يوليو","أغسطس","سبتمبر","أكتوبر","نوفمبر","ديسمبر")</f>
        <v>أكتوبر</v>
      </c>
      <c r="R1721" s="40" t="str">
        <f aca="false">"الربع "&amp;ROUNDUP(MONTH(B1721)/3,0)</f>
        <v>الربع 4</v>
      </c>
      <c r="S1721" s="40" t="str">
        <f aca="false">IF(D1721&lt;=12,"أطفال (0-12)",IF(D1721&lt;=24,"شباب (13-24)",IF(D1721&lt;=44,"بالغون (25-44)",IF(D1721&lt;=64,"متوسطو العمر (45-64)","كبار السن (+65)"))))</f>
        <v>كبار السن (+65)</v>
      </c>
      <c r="T1721" s="41" t="n">
        <f aca="false">IFERROR(L1721/P1721,0)</f>
        <v>914.365</v>
      </c>
    </row>
    <row r="1722" customFormat="false" ht="15" hidden="false" customHeight="false" outlineLevel="0" collapsed="false">
      <c r="A1722" s="42" t="s">
        <v>1444</v>
      </c>
      <c r="B1722" s="43" t="n">
        <v>45592</v>
      </c>
      <c r="C1722" s="43" t="n">
        <v>45604</v>
      </c>
      <c r="D1722" s="42" t="n">
        <v>87</v>
      </c>
      <c r="E1722" s="42" t="s">
        <v>139</v>
      </c>
      <c r="F1722" s="42" t="s">
        <v>169</v>
      </c>
      <c r="G1722" s="42" t="s">
        <v>230</v>
      </c>
      <c r="H1722" s="42" t="s">
        <v>164</v>
      </c>
      <c r="I1722" s="42" t="s">
        <v>152</v>
      </c>
      <c r="J1722" s="42" t="s">
        <v>159</v>
      </c>
      <c r="K1722" s="42" t="s">
        <v>145</v>
      </c>
      <c r="L1722" s="44" t="n">
        <v>12056.36</v>
      </c>
      <c r="M1722" s="42" t="n">
        <v>3</v>
      </c>
      <c r="N1722" s="42" t="s">
        <v>146</v>
      </c>
      <c r="O1722" s="42" t="s">
        <v>147</v>
      </c>
      <c r="P1722" s="39" t="n">
        <f aca="false">C1722-B1722</f>
        <v>12</v>
      </c>
      <c r="Q1722" s="40" t="str">
        <f aca="false">CHOOSE(MONTH(B1722),"يناير","فبراير","مارس","أبريل","مايو","يونيو","يوليو","أغسطس","سبتمبر","أكتوبر","نوفمبر","ديسمبر")</f>
        <v>أكتوبر</v>
      </c>
      <c r="R1722" s="40" t="str">
        <f aca="false">"الربع "&amp;ROUNDUP(MONTH(B1722)/3,0)</f>
        <v>الربع 4</v>
      </c>
      <c r="S1722" s="40" t="str">
        <f aca="false">IF(D1722&lt;=12,"أطفال (0-12)",IF(D1722&lt;=24,"شباب (13-24)",IF(D1722&lt;=44,"بالغون (25-44)",IF(D1722&lt;=64,"متوسطو العمر (45-64)","كبار السن (+65)"))))</f>
        <v>كبار السن (+65)</v>
      </c>
      <c r="T1722" s="41" t="n">
        <f aca="false">IFERROR(L1722/P1722,0)</f>
        <v>1004.69666666667</v>
      </c>
    </row>
    <row r="1723" customFormat="false" ht="15" hidden="false" customHeight="false" outlineLevel="0" collapsed="false">
      <c r="A1723" s="33" t="s">
        <v>1996</v>
      </c>
      <c r="B1723" s="34" t="n">
        <v>45592</v>
      </c>
      <c r="C1723" s="34" t="n">
        <v>45594</v>
      </c>
      <c r="D1723" s="33" t="n">
        <v>60</v>
      </c>
      <c r="E1723" s="33" t="s">
        <v>154</v>
      </c>
      <c r="F1723" s="33" t="s">
        <v>169</v>
      </c>
      <c r="G1723" s="33" t="s">
        <v>163</v>
      </c>
      <c r="H1723" s="33" t="s">
        <v>195</v>
      </c>
      <c r="I1723" s="33" t="s">
        <v>143</v>
      </c>
      <c r="J1723" s="33" t="s">
        <v>176</v>
      </c>
      <c r="K1723" s="33" t="s">
        <v>145</v>
      </c>
      <c r="L1723" s="35" t="n">
        <v>8814.76</v>
      </c>
      <c r="M1723" s="33" t="n">
        <v>3</v>
      </c>
      <c r="N1723" s="33" t="s">
        <v>146</v>
      </c>
      <c r="O1723" s="33" t="s">
        <v>147</v>
      </c>
      <c r="P1723" s="39" t="n">
        <f aca="false">C1723-B1723</f>
        <v>2</v>
      </c>
      <c r="Q1723" s="40" t="str">
        <f aca="false">CHOOSE(MONTH(B1723),"يناير","فبراير","مارس","أبريل","مايو","يونيو","يوليو","أغسطس","سبتمبر","أكتوبر","نوفمبر","ديسمبر")</f>
        <v>أكتوبر</v>
      </c>
      <c r="R1723" s="40" t="str">
        <f aca="false">"الربع "&amp;ROUNDUP(MONTH(B1723)/3,0)</f>
        <v>الربع 4</v>
      </c>
      <c r="S1723" s="40" t="str">
        <f aca="false">IF(D1723&lt;=12,"أطفال (0-12)",IF(D1723&lt;=24,"شباب (13-24)",IF(D1723&lt;=44,"بالغون (25-44)",IF(D1723&lt;=64,"متوسطو العمر (45-64)","كبار السن (+65)"))))</f>
        <v>متوسطو العمر (45-64)</v>
      </c>
      <c r="T1723" s="41" t="n">
        <f aca="false">IFERROR(L1723/P1723,0)</f>
        <v>4407.38</v>
      </c>
    </row>
    <row r="1724" customFormat="false" ht="15" hidden="false" customHeight="false" outlineLevel="0" collapsed="false">
      <c r="A1724" s="42" t="s">
        <v>1360</v>
      </c>
      <c r="B1724" s="43" t="n">
        <v>45592</v>
      </c>
      <c r="C1724" s="43" t="n">
        <v>45605</v>
      </c>
      <c r="D1724" s="42" t="n">
        <v>64</v>
      </c>
      <c r="E1724" s="42" t="s">
        <v>154</v>
      </c>
      <c r="F1724" s="42" t="s">
        <v>226</v>
      </c>
      <c r="G1724" s="42" t="s">
        <v>227</v>
      </c>
      <c r="H1724" s="42" t="s">
        <v>263</v>
      </c>
      <c r="I1724" s="42" t="s">
        <v>152</v>
      </c>
      <c r="J1724" s="42" t="s">
        <v>176</v>
      </c>
      <c r="K1724" s="42" t="s">
        <v>145</v>
      </c>
      <c r="L1724" s="44" t="n">
        <v>169004.29</v>
      </c>
      <c r="M1724" s="42" t="n">
        <v>3</v>
      </c>
      <c r="N1724" s="42" t="s">
        <v>146</v>
      </c>
      <c r="O1724" s="42" t="s">
        <v>147</v>
      </c>
      <c r="P1724" s="39" t="n">
        <f aca="false">C1724-B1724</f>
        <v>13</v>
      </c>
      <c r="Q1724" s="40" t="str">
        <f aca="false">CHOOSE(MONTH(B1724),"يناير","فبراير","مارس","أبريل","مايو","يونيو","يوليو","أغسطس","سبتمبر","أكتوبر","نوفمبر","ديسمبر")</f>
        <v>أكتوبر</v>
      </c>
      <c r="R1724" s="40" t="str">
        <f aca="false">"الربع "&amp;ROUNDUP(MONTH(B1724)/3,0)</f>
        <v>الربع 4</v>
      </c>
      <c r="S1724" s="40" t="str">
        <f aca="false">IF(D1724&lt;=12,"أطفال (0-12)",IF(D1724&lt;=24,"شباب (13-24)",IF(D1724&lt;=44,"بالغون (25-44)",IF(D1724&lt;=64,"متوسطو العمر (45-64)","كبار السن (+65)"))))</f>
        <v>متوسطو العمر (45-64)</v>
      </c>
      <c r="T1724" s="41" t="n">
        <f aca="false">IFERROR(L1724/P1724,0)</f>
        <v>13000.33</v>
      </c>
    </row>
    <row r="1725" customFormat="false" ht="15" hidden="false" customHeight="false" outlineLevel="0" collapsed="false">
      <c r="A1725" s="33" t="s">
        <v>1006</v>
      </c>
      <c r="B1725" s="34" t="n">
        <v>45592</v>
      </c>
      <c r="C1725" s="34" t="n">
        <v>45593</v>
      </c>
      <c r="D1725" s="33" t="n">
        <v>13</v>
      </c>
      <c r="E1725" s="33" t="s">
        <v>139</v>
      </c>
      <c r="F1725" s="33" t="s">
        <v>203</v>
      </c>
      <c r="G1725" s="33" t="s">
        <v>232</v>
      </c>
      <c r="H1725" s="33" t="s">
        <v>193</v>
      </c>
      <c r="I1725" s="33" t="s">
        <v>143</v>
      </c>
      <c r="J1725" s="33" t="s">
        <v>144</v>
      </c>
      <c r="K1725" s="33" t="s">
        <v>160</v>
      </c>
      <c r="L1725" s="35" t="n">
        <v>1444.91</v>
      </c>
      <c r="M1725" s="33" t="n">
        <v>3</v>
      </c>
      <c r="N1725" s="33" t="s">
        <v>146</v>
      </c>
      <c r="O1725" s="33" t="s">
        <v>147</v>
      </c>
      <c r="P1725" s="39" t="n">
        <f aca="false">C1725-B1725</f>
        <v>1</v>
      </c>
      <c r="Q1725" s="40" t="str">
        <f aca="false">CHOOSE(MONTH(B1725),"يناير","فبراير","مارس","أبريل","مايو","يونيو","يوليو","أغسطس","سبتمبر","أكتوبر","نوفمبر","ديسمبر")</f>
        <v>أكتوبر</v>
      </c>
      <c r="R1725" s="40" t="str">
        <f aca="false">"الربع "&amp;ROUNDUP(MONTH(B1725)/3,0)</f>
        <v>الربع 4</v>
      </c>
      <c r="S1725" s="40" t="str">
        <f aca="false">IF(D1725&lt;=12,"أطفال (0-12)",IF(D1725&lt;=24,"شباب (13-24)",IF(D1725&lt;=44,"بالغون (25-44)",IF(D1725&lt;=64,"متوسطو العمر (45-64)","كبار السن (+65)"))))</f>
        <v>شباب (13-24)</v>
      </c>
      <c r="T1725" s="41" t="n">
        <f aca="false">IFERROR(L1725/P1725,0)</f>
        <v>1444.91</v>
      </c>
    </row>
    <row r="1726" customFormat="false" ht="15" hidden="false" customHeight="false" outlineLevel="0" collapsed="false">
      <c r="A1726" s="42" t="s">
        <v>1398</v>
      </c>
      <c r="B1726" s="43" t="n">
        <v>45593</v>
      </c>
      <c r="C1726" s="43" t="n">
        <v>45594</v>
      </c>
      <c r="D1726" s="42" t="n">
        <v>43</v>
      </c>
      <c r="E1726" s="42" t="s">
        <v>154</v>
      </c>
      <c r="F1726" s="42" t="s">
        <v>203</v>
      </c>
      <c r="G1726" s="42" t="s">
        <v>192</v>
      </c>
      <c r="H1726" s="42" t="s">
        <v>193</v>
      </c>
      <c r="I1726" s="42" t="s">
        <v>143</v>
      </c>
      <c r="J1726" s="42" t="s">
        <v>159</v>
      </c>
      <c r="K1726" s="42" t="s">
        <v>184</v>
      </c>
      <c r="L1726" s="44" t="n">
        <v>846.63</v>
      </c>
      <c r="M1726" s="42" t="n">
        <v>2</v>
      </c>
      <c r="N1726" s="42" t="s">
        <v>146</v>
      </c>
      <c r="O1726" s="42" t="s">
        <v>147</v>
      </c>
      <c r="P1726" s="39" t="n">
        <f aca="false">C1726-B1726</f>
        <v>1</v>
      </c>
      <c r="Q1726" s="40" t="str">
        <f aca="false">CHOOSE(MONTH(B1726),"يناير","فبراير","مارس","أبريل","مايو","يونيو","يوليو","أغسطس","سبتمبر","أكتوبر","نوفمبر","ديسمبر")</f>
        <v>أكتوبر</v>
      </c>
      <c r="R1726" s="40" t="str">
        <f aca="false">"الربع "&amp;ROUNDUP(MONTH(B1726)/3,0)</f>
        <v>الربع 4</v>
      </c>
      <c r="S1726" s="40" t="str">
        <f aca="false">IF(D1726&lt;=12,"أطفال (0-12)",IF(D1726&lt;=24,"شباب (13-24)",IF(D1726&lt;=44,"بالغون (25-44)",IF(D1726&lt;=64,"متوسطو العمر (45-64)","كبار السن (+65)"))))</f>
        <v>بالغون (25-44)</v>
      </c>
      <c r="T1726" s="41" t="n">
        <f aca="false">IFERROR(L1726/P1726,0)</f>
        <v>846.63</v>
      </c>
    </row>
    <row r="1727" customFormat="false" ht="15" hidden="false" customHeight="false" outlineLevel="0" collapsed="false">
      <c r="A1727" s="33" t="s">
        <v>834</v>
      </c>
      <c r="B1727" s="34" t="n">
        <v>45593</v>
      </c>
      <c r="C1727" s="34" t="n">
        <v>45599</v>
      </c>
      <c r="D1727" s="33" t="n">
        <v>65</v>
      </c>
      <c r="E1727" s="33" t="s">
        <v>154</v>
      </c>
      <c r="F1727" s="33" t="s">
        <v>140</v>
      </c>
      <c r="G1727" s="33" t="s">
        <v>167</v>
      </c>
      <c r="H1727" s="33" t="s">
        <v>142</v>
      </c>
      <c r="I1727" s="33" t="s">
        <v>158</v>
      </c>
      <c r="J1727" s="33" t="s">
        <v>159</v>
      </c>
      <c r="K1727" s="33" t="s">
        <v>145</v>
      </c>
      <c r="L1727" s="35" t="n">
        <v>11414.85</v>
      </c>
      <c r="M1727" s="33" t="n">
        <v>5</v>
      </c>
      <c r="N1727" s="33" t="s">
        <v>146</v>
      </c>
      <c r="O1727" s="33" t="s">
        <v>147</v>
      </c>
      <c r="P1727" s="39" t="n">
        <f aca="false">C1727-B1727</f>
        <v>6</v>
      </c>
      <c r="Q1727" s="40" t="str">
        <f aca="false">CHOOSE(MONTH(B1727),"يناير","فبراير","مارس","أبريل","مايو","يونيو","يوليو","أغسطس","سبتمبر","أكتوبر","نوفمبر","ديسمبر")</f>
        <v>أكتوبر</v>
      </c>
      <c r="R1727" s="40" t="str">
        <f aca="false">"الربع "&amp;ROUNDUP(MONTH(B1727)/3,0)</f>
        <v>الربع 4</v>
      </c>
      <c r="S1727" s="40" t="str">
        <f aca="false">IF(D1727&lt;=12,"أطفال (0-12)",IF(D1727&lt;=24,"شباب (13-24)",IF(D1727&lt;=44,"بالغون (25-44)",IF(D1727&lt;=64,"متوسطو العمر (45-64)","كبار السن (+65)"))))</f>
        <v>كبار السن (+65)</v>
      </c>
      <c r="T1727" s="41" t="n">
        <f aca="false">IFERROR(L1727/P1727,0)</f>
        <v>1902.475</v>
      </c>
    </row>
    <row r="1728" customFormat="false" ht="15" hidden="false" customHeight="false" outlineLevel="0" collapsed="false">
      <c r="A1728" s="42" t="s">
        <v>462</v>
      </c>
      <c r="B1728" s="43" t="n">
        <v>45593</v>
      </c>
      <c r="C1728" s="43" t="n">
        <v>45594</v>
      </c>
      <c r="D1728" s="42" t="n">
        <v>57</v>
      </c>
      <c r="E1728" s="42" t="s">
        <v>154</v>
      </c>
      <c r="F1728" s="42" t="s">
        <v>203</v>
      </c>
      <c r="G1728" s="42" t="s">
        <v>217</v>
      </c>
      <c r="H1728" s="42" t="s">
        <v>205</v>
      </c>
      <c r="I1728" s="42" t="s">
        <v>143</v>
      </c>
      <c r="J1728" s="42" t="s">
        <v>159</v>
      </c>
      <c r="K1728" s="42" t="s">
        <v>145</v>
      </c>
      <c r="L1728" s="44" t="n">
        <v>760.5</v>
      </c>
      <c r="M1728" s="42" t="n">
        <v>3</v>
      </c>
      <c r="N1728" s="42" t="s">
        <v>146</v>
      </c>
      <c r="O1728" s="42" t="s">
        <v>147</v>
      </c>
      <c r="P1728" s="39" t="n">
        <f aca="false">C1728-B1728</f>
        <v>1</v>
      </c>
      <c r="Q1728" s="40" t="str">
        <f aca="false">CHOOSE(MONTH(B1728),"يناير","فبراير","مارس","أبريل","مايو","يونيو","يوليو","أغسطس","سبتمبر","أكتوبر","نوفمبر","ديسمبر")</f>
        <v>أكتوبر</v>
      </c>
      <c r="R1728" s="40" t="str">
        <f aca="false">"الربع "&amp;ROUNDUP(MONTH(B1728)/3,0)</f>
        <v>الربع 4</v>
      </c>
      <c r="S1728" s="40" t="str">
        <f aca="false">IF(D1728&lt;=12,"أطفال (0-12)",IF(D1728&lt;=24,"شباب (13-24)",IF(D1728&lt;=44,"بالغون (25-44)",IF(D1728&lt;=64,"متوسطو العمر (45-64)","كبار السن (+65)"))))</f>
        <v>متوسطو العمر (45-64)</v>
      </c>
      <c r="T1728" s="41" t="n">
        <f aca="false">IFERROR(L1728/P1728,0)</f>
        <v>760.5</v>
      </c>
    </row>
    <row r="1729" customFormat="false" ht="15" hidden="false" customHeight="false" outlineLevel="0" collapsed="false">
      <c r="A1729" s="33" t="s">
        <v>602</v>
      </c>
      <c r="B1729" s="34" t="n">
        <v>45593</v>
      </c>
      <c r="C1729" s="34" t="n">
        <v>45596</v>
      </c>
      <c r="D1729" s="33" t="n">
        <v>28</v>
      </c>
      <c r="E1729" s="33" t="s">
        <v>139</v>
      </c>
      <c r="F1729" s="33" t="s">
        <v>173</v>
      </c>
      <c r="G1729" s="33" t="s">
        <v>178</v>
      </c>
      <c r="H1729" s="33" t="s">
        <v>175</v>
      </c>
      <c r="I1729" s="33" t="s">
        <v>143</v>
      </c>
      <c r="J1729" s="33" t="s">
        <v>159</v>
      </c>
      <c r="K1729" s="33" t="s">
        <v>160</v>
      </c>
      <c r="L1729" s="35" t="n">
        <v>6377.84</v>
      </c>
      <c r="M1729" s="33" t="n">
        <v>5</v>
      </c>
      <c r="N1729" s="33" t="s">
        <v>146</v>
      </c>
      <c r="O1729" s="33" t="s">
        <v>247</v>
      </c>
      <c r="P1729" s="39" t="n">
        <f aca="false">C1729-B1729</f>
        <v>3</v>
      </c>
      <c r="Q1729" s="40" t="str">
        <f aca="false">CHOOSE(MONTH(B1729),"يناير","فبراير","مارس","أبريل","مايو","يونيو","يوليو","أغسطس","سبتمبر","أكتوبر","نوفمبر","ديسمبر")</f>
        <v>أكتوبر</v>
      </c>
      <c r="R1729" s="40" t="str">
        <f aca="false">"الربع "&amp;ROUNDUP(MONTH(B1729)/3,0)</f>
        <v>الربع 4</v>
      </c>
      <c r="S1729" s="40" t="str">
        <f aca="false">IF(D1729&lt;=12,"أطفال (0-12)",IF(D1729&lt;=24,"شباب (13-24)",IF(D1729&lt;=44,"بالغون (25-44)",IF(D1729&lt;=64,"متوسطو العمر (45-64)","كبار السن (+65)"))))</f>
        <v>بالغون (25-44)</v>
      </c>
      <c r="T1729" s="41" t="n">
        <f aca="false">IFERROR(L1729/P1729,0)</f>
        <v>2125.94666666667</v>
      </c>
    </row>
    <row r="1730" customFormat="false" ht="15" hidden="false" customHeight="false" outlineLevel="0" collapsed="false">
      <c r="A1730" s="42" t="s">
        <v>510</v>
      </c>
      <c r="B1730" s="43" t="n">
        <v>45594</v>
      </c>
      <c r="C1730" s="43" t="n">
        <v>45597</v>
      </c>
      <c r="D1730" s="42" t="n">
        <v>21</v>
      </c>
      <c r="E1730" s="42" t="s">
        <v>139</v>
      </c>
      <c r="F1730" s="42" t="s">
        <v>149</v>
      </c>
      <c r="G1730" s="42" t="s">
        <v>150</v>
      </c>
      <c r="H1730" s="42" t="s">
        <v>151</v>
      </c>
      <c r="I1730" s="42" t="s">
        <v>143</v>
      </c>
      <c r="J1730" s="42" t="s">
        <v>159</v>
      </c>
      <c r="K1730" s="42" t="s">
        <v>145</v>
      </c>
      <c r="L1730" s="44" t="n">
        <v>4860.51</v>
      </c>
      <c r="M1730" s="42" t="n">
        <v>4</v>
      </c>
      <c r="N1730" s="42" t="s">
        <v>146</v>
      </c>
      <c r="O1730" s="42" t="s">
        <v>247</v>
      </c>
      <c r="P1730" s="39" t="n">
        <f aca="false">C1730-B1730</f>
        <v>3</v>
      </c>
      <c r="Q1730" s="40" t="str">
        <f aca="false">CHOOSE(MONTH(B1730),"يناير","فبراير","مارس","أبريل","مايو","يونيو","يوليو","أغسطس","سبتمبر","أكتوبر","نوفمبر","ديسمبر")</f>
        <v>أكتوبر</v>
      </c>
      <c r="R1730" s="40" t="str">
        <f aca="false">"الربع "&amp;ROUNDUP(MONTH(B1730)/3,0)</f>
        <v>الربع 4</v>
      </c>
      <c r="S1730" s="40" t="str">
        <f aca="false">IF(D1730&lt;=12,"أطفال (0-12)",IF(D1730&lt;=24,"شباب (13-24)",IF(D1730&lt;=44,"بالغون (25-44)",IF(D1730&lt;=64,"متوسطو العمر (45-64)","كبار السن (+65)"))))</f>
        <v>شباب (13-24)</v>
      </c>
      <c r="T1730" s="41" t="n">
        <f aca="false">IFERROR(L1730/P1730,0)</f>
        <v>1620.17</v>
      </c>
    </row>
    <row r="1731" customFormat="false" ht="15" hidden="false" customHeight="false" outlineLevel="0" collapsed="false">
      <c r="A1731" s="33" t="s">
        <v>1011</v>
      </c>
      <c r="B1731" s="34" t="n">
        <v>45594</v>
      </c>
      <c r="C1731" s="34" t="n">
        <v>45600</v>
      </c>
      <c r="D1731" s="33" t="n">
        <v>54</v>
      </c>
      <c r="E1731" s="33" t="s">
        <v>139</v>
      </c>
      <c r="F1731" s="33" t="s">
        <v>169</v>
      </c>
      <c r="G1731" s="33" t="s">
        <v>230</v>
      </c>
      <c r="H1731" s="33" t="s">
        <v>171</v>
      </c>
      <c r="I1731" s="33" t="s">
        <v>152</v>
      </c>
      <c r="J1731" s="33" t="s">
        <v>159</v>
      </c>
      <c r="K1731" s="33" t="s">
        <v>184</v>
      </c>
      <c r="L1731" s="35" t="n">
        <v>6766.07</v>
      </c>
      <c r="M1731" s="33" t="n">
        <v>5</v>
      </c>
      <c r="N1731" s="33" t="s">
        <v>146</v>
      </c>
      <c r="O1731" s="33" t="s">
        <v>147</v>
      </c>
      <c r="P1731" s="39" t="n">
        <f aca="false">C1731-B1731</f>
        <v>6</v>
      </c>
      <c r="Q1731" s="40" t="str">
        <f aca="false">CHOOSE(MONTH(B1731),"يناير","فبراير","مارس","أبريل","مايو","يونيو","يوليو","أغسطس","سبتمبر","أكتوبر","نوفمبر","ديسمبر")</f>
        <v>أكتوبر</v>
      </c>
      <c r="R1731" s="40" t="str">
        <f aca="false">"الربع "&amp;ROUNDUP(MONTH(B1731)/3,0)</f>
        <v>الربع 4</v>
      </c>
      <c r="S1731" s="40" t="str">
        <f aca="false">IF(D1731&lt;=12,"أطفال (0-12)",IF(D1731&lt;=24,"شباب (13-24)",IF(D1731&lt;=44,"بالغون (25-44)",IF(D1731&lt;=64,"متوسطو العمر (45-64)","كبار السن (+65)"))))</f>
        <v>متوسطو العمر (45-64)</v>
      </c>
      <c r="T1731" s="41" t="n">
        <f aca="false">IFERROR(L1731/P1731,0)</f>
        <v>1127.67833333333</v>
      </c>
    </row>
    <row r="1732" customFormat="false" ht="15" hidden="false" customHeight="false" outlineLevel="0" collapsed="false">
      <c r="A1732" s="42" t="s">
        <v>1158</v>
      </c>
      <c r="B1732" s="43" t="n">
        <v>45594</v>
      </c>
      <c r="C1732" s="43" t="n">
        <v>45600</v>
      </c>
      <c r="D1732" s="42" t="n">
        <v>37</v>
      </c>
      <c r="E1732" s="42" t="s">
        <v>139</v>
      </c>
      <c r="F1732" s="42" t="s">
        <v>169</v>
      </c>
      <c r="G1732" s="42" t="s">
        <v>170</v>
      </c>
      <c r="H1732" s="42" t="s">
        <v>164</v>
      </c>
      <c r="I1732" s="42" t="s">
        <v>158</v>
      </c>
      <c r="J1732" s="42" t="s">
        <v>159</v>
      </c>
      <c r="K1732" s="42" t="s">
        <v>160</v>
      </c>
      <c r="L1732" s="44" t="n">
        <v>6852.23</v>
      </c>
      <c r="M1732" s="42" t="n">
        <v>5</v>
      </c>
      <c r="N1732" s="42" t="s">
        <v>146</v>
      </c>
      <c r="O1732" s="42" t="s">
        <v>147</v>
      </c>
      <c r="P1732" s="39" t="n">
        <f aca="false">C1732-B1732</f>
        <v>6</v>
      </c>
      <c r="Q1732" s="40" t="str">
        <f aca="false">CHOOSE(MONTH(B1732),"يناير","فبراير","مارس","أبريل","مايو","يونيو","يوليو","أغسطس","سبتمبر","أكتوبر","نوفمبر","ديسمبر")</f>
        <v>أكتوبر</v>
      </c>
      <c r="R1732" s="40" t="str">
        <f aca="false">"الربع "&amp;ROUNDUP(MONTH(B1732)/3,0)</f>
        <v>الربع 4</v>
      </c>
      <c r="S1732" s="40" t="str">
        <f aca="false">IF(D1732&lt;=12,"أطفال (0-12)",IF(D1732&lt;=24,"شباب (13-24)",IF(D1732&lt;=44,"بالغون (25-44)",IF(D1732&lt;=64,"متوسطو العمر (45-64)","كبار السن (+65)"))))</f>
        <v>بالغون (25-44)</v>
      </c>
      <c r="T1732" s="41" t="n">
        <f aca="false">IFERROR(L1732/P1732,0)</f>
        <v>1142.03833333333</v>
      </c>
    </row>
    <row r="1733" customFormat="false" ht="15" hidden="false" customHeight="false" outlineLevel="0" collapsed="false">
      <c r="A1733" s="33" t="s">
        <v>267</v>
      </c>
      <c r="B1733" s="34" t="n">
        <v>45594</v>
      </c>
      <c r="C1733" s="34" t="n">
        <v>45600</v>
      </c>
      <c r="D1733" s="33" t="n">
        <v>13</v>
      </c>
      <c r="E1733" s="33" t="s">
        <v>139</v>
      </c>
      <c r="F1733" s="33" t="s">
        <v>173</v>
      </c>
      <c r="G1733" s="33" t="s">
        <v>198</v>
      </c>
      <c r="H1733" s="33" t="s">
        <v>175</v>
      </c>
      <c r="I1733" s="33" t="s">
        <v>143</v>
      </c>
      <c r="J1733" s="33" t="s">
        <v>144</v>
      </c>
      <c r="K1733" s="33" t="s">
        <v>160</v>
      </c>
      <c r="L1733" s="35" t="n">
        <v>26342.32</v>
      </c>
      <c r="M1733" s="33" t="n">
        <v>5</v>
      </c>
      <c r="N1733" s="33" t="s">
        <v>146</v>
      </c>
      <c r="O1733" s="33" t="s">
        <v>147</v>
      </c>
      <c r="P1733" s="39" t="n">
        <f aca="false">C1733-B1733</f>
        <v>6</v>
      </c>
      <c r="Q1733" s="40" t="str">
        <f aca="false">CHOOSE(MONTH(B1733),"يناير","فبراير","مارس","أبريل","مايو","يونيو","يوليو","أغسطس","سبتمبر","أكتوبر","نوفمبر","ديسمبر")</f>
        <v>أكتوبر</v>
      </c>
      <c r="R1733" s="40" t="str">
        <f aca="false">"الربع "&amp;ROUNDUP(MONTH(B1733)/3,0)</f>
        <v>الربع 4</v>
      </c>
      <c r="S1733" s="40" t="str">
        <f aca="false">IF(D1733&lt;=12,"أطفال (0-12)",IF(D1733&lt;=24,"شباب (13-24)",IF(D1733&lt;=44,"بالغون (25-44)",IF(D1733&lt;=64,"متوسطو العمر (45-64)","كبار السن (+65)"))))</f>
        <v>شباب (13-24)</v>
      </c>
      <c r="T1733" s="41" t="n">
        <f aca="false">IFERROR(L1733/P1733,0)</f>
        <v>4390.38666666667</v>
      </c>
    </row>
    <row r="1734" customFormat="false" ht="15" hidden="false" customHeight="false" outlineLevel="0" collapsed="false">
      <c r="A1734" s="42" t="s">
        <v>1448</v>
      </c>
      <c r="B1734" s="43" t="n">
        <v>45594</v>
      </c>
      <c r="C1734" s="43" t="n">
        <v>45596</v>
      </c>
      <c r="D1734" s="42" t="n">
        <v>30</v>
      </c>
      <c r="E1734" s="42" t="s">
        <v>139</v>
      </c>
      <c r="F1734" s="42" t="s">
        <v>169</v>
      </c>
      <c r="G1734" s="42" t="s">
        <v>230</v>
      </c>
      <c r="H1734" s="42" t="s">
        <v>171</v>
      </c>
      <c r="I1734" s="42" t="s">
        <v>152</v>
      </c>
      <c r="J1734" s="42" t="s">
        <v>159</v>
      </c>
      <c r="K1734" s="42" t="s">
        <v>160</v>
      </c>
      <c r="L1734" s="44" t="n">
        <v>1737.08</v>
      </c>
      <c r="M1734" s="42" t="n">
        <v>4</v>
      </c>
      <c r="N1734" s="42" t="s">
        <v>146</v>
      </c>
      <c r="O1734" s="42" t="s">
        <v>147</v>
      </c>
      <c r="P1734" s="39" t="n">
        <f aca="false">C1734-B1734</f>
        <v>2</v>
      </c>
      <c r="Q1734" s="40" t="str">
        <f aca="false">CHOOSE(MONTH(B1734),"يناير","فبراير","مارس","أبريل","مايو","يونيو","يوليو","أغسطس","سبتمبر","أكتوبر","نوفمبر","ديسمبر")</f>
        <v>أكتوبر</v>
      </c>
      <c r="R1734" s="40" t="str">
        <f aca="false">"الربع "&amp;ROUNDUP(MONTH(B1734)/3,0)</f>
        <v>الربع 4</v>
      </c>
      <c r="S1734" s="40" t="str">
        <f aca="false">IF(D1734&lt;=12,"أطفال (0-12)",IF(D1734&lt;=24,"شباب (13-24)",IF(D1734&lt;=44,"بالغون (25-44)",IF(D1734&lt;=64,"متوسطو العمر (45-64)","كبار السن (+65)"))))</f>
        <v>بالغون (25-44)</v>
      </c>
      <c r="T1734" s="41" t="n">
        <f aca="false">IFERROR(L1734/P1734,0)</f>
        <v>868.54</v>
      </c>
    </row>
    <row r="1735" customFormat="false" ht="15" hidden="false" customHeight="false" outlineLevel="0" collapsed="false">
      <c r="A1735" s="33" t="s">
        <v>1736</v>
      </c>
      <c r="B1735" s="34" t="n">
        <v>45594</v>
      </c>
      <c r="C1735" s="34" t="n">
        <v>45596</v>
      </c>
      <c r="D1735" s="33" t="n">
        <v>47</v>
      </c>
      <c r="E1735" s="33" t="s">
        <v>154</v>
      </c>
      <c r="F1735" s="33" t="s">
        <v>169</v>
      </c>
      <c r="G1735" s="33" t="s">
        <v>230</v>
      </c>
      <c r="H1735" s="33" t="s">
        <v>164</v>
      </c>
      <c r="I1735" s="33" t="s">
        <v>143</v>
      </c>
      <c r="J1735" s="33" t="s">
        <v>159</v>
      </c>
      <c r="K1735" s="33" t="s">
        <v>184</v>
      </c>
      <c r="L1735" s="35" t="n">
        <v>2304.79</v>
      </c>
      <c r="M1735" s="33" t="n">
        <v>4</v>
      </c>
      <c r="N1735" s="33" t="s">
        <v>146</v>
      </c>
      <c r="O1735" s="33" t="s">
        <v>147</v>
      </c>
      <c r="P1735" s="39" t="n">
        <f aca="false">C1735-B1735</f>
        <v>2</v>
      </c>
      <c r="Q1735" s="40" t="str">
        <f aca="false">CHOOSE(MONTH(B1735),"يناير","فبراير","مارس","أبريل","مايو","يونيو","يوليو","أغسطس","سبتمبر","أكتوبر","نوفمبر","ديسمبر")</f>
        <v>أكتوبر</v>
      </c>
      <c r="R1735" s="40" t="str">
        <f aca="false">"الربع "&amp;ROUNDUP(MONTH(B1735)/3,0)</f>
        <v>الربع 4</v>
      </c>
      <c r="S1735" s="40" t="str">
        <f aca="false">IF(D1735&lt;=12,"أطفال (0-12)",IF(D1735&lt;=24,"شباب (13-24)",IF(D1735&lt;=44,"بالغون (25-44)",IF(D1735&lt;=64,"متوسطو العمر (45-64)","كبار السن (+65)"))))</f>
        <v>متوسطو العمر (45-64)</v>
      </c>
      <c r="T1735" s="41" t="n">
        <f aca="false">IFERROR(L1735/P1735,0)</f>
        <v>1152.395</v>
      </c>
    </row>
    <row r="1736" customFormat="false" ht="15" hidden="false" customHeight="false" outlineLevel="0" collapsed="false">
      <c r="A1736" s="42" t="s">
        <v>1635</v>
      </c>
      <c r="B1736" s="43" t="n">
        <v>45594</v>
      </c>
      <c r="C1736" s="43" t="n">
        <v>45604</v>
      </c>
      <c r="D1736" s="42" t="n">
        <v>30</v>
      </c>
      <c r="E1736" s="42" t="s">
        <v>154</v>
      </c>
      <c r="F1736" s="42" t="s">
        <v>169</v>
      </c>
      <c r="G1736" s="42" t="s">
        <v>230</v>
      </c>
      <c r="H1736" s="42" t="s">
        <v>171</v>
      </c>
      <c r="I1736" s="42" t="s">
        <v>143</v>
      </c>
      <c r="J1736" s="42" t="s">
        <v>159</v>
      </c>
      <c r="K1736" s="42" t="s">
        <v>184</v>
      </c>
      <c r="L1736" s="44" t="n">
        <v>9901.5</v>
      </c>
      <c r="M1736" s="42" t="n">
        <v>5</v>
      </c>
      <c r="N1736" s="42" t="s">
        <v>146</v>
      </c>
      <c r="O1736" s="42" t="s">
        <v>147</v>
      </c>
      <c r="P1736" s="39" t="n">
        <f aca="false">C1736-B1736</f>
        <v>10</v>
      </c>
      <c r="Q1736" s="40" t="str">
        <f aca="false">CHOOSE(MONTH(B1736),"يناير","فبراير","مارس","أبريل","مايو","يونيو","يوليو","أغسطس","سبتمبر","أكتوبر","نوفمبر","ديسمبر")</f>
        <v>أكتوبر</v>
      </c>
      <c r="R1736" s="40" t="str">
        <f aca="false">"الربع "&amp;ROUNDUP(MONTH(B1736)/3,0)</f>
        <v>الربع 4</v>
      </c>
      <c r="S1736" s="40" t="str">
        <f aca="false">IF(D1736&lt;=12,"أطفال (0-12)",IF(D1736&lt;=24,"شباب (13-24)",IF(D1736&lt;=44,"بالغون (25-44)",IF(D1736&lt;=64,"متوسطو العمر (45-64)","كبار السن (+65)"))))</f>
        <v>بالغون (25-44)</v>
      </c>
      <c r="T1736" s="41" t="n">
        <f aca="false">IFERROR(L1736/P1736,0)</f>
        <v>990.15</v>
      </c>
    </row>
    <row r="1737" customFormat="false" ht="15" hidden="false" customHeight="false" outlineLevel="0" collapsed="false">
      <c r="A1737" s="33" t="s">
        <v>397</v>
      </c>
      <c r="B1737" s="34" t="n">
        <v>45594</v>
      </c>
      <c r="C1737" s="34" t="n">
        <v>45598</v>
      </c>
      <c r="D1737" s="33" t="n">
        <v>8</v>
      </c>
      <c r="E1737" s="33" t="s">
        <v>139</v>
      </c>
      <c r="F1737" s="33" t="s">
        <v>155</v>
      </c>
      <c r="G1737" s="33" t="s">
        <v>302</v>
      </c>
      <c r="H1737" s="33" t="s">
        <v>157</v>
      </c>
      <c r="I1737" s="33" t="s">
        <v>143</v>
      </c>
      <c r="J1737" s="33" t="s">
        <v>159</v>
      </c>
      <c r="K1737" s="33" t="s">
        <v>145</v>
      </c>
      <c r="L1737" s="35" t="n">
        <v>3564.29</v>
      </c>
      <c r="M1737" s="33" t="n">
        <v>4</v>
      </c>
      <c r="N1737" s="33" t="s">
        <v>146</v>
      </c>
      <c r="O1737" s="33" t="s">
        <v>147</v>
      </c>
      <c r="P1737" s="39" t="n">
        <f aca="false">C1737-B1737</f>
        <v>4</v>
      </c>
      <c r="Q1737" s="40" t="str">
        <f aca="false">CHOOSE(MONTH(B1737),"يناير","فبراير","مارس","أبريل","مايو","يونيو","يوليو","أغسطس","سبتمبر","أكتوبر","نوفمبر","ديسمبر")</f>
        <v>أكتوبر</v>
      </c>
      <c r="R1737" s="40" t="str">
        <f aca="false">"الربع "&amp;ROUNDUP(MONTH(B1737)/3,0)</f>
        <v>الربع 4</v>
      </c>
      <c r="S1737" s="40" t="str">
        <f aca="false">IF(D1737&lt;=12,"أطفال (0-12)",IF(D1737&lt;=24,"شباب (13-24)",IF(D1737&lt;=44,"بالغون (25-44)",IF(D1737&lt;=64,"متوسطو العمر (45-64)","كبار السن (+65)"))))</f>
        <v>أطفال (0-12)</v>
      </c>
      <c r="T1737" s="41" t="n">
        <f aca="false">IFERROR(L1737/P1737,0)</f>
        <v>891.0725</v>
      </c>
    </row>
    <row r="1738" customFormat="false" ht="15" hidden="false" customHeight="false" outlineLevel="0" collapsed="false">
      <c r="A1738" s="42" t="s">
        <v>409</v>
      </c>
      <c r="B1738" s="43" t="n">
        <v>45594</v>
      </c>
      <c r="C1738" s="43" t="n">
        <v>45595</v>
      </c>
      <c r="D1738" s="42" t="n">
        <v>48</v>
      </c>
      <c r="E1738" s="42" t="s">
        <v>154</v>
      </c>
      <c r="F1738" s="42" t="s">
        <v>203</v>
      </c>
      <c r="G1738" s="42" t="s">
        <v>241</v>
      </c>
      <c r="H1738" s="42" t="s">
        <v>233</v>
      </c>
      <c r="I1738" s="42" t="s">
        <v>143</v>
      </c>
      <c r="J1738" s="42" t="s">
        <v>144</v>
      </c>
      <c r="K1738" s="42" t="s">
        <v>160</v>
      </c>
      <c r="L1738" s="44" t="n">
        <v>1551.26</v>
      </c>
      <c r="M1738" s="42" t="n">
        <v>4</v>
      </c>
      <c r="N1738" s="42" t="s">
        <v>146</v>
      </c>
      <c r="O1738" s="42" t="s">
        <v>147</v>
      </c>
      <c r="P1738" s="39" t="n">
        <f aca="false">C1738-B1738</f>
        <v>1</v>
      </c>
      <c r="Q1738" s="40" t="str">
        <f aca="false">CHOOSE(MONTH(B1738),"يناير","فبراير","مارس","أبريل","مايو","يونيو","يوليو","أغسطس","سبتمبر","أكتوبر","نوفمبر","ديسمبر")</f>
        <v>أكتوبر</v>
      </c>
      <c r="R1738" s="40" t="str">
        <f aca="false">"الربع "&amp;ROUNDUP(MONTH(B1738)/3,0)</f>
        <v>الربع 4</v>
      </c>
      <c r="S1738" s="40" t="str">
        <f aca="false">IF(D1738&lt;=12,"أطفال (0-12)",IF(D1738&lt;=24,"شباب (13-24)",IF(D1738&lt;=44,"بالغون (25-44)",IF(D1738&lt;=64,"متوسطو العمر (45-64)","كبار السن (+65)"))))</f>
        <v>متوسطو العمر (45-64)</v>
      </c>
      <c r="T1738" s="41" t="n">
        <f aca="false">IFERROR(L1738/P1738,0)</f>
        <v>1551.26</v>
      </c>
    </row>
    <row r="1739" customFormat="false" ht="15" hidden="false" customHeight="false" outlineLevel="0" collapsed="false">
      <c r="A1739" s="33" t="s">
        <v>1674</v>
      </c>
      <c r="B1739" s="34" t="n">
        <v>45594</v>
      </c>
      <c r="C1739" s="34" t="n">
        <v>45597</v>
      </c>
      <c r="D1739" s="33" t="n">
        <v>5</v>
      </c>
      <c r="E1739" s="33" t="s">
        <v>154</v>
      </c>
      <c r="F1739" s="33" t="s">
        <v>155</v>
      </c>
      <c r="G1739" s="33" t="s">
        <v>156</v>
      </c>
      <c r="H1739" s="33" t="s">
        <v>222</v>
      </c>
      <c r="I1739" s="33" t="s">
        <v>143</v>
      </c>
      <c r="J1739" s="33" t="s">
        <v>159</v>
      </c>
      <c r="K1739" s="33" t="s">
        <v>160</v>
      </c>
      <c r="L1739" s="35" t="n">
        <v>2283.67</v>
      </c>
      <c r="M1739" s="33" t="n">
        <v>3</v>
      </c>
      <c r="N1739" s="33" t="s">
        <v>146</v>
      </c>
      <c r="O1739" s="33" t="s">
        <v>147</v>
      </c>
      <c r="P1739" s="39" t="n">
        <f aca="false">C1739-B1739</f>
        <v>3</v>
      </c>
      <c r="Q1739" s="40" t="str">
        <f aca="false">CHOOSE(MONTH(B1739),"يناير","فبراير","مارس","أبريل","مايو","يونيو","يوليو","أغسطس","سبتمبر","أكتوبر","نوفمبر","ديسمبر")</f>
        <v>أكتوبر</v>
      </c>
      <c r="R1739" s="40" t="str">
        <f aca="false">"الربع "&amp;ROUNDUP(MONTH(B1739)/3,0)</f>
        <v>الربع 4</v>
      </c>
      <c r="S1739" s="40" t="str">
        <f aca="false">IF(D1739&lt;=12,"أطفال (0-12)",IF(D1739&lt;=24,"شباب (13-24)",IF(D1739&lt;=44,"بالغون (25-44)",IF(D1739&lt;=64,"متوسطو العمر (45-64)","كبار السن (+65)"))))</f>
        <v>أطفال (0-12)</v>
      </c>
      <c r="T1739" s="41" t="n">
        <f aca="false">IFERROR(L1739/P1739,0)</f>
        <v>761.223333333333</v>
      </c>
    </row>
    <row r="1740" customFormat="false" ht="15" hidden="false" customHeight="false" outlineLevel="0" collapsed="false">
      <c r="A1740" s="42" t="s">
        <v>2276</v>
      </c>
      <c r="B1740" s="43" t="n">
        <v>45595</v>
      </c>
      <c r="C1740" s="43" t="n">
        <v>45601</v>
      </c>
      <c r="D1740" s="42" t="n">
        <v>35</v>
      </c>
      <c r="E1740" s="42" t="s">
        <v>139</v>
      </c>
      <c r="F1740" s="42" t="s">
        <v>140</v>
      </c>
      <c r="G1740" s="42" t="s">
        <v>316</v>
      </c>
      <c r="H1740" s="42" t="s">
        <v>290</v>
      </c>
      <c r="I1740" s="42" t="s">
        <v>143</v>
      </c>
      <c r="J1740" s="42" t="s">
        <v>159</v>
      </c>
      <c r="K1740" s="42" t="s">
        <v>145</v>
      </c>
      <c r="L1740" s="44" t="n">
        <v>14168.39</v>
      </c>
      <c r="M1740" s="42" t="n">
        <v>4</v>
      </c>
      <c r="N1740" s="42" t="s">
        <v>146</v>
      </c>
      <c r="O1740" s="42" t="s">
        <v>147</v>
      </c>
      <c r="P1740" s="39" t="n">
        <f aca="false">C1740-B1740</f>
        <v>6</v>
      </c>
      <c r="Q1740" s="40" t="str">
        <f aca="false">CHOOSE(MONTH(B1740),"يناير","فبراير","مارس","أبريل","مايو","يونيو","يوليو","أغسطس","سبتمبر","أكتوبر","نوفمبر","ديسمبر")</f>
        <v>أكتوبر</v>
      </c>
      <c r="R1740" s="40" t="str">
        <f aca="false">"الربع "&amp;ROUNDUP(MONTH(B1740)/3,0)</f>
        <v>الربع 4</v>
      </c>
      <c r="S1740" s="40" t="str">
        <f aca="false">IF(D1740&lt;=12,"أطفال (0-12)",IF(D1740&lt;=24,"شباب (13-24)",IF(D1740&lt;=44,"بالغون (25-44)",IF(D1740&lt;=64,"متوسطو العمر (45-64)","كبار السن (+65)"))))</f>
        <v>بالغون (25-44)</v>
      </c>
      <c r="T1740" s="41" t="n">
        <f aca="false">IFERROR(L1740/P1740,0)</f>
        <v>2361.39833333333</v>
      </c>
    </row>
    <row r="1741" customFormat="false" ht="15" hidden="false" customHeight="false" outlineLevel="0" collapsed="false">
      <c r="A1741" s="33" t="s">
        <v>1624</v>
      </c>
      <c r="B1741" s="34" t="n">
        <v>45595</v>
      </c>
      <c r="C1741" s="34" t="n">
        <v>45600</v>
      </c>
      <c r="D1741" s="33" t="n">
        <v>64</v>
      </c>
      <c r="E1741" s="33" t="s">
        <v>154</v>
      </c>
      <c r="F1741" s="33" t="s">
        <v>140</v>
      </c>
      <c r="G1741" s="33" t="s">
        <v>141</v>
      </c>
      <c r="H1741" s="33" t="s">
        <v>142</v>
      </c>
      <c r="I1741" s="33" t="s">
        <v>152</v>
      </c>
      <c r="J1741" s="33" t="s">
        <v>159</v>
      </c>
      <c r="K1741" s="33" t="s">
        <v>145</v>
      </c>
      <c r="L1741" s="35" t="n">
        <v>11162.77</v>
      </c>
      <c r="M1741" s="33" t="n">
        <v>4</v>
      </c>
      <c r="N1741" s="33" t="s">
        <v>146</v>
      </c>
      <c r="O1741" s="33" t="s">
        <v>147</v>
      </c>
      <c r="P1741" s="39" t="n">
        <f aca="false">C1741-B1741</f>
        <v>5</v>
      </c>
      <c r="Q1741" s="40" t="str">
        <f aca="false">CHOOSE(MONTH(B1741),"يناير","فبراير","مارس","أبريل","مايو","يونيو","يوليو","أغسطس","سبتمبر","أكتوبر","نوفمبر","ديسمبر")</f>
        <v>أكتوبر</v>
      </c>
      <c r="R1741" s="40" t="str">
        <f aca="false">"الربع "&amp;ROUNDUP(MONTH(B1741)/3,0)</f>
        <v>الربع 4</v>
      </c>
      <c r="S1741" s="40" t="str">
        <f aca="false">IF(D1741&lt;=12,"أطفال (0-12)",IF(D1741&lt;=24,"شباب (13-24)",IF(D1741&lt;=44,"بالغون (25-44)",IF(D1741&lt;=64,"متوسطو العمر (45-64)","كبار السن (+65)"))))</f>
        <v>متوسطو العمر (45-64)</v>
      </c>
      <c r="T1741" s="41" t="n">
        <f aca="false">IFERROR(L1741/P1741,0)</f>
        <v>2232.554</v>
      </c>
    </row>
    <row r="1742" customFormat="false" ht="15" hidden="false" customHeight="false" outlineLevel="0" collapsed="false">
      <c r="A1742" s="42" t="s">
        <v>814</v>
      </c>
      <c r="B1742" s="43" t="n">
        <v>45595</v>
      </c>
      <c r="C1742" s="43" t="n">
        <v>45596</v>
      </c>
      <c r="D1742" s="42" t="n">
        <v>46</v>
      </c>
      <c r="E1742" s="42" t="s">
        <v>139</v>
      </c>
      <c r="F1742" s="42" t="s">
        <v>203</v>
      </c>
      <c r="G1742" s="42" t="s">
        <v>232</v>
      </c>
      <c r="H1742" s="42" t="s">
        <v>193</v>
      </c>
      <c r="I1742" s="42" t="s">
        <v>143</v>
      </c>
      <c r="J1742" s="42" t="s">
        <v>159</v>
      </c>
      <c r="K1742" s="42" t="s">
        <v>145</v>
      </c>
      <c r="L1742" s="44" t="n">
        <v>967.94</v>
      </c>
      <c r="M1742" s="42" t="n">
        <v>4</v>
      </c>
      <c r="N1742" s="42" t="s">
        <v>146</v>
      </c>
      <c r="O1742" s="42" t="s">
        <v>147</v>
      </c>
      <c r="P1742" s="39" t="n">
        <f aca="false">C1742-B1742</f>
        <v>1</v>
      </c>
      <c r="Q1742" s="40" t="str">
        <f aca="false">CHOOSE(MONTH(B1742),"يناير","فبراير","مارس","أبريل","مايو","يونيو","يوليو","أغسطس","سبتمبر","أكتوبر","نوفمبر","ديسمبر")</f>
        <v>أكتوبر</v>
      </c>
      <c r="R1742" s="40" t="str">
        <f aca="false">"الربع "&amp;ROUNDUP(MONTH(B1742)/3,0)</f>
        <v>الربع 4</v>
      </c>
      <c r="S1742" s="40" t="str">
        <f aca="false">IF(D1742&lt;=12,"أطفال (0-12)",IF(D1742&lt;=24,"شباب (13-24)",IF(D1742&lt;=44,"بالغون (25-44)",IF(D1742&lt;=64,"متوسطو العمر (45-64)","كبار السن (+65)"))))</f>
        <v>متوسطو العمر (45-64)</v>
      </c>
      <c r="T1742" s="41" t="n">
        <f aca="false">IFERROR(L1742/P1742,0)</f>
        <v>967.94</v>
      </c>
    </row>
    <row r="1743" customFormat="false" ht="15" hidden="false" customHeight="false" outlineLevel="0" collapsed="false">
      <c r="A1743" s="33" t="s">
        <v>1806</v>
      </c>
      <c r="B1743" s="34" t="n">
        <v>45595</v>
      </c>
      <c r="C1743" s="34" t="n">
        <v>45597</v>
      </c>
      <c r="D1743" s="33" t="n">
        <v>31</v>
      </c>
      <c r="E1743" s="33" t="s">
        <v>139</v>
      </c>
      <c r="F1743" s="33" t="s">
        <v>203</v>
      </c>
      <c r="G1743" s="33" t="s">
        <v>241</v>
      </c>
      <c r="H1743" s="33" t="s">
        <v>193</v>
      </c>
      <c r="I1743" s="33" t="s">
        <v>143</v>
      </c>
      <c r="J1743" s="33" t="s">
        <v>159</v>
      </c>
      <c r="K1743" s="33" t="s">
        <v>160</v>
      </c>
      <c r="L1743" s="35" t="n">
        <v>1841.8</v>
      </c>
      <c r="M1743" s="33" t="n">
        <v>4</v>
      </c>
      <c r="N1743" s="33" t="s">
        <v>146</v>
      </c>
      <c r="O1743" s="33" t="s">
        <v>147</v>
      </c>
      <c r="P1743" s="39" t="n">
        <f aca="false">C1743-B1743</f>
        <v>2</v>
      </c>
      <c r="Q1743" s="40" t="str">
        <f aca="false">CHOOSE(MONTH(B1743),"يناير","فبراير","مارس","أبريل","مايو","يونيو","يوليو","أغسطس","سبتمبر","أكتوبر","نوفمبر","ديسمبر")</f>
        <v>أكتوبر</v>
      </c>
      <c r="R1743" s="40" t="str">
        <f aca="false">"الربع "&amp;ROUNDUP(MONTH(B1743)/3,0)</f>
        <v>الربع 4</v>
      </c>
      <c r="S1743" s="40" t="str">
        <f aca="false">IF(D1743&lt;=12,"أطفال (0-12)",IF(D1743&lt;=24,"شباب (13-24)",IF(D1743&lt;=44,"بالغون (25-44)",IF(D1743&lt;=64,"متوسطو العمر (45-64)","كبار السن (+65)"))))</f>
        <v>بالغون (25-44)</v>
      </c>
      <c r="T1743" s="41" t="n">
        <f aca="false">IFERROR(L1743/P1743,0)</f>
        <v>920.9</v>
      </c>
    </row>
    <row r="1744" customFormat="false" ht="15" hidden="false" customHeight="false" outlineLevel="0" collapsed="false">
      <c r="A1744" s="42" t="s">
        <v>1792</v>
      </c>
      <c r="B1744" s="43" t="n">
        <v>45596</v>
      </c>
      <c r="C1744" s="43" t="n">
        <v>45607</v>
      </c>
      <c r="D1744" s="42" t="n">
        <v>54</v>
      </c>
      <c r="E1744" s="42" t="s">
        <v>139</v>
      </c>
      <c r="F1744" s="42" t="s">
        <v>181</v>
      </c>
      <c r="G1744" s="42" t="s">
        <v>182</v>
      </c>
      <c r="H1744" s="42" t="s">
        <v>245</v>
      </c>
      <c r="I1744" s="42" t="s">
        <v>143</v>
      </c>
      <c r="J1744" s="42" t="s">
        <v>176</v>
      </c>
      <c r="K1744" s="42" t="s">
        <v>145</v>
      </c>
      <c r="L1744" s="44" t="n">
        <v>103193.96</v>
      </c>
      <c r="M1744" s="42" t="n">
        <v>2</v>
      </c>
      <c r="N1744" s="42" t="s">
        <v>146</v>
      </c>
      <c r="O1744" s="42" t="s">
        <v>147</v>
      </c>
      <c r="P1744" s="39" t="n">
        <f aca="false">C1744-B1744</f>
        <v>11</v>
      </c>
      <c r="Q1744" s="40" t="str">
        <f aca="false">CHOOSE(MONTH(B1744),"يناير","فبراير","مارس","أبريل","مايو","يونيو","يوليو","أغسطس","سبتمبر","أكتوبر","نوفمبر","ديسمبر")</f>
        <v>أكتوبر</v>
      </c>
      <c r="R1744" s="40" t="str">
        <f aca="false">"الربع "&amp;ROUNDUP(MONTH(B1744)/3,0)</f>
        <v>الربع 4</v>
      </c>
      <c r="S1744" s="40" t="str">
        <f aca="false">IF(D1744&lt;=12,"أطفال (0-12)",IF(D1744&lt;=24,"شباب (13-24)",IF(D1744&lt;=44,"بالغون (25-44)",IF(D1744&lt;=64,"متوسطو العمر (45-64)","كبار السن (+65)"))))</f>
        <v>متوسطو العمر (45-64)</v>
      </c>
      <c r="T1744" s="41" t="n">
        <f aca="false">IFERROR(L1744/P1744,0)</f>
        <v>9381.26909090909</v>
      </c>
    </row>
    <row r="1745" customFormat="false" ht="15" hidden="false" customHeight="false" outlineLevel="0" collapsed="false">
      <c r="A1745" s="33" t="s">
        <v>1704</v>
      </c>
      <c r="B1745" s="34" t="n">
        <v>45596</v>
      </c>
      <c r="C1745" s="34" t="n">
        <v>45599</v>
      </c>
      <c r="D1745" s="33" t="n">
        <v>34</v>
      </c>
      <c r="E1745" s="33" t="s">
        <v>139</v>
      </c>
      <c r="F1745" s="33" t="s">
        <v>140</v>
      </c>
      <c r="G1745" s="33" t="s">
        <v>167</v>
      </c>
      <c r="H1745" s="33" t="s">
        <v>290</v>
      </c>
      <c r="I1745" s="33" t="s">
        <v>143</v>
      </c>
      <c r="J1745" s="33" t="s">
        <v>159</v>
      </c>
      <c r="K1745" s="33" t="s">
        <v>145</v>
      </c>
      <c r="L1745" s="35" t="n">
        <v>7254.51</v>
      </c>
      <c r="M1745" s="33" t="n">
        <v>5</v>
      </c>
      <c r="N1745" s="33" t="s">
        <v>146</v>
      </c>
      <c r="O1745" s="33" t="s">
        <v>147</v>
      </c>
      <c r="P1745" s="39" t="n">
        <f aca="false">C1745-B1745</f>
        <v>3</v>
      </c>
      <c r="Q1745" s="40" t="str">
        <f aca="false">CHOOSE(MONTH(B1745),"يناير","فبراير","مارس","أبريل","مايو","يونيو","يوليو","أغسطس","سبتمبر","أكتوبر","نوفمبر","ديسمبر")</f>
        <v>أكتوبر</v>
      </c>
      <c r="R1745" s="40" t="str">
        <f aca="false">"الربع "&amp;ROUNDUP(MONTH(B1745)/3,0)</f>
        <v>الربع 4</v>
      </c>
      <c r="S1745" s="40" t="str">
        <f aca="false">IF(D1745&lt;=12,"أطفال (0-12)",IF(D1745&lt;=24,"شباب (13-24)",IF(D1745&lt;=44,"بالغون (25-44)",IF(D1745&lt;=64,"متوسطو العمر (45-64)","كبار السن (+65)"))))</f>
        <v>بالغون (25-44)</v>
      </c>
      <c r="T1745" s="41" t="n">
        <f aca="false">IFERROR(L1745/P1745,0)</f>
        <v>2418.17</v>
      </c>
    </row>
    <row r="1746" customFormat="false" ht="15" hidden="false" customHeight="false" outlineLevel="0" collapsed="false">
      <c r="A1746" s="42" t="s">
        <v>1692</v>
      </c>
      <c r="B1746" s="43" t="n">
        <v>45596</v>
      </c>
      <c r="C1746" s="43" t="n">
        <v>45599</v>
      </c>
      <c r="D1746" s="42" t="n">
        <v>62</v>
      </c>
      <c r="E1746" s="42" t="s">
        <v>139</v>
      </c>
      <c r="F1746" s="42" t="s">
        <v>173</v>
      </c>
      <c r="G1746" s="42" t="s">
        <v>198</v>
      </c>
      <c r="H1746" s="42" t="s">
        <v>199</v>
      </c>
      <c r="I1746" s="42" t="s">
        <v>152</v>
      </c>
      <c r="J1746" s="42" t="s">
        <v>176</v>
      </c>
      <c r="K1746" s="42" t="s">
        <v>145</v>
      </c>
      <c r="L1746" s="44" t="n">
        <v>26305.69</v>
      </c>
      <c r="M1746" s="42" t="n">
        <v>5</v>
      </c>
      <c r="N1746" s="42" t="s">
        <v>146</v>
      </c>
      <c r="O1746" s="42" t="s">
        <v>147</v>
      </c>
      <c r="P1746" s="39" t="n">
        <f aca="false">C1746-B1746</f>
        <v>3</v>
      </c>
      <c r="Q1746" s="40" t="str">
        <f aca="false">CHOOSE(MONTH(B1746),"يناير","فبراير","مارس","أبريل","مايو","يونيو","يوليو","أغسطس","سبتمبر","أكتوبر","نوفمبر","ديسمبر")</f>
        <v>أكتوبر</v>
      </c>
      <c r="R1746" s="40" t="str">
        <f aca="false">"الربع "&amp;ROUNDUP(MONTH(B1746)/3,0)</f>
        <v>الربع 4</v>
      </c>
      <c r="S1746" s="40" t="str">
        <f aca="false">IF(D1746&lt;=12,"أطفال (0-12)",IF(D1746&lt;=24,"شباب (13-24)",IF(D1746&lt;=44,"بالغون (25-44)",IF(D1746&lt;=64,"متوسطو العمر (45-64)","كبار السن (+65)"))))</f>
        <v>متوسطو العمر (45-64)</v>
      </c>
      <c r="T1746" s="41" t="n">
        <f aca="false">IFERROR(L1746/P1746,0)</f>
        <v>8768.56333333333</v>
      </c>
    </row>
    <row r="1747" customFormat="false" ht="15" hidden="false" customHeight="false" outlineLevel="0" collapsed="false">
      <c r="A1747" s="33" t="s">
        <v>614</v>
      </c>
      <c r="B1747" s="34" t="n">
        <v>45596</v>
      </c>
      <c r="C1747" s="34" t="n">
        <v>45597</v>
      </c>
      <c r="D1747" s="33" t="n">
        <v>36</v>
      </c>
      <c r="E1747" s="33" t="s">
        <v>154</v>
      </c>
      <c r="F1747" s="33" t="s">
        <v>203</v>
      </c>
      <c r="G1747" s="33" t="s">
        <v>192</v>
      </c>
      <c r="H1747" s="33" t="s">
        <v>193</v>
      </c>
      <c r="I1747" s="33" t="s">
        <v>143</v>
      </c>
      <c r="J1747" s="33" t="s">
        <v>159</v>
      </c>
      <c r="K1747" s="33" t="s">
        <v>160</v>
      </c>
      <c r="L1747" s="35" t="n">
        <v>878.61</v>
      </c>
      <c r="M1747" s="33" t="n">
        <v>2</v>
      </c>
      <c r="N1747" s="33" t="s">
        <v>146</v>
      </c>
      <c r="O1747" s="33" t="s">
        <v>147</v>
      </c>
      <c r="P1747" s="39" t="n">
        <f aca="false">C1747-B1747</f>
        <v>1</v>
      </c>
      <c r="Q1747" s="40" t="str">
        <f aca="false">CHOOSE(MONTH(B1747),"يناير","فبراير","مارس","أبريل","مايو","يونيو","يوليو","أغسطس","سبتمبر","أكتوبر","نوفمبر","ديسمبر")</f>
        <v>أكتوبر</v>
      </c>
      <c r="R1747" s="40" t="str">
        <f aca="false">"الربع "&amp;ROUNDUP(MONTH(B1747)/3,0)</f>
        <v>الربع 4</v>
      </c>
      <c r="S1747" s="40" t="str">
        <f aca="false">IF(D1747&lt;=12,"أطفال (0-12)",IF(D1747&lt;=24,"شباب (13-24)",IF(D1747&lt;=44,"بالغون (25-44)",IF(D1747&lt;=64,"متوسطو العمر (45-64)","كبار السن (+65)"))))</f>
        <v>بالغون (25-44)</v>
      </c>
      <c r="T1747" s="41" t="n">
        <f aca="false">IFERROR(L1747/P1747,0)</f>
        <v>878.61</v>
      </c>
    </row>
    <row r="1748" customFormat="false" ht="15" hidden="false" customHeight="false" outlineLevel="0" collapsed="false">
      <c r="A1748" s="42" t="s">
        <v>1185</v>
      </c>
      <c r="B1748" s="43" t="n">
        <v>45596</v>
      </c>
      <c r="C1748" s="43" t="n">
        <v>45601</v>
      </c>
      <c r="D1748" s="42" t="n">
        <v>24</v>
      </c>
      <c r="E1748" s="42" t="s">
        <v>154</v>
      </c>
      <c r="F1748" s="42" t="s">
        <v>169</v>
      </c>
      <c r="G1748" s="42" t="s">
        <v>163</v>
      </c>
      <c r="H1748" s="42" t="s">
        <v>164</v>
      </c>
      <c r="I1748" s="42" t="s">
        <v>143</v>
      </c>
      <c r="J1748" s="42" t="s">
        <v>144</v>
      </c>
      <c r="K1748" s="42" t="s">
        <v>209</v>
      </c>
      <c r="L1748" s="44" t="n">
        <v>11114.62</v>
      </c>
      <c r="M1748" s="42" t="n">
        <v>4</v>
      </c>
      <c r="N1748" s="42" t="s">
        <v>146</v>
      </c>
      <c r="O1748" s="42" t="s">
        <v>147</v>
      </c>
      <c r="P1748" s="39" t="n">
        <f aca="false">C1748-B1748</f>
        <v>5</v>
      </c>
      <c r="Q1748" s="40" t="str">
        <f aca="false">CHOOSE(MONTH(B1748),"يناير","فبراير","مارس","أبريل","مايو","يونيو","يوليو","أغسطس","سبتمبر","أكتوبر","نوفمبر","ديسمبر")</f>
        <v>أكتوبر</v>
      </c>
      <c r="R1748" s="40" t="str">
        <f aca="false">"الربع "&amp;ROUNDUP(MONTH(B1748)/3,0)</f>
        <v>الربع 4</v>
      </c>
      <c r="S1748" s="40" t="str">
        <f aca="false">IF(D1748&lt;=12,"أطفال (0-12)",IF(D1748&lt;=24,"شباب (13-24)",IF(D1748&lt;=44,"بالغون (25-44)",IF(D1748&lt;=64,"متوسطو العمر (45-64)","كبار السن (+65)"))))</f>
        <v>شباب (13-24)</v>
      </c>
      <c r="T1748" s="41" t="n">
        <f aca="false">IFERROR(L1748/P1748,0)</f>
        <v>2222.924</v>
      </c>
    </row>
    <row r="1749" customFormat="false" ht="15" hidden="false" customHeight="false" outlineLevel="0" collapsed="false">
      <c r="A1749" s="33" t="s">
        <v>2241</v>
      </c>
      <c r="B1749" s="34" t="n">
        <v>45597</v>
      </c>
      <c r="C1749" s="34" t="n">
        <v>45599</v>
      </c>
      <c r="D1749" s="33" t="n">
        <v>43</v>
      </c>
      <c r="E1749" s="33" t="s">
        <v>154</v>
      </c>
      <c r="F1749" s="33" t="s">
        <v>169</v>
      </c>
      <c r="G1749" s="33" t="s">
        <v>213</v>
      </c>
      <c r="H1749" s="33" t="s">
        <v>195</v>
      </c>
      <c r="I1749" s="33" t="s">
        <v>143</v>
      </c>
      <c r="J1749" s="33" t="s">
        <v>159</v>
      </c>
      <c r="K1749" s="33" t="s">
        <v>145</v>
      </c>
      <c r="L1749" s="35" t="n">
        <v>1985.05</v>
      </c>
      <c r="M1749" s="33" t="n">
        <v>3</v>
      </c>
      <c r="N1749" s="33" t="s">
        <v>146</v>
      </c>
      <c r="O1749" s="33" t="s">
        <v>147</v>
      </c>
      <c r="P1749" s="39" t="n">
        <f aca="false">C1749-B1749</f>
        <v>2</v>
      </c>
      <c r="Q1749" s="40" t="str">
        <f aca="false">CHOOSE(MONTH(B1749),"يناير","فبراير","مارس","أبريل","مايو","يونيو","يوليو","أغسطس","سبتمبر","أكتوبر","نوفمبر","ديسمبر")</f>
        <v>نوفمبر</v>
      </c>
      <c r="R1749" s="40" t="str">
        <f aca="false">"الربع "&amp;ROUNDUP(MONTH(B1749)/3,0)</f>
        <v>الربع 4</v>
      </c>
      <c r="S1749" s="40" t="str">
        <f aca="false">IF(D1749&lt;=12,"أطفال (0-12)",IF(D1749&lt;=24,"شباب (13-24)",IF(D1749&lt;=44,"بالغون (25-44)",IF(D1749&lt;=64,"متوسطو العمر (45-64)","كبار السن (+65)"))))</f>
        <v>بالغون (25-44)</v>
      </c>
      <c r="T1749" s="41" t="n">
        <f aca="false">IFERROR(L1749/P1749,0)</f>
        <v>992.525</v>
      </c>
    </row>
    <row r="1750" customFormat="false" ht="15" hidden="false" customHeight="false" outlineLevel="0" collapsed="false">
      <c r="A1750" s="42" t="s">
        <v>1286</v>
      </c>
      <c r="B1750" s="43" t="n">
        <v>45597</v>
      </c>
      <c r="C1750" s="43" t="n">
        <v>45598</v>
      </c>
      <c r="D1750" s="42" t="n">
        <v>30</v>
      </c>
      <c r="E1750" s="42" t="s">
        <v>154</v>
      </c>
      <c r="F1750" s="42" t="s">
        <v>203</v>
      </c>
      <c r="G1750" s="42" t="s">
        <v>241</v>
      </c>
      <c r="H1750" s="42" t="s">
        <v>205</v>
      </c>
      <c r="I1750" s="42" t="s">
        <v>143</v>
      </c>
      <c r="J1750" s="42" t="s">
        <v>159</v>
      </c>
      <c r="K1750" s="42" t="s">
        <v>160</v>
      </c>
      <c r="L1750" s="44" t="n">
        <v>1017.54</v>
      </c>
      <c r="M1750" s="42" t="n">
        <v>3</v>
      </c>
      <c r="N1750" s="42" t="s">
        <v>146</v>
      </c>
      <c r="O1750" s="42" t="s">
        <v>147</v>
      </c>
      <c r="P1750" s="39" t="n">
        <f aca="false">C1750-B1750</f>
        <v>1</v>
      </c>
      <c r="Q1750" s="40" t="str">
        <f aca="false">CHOOSE(MONTH(B1750),"يناير","فبراير","مارس","أبريل","مايو","يونيو","يوليو","أغسطس","سبتمبر","أكتوبر","نوفمبر","ديسمبر")</f>
        <v>نوفمبر</v>
      </c>
      <c r="R1750" s="40" t="str">
        <f aca="false">"الربع "&amp;ROUNDUP(MONTH(B1750)/3,0)</f>
        <v>الربع 4</v>
      </c>
      <c r="S1750" s="40" t="str">
        <f aca="false">IF(D1750&lt;=12,"أطفال (0-12)",IF(D1750&lt;=24,"شباب (13-24)",IF(D1750&lt;=44,"بالغون (25-44)",IF(D1750&lt;=64,"متوسطو العمر (45-64)","كبار السن (+65)"))))</f>
        <v>بالغون (25-44)</v>
      </c>
      <c r="T1750" s="41" t="n">
        <f aca="false">IFERROR(L1750/P1750,0)</f>
        <v>1017.54</v>
      </c>
    </row>
    <row r="1751" customFormat="false" ht="15" hidden="false" customHeight="false" outlineLevel="0" collapsed="false">
      <c r="A1751" s="33" t="s">
        <v>1867</v>
      </c>
      <c r="B1751" s="34" t="n">
        <v>45597</v>
      </c>
      <c r="C1751" s="34" t="n">
        <v>45600</v>
      </c>
      <c r="D1751" s="33" t="n">
        <v>30</v>
      </c>
      <c r="E1751" s="33" t="s">
        <v>139</v>
      </c>
      <c r="F1751" s="33" t="s">
        <v>149</v>
      </c>
      <c r="G1751" s="33" t="s">
        <v>224</v>
      </c>
      <c r="H1751" s="33" t="s">
        <v>186</v>
      </c>
      <c r="I1751" s="33" t="s">
        <v>152</v>
      </c>
      <c r="J1751" s="33" t="s">
        <v>159</v>
      </c>
      <c r="K1751" s="33" t="s">
        <v>145</v>
      </c>
      <c r="L1751" s="35" t="n">
        <v>3944.38</v>
      </c>
      <c r="M1751" s="33" t="n">
        <v>5</v>
      </c>
      <c r="N1751" s="33" t="s">
        <v>146</v>
      </c>
      <c r="O1751" s="33" t="s">
        <v>147</v>
      </c>
      <c r="P1751" s="39" t="n">
        <f aca="false">C1751-B1751</f>
        <v>3</v>
      </c>
      <c r="Q1751" s="40" t="str">
        <f aca="false">CHOOSE(MONTH(B1751),"يناير","فبراير","مارس","أبريل","مايو","يونيو","يوليو","أغسطس","سبتمبر","أكتوبر","نوفمبر","ديسمبر")</f>
        <v>نوفمبر</v>
      </c>
      <c r="R1751" s="40" t="str">
        <f aca="false">"الربع "&amp;ROUNDUP(MONTH(B1751)/3,0)</f>
        <v>الربع 4</v>
      </c>
      <c r="S1751" s="40" t="str">
        <f aca="false">IF(D1751&lt;=12,"أطفال (0-12)",IF(D1751&lt;=24,"شباب (13-24)",IF(D1751&lt;=44,"بالغون (25-44)",IF(D1751&lt;=64,"متوسطو العمر (45-64)","كبار السن (+65)"))))</f>
        <v>بالغون (25-44)</v>
      </c>
      <c r="T1751" s="41" t="n">
        <f aca="false">IFERROR(L1751/P1751,0)</f>
        <v>1314.79333333333</v>
      </c>
    </row>
    <row r="1752" customFormat="false" ht="15" hidden="false" customHeight="false" outlineLevel="0" collapsed="false">
      <c r="A1752" s="42" t="s">
        <v>1152</v>
      </c>
      <c r="B1752" s="43" t="n">
        <v>45597</v>
      </c>
      <c r="C1752" s="43" t="n">
        <v>45606</v>
      </c>
      <c r="D1752" s="42" t="n">
        <v>56</v>
      </c>
      <c r="E1752" s="42" t="s">
        <v>154</v>
      </c>
      <c r="F1752" s="42" t="s">
        <v>140</v>
      </c>
      <c r="G1752" s="42" t="s">
        <v>141</v>
      </c>
      <c r="H1752" s="42" t="s">
        <v>142</v>
      </c>
      <c r="I1752" s="42" t="s">
        <v>152</v>
      </c>
      <c r="J1752" s="42" t="s">
        <v>159</v>
      </c>
      <c r="K1752" s="42" t="s">
        <v>160</v>
      </c>
      <c r="L1752" s="44" t="n">
        <v>20309.54</v>
      </c>
      <c r="M1752" s="42" t="n">
        <v>4</v>
      </c>
      <c r="N1752" s="42" t="s">
        <v>146</v>
      </c>
      <c r="O1752" s="42" t="s">
        <v>247</v>
      </c>
      <c r="P1752" s="39" t="n">
        <f aca="false">C1752-B1752</f>
        <v>9</v>
      </c>
      <c r="Q1752" s="40" t="str">
        <f aca="false">CHOOSE(MONTH(B1752),"يناير","فبراير","مارس","أبريل","مايو","يونيو","يوليو","أغسطس","سبتمبر","أكتوبر","نوفمبر","ديسمبر")</f>
        <v>نوفمبر</v>
      </c>
      <c r="R1752" s="40" t="str">
        <f aca="false">"الربع "&amp;ROUNDUP(MONTH(B1752)/3,0)</f>
        <v>الربع 4</v>
      </c>
      <c r="S1752" s="40" t="str">
        <f aca="false">IF(D1752&lt;=12,"أطفال (0-12)",IF(D1752&lt;=24,"شباب (13-24)",IF(D1752&lt;=44,"بالغون (25-44)",IF(D1752&lt;=64,"متوسطو العمر (45-64)","كبار السن (+65)"))))</f>
        <v>متوسطو العمر (45-64)</v>
      </c>
      <c r="T1752" s="41" t="n">
        <f aca="false">IFERROR(L1752/P1752,0)</f>
        <v>2256.61555555556</v>
      </c>
    </row>
    <row r="1753" customFormat="false" ht="15" hidden="false" customHeight="false" outlineLevel="0" collapsed="false">
      <c r="A1753" s="33" t="s">
        <v>478</v>
      </c>
      <c r="B1753" s="34" t="n">
        <v>45597</v>
      </c>
      <c r="C1753" s="34" t="n">
        <v>45600</v>
      </c>
      <c r="D1753" s="33" t="n">
        <v>56</v>
      </c>
      <c r="E1753" s="33" t="s">
        <v>154</v>
      </c>
      <c r="F1753" s="33" t="s">
        <v>181</v>
      </c>
      <c r="G1753" s="33" t="s">
        <v>188</v>
      </c>
      <c r="H1753" s="33" t="s">
        <v>183</v>
      </c>
      <c r="I1753" s="33" t="s">
        <v>152</v>
      </c>
      <c r="J1753" s="33" t="s">
        <v>144</v>
      </c>
      <c r="K1753" s="33" t="s">
        <v>145</v>
      </c>
      <c r="L1753" s="35" t="n">
        <v>13716.76</v>
      </c>
      <c r="M1753" s="33" t="n">
        <v>4</v>
      </c>
      <c r="N1753" s="33" t="s">
        <v>146</v>
      </c>
      <c r="O1753" s="33" t="s">
        <v>147</v>
      </c>
      <c r="P1753" s="39" t="n">
        <f aca="false">C1753-B1753</f>
        <v>3</v>
      </c>
      <c r="Q1753" s="40" t="str">
        <f aca="false">CHOOSE(MONTH(B1753),"يناير","فبراير","مارس","أبريل","مايو","يونيو","يوليو","أغسطس","سبتمبر","أكتوبر","نوفمبر","ديسمبر")</f>
        <v>نوفمبر</v>
      </c>
      <c r="R1753" s="40" t="str">
        <f aca="false">"الربع "&amp;ROUNDUP(MONTH(B1753)/3,0)</f>
        <v>الربع 4</v>
      </c>
      <c r="S1753" s="40" t="str">
        <f aca="false">IF(D1753&lt;=12,"أطفال (0-12)",IF(D1753&lt;=24,"شباب (13-24)",IF(D1753&lt;=44,"بالغون (25-44)",IF(D1753&lt;=64,"متوسطو العمر (45-64)","كبار السن (+65)"))))</f>
        <v>متوسطو العمر (45-64)</v>
      </c>
      <c r="T1753" s="41" t="n">
        <f aca="false">IFERROR(L1753/P1753,0)</f>
        <v>4572.25333333333</v>
      </c>
    </row>
    <row r="1754" customFormat="false" ht="15" hidden="false" customHeight="false" outlineLevel="0" collapsed="false">
      <c r="A1754" s="42" t="s">
        <v>454</v>
      </c>
      <c r="B1754" s="43" t="n">
        <v>45598</v>
      </c>
      <c r="C1754" s="43" t="n">
        <v>45599</v>
      </c>
      <c r="D1754" s="42" t="n">
        <v>20</v>
      </c>
      <c r="E1754" s="42" t="s">
        <v>139</v>
      </c>
      <c r="F1754" s="42" t="s">
        <v>203</v>
      </c>
      <c r="G1754" s="42" t="s">
        <v>204</v>
      </c>
      <c r="H1754" s="42" t="s">
        <v>193</v>
      </c>
      <c r="I1754" s="42" t="s">
        <v>143</v>
      </c>
      <c r="J1754" s="42" t="s">
        <v>144</v>
      </c>
      <c r="K1754" s="42" t="s">
        <v>145</v>
      </c>
      <c r="L1754" s="44" t="n">
        <v>1689.1</v>
      </c>
      <c r="M1754" s="42" t="n">
        <v>3</v>
      </c>
      <c r="N1754" s="42" t="s">
        <v>146</v>
      </c>
      <c r="O1754" s="42" t="s">
        <v>147</v>
      </c>
      <c r="P1754" s="39" t="n">
        <f aca="false">C1754-B1754</f>
        <v>1</v>
      </c>
      <c r="Q1754" s="40" t="str">
        <f aca="false">CHOOSE(MONTH(B1754),"يناير","فبراير","مارس","أبريل","مايو","يونيو","يوليو","أغسطس","سبتمبر","أكتوبر","نوفمبر","ديسمبر")</f>
        <v>نوفمبر</v>
      </c>
      <c r="R1754" s="40" t="str">
        <f aca="false">"الربع "&amp;ROUNDUP(MONTH(B1754)/3,0)</f>
        <v>الربع 4</v>
      </c>
      <c r="S1754" s="40" t="str">
        <f aca="false">IF(D1754&lt;=12,"أطفال (0-12)",IF(D1754&lt;=24,"شباب (13-24)",IF(D1754&lt;=44,"بالغون (25-44)",IF(D1754&lt;=64,"متوسطو العمر (45-64)","كبار السن (+65)"))))</f>
        <v>شباب (13-24)</v>
      </c>
      <c r="T1754" s="41" t="n">
        <f aca="false">IFERROR(L1754/P1754,0)</f>
        <v>1689.1</v>
      </c>
    </row>
    <row r="1755" customFormat="false" ht="15" hidden="false" customHeight="false" outlineLevel="0" collapsed="false">
      <c r="A1755" s="33" t="s">
        <v>1492</v>
      </c>
      <c r="B1755" s="34" t="n">
        <v>45598</v>
      </c>
      <c r="C1755" s="34" t="n">
        <v>45601</v>
      </c>
      <c r="D1755" s="33" t="n">
        <v>55</v>
      </c>
      <c r="E1755" s="33" t="s">
        <v>139</v>
      </c>
      <c r="F1755" s="33" t="s">
        <v>169</v>
      </c>
      <c r="G1755" s="33" t="s">
        <v>213</v>
      </c>
      <c r="H1755" s="33" t="s">
        <v>171</v>
      </c>
      <c r="I1755" s="33" t="s">
        <v>152</v>
      </c>
      <c r="J1755" s="33" t="s">
        <v>144</v>
      </c>
      <c r="K1755" s="33" t="s">
        <v>184</v>
      </c>
      <c r="L1755" s="35" t="n">
        <v>6178.77</v>
      </c>
      <c r="M1755" s="33" t="n">
        <v>5</v>
      </c>
      <c r="N1755" s="33" t="s">
        <v>146</v>
      </c>
      <c r="O1755" s="33" t="s">
        <v>147</v>
      </c>
      <c r="P1755" s="39" t="n">
        <f aca="false">C1755-B1755</f>
        <v>3</v>
      </c>
      <c r="Q1755" s="40" t="str">
        <f aca="false">CHOOSE(MONTH(B1755),"يناير","فبراير","مارس","أبريل","مايو","يونيو","يوليو","أغسطس","سبتمبر","أكتوبر","نوفمبر","ديسمبر")</f>
        <v>نوفمبر</v>
      </c>
      <c r="R1755" s="40" t="str">
        <f aca="false">"الربع "&amp;ROUNDUP(MONTH(B1755)/3,0)</f>
        <v>الربع 4</v>
      </c>
      <c r="S1755" s="40" t="str">
        <f aca="false">IF(D1755&lt;=12,"أطفال (0-12)",IF(D1755&lt;=24,"شباب (13-24)",IF(D1755&lt;=44,"بالغون (25-44)",IF(D1755&lt;=64,"متوسطو العمر (45-64)","كبار السن (+65)"))))</f>
        <v>متوسطو العمر (45-64)</v>
      </c>
      <c r="T1755" s="41" t="n">
        <f aca="false">IFERROR(L1755/P1755,0)</f>
        <v>2059.59</v>
      </c>
    </row>
    <row r="1756" customFormat="false" ht="15" hidden="false" customHeight="false" outlineLevel="0" collapsed="false">
      <c r="A1756" s="42" t="s">
        <v>1684</v>
      </c>
      <c r="B1756" s="43" t="n">
        <v>45598</v>
      </c>
      <c r="C1756" s="43" t="n">
        <v>45603</v>
      </c>
      <c r="D1756" s="42" t="n">
        <v>52</v>
      </c>
      <c r="E1756" s="42" t="s">
        <v>154</v>
      </c>
      <c r="F1756" s="42" t="s">
        <v>181</v>
      </c>
      <c r="G1756" s="42" t="s">
        <v>182</v>
      </c>
      <c r="H1756" s="42" t="s">
        <v>183</v>
      </c>
      <c r="I1756" s="42" t="s">
        <v>143</v>
      </c>
      <c r="J1756" s="42" t="s">
        <v>159</v>
      </c>
      <c r="K1756" s="42" t="s">
        <v>145</v>
      </c>
      <c r="L1756" s="44" t="n">
        <v>12607.96</v>
      </c>
      <c r="M1756" s="42" t="n">
        <v>5</v>
      </c>
      <c r="N1756" s="42" t="s">
        <v>146</v>
      </c>
      <c r="O1756" s="42" t="s">
        <v>147</v>
      </c>
      <c r="P1756" s="39" t="n">
        <f aca="false">C1756-B1756</f>
        <v>5</v>
      </c>
      <c r="Q1756" s="40" t="str">
        <f aca="false">CHOOSE(MONTH(B1756),"يناير","فبراير","مارس","أبريل","مايو","يونيو","يوليو","أغسطس","سبتمبر","أكتوبر","نوفمبر","ديسمبر")</f>
        <v>نوفمبر</v>
      </c>
      <c r="R1756" s="40" t="str">
        <f aca="false">"الربع "&amp;ROUNDUP(MONTH(B1756)/3,0)</f>
        <v>الربع 4</v>
      </c>
      <c r="S1756" s="40" t="str">
        <f aca="false">IF(D1756&lt;=12,"أطفال (0-12)",IF(D1756&lt;=24,"شباب (13-24)",IF(D1756&lt;=44,"بالغون (25-44)",IF(D1756&lt;=64,"متوسطو العمر (45-64)","كبار السن (+65)"))))</f>
        <v>متوسطو العمر (45-64)</v>
      </c>
      <c r="T1756" s="41" t="n">
        <f aca="false">IFERROR(L1756/P1756,0)</f>
        <v>2521.592</v>
      </c>
    </row>
    <row r="1757" customFormat="false" ht="15" hidden="false" customHeight="false" outlineLevel="0" collapsed="false">
      <c r="A1757" s="33" t="s">
        <v>2197</v>
      </c>
      <c r="B1757" s="34" t="n">
        <v>45598</v>
      </c>
      <c r="C1757" s="34" t="n">
        <v>45599</v>
      </c>
      <c r="D1757" s="33" t="n">
        <v>6</v>
      </c>
      <c r="E1757" s="33" t="s">
        <v>154</v>
      </c>
      <c r="F1757" s="33" t="s">
        <v>155</v>
      </c>
      <c r="G1757" s="33" t="s">
        <v>156</v>
      </c>
      <c r="H1757" s="33" t="s">
        <v>157</v>
      </c>
      <c r="I1757" s="33" t="s">
        <v>158</v>
      </c>
      <c r="J1757" s="33" t="s">
        <v>159</v>
      </c>
      <c r="K1757" s="33" t="s">
        <v>160</v>
      </c>
      <c r="L1757" s="35" t="n">
        <v>1008.21</v>
      </c>
      <c r="M1757" s="33" t="n">
        <v>4</v>
      </c>
      <c r="N1757" s="33" t="s">
        <v>146</v>
      </c>
      <c r="O1757" s="33" t="s">
        <v>147</v>
      </c>
      <c r="P1757" s="39" t="n">
        <f aca="false">C1757-B1757</f>
        <v>1</v>
      </c>
      <c r="Q1757" s="40" t="str">
        <f aca="false">CHOOSE(MONTH(B1757),"يناير","فبراير","مارس","أبريل","مايو","يونيو","يوليو","أغسطس","سبتمبر","أكتوبر","نوفمبر","ديسمبر")</f>
        <v>نوفمبر</v>
      </c>
      <c r="R1757" s="40" t="str">
        <f aca="false">"الربع "&amp;ROUNDUP(MONTH(B1757)/3,0)</f>
        <v>الربع 4</v>
      </c>
      <c r="S1757" s="40" t="str">
        <f aca="false">IF(D1757&lt;=12,"أطفال (0-12)",IF(D1757&lt;=24,"شباب (13-24)",IF(D1757&lt;=44,"بالغون (25-44)",IF(D1757&lt;=64,"متوسطو العمر (45-64)","كبار السن (+65)"))))</f>
        <v>أطفال (0-12)</v>
      </c>
      <c r="T1757" s="41" t="n">
        <f aca="false">IFERROR(L1757/P1757,0)</f>
        <v>1008.21</v>
      </c>
    </row>
    <row r="1758" customFormat="false" ht="15" hidden="false" customHeight="false" outlineLevel="0" collapsed="false">
      <c r="A1758" s="42" t="s">
        <v>1270</v>
      </c>
      <c r="B1758" s="43" t="n">
        <v>45598</v>
      </c>
      <c r="C1758" s="43" t="n">
        <v>45599</v>
      </c>
      <c r="D1758" s="42" t="n">
        <v>61</v>
      </c>
      <c r="E1758" s="42" t="s">
        <v>154</v>
      </c>
      <c r="F1758" s="42" t="s">
        <v>203</v>
      </c>
      <c r="G1758" s="42" t="s">
        <v>241</v>
      </c>
      <c r="H1758" s="42" t="s">
        <v>233</v>
      </c>
      <c r="I1758" s="42" t="s">
        <v>143</v>
      </c>
      <c r="J1758" s="42" t="s">
        <v>144</v>
      </c>
      <c r="K1758" s="42" t="s">
        <v>184</v>
      </c>
      <c r="L1758" s="44" t="n">
        <v>1634.12</v>
      </c>
      <c r="M1758" s="42" t="n">
        <v>3</v>
      </c>
      <c r="N1758" s="42" t="s">
        <v>146</v>
      </c>
      <c r="O1758" s="42" t="s">
        <v>147</v>
      </c>
      <c r="P1758" s="39" t="n">
        <f aca="false">C1758-B1758</f>
        <v>1</v>
      </c>
      <c r="Q1758" s="40" t="str">
        <f aca="false">CHOOSE(MONTH(B1758),"يناير","فبراير","مارس","أبريل","مايو","يونيو","يوليو","أغسطس","سبتمبر","أكتوبر","نوفمبر","ديسمبر")</f>
        <v>نوفمبر</v>
      </c>
      <c r="R1758" s="40" t="str">
        <f aca="false">"الربع "&amp;ROUNDUP(MONTH(B1758)/3,0)</f>
        <v>الربع 4</v>
      </c>
      <c r="S1758" s="40" t="str">
        <f aca="false">IF(D1758&lt;=12,"أطفال (0-12)",IF(D1758&lt;=24,"شباب (13-24)",IF(D1758&lt;=44,"بالغون (25-44)",IF(D1758&lt;=64,"متوسطو العمر (45-64)","كبار السن (+65)"))))</f>
        <v>متوسطو العمر (45-64)</v>
      </c>
      <c r="T1758" s="41" t="n">
        <f aca="false">IFERROR(L1758/P1758,0)</f>
        <v>1634.12</v>
      </c>
    </row>
    <row r="1759" customFormat="false" ht="15" hidden="false" customHeight="false" outlineLevel="0" collapsed="false">
      <c r="A1759" s="33" t="s">
        <v>585</v>
      </c>
      <c r="B1759" s="34" t="n">
        <v>45598</v>
      </c>
      <c r="C1759" s="34" t="n">
        <v>45599</v>
      </c>
      <c r="D1759" s="33" t="n">
        <v>38</v>
      </c>
      <c r="E1759" s="33" t="s">
        <v>154</v>
      </c>
      <c r="F1759" s="33" t="s">
        <v>203</v>
      </c>
      <c r="G1759" s="33" t="s">
        <v>192</v>
      </c>
      <c r="H1759" s="33" t="s">
        <v>205</v>
      </c>
      <c r="I1759" s="33" t="s">
        <v>158</v>
      </c>
      <c r="J1759" s="33" t="s">
        <v>144</v>
      </c>
      <c r="K1759" s="33" t="s">
        <v>160</v>
      </c>
      <c r="L1759" s="35" t="n">
        <v>1931.47</v>
      </c>
      <c r="M1759" s="33" t="n">
        <v>3</v>
      </c>
      <c r="N1759" s="33" t="s">
        <v>146</v>
      </c>
      <c r="O1759" s="33" t="s">
        <v>147</v>
      </c>
      <c r="P1759" s="39" t="n">
        <f aca="false">C1759-B1759</f>
        <v>1</v>
      </c>
      <c r="Q1759" s="40" t="str">
        <f aca="false">CHOOSE(MONTH(B1759),"يناير","فبراير","مارس","أبريل","مايو","يونيو","يوليو","أغسطس","سبتمبر","أكتوبر","نوفمبر","ديسمبر")</f>
        <v>نوفمبر</v>
      </c>
      <c r="R1759" s="40" t="str">
        <f aca="false">"الربع "&amp;ROUNDUP(MONTH(B1759)/3,0)</f>
        <v>الربع 4</v>
      </c>
      <c r="S1759" s="40" t="str">
        <f aca="false">IF(D1759&lt;=12,"أطفال (0-12)",IF(D1759&lt;=24,"شباب (13-24)",IF(D1759&lt;=44,"بالغون (25-44)",IF(D1759&lt;=64,"متوسطو العمر (45-64)","كبار السن (+65)"))))</f>
        <v>بالغون (25-44)</v>
      </c>
      <c r="T1759" s="41" t="n">
        <f aca="false">IFERROR(L1759/P1759,0)</f>
        <v>1931.47</v>
      </c>
    </row>
    <row r="1760" customFormat="false" ht="15" hidden="false" customHeight="false" outlineLevel="0" collapsed="false">
      <c r="A1760" s="42" t="s">
        <v>2156</v>
      </c>
      <c r="B1760" s="43" t="n">
        <v>45599</v>
      </c>
      <c r="C1760" s="43" t="n">
        <v>45606</v>
      </c>
      <c r="D1760" s="42" t="n">
        <v>76</v>
      </c>
      <c r="E1760" s="42" t="s">
        <v>154</v>
      </c>
      <c r="F1760" s="42" t="s">
        <v>181</v>
      </c>
      <c r="G1760" s="42" t="s">
        <v>237</v>
      </c>
      <c r="H1760" s="42" t="s">
        <v>183</v>
      </c>
      <c r="I1760" s="42" t="s">
        <v>143</v>
      </c>
      <c r="J1760" s="42" t="s">
        <v>159</v>
      </c>
      <c r="K1760" s="42" t="s">
        <v>145</v>
      </c>
      <c r="L1760" s="44" t="n">
        <v>14606.47</v>
      </c>
      <c r="M1760" s="42" t="n">
        <v>3</v>
      </c>
      <c r="N1760" s="42" t="s">
        <v>146</v>
      </c>
      <c r="O1760" s="42" t="s">
        <v>147</v>
      </c>
      <c r="P1760" s="39" t="n">
        <f aca="false">C1760-B1760</f>
        <v>7</v>
      </c>
      <c r="Q1760" s="40" t="str">
        <f aca="false">CHOOSE(MONTH(B1760),"يناير","فبراير","مارس","أبريل","مايو","يونيو","يوليو","أغسطس","سبتمبر","أكتوبر","نوفمبر","ديسمبر")</f>
        <v>نوفمبر</v>
      </c>
      <c r="R1760" s="40" t="str">
        <f aca="false">"الربع "&amp;ROUNDUP(MONTH(B1760)/3,0)</f>
        <v>الربع 4</v>
      </c>
      <c r="S1760" s="40" t="str">
        <f aca="false">IF(D1760&lt;=12,"أطفال (0-12)",IF(D1760&lt;=24,"شباب (13-24)",IF(D1760&lt;=44,"بالغون (25-44)",IF(D1760&lt;=64,"متوسطو العمر (45-64)","كبار السن (+65)"))))</f>
        <v>كبار السن (+65)</v>
      </c>
      <c r="T1760" s="41" t="n">
        <f aca="false">IFERROR(L1760/P1760,0)</f>
        <v>2086.63857142857</v>
      </c>
    </row>
    <row r="1761" customFormat="false" ht="15" hidden="false" customHeight="false" outlineLevel="0" collapsed="false">
      <c r="A1761" s="33" t="s">
        <v>1690</v>
      </c>
      <c r="B1761" s="34" t="n">
        <v>45599</v>
      </c>
      <c r="C1761" s="34" t="n">
        <v>45602</v>
      </c>
      <c r="D1761" s="33" t="n">
        <v>52</v>
      </c>
      <c r="E1761" s="33" t="s">
        <v>139</v>
      </c>
      <c r="F1761" s="33" t="s">
        <v>226</v>
      </c>
      <c r="G1761" s="33" t="s">
        <v>227</v>
      </c>
      <c r="H1761" s="33" t="s">
        <v>263</v>
      </c>
      <c r="I1761" s="33" t="s">
        <v>143</v>
      </c>
      <c r="J1761" s="33" t="s">
        <v>144</v>
      </c>
      <c r="K1761" s="33" t="s">
        <v>145</v>
      </c>
      <c r="L1761" s="35" t="n">
        <v>15706.83</v>
      </c>
      <c r="M1761" s="33" t="n">
        <v>4</v>
      </c>
      <c r="N1761" s="33" t="s">
        <v>146</v>
      </c>
      <c r="O1761" s="33" t="s">
        <v>147</v>
      </c>
      <c r="P1761" s="39" t="n">
        <f aca="false">C1761-B1761</f>
        <v>3</v>
      </c>
      <c r="Q1761" s="40" t="str">
        <f aca="false">CHOOSE(MONTH(B1761),"يناير","فبراير","مارس","أبريل","مايو","يونيو","يوليو","أغسطس","سبتمبر","أكتوبر","نوفمبر","ديسمبر")</f>
        <v>نوفمبر</v>
      </c>
      <c r="R1761" s="40" t="str">
        <f aca="false">"الربع "&amp;ROUNDUP(MONTH(B1761)/3,0)</f>
        <v>الربع 4</v>
      </c>
      <c r="S1761" s="40" t="str">
        <f aca="false">IF(D1761&lt;=12,"أطفال (0-12)",IF(D1761&lt;=24,"شباب (13-24)",IF(D1761&lt;=44,"بالغون (25-44)",IF(D1761&lt;=64,"متوسطو العمر (45-64)","كبار السن (+65)"))))</f>
        <v>متوسطو العمر (45-64)</v>
      </c>
      <c r="T1761" s="41" t="n">
        <f aca="false">IFERROR(L1761/P1761,0)</f>
        <v>5235.61</v>
      </c>
    </row>
    <row r="1762" customFormat="false" ht="15" hidden="false" customHeight="false" outlineLevel="0" collapsed="false">
      <c r="A1762" s="42" t="s">
        <v>509</v>
      </c>
      <c r="B1762" s="43" t="n">
        <v>45599</v>
      </c>
      <c r="C1762" s="43" t="n">
        <v>45604</v>
      </c>
      <c r="D1762" s="42" t="n">
        <v>27</v>
      </c>
      <c r="E1762" s="42" t="s">
        <v>139</v>
      </c>
      <c r="F1762" s="42" t="s">
        <v>173</v>
      </c>
      <c r="G1762" s="42" t="s">
        <v>198</v>
      </c>
      <c r="H1762" s="42" t="s">
        <v>2322</v>
      </c>
      <c r="I1762" s="42" t="s">
        <v>143</v>
      </c>
      <c r="J1762" s="42" t="s">
        <v>159</v>
      </c>
      <c r="K1762" s="42" t="s">
        <v>184</v>
      </c>
      <c r="L1762" s="44" t="n">
        <v>11631.09</v>
      </c>
      <c r="M1762" s="42" t="n">
        <v>5</v>
      </c>
      <c r="N1762" s="42" t="s">
        <v>146</v>
      </c>
      <c r="O1762" s="42" t="s">
        <v>147</v>
      </c>
      <c r="P1762" s="39" t="n">
        <f aca="false">C1762-B1762</f>
        <v>5</v>
      </c>
      <c r="Q1762" s="40" t="str">
        <f aca="false">CHOOSE(MONTH(B1762),"يناير","فبراير","مارس","أبريل","مايو","يونيو","يوليو","أغسطس","سبتمبر","أكتوبر","نوفمبر","ديسمبر")</f>
        <v>نوفمبر</v>
      </c>
      <c r="R1762" s="40" t="str">
        <f aca="false">"الربع "&amp;ROUNDUP(MONTH(B1762)/3,0)</f>
        <v>الربع 4</v>
      </c>
      <c r="S1762" s="40" t="str">
        <f aca="false">IF(D1762&lt;=12,"أطفال (0-12)",IF(D1762&lt;=24,"شباب (13-24)",IF(D1762&lt;=44,"بالغون (25-44)",IF(D1762&lt;=64,"متوسطو العمر (45-64)","كبار السن (+65)"))))</f>
        <v>بالغون (25-44)</v>
      </c>
      <c r="T1762" s="41" t="n">
        <f aca="false">IFERROR(L1762/P1762,0)</f>
        <v>2326.218</v>
      </c>
    </row>
    <row r="1763" customFormat="false" ht="15" hidden="false" customHeight="false" outlineLevel="0" collapsed="false">
      <c r="A1763" s="33" t="s">
        <v>2052</v>
      </c>
      <c r="B1763" s="34" t="n">
        <v>45599</v>
      </c>
      <c r="C1763" s="34" t="n">
        <v>45602</v>
      </c>
      <c r="D1763" s="33" t="n">
        <v>42</v>
      </c>
      <c r="E1763" s="33" t="s">
        <v>154</v>
      </c>
      <c r="F1763" s="33" t="s">
        <v>173</v>
      </c>
      <c r="G1763" s="33" t="s">
        <v>178</v>
      </c>
      <c r="H1763" s="33" t="s">
        <v>199</v>
      </c>
      <c r="I1763" s="33" t="s">
        <v>143</v>
      </c>
      <c r="J1763" s="33" t="s">
        <v>159</v>
      </c>
      <c r="K1763" s="33" t="s">
        <v>160</v>
      </c>
      <c r="L1763" s="35" t="n">
        <v>8937.58</v>
      </c>
      <c r="M1763" s="33" t="n">
        <v>4</v>
      </c>
      <c r="N1763" s="33" t="s">
        <v>146</v>
      </c>
      <c r="O1763" s="33" t="s">
        <v>147</v>
      </c>
      <c r="P1763" s="39" t="n">
        <f aca="false">C1763-B1763</f>
        <v>3</v>
      </c>
      <c r="Q1763" s="40" t="str">
        <f aca="false">CHOOSE(MONTH(B1763),"يناير","فبراير","مارس","أبريل","مايو","يونيو","يوليو","أغسطس","سبتمبر","أكتوبر","نوفمبر","ديسمبر")</f>
        <v>نوفمبر</v>
      </c>
      <c r="R1763" s="40" t="str">
        <f aca="false">"الربع "&amp;ROUNDUP(MONTH(B1763)/3,0)</f>
        <v>الربع 4</v>
      </c>
      <c r="S1763" s="40" t="str">
        <f aca="false">IF(D1763&lt;=12,"أطفال (0-12)",IF(D1763&lt;=24,"شباب (13-24)",IF(D1763&lt;=44,"بالغون (25-44)",IF(D1763&lt;=64,"متوسطو العمر (45-64)","كبار السن (+65)"))))</f>
        <v>بالغون (25-44)</v>
      </c>
      <c r="T1763" s="41" t="n">
        <f aca="false">IFERROR(L1763/P1763,0)</f>
        <v>2979.19333333333</v>
      </c>
    </row>
    <row r="1764" customFormat="false" ht="15" hidden="false" customHeight="false" outlineLevel="0" collapsed="false">
      <c r="A1764" s="42" t="s">
        <v>254</v>
      </c>
      <c r="B1764" s="43" t="n">
        <v>45599</v>
      </c>
      <c r="C1764" s="43" t="n">
        <v>45604</v>
      </c>
      <c r="D1764" s="42" t="n">
        <v>63</v>
      </c>
      <c r="E1764" s="42" t="s">
        <v>154</v>
      </c>
      <c r="F1764" s="42" t="s">
        <v>173</v>
      </c>
      <c r="G1764" s="42" t="s">
        <v>174</v>
      </c>
      <c r="H1764" s="42" t="s">
        <v>175</v>
      </c>
      <c r="I1764" s="42" t="s">
        <v>158</v>
      </c>
      <c r="J1764" s="42" t="s">
        <v>144</v>
      </c>
      <c r="K1764" s="42" t="s">
        <v>160</v>
      </c>
      <c r="L1764" s="44" t="n">
        <v>22038.64</v>
      </c>
      <c r="M1764" s="42" t="n">
        <v>3</v>
      </c>
      <c r="N1764" s="42" t="s">
        <v>146</v>
      </c>
      <c r="O1764" s="42" t="s">
        <v>147</v>
      </c>
      <c r="P1764" s="39" t="n">
        <f aca="false">C1764-B1764</f>
        <v>5</v>
      </c>
      <c r="Q1764" s="40" t="str">
        <f aca="false">CHOOSE(MONTH(B1764),"يناير","فبراير","مارس","أبريل","مايو","يونيو","يوليو","أغسطس","سبتمبر","أكتوبر","نوفمبر","ديسمبر")</f>
        <v>نوفمبر</v>
      </c>
      <c r="R1764" s="40" t="str">
        <f aca="false">"الربع "&amp;ROUNDUP(MONTH(B1764)/3,0)</f>
        <v>الربع 4</v>
      </c>
      <c r="S1764" s="40" t="str">
        <f aca="false">IF(D1764&lt;=12,"أطفال (0-12)",IF(D1764&lt;=24,"شباب (13-24)",IF(D1764&lt;=44,"بالغون (25-44)",IF(D1764&lt;=64,"متوسطو العمر (45-64)","كبار السن (+65)"))))</f>
        <v>متوسطو العمر (45-64)</v>
      </c>
      <c r="T1764" s="41" t="n">
        <f aca="false">IFERROR(L1764/P1764,0)</f>
        <v>4407.728</v>
      </c>
    </row>
    <row r="1765" customFormat="false" ht="15" hidden="false" customHeight="false" outlineLevel="0" collapsed="false">
      <c r="A1765" s="33" t="s">
        <v>566</v>
      </c>
      <c r="B1765" s="34" t="n">
        <v>45599</v>
      </c>
      <c r="C1765" s="34" t="n">
        <v>45600</v>
      </c>
      <c r="D1765" s="33" t="n">
        <v>35</v>
      </c>
      <c r="E1765" s="33" t="s">
        <v>154</v>
      </c>
      <c r="F1765" s="33" t="s">
        <v>140</v>
      </c>
      <c r="G1765" s="33" t="s">
        <v>167</v>
      </c>
      <c r="H1765" s="33" t="s">
        <v>142</v>
      </c>
      <c r="I1765" s="33" t="s">
        <v>143</v>
      </c>
      <c r="J1765" s="33" t="s">
        <v>176</v>
      </c>
      <c r="K1765" s="33" t="s">
        <v>145</v>
      </c>
      <c r="L1765" s="35" t="n">
        <v>7957.8</v>
      </c>
      <c r="M1765" s="33" t="n">
        <v>5</v>
      </c>
      <c r="N1765" s="33" t="s">
        <v>146</v>
      </c>
      <c r="O1765" s="33" t="s">
        <v>147</v>
      </c>
      <c r="P1765" s="39" t="n">
        <f aca="false">C1765-B1765</f>
        <v>1</v>
      </c>
      <c r="Q1765" s="40" t="str">
        <f aca="false">CHOOSE(MONTH(B1765),"يناير","فبراير","مارس","أبريل","مايو","يونيو","يوليو","أغسطس","سبتمبر","أكتوبر","نوفمبر","ديسمبر")</f>
        <v>نوفمبر</v>
      </c>
      <c r="R1765" s="40" t="str">
        <f aca="false">"الربع "&amp;ROUNDUP(MONTH(B1765)/3,0)</f>
        <v>الربع 4</v>
      </c>
      <c r="S1765" s="40" t="str">
        <f aca="false">IF(D1765&lt;=12,"أطفال (0-12)",IF(D1765&lt;=24,"شباب (13-24)",IF(D1765&lt;=44,"بالغون (25-44)",IF(D1765&lt;=64,"متوسطو العمر (45-64)","كبار السن (+65)"))))</f>
        <v>بالغون (25-44)</v>
      </c>
      <c r="T1765" s="41" t="n">
        <f aca="false">IFERROR(L1765/P1765,0)</f>
        <v>7957.8</v>
      </c>
    </row>
    <row r="1766" customFormat="false" ht="15" hidden="false" customHeight="false" outlineLevel="0" collapsed="false">
      <c r="A1766" s="42" t="s">
        <v>1769</v>
      </c>
      <c r="B1766" s="43" t="n">
        <v>45599</v>
      </c>
      <c r="C1766" s="43" t="n">
        <v>45601</v>
      </c>
      <c r="D1766" s="42" t="n">
        <v>23</v>
      </c>
      <c r="E1766" s="42" t="s">
        <v>154</v>
      </c>
      <c r="F1766" s="42" t="s">
        <v>169</v>
      </c>
      <c r="G1766" s="42" t="s">
        <v>170</v>
      </c>
      <c r="H1766" s="42" t="s">
        <v>164</v>
      </c>
      <c r="I1766" s="42" t="s">
        <v>152</v>
      </c>
      <c r="J1766" s="42" t="s">
        <v>159</v>
      </c>
      <c r="K1766" s="42" t="s">
        <v>145</v>
      </c>
      <c r="L1766" s="44" t="n">
        <v>2278.9</v>
      </c>
      <c r="M1766" s="42" t="n">
        <v>5</v>
      </c>
      <c r="N1766" s="42" t="s">
        <v>146</v>
      </c>
      <c r="O1766" s="42" t="s">
        <v>147</v>
      </c>
      <c r="P1766" s="39" t="n">
        <f aca="false">C1766-B1766</f>
        <v>2</v>
      </c>
      <c r="Q1766" s="40" t="str">
        <f aca="false">CHOOSE(MONTH(B1766),"يناير","فبراير","مارس","أبريل","مايو","يونيو","يوليو","أغسطس","سبتمبر","أكتوبر","نوفمبر","ديسمبر")</f>
        <v>نوفمبر</v>
      </c>
      <c r="R1766" s="40" t="str">
        <f aca="false">"الربع "&amp;ROUNDUP(MONTH(B1766)/3,0)</f>
        <v>الربع 4</v>
      </c>
      <c r="S1766" s="40" t="str">
        <f aca="false">IF(D1766&lt;=12,"أطفال (0-12)",IF(D1766&lt;=24,"شباب (13-24)",IF(D1766&lt;=44,"بالغون (25-44)",IF(D1766&lt;=64,"متوسطو العمر (45-64)","كبار السن (+65)"))))</f>
        <v>شباب (13-24)</v>
      </c>
      <c r="T1766" s="41" t="n">
        <f aca="false">IFERROR(L1766/P1766,0)</f>
        <v>1139.45</v>
      </c>
    </row>
    <row r="1767" customFormat="false" ht="15" hidden="false" customHeight="false" outlineLevel="0" collapsed="false">
      <c r="A1767" s="33" t="s">
        <v>1627</v>
      </c>
      <c r="B1767" s="34" t="n">
        <v>45599</v>
      </c>
      <c r="C1767" s="34" t="n">
        <v>45609</v>
      </c>
      <c r="D1767" s="33" t="n">
        <v>71</v>
      </c>
      <c r="E1767" s="33" t="s">
        <v>154</v>
      </c>
      <c r="F1767" s="33" t="s">
        <v>226</v>
      </c>
      <c r="G1767" s="33" t="s">
        <v>258</v>
      </c>
      <c r="H1767" s="33" t="s">
        <v>263</v>
      </c>
      <c r="I1767" s="33" t="s">
        <v>158</v>
      </c>
      <c r="J1767" s="33" t="s">
        <v>144</v>
      </c>
      <c r="K1767" s="33" t="s">
        <v>145</v>
      </c>
      <c r="L1767" s="35" t="n">
        <v>55081.6</v>
      </c>
      <c r="M1767" s="33" t="n">
        <v>5</v>
      </c>
      <c r="N1767" s="33" t="s">
        <v>210</v>
      </c>
      <c r="O1767" s="33" t="s">
        <v>147</v>
      </c>
      <c r="P1767" s="39" t="n">
        <f aca="false">C1767-B1767</f>
        <v>10</v>
      </c>
      <c r="Q1767" s="40" t="str">
        <f aca="false">CHOOSE(MONTH(B1767),"يناير","فبراير","مارس","أبريل","مايو","يونيو","يوليو","أغسطس","سبتمبر","أكتوبر","نوفمبر","ديسمبر")</f>
        <v>نوفمبر</v>
      </c>
      <c r="R1767" s="40" t="str">
        <f aca="false">"الربع "&amp;ROUNDUP(MONTH(B1767)/3,0)</f>
        <v>الربع 4</v>
      </c>
      <c r="S1767" s="40" t="str">
        <f aca="false">IF(D1767&lt;=12,"أطفال (0-12)",IF(D1767&lt;=24,"شباب (13-24)",IF(D1767&lt;=44,"بالغون (25-44)",IF(D1767&lt;=64,"متوسطو العمر (45-64)","كبار السن (+65)"))))</f>
        <v>كبار السن (+65)</v>
      </c>
      <c r="T1767" s="41" t="n">
        <f aca="false">IFERROR(L1767/P1767,0)</f>
        <v>5508.16</v>
      </c>
    </row>
    <row r="1768" customFormat="false" ht="15" hidden="false" customHeight="false" outlineLevel="0" collapsed="false">
      <c r="A1768" s="42" t="s">
        <v>2028</v>
      </c>
      <c r="B1768" s="43" t="n">
        <v>45599</v>
      </c>
      <c r="C1768" s="43" t="n">
        <v>45602</v>
      </c>
      <c r="D1768" s="42" t="n">
        <v>46</v>
      </c>
      <c r="E1768" s="42" t="s">
        <v>154</v>
      </c>
      <c r="F1768" s="42" t="s">
        <v>140</v>
      </c>
      <c r="G1768" s="42" t="s">
        <v>167</v>
      </c>
      <c r="H1768" s="42" t="s">
        <v>290</v>
      </c>
      <c r="I1768" s="42" t="s">
        <v>158</v>
      </c>
      <c r="J1768" s="42" t="s">
        <v>159</v>
      </c>
      <c r="K1768" s="42" t="s">
        <v>160</v>
      </c>
      <c r="L1768" s="44" t="n">
        <v>7801.3</v>
      </c>
      <c r="M1768" s="42" t="n">
        <v>4</v>
      </c>
      <c r="N1768" s="42" t="s">
        <v>146</v>
      </c>
      <c r="O1768" s="42" t="s">
        <v>147</v>
      </c>
      <c r="P1768" s="39" t="n">
        <f aca="false">C1768-B1768</f>
        <v>3</v>
      </c>
      <c r="Q1768" s="40" t="str">
        <f aca="false">CHOOSE(MONTH(B1768),"يناير","فبراير","مارس","أبريل","مايو","يونيو","يوليو","أغسطس","سبتمبر","أكتوبر","نوفمبر","ديسمبر")</f>
        <v>نوفمبر</v>
      </c>
      <c r="R1768" s="40" t="str">
        <f aca="false">"الربع "&amp;ROUNDUP(MONTH(B1768)/3,0)</f>
        <v>الربع 4</v>
      </c>
      <c r="S1768" s="40" t="str">
        <f aca="false">IF(D1768&lt;=12,"أطفال (0-12)",IF(D1768&lt;=24,"شباب (13-24)",IF(D1768&lt;=44,"بالغون (25-44)",IF(D1768&lt;=64,"متوسطو العمر (45-64)","كبار السن (+65)"))))</f>
        <v>متوسطو العمر (45-64)</v>
      </c>
      <c r="T1768" s="41" t="n">
        <f aca="false">IFERROR(L1768/P1768,0)</f>
        <v>2600.43333333333</v>
      </c>
    </row>
    <row r="1769" customFormat="false" ht="15" hidden="false" customHeight="false" outlineLevel="0" collapsed="false">
      <c r="A1769" s="33" t="s">
        <v>946</v>
      </c>
      <c r="B1769" s="34" t="n">
        <v>45599</v>
      </c>
      <c r="C1769" s="34" t="n">
        <v>45603</v>
      </c>
      <c r="D1769" s="33" t="n">
        <v>16</v>
      </c>
      <c r="E1769" s="33" t="s">
        <v>139</v>
      </c>
      <c r="F1769" s="33" t="s">
        <v>169</v>
      </c>
      <c r="G1769" s="33" t="s">
        <v>163</v>
      </c>
      <c r="H1769" s="33" t="s">
        <v>164</v>
      </c>
      <c r="I1769" s="33" t="s">
        <v>152</v>
      </c>
      <c r="J1769" s="33" t="s">
        <v>159</v>
      </c>
      <c r="K1769" s="33" t="s">
        <v>145</v>
      </c>
      <c r="L1769" s="35" t="n">
        <v>5582.46</v>
      </c>
      <c r="M1769" s="33" t="n">
        <v>4</v>
      </c>
      <c r="N1769" s="33" t="s">
        <v>146</v>
      </c>
      <c r="O1769" s="33" t="s">
        <v>147</v>
      </c>
      <c r="P1769" s="39" t="n">
        <f aca="false">C1769-B1769</f>
        <v>4</v>
      </c>
      <c r="Q1769" s="40" t="str">
        <f aca="false">CHOOSE(MONTH(B1769),"يناير","فبراير","مارس","أبريل","مايو","يونيو","يوليو","أغسطس","سبتمبر","أكتوبر","نوفمبر","ديسمبر")</f>
        <v>نوفمبر</v>
      </c>
      <c r="R1769" s="40" t="str">
        <f aca="false">"الربع "&amp;ROUNDUP(MONTH(B1769)/3,0)</f>
        <v>الربع 4</v>
      </c>
      <c r="S1769" s="40" t="str">
        <f aca="false">IF(D1769&lt;=12,"أطفال (0-12)",IF(D1769&lt;=24,"شباب (13-24)",IF(D1769&lt;=44,"بالغون (25-44)",IF(D1769&lt;=64,"متوسطو العمر (45-64)","كبار السن (+65)"))))</f>
        <v>شباب (13-24)</v>
      </c>
      <c r="T1769" s="41" t="n">
        <f aca="false">IFERROR(L1769/P1769,0)</f>
        <v>1395.615</v>
      </c>
    </row>
    <row r="1770" customFormat="false" ht="15" hidden="false" customHeight="false" outlineLevel="0" collapsed="false">
      <c r="A1770" s="42" t="s">
        <v>1481</v>
      </c>
      <c r="B1770" s="43" t="n">
        <v>45600</v>
      </c>
      <c r="C1770" s="43" t="n">
        <v>45603</v>
      </c>
      <c r="D1770" s="42" t="n">
        <v>7</v>
      </c>
      <c r="E1770" s="42" t="s">
        <v>139</v>
      </c>
      <c r="F1770" s="42" t="s">
        <v>203</v>
      </c>
      <c r="G1770" s="42" t="s">
        <v>241</v>
      </c>
      <c r="H1770" s="42" t="s">
        <v>193</v>
      </c>
      <c r="I1770" s="42" t="s">
        <v>143</v>
      </c>
      <c r="J1770" s="42" t="s">
        <v>159</v>
      </c>
      <c r="K1770" s="42" t="s">
        <v>160</v>
      </c>
      <c r="L1770" s="44" t="n">
        <v>2813.22</v>
      </c>
      <c r="M1770" s="42" t="n">
        <v>3</v>
      </c>
      <c r="N1770" s="42" t="s">
        <v>146</v>
      </c>
      <c r="O1770" s="42" t="s">
        <v>147</v>
      </c>
      <c r="P1770" s="39" t="n">
        <f aca="false">C1770-B1770</f>
        <v>3</v>
      </c>
      <c r="Q1770" s="40" t="str">
        <f aca="false">CHOOSE(MONTH(B1770),"يناير","فبراير","مارس","أبريل","مايو","يونيو","يوليو","أغسطس","سبتمبر","أكتوبر","نوفمبر","ديسمبر")</f>
        <v>نوفمبر</v>
      </c>
      <c r="R1770" s="40" t="str">
        <f aca="false">"الربع "&amp;ROUNDUP(MONTH(B1770)/3,0)</f>
        <v>الربع 4</v>
      </c>
      <c r="S1770" s="40" t="str">
        <f aca="false">IF(D1770&lt;=12,"أطفال (0-12)",IF(D1770&lt;=24,"شباب (13-24)",IF(D1770&lt;=44,"بالغون (25-44)",IF(D1770&lt;=64,"متوسطو العمر (45-64)","كبار السن (+65)"))))</f>
        <v>أطفال (0-12)</v>
      </c>
      <c r="T1770" s="41" t="n">
        <f aca="false">IFERROR(L1770/P1770,0)</f>
        <v>937.74</v>
      </c>
    </row>
    <row r="1771" customFormat="false" ht="15" hidden="false" customHeight="false" outlineLevel="0" collapsed="false">
      <c r="A1771" s="33" t="s">
        <v>2308</v>
      </c>
      <c r="B1771" s="34" t="n">
        <v>45600</v>
      </c>
      <c r="C1771" s="34" t="n">
        <v>45602</v>
      </c>
      <c r="D1771" s="33" t="n">
        <v>68</v>
      </c>
      <c r="E1771" s="33" t="s">
        <v>154</v>
      </c>
      <c r="F1771" s="33" t="s">
        <v>169</v>
      </c>
      <c r="G1771" s="33" t="s">
        <v>170</v>
      </c>
      <c r="H1771" s="33" t="s">
        <v>171</v>
      </c>
      <c r="I1771" s="33" t="s">
        <v>143</v>
      </c>
      <c r="J1771" s="33" t="s">
        <v>159</v>
      </c>
      <c r="K1771" s="33" t="s">
        <v>145</v>
      </c>
      <c r="L1771" s="35" t="n">
        <v>2657.49</v>
      </c>
      <c r="M1771" s="33" t="n">
        <v>4</v>
      </c>
      <c r="N1771" s="33" t="s">
        <v>146</v>
      </c>
      <c r="O1771" s="33" t="s">
        <v>147</v>
      </c>
      <c r="P1771" s="39" t="n">
        <f aca="false">C1771-B1771</f>
        <v>2</v>
      </c>
      <c r="Q1771" s="40" t="str">
        <f aca="false">CHOOSE(MONTH(B1771),"يناير","فبراير","مارس","أبريل","مايو","يونيو","يوليو","أغسطس","سبتمبر","أكتوبر","نوفمبر","ديسمبر")</f>
        <v>نوفمبر</v>
      </c>
      <c r="R1771" s="40" t="str">
        <f aca="false">"الربع "&amp;ROUNDUP(MONTH(B1771)/3,0)</f>
        <v>الربع 4</v>
      </c>
      <c r="S1771" s="40" t="str">
        <f aca="false">IF(D1771&lt;=12,"أطفال (0-12)",IF(D1771&lt;=24,"شباب (13-24)",IF(D1771&lt;=44,"بالغون (25-44)",IF(D1771&lt;=64,"متوسطو العمر (45-64)","كبار السن (+65)"))))</f>
        <v>كبار السن (+65)</v>
      </c>
      <c r="T1771" s="41" t="n">
        <f aca="false">IFERROR(L1771/P1771,0)</f>
        <v>1328.745</v>
      </c>
    </row>
    <row r="1772" customFormat="false" ht="15" hidden="false" customHeight="false" outlineLevel="0" collapsed="false">
      <c r="A1772" s="42" t="s">
        <v>983</v>
      </c>
      <c r="B1772" s="43" t="n">
        <v>45600</v>
      </c>
      <c r="C1772" s="43" t="n">
        <v>45605</v>
      </c>
      <c r="D1772" s="42" t="n">
        <v>52</v>
      </c>
      <c r="E1772" s="42" t="s">
        <v>154</v>
      </c>
      <c r="F1772" s="42" t="s">
        <v>181</v>
      </c>
      <c r="G1772" s="42" t="s">
        <v>188</v>
      </c>
      <c r="H1772" s="42" t="s">
        <v>183</v>
      </c>
      <c r="I1772" s="42" t="s">
        <v>158</v>
      </c>
      <c r="J1772" s="42" t="s">
        <v>159</v>
      </c>
      <c r="K1772" s="42" t="s">
        <v>145</v>
      </c>
      <c r="L1772" s="44" t="n">
        <v>12486.43</v>
      </c>
      <c r="M1772" s="42" t="n">
        <v>4</v>
      </c>
      <c r="N1772" s="42" t="s">
        <v>146</v>
      </c>
      <c r="O1772" s="42" t="s">
        <v>147</v>
      </c>
      <c r="P1772" s="39" t="n">
        <f aca="false">C1772-B1772</f>
        <v>5</v>
      </c>
      <c r="Q1772" s="40" t="str">
        <f aca="false">CHOOSE(MONTH(B1772),"يناير","فبراير","مارس","أبريل","مايو","يونيو","يوليو","أغسطس","سبتمبر","أكتوبر","نوفمبر","ديسمبر")</f>
        <v>نوفمبر</v>
      </c>
      <c r="R1772" s="40" t="str">
        <f aca="false">"الربع "&amp;ROUNDUP(MONTH(B1772)/3,0)</f>
        <v>الربع 4</v>
      </c>
      <c r="S1772" s="40" t="str">
        <f aca="false">IF(D1772&lt;=12,"أطفال (0-12)",IF(D1772&lt;=24,"شباب (13-24)",IF(D1772&lt;=44,"بالغون (25-44)",IF(D1772&lt;=64,"متوسطو العمر (45-64)","كبار السن (+65)"))))</f>
        <v>متوسطو العمر (45-64)</v>
      </c>
      <c r="T1772" s="41" t="n">
        <f aca="false">IFERROR(L1772/P1772,0)</f>
        <v>2497.286</v>
      </c>
    </row>
    <row r="1773" customFormat="false" ht="15" hidden="false" customHeight="false" outlineLevel="0" collapsed="false">
      <c r="A1773" s="33" t="s">
        <v>2282</v>
      </c>
      <c r="B1773" s="34" t="n">
        <v>45600</v>
      </c>
      <c r="C1773" s="34" t="n">
        <v>45605</v>
      </c>
      <c r="D1773" s="33" t="n">
        <v>50</v>
      </c>
      <c r="E1773" s="33" t="s">
        <v>139</v>
      </c>
      <c r="F1773" s="33" t="s">
        <v>181</v>
      </c>
      <c r="G1773" s="33" t="s">
        <v>188</v>
      </c>
      <c r="H1773" s="33" t="s">
        <v>183</v>
      </c>
      <c r="I1773" s="33" t="s">
        <v>152</v>
      </c>
      <c r="J1773" s="33" t="s">
        <v>176</v>
      </c>
      <c r="K1773" s="33" t="s">
        <v>209</v>
      </c>
      <c r="L1773" s="35" t="n">
        <v>39358.87</v>
      </c>
      <c r="M1773" s="33" t="n">
        <v>4</v>
      </c>
      <c r="N1773" s="33" t="s">
        <v>210</v>
      </c>
      <c r="O1773" s="33" t="s">
        <v>147</v>
      </c>
      <c r="P1773" s="39" t="n">
        <f aca="false">C1773-B1773</f>
        <v>5</v>
      </c>
      <c r="Q1773" s="40" t="str">
        <f aca="false">CHOOSE(MONTH(B1773),"يناير","فبراير","مارس","أبريل","مايو","يونيو","يوليو","أغسطس","سبتمبر","أكتوبر","نوفمبر","ديسمبر")</f>
        <v>نوفمبر</v>
      </c>
      <c r="R1773" s="40" t="str">
        <f aca="false">"الربع "&amp;ROUNDUP(MONTH(B1773)/3,0)</f>
        <v>الربع 4</v>
      </c>
      <c r="S1773" s="40" t="str">
        <f aca="false">IF(D1773&lt;=12,"أطفال (0-12)",IF(D1773&lt;=24,"شباب (13-24)",IF(D1773&lt;=44,"بالغون (25-44)",IF(D1773&lt;=64,"متوسطو العمر (45-64)","كبار السن (+65)"))))</f>
        <v>متوسطو العمر (45-64)</v>
      </c>
      <c r="T1773" s="41" t="n">
        <f aca="false">IFERROR(L1773/P1773,0)</f>
        <v>7871.774</v>
      </c>
    </row>
    <row r="1774" customFormat="false" ht="15" hidden="false" customHeight="false" outlineLevel="0" collapsed="false">
      <c r="A1774" s="42" t="s">
        <v>1450</v>
      </c>
      <c r="B1774" s="43" t="n">
        <v>45600</v>
      </c>
      <c r="C1774" s="43" t="n">
        <v>45604</v>
      </c>
      <c r="D1774" s="42" t="n">
        <v>61</v>
      </c>
      <c r="E1774" s="42" t="s">
        <v>154</v>
      </c>
      <c r="F1774" s="42" t="s">
        <v>173</v>
      </c>
      <c r="G1774" s="42" t="s">
        <v>174</v>
      </c>
      <c r="H1774" s="42" t="s">
        <v>2322</v>
      </c>
      <c r="I1774" s="42" t="s">
        <v>152</v>
      </c>
      <c r="J1774" s="42" t="s">
        <v>159</v>
      </c>
      <c r="K1774" s="42" t="s">
        <v>184</v>
      </c>
      <c r="L1774" s="44" t="n">
        <v>10806.25</v>
      </c>
      <c r="M1774" s="42" t="n">
        <v>5</v>
      </c>
      <c r="N1774" s="42" t="s">
        <v>146</v>
      </c>
      <c r="O1774" s="42" t="s">
        <v>147</v>
      </c>
      <c r="P1774" s="39" t="n">
        <f aca="false">C1774-B1774</f>
        <v>4</v>
      </c>
      <c r="Q1774" s="40" t="str">
        <f aca="false">CHOOSE(MONTH(B1774),"يناير","فبراير","مارس","أبريل","مايو","يونيو","يوليو","أغسطس","سبتمبر","أكتوبر","نوفمبر","ديسمبر")</f>
        <v>نوفمبر</v>
      </c>
      <c r="R1774" s="40" t="str">
        <f aca="false">"الربع "&amp;ROUNDUP(MONTH(B1774)/3,0)</f>
        <v>الربع 4</v>
      </c>
      <c r="S1774" s="40" t="str">
        <f aca="false">IF(D1774&lt;=12,"أطفال (0-12)",IF(D1774&lt;=24,"شباب (13-24)",IF(D1774&lt;=44,"بالغون (25-44)",IF(D1774&lt;=64,"متوسطو العمر (45-64)","كبار السن (+65)"))))</f>
        <v>متوسطو العمر (45-64)</v>
      </c>
      <c r="T1774" s="41" t="n">
        <f aca="false">IFERROR(L1774/P1774,0)</f>
        <v>2701.5625</v>
      </c>
    </row>
    <row r="1775" customFormat="false" ht="15" hidden="false" customHeight="false" outlineLevel="0" collapsed="false">
      <c r="A1775" s="33" t="s">
        <v>1530</v>
      </c>
      <c r="B1775" s="34" t="n">
        <v>45601</v>
      </c>
      <c r="C1775" s="34" t="n">
        <v>45604</v>
      </c>
      <c r="D1775" s="33" t="n">
        <v>9</v>
      </c>
      <c r="E1775" s="33" t="s">
        <v>139</v>
      </c>
      <c r="F1775" s="33" t="s">
        <v>155</v>
      </c>
      <c r="G1775" s="33" t="s">
        <v>220</v>
      </c>
      <c r="H1775" s="33" t="s">
        <v>157</v>
      </c>
      <c r="I1775" s="33" t="s">
        <v>143</v>
      </c>
      <c r="J1775" s="33" t="s">
        <v>176</v>
      </c>
      <c r="K1775" s="33" t="s">
        <v>145</v>
      </c>
      <c r="L1775" s="35" t="n">
        <v>9925.84</v>
      </c>
      <c r="M1775" s="33" t="n">
        <v>5</v>
      </c>
      <c r="N1775" s="33" t="s">
        <v>146</v>
      </c>
      <c r="O1775" s="33" t="s">
        <v>147</v>
      </c>
      <c r="P1775" s="39" t="n">
        <f aca="false">C1775-B1775</f>
        <v>3</v>
      </c>
      <c r="Q1775" s="40" t="str">
        <f aca="false">CHOOSE(MONTH(B1775),"يناير","فبراير","مارس","أبريل","مايو","يونيو","يوليو","أغسطس","سبتمبر","أكتوبر","نوفمبر","ديسمبر")</f>
        <v>نوفمبر</v>
      </c>
      <c r="R1775" s="40" t="str">
        <f aca="false">"الربع "&amp;ROUNDUP(MONTH(B1775)/3,0)</f>
        <v>الربع 4</v>
      </c>
      <c r="S1775" s="40" t="str">
        <f aca="false">IF(D1775&lt;=12,"أطفال (0-12)",IF(D1775&lt;=24,"شباب (13-24)",IF(D1775&lt;=44,"بالغون (25-44)",IF(D1775&lt;=64,"متوسطو العمر (45-64)","كبار السن (+65)"))))</f>
        <v>أطفال (0-12)</v>
      </c>
      <c r="T1775" s="41" t="n">
        <f aca="false">IFERROR(L1775/P1775,0)</f>
        <v>3308.61333333333</v>
      </c>
    </row>
    <row r="1776" customFormat="false" ht="15" hidden="false" customHeight="false" outlineLevel="0" collapsed="false">
      <c r="A1776" s="42" t="s">
        <v>2149</v>
      </c>
      <c r="B1776" s="43" t="n">
        <v>45601</v>
      </c>
      <c r="C1776" s="43" t="n">
        <v>45618</v>
      </c>
      <c r="D1776" s="42" t="n">
        <v>48</v>
      </c>
      <c r="E1776" s="42" t="s">
        <v>154</v>
      </c>
      <c r="F1776" s="42" t="s">
        <v>169</v>
      </c>
      <c r="G1776" s="42" t="s">
        <v>163</v>
      </c>
      <c r="H1776" s="42" t="s">
        <v>164</v>
      </c>
      <c r="I1776" s="42" t="s">
        <v>143</v>
      </c>
      <c r="J1776" s="42" t="s">
        <v>159</v>
      </c>
      <c r="K1776" s="42" t="s">
        <v>145</v>
      </c>
      <c r="L1776" s="44" t="n">
        <v>19320.05</v>
      </c>
      <c r="M1776" s="42" t="n">
        <v>4</v>
      </c>
      <c r="N1776" s="42" t="s">
        <v>146</v>
      </c>
      <c r="O1776" s="42" t="s">
        <v>147</v>
      </c>
      <c r="P1776" s="39" t="n">
        <f aca="false">C1776-B1776</f>
        <v>17</v>
      </c>
      <c r="Q1776" s="40" t="str">
        <f aca="false">CHOOSE(MONTH(B1776),"يناير","فبراير","مارس","أبريل","مايو","يونيو","يوليو","أغسطس","سبتمبر","أكتوبر","نوفمبر","ديسمبر")</f>
        <v>نوفمبر</v>
      </c>
      <c r="R1776" s="40" t="str">
        <f aca="false">"الربع "&amp;ROUNDUP(MONTH(B1776)/3,0)</f>
        <v>الربع 4</v>
      </c>
      <c r="S1776" s="40" t="str">
        <f aca="false">IF(D1776&lt;=12,"أطفال (0-12)",IF(D1776&lt;=24,"شباب (13-24)",IF(D1776&lt;=44,"بالغون (25-44)",IF(D1776&lt;=64,"متوسطو العمر (45-64)","كبار السن (+65)"))))</f>
        <v>متوسطو العمر (45-64)</v>
      </c>
      <c r="T1776" s="41" t="n">
        <f aca="false">IFERROR(L1776/P1776,0)</f>
        <v>1136.47352941176</v>
      </c>
    </row>
    <row r="1777" customFormat="false" ht="15" hidden="false" customHeight="false" outlineLevel="0" collapsed="false">
      <c r="A1777" s="33" t="s">
        <v>256</v>
      </c>
      <c r="B1777" s="34" t="n">
        <v>45601</v>
      </c>
      <c r="C1777" s="34" t="n">
        <v>45610</v>
      </c>
      <c r="D1777" s="33" t="n">
        <v>35</v>
      </c>
      <c r="E1777" s="33" t="s">
        <v>154</v>
      </c>
      <c r="F1777" s="33" t="s">
        <v>226</v>
      </c>
      <c r="G1777" s="33" t="s">
        <v>258</v>
      </c>
      <c r="H1777" s="33" t="s">
        <v>228</v>
      </c>
      <c r="I1777" s="33" t="s">
        <v>143</v>
      </c>
      <c r="J1777" s="33" t="s">
        <v>159</v>
      </c>
      <c r="K1777" s="33" t="s">
        <v>145</v>
      </c>
      <c r="L1777" s="35" t="n">
        <v>25981.99</v>
      </c>
      <c r="M1777" s="33" t="n">
        <v>4</v>
      </c>
      <c r="N1777" s="33" t="s">
        <v>146</v>
      </c>
      <c r="O1777" s="33" t="s">
        <v>147</v>
      </c>
      <c r="P1777" s="39" t="n">
        <f aca="false">C1777-B1777</f>
        <v>9</v>
      </c>
      <c r="Q1777" s="40" t="str">
        <f aca="false">CHOOSE(MONTH(B1777),"يناير","فبراير","مارس","أبريل","مايو","يونيو","يوليو","أغسطس","سبتمبر","أكتوبر","نوفمبر","ديسمبر")</f>
        <v>نوفمبر</v>
      </c>
      <c r="R1777" s="40" t="str">
        <f aca="false">"الربع "&amp;ROUNDUP(MONTH(B1777)/3,0)</f>
        <v>الربع 4</v>
      </c>
      <c r="S1777" s="40" t="str">
        <f aca="false">IF(D1777&lt;=12,"أطفال (0-12)",IF(D1777&lt;=24,"شباب (13-24)",IF(D1777&lt;=44,"بالغون (25-44)",IF(D1777&lt;=64,"متوسطو العمر (45-64)","كبار السن (+65)"))))</f>
        <v>بالغون (25-44)</v>
      </c>
      <c r="T1777" s="41" t="n">
        <f aca="false">IFERROR(L1777/P1777,0)</f>
        <v>2886.88777777778</v>
      </c>
    </row>
    <row r="1778" customFormat="false" ht="15" hidden="false" customHeight="false" outlineLevel="0" collapsed="false">
      <c r="A1778" s="42" t="s">
        <v>1842</v>
      </c>
      <c r="B1778" s="43" t="n">
        <v>45601</v>
      </c>
      <c r="C1778" s="43" t="n">
        <v>45602</v>
      </c>
      <c r="D1778" s="42" t="n">
        <v>72</v>
      </c>
      <c r="E1778" s="42" t="s">
        <v>139</v>
      </c>
      <c r="F1778" s="42" t="s">
        <v>203</v>
      </c>
      <c r="G1778" s="42" t="s">
        <v>232</v>
      </c>
      <c r="H1778" s="42" t="s">
        <v>233</v>
      </c>
      <c r="I1778" s="42" t="s">
        <v>158</v>
      </c>
      <c r="J1778" s="42" t="s">
        <v>159</v>
      </c>
      <c r="K1778" s="42" t="s">
        <v>209</v>
      </c>
      <c r="L1778" s="44" t="n">
        <v>1040.56</v>
      </c>
      <c r="M1778" s="42" t="n">
        <v>4</v>
      </c>
      <c r="N1778" s="42" t="s">
        <v>146</v>
      </c>
      <c r="O1778" s="42" t="s">
        <v>147</v>
      </c>
      <c r="P1778" s="39" t="n">
        <f aca="false">C1778-B1778</f>
        <v>1</v>
      </c>
      <c r="Q1778" s="40" t="str">
        <f aca="false">CHOOSE(MONTH(B1778),"يناير","فبراير","مارس","أبريل","مايو","يونيو","يوليو","أغسطس","سبتمبر","أكتوبر","نوفمبر","ديسمبر")</f>
        <v>نوفمبر</v>
      </c>
      <c r="R1778" s="40" t="str">
        <f aca="false">"الربع "&amp;ROUNDUP(MONTH(B1778)/3,0)</f>
        <v>الربع 4</v>
      </c>
      <c r="S1778" s="40" t="str">
        <f aca="false">IF(D1778&lt;=12,"أطفال (0-12)",IF(D1778&lt;=24,"شباب (13-24)",IF(D1778&lt;=44,"بالغون (25-44)",IF(D1778&lt;=64,"متوسطو العمر (45-64)","كبار السن (+65)"))))</f>
        <v>كبار السن (+65)</v>
      </c>
      <c r="T1778" s="41" t="n">
        <f aca="false">IFERROR(L1778/P1778,0)</f>
        <v>1040.56</v>
      </c>
    </row>
    <row r="1779" customFormat="false" ht="15" hidden="false" customHeight="false" outlineLevel="0" collapsed="false">
      <c r="A1779" s="33" t="s">
        <v>2194</v>
      </c>
      <c r="B1779" s="34" t="n">
        <v>45601</v>
      </c>
      <c r="C1779" s="34" t="n">
        <v>45605</v>
      </c>
      <c r="D1779" s="33" t="n">
        <v>64</v>
      </c>
      <c r="E1779" s="33" t="s">
        <v>154</v>
      </c>
      <c r="F1779" s="33" t="s">
        <v>169</v>
      </c>
      <c r="G1779" s="33" t="s">
        <v>170</v>
      </c>
      <c r="H1779" s="33" t="s">
        <v>195</v>
      </c>
      <c r="I1779" s="33" t="s">
        <v>152</v>
      </c>
      <c r="J1779" s="33" t="s">
        <v>144</v>
      </c>
      <c r="K1779" s="33" t="s">
        <v>145</v>
      </c>
      <c r="L1779" s="35" t="n">
        <v>8961.08</v>
      </c>
      <c r="M1779" s="33" t="n">
        <v>4</v>
      </c>
      <c r="N1779" s="33" t="s">
        <v>146</v>
      </c>
      <c r="O1779" s="33" t="s">
        <v>147</v>
      </c>
      <c r="P1779" s="39" t="n">
        <f aca="false">C1779-B1779</f>
        <v>4</v>
      </c>
      <c r="Q1779" s="40" t="str">
        <f aca="false">CHOOSE(MONTH(B1779),"يناير","فبراير","مارس","أبريل","مايو","يونيو","يوليو","أغسطس","سبتمبر","أكتوبر","نوفمبر","ديسمبر")</f>
        <v>نوفمبر</v>
      </c>
      <c r="R1779" s="40" t="str">
        <f aca="false">"الربع "&amp;ROUNDUP(MONTH(B1779)/3,0)</f>
        <v>الربع 4</v>
      </c>
      <c r="S1779" s="40" t="str">
        <f aca="false">IF(D1779&lt;=12,"أطفال (0-12)",IF(D1779&lt;=24,"شباب (13-24)",IF(D1779&lt;=44,"بالغون (25-44)",IF(D1779&lt;=64,"متوسطو العمر (45-64)","كبار السن (+65)"))))</f>
        <v>متوسطو العمر (45-64)</v>
      </c>
      <c r="T1779" s="41" t="n">
        <f aca="false">IFERROR(L1779/P1779,0)</f>
        <v>2240.27</v>
      </c>
    </row>
    <row r="1780" customFormat="false" ht="15" hidden="false" customHeight="false" outlineLevel="0" collapsed="false">
      <c r="A1780" s="42" t="s">
        <v>644</v>
      </c>
      <c r="B1780" s="43" t="n">
        <v>45601</v>
      </c>
      <c r="C1780" s="43" t="n">
        <v>45613</v>
      </c>
      <c r="D1780" s="42" t="n">
        <v>52</v>
      </c>
      <c r="E1780" s="42" t="s">
        <v>139</v>
      </c>
      <c r="F1780" s="42" t="s">
        <v>181</v>
      </c>
      <c r="G1780" s="42" t="s">
        <v>237</v>
      </c>
      <c r="H1780" s="42" t="s">
        <v>245</v>
      </c>
      <c r="I1780" s="42" t="s">
        <v>158</v>
      </c>
      <c r="J1780" s="42" t="s">
        <v>159</v>
      </c>
      <c r="K1780" s="42" t="s">
        <v>184</v>
      </c>
      <c r="L1780" s="44" t="n">
        <v>28429.48</v>
      </c>
      <c r="M1780" s="42" t="n">
        <v>4</v>
      </c>
      <c r="N1780" s="42" t="s">
        <v>210</v>
      </c>
      <c r="O1780" s="42" t="s">
        <v>147</v>
      </c>
      <c r="P1780" s="39" t="n">
        <f aca="false">C1780-B1780</f>
        <v>12</v>
      </c>
      <c r="Q1780" s="40" t="str">
        <f aca="false">CHOOSE(MONTH(B1780),"يناير","فبراير","مارس","أبريل","مايو","يونيو","يوليو","أغسطس","سبتمبر","أكتوبر","نوفمبر","ديسمبر")</f>
        <v>نوفمبر</v>
      </c>
      <c r="R1780" s="40" t="str">
        <f aca="false">"الربع "&amp;ROUNDUP(MONTH(B1780)/3,0)</f>
        <v>الربع 4</v>
      </c>
      <c r="S1780" s="40" t="str">
        <f aca="false">IF(D1780&lt;=12,"أطفال (0-12)",IF(D1780&lt;=24,"شباب (13-24)",IF(D1780&lt;=44,"بالغون (25-44)",IF(D1780&lt;=64,"متوسطو العمر (45-64)","كبار السن (+65)"))))</f>
        <v>متوسطو العمر (45-64)</v>
      </c>
      <c r="T1780" s="41" t="n">
        <f aca="false">IFERROR(L1780/P1780,0)</f>
        <v>2369.12333333333</v>
      </c>
    </row>
    <row r="1781" customFormat="false" ht="15" hidden="false" customHeight="false" outlineLevel="0" collapsed="false">
      <c r="A1781" s="33" t="s">
        <v>849</v>
      </c>
      <c r="B1781" s="34" t="n">
        <v>45601</v>
      </c>
      <c r="C1781" s="34" t="n">
        <v>45613</v>
      </c>
      <c r="D1781" s="33" t="n">
        <v>41</v>
      </c>
      <c r="E1781" s="33" t="s">
        <v>154</v>
      </c>
      <c r="F1781" s="33" t="s">
        <v>140</v>
      </c>
      <c r="G1781" s="33" t="s">
        <v>141</v>
      </c>
      <c r="H1781" s="33" t="s">
        <v>290</v>
      </c>
      <c r="I1781" s="33" t="s">
        <v>143</v>
      </c>
      <c r="J1781" s="33" t="s">
        <v>144</v>
      </c>
      <c r="K1781" s="33" t="s">
        <v>145</v>
      </c>
      <c r="L1781" s="35" t="n">
        <v>57161.76</v>
      </c>
      <c r="M1781" s="33" t="n">
        <v>5</v>
      </c>
      <c r="N1781" s="33" t="s">
        <v>210</v>
      </c>
      <c r="O1781" s="33" t="s">
        <v>147</v>
      </c>
      <c r="P1781" s="39" t="n">
        <f aca="false">C1781-B1781</f>
        <v>12</v>
      </c>
      <c r="Q1781" s="40" t="str">
        <f aca="false">CHOOSE(MONTH(B1781),"يناير","فبراير","مارس","أبريل","مايو","يونيو","يوليو","أغسطس","سبتمبر","أكتوبر","نوفمبر","ديسمبر")</f>
        <v>نوفمبر</v>
      </c>
      <c r="R1781" s="40" t="str">
        <f aca="false">"الربع "&amp;ROUNDUP(MONTH(B1781)/3,0)</f>
        <v>الربع 4</v>
      </c>
      <c r="S1781" s="40" t="str">
        <f aca="false">IF(D1781&lt;=12,"أطفال (0-12)",IF(D1781&lt;=24,"شباب (13-24)",IF(D1781&lt;=44,"بالغون (25-44)",IF(D1781&lt;=64,"متوسطو العمر (45-64)","كبار السن (+65)"))))</f>
        <v>بالغون (25-44)</v>
      </c>
      <c r="T1781" s="41" t="n">
        <f aca="false">IFERROR(L1781/P1781,0)</f>
        <v>4763.48</v>
      </c>
    </row>
    <row r="1782" customFormat="false" ht="15" hidden="false" customHeight="false" outlineLevel="0" collapsed="false">
      <c r="A1782" s="42" t="s">
        <v>2185</v>
      </c>
      <c r="B1782" s="43" t="n">
        <v>45601</v>
      </c>
      <c r="C1782" s="43" t="n">
        <v>45605</v>
      </c>
      <c r="D1782" s="42" t="n">
        <v>46</v>
      </c>
      <c r="E1782" s="42" t="s">
        <v>154</v>
      </c>
      <c r="F1782" s="42" t="s">
        <v>140</v>
      </c>
      <c r="G1782" s="42" t="s">
        <v>167</v>
      </c>
      <c r="H1782" s="42" t="s">
        <v>142</v>
      </c>
      <c r="I1782" s="42" t="s">
        <v>143</v>
      </c>
      <c r="J1782" s="42" t="s">
        <v>144</v>
      </c>
      <c r="K1782" s="42" t="s">
        <v>160</v>
      </c>
      <c r="L1782" s="44" t="n">
        <v>17118.24</v>
      </c>
      <c r="M1782" s="42" t="n">
        <v>3</v>
      </c>
      <c r="N1782" s="42" t="s">
        <v>146</v>
      </c>
      <c r="O1782" s="42" t="s">
        <v>147</v>
      </c>
      <c r="P1782" s="39" t="n">
        <f aca="false">C1782-B1782</f>
        <v>4</v>
      </c>
      <c r="Q1782" s="40" t="str">
        <f aca="false">CHOOSE(MONTH(B1782),"يناير","فبراير","مارس","أبريل","مايو","يونيو","يوليو","أغسطس","سبتمبر","أكتوبر","نوفمبر","ديسمبر")</f>
        <v>نوفمبر</v>
      </c>
      <c r="R1782" s="40" t="str">
        <f aca="false">"الربع "&amp;ROUNDUP(MONTH(B1782)/3,0)</f>
        <v>الربع 4</v>
      </c>
      <c r="S1782" s="40" t="str">
        <f aca="false">IF(D1782&lt;=12,"أطفال (0-12)",IF(D1782&lt;=24,"شباب (13-24)",IF(D1782&lt;=44,"بالغون (25-44)",IF(D1782&lt;=64,"متوسطو العمر (45-64)","كبار السن (+65)"))))</f>
        <v>متوسطو العمر (45-64)</v>
      </c>
      <c r="T1782" s="41" t="n">
        <f aca="false">IFERROR(L1782/P1782,0)</f>
        <v>4279.56</v>
      </c>
    </row>
    <row r="1783" customFormat="false" ht="15" hidden="false" customHeight="false" outlineLevel="0" collapsed="false">
      <c r="A1783" s="33" t="s">
        <v>1927</v>
      </c>
      <c r="B1783" s="34" t="n">
        <v>45601</v>
      </c>
      <c r="C1783" s="34" t="n">
        <v>45604</v>
      </c>
      <c r="D1783" s="33" t="n">
        <v>31</v>
      </c>
      <c r="E1783" s="33" t="s">
        <v>139</v>
      </c>
      <c r="F1783" s="33" t="s">
        <v>169</v>
      </c>
      <c r="G1783" s="33" t="s">
        <v>230</v>
      </c>
      <c r="H1783" s="33" t="s">
        <v>171</v>
      </c>
      <c r="I1783" s="33" t="s">
        <v>143</v>
      </c>
      <c r="J1783" s="33" t="s">
        <v>159</v>
      </c>
      <c r="K1783" s="33" t="s">
        <v>160</v>
      </c>
      <c r="L1783" s="35" t="n">
        <v>3248.53</v>
      </c>
      <c r="M1783" s="33" t="n">
        <v>4</v>
      </c>
      <c r="N1783" s="33" t="s">
        <v>146</v>
      </c>
      <c r="O1783" s="33" t="s">
        <v>147</v>
      </c>
      <c r="P1783" s="39" t="n">
        <f aca="false">C1783-B1783</f>
        <v>3</v>
      </c>
      <c r="Q1783" s="40" t="str">
        <f aca="false">CHOOSE(MONTH(B1783),"يناير","فبراير","مارس","أبريل","مايو","يونيو","يوليو","أغسطس","سبتمبر","أكتوبر","نوفمبر","ديسمبر")</f>
        <v>نوفمبر</v>
      </c>
      <c r="R1783" s="40" t="str">
        <f aca="false">"الربع "&amp;ROUNDUP(MONTH(B1783)/3,0)</f>
        <v>الربع 4</v>
      </c>
      <c r="S1783" s="40" t="str">
        <f aca="false">IF(D1783&lt;=12,"أطفال (0-12)",IF(D1783&lt;=24,"شباب (13-24)",IF(D1783&lt;=44,"بالغون (25-44)",IF(D1783&lt;=64,"متوسطو العمر (45-64)","كبار السن (+65)"))))</f>
        <v>بالغون (25-44)</v>
      </c>
      <c r="T1783" s="41" t="n">
        <f aca="false">IFERROR(L1783/P1783,0)</f>
        <v>1082.84333333333</v>
      </c>
    </row>
    <row r="1784" customFormat="false" ht="15" hidden="false" customHeight="false" outlineLevel="0" collapsed="false">
      <c r="A1784" s="42" t="s">
        <v>2187</v>
      </c>
      <c r="B1784" s="43" t="n">
        <v>45601</v>
      </c>
      <c r="C1784" s="43" t="n">
        <v>45603</v>
      </c>
      <c r="D1784" s="42" t="n">
        <v>42</v>
      </c>
      <c r="E1784" s="42" t="s">
        <v>139</v>
      </c>
      <c r="F1784" s="42" t="s">
        <v>203</v>
      </c>
      <c r="G1784" s="42" t="s">
        <v>217</v>
      </c>
      <c r="H1784" s="42" t="s">
        <v>233</v>
      </c>
      <c r="I1784" s="42" t="s">
        <v>143</v>
      </c>
      <c r="J1784" s="42" t="s">
        <v>159</v>
      </c>
      <c r="K1784" s="42" t="s">
        <v>145</v>
      </c>
      <c r="L1784" s="44" t="n">
        <v>1662.79</v>
      </c>
      <c r="M1784" s="42" t="n">
        <v>3</v>
      </c>
      <c r="N1784" s="42" t="s">
        <v>146</v>
      </c>
      <c r="O1784" s="42" t="s">
        <v>147</v>
      </c>
      <c r="P1784" s="39" t="n">
        <f aca="false">C1784-B1784</f>
        <v>2</v>
      </c>
      <c r="Q1784" s="40" t="str">
        <f aca="false">CHOOSE(MONTH(B1784),"يناير","فبراير","مارس","أبريل","مايو","يونيو","يوليو","أغسطس","سبتمبر","أكتوبر","نوفمبر","ديسمبر")</f>
        <v>نوفمبر</v>
      </c>
      <c r="R1784" s="40" t="str">
        <f aca="false">"الربع "&amp;ROUNDUP(MONTH(B1784)/3,0)</f>
        <v>الربع 4</v>
      </c>
      <c r="S1784" s="40" t="str">
        <f aca="false">IF(D1784&lt;=12,"أطفال (0-12)",IF(D1784&lt;=24,"شباب (13-24)",IF(D1784&lt;=44,"بالغون (25-44)",IF(D1784&lt;=64,"متوسطو العمر (45-64)","كبار السن (+65)"))))</f>
        <v>بالغون (25-44)</v>
      </c>
      <c r="T1784" s="41" t="n">
        <f aca="false">IFERROR(L1784/P1784,0)</f>
        <v>831.395</v>
      </c>
    </row>
    <row r="1785" customFormat="false" ht="15" hidden="false" customHeight="false" outlineLevel="0" collapsed="false">
      <c r="A1785" s="33" t="s">
        <v>950</v>
      </c>
      <c r="B1785" s="34" t="n">
        <v>45602</v>
      </c>
      <c r="C1785" s="34" t="n">
        <v>45618</v>
      </c>
      <c r="D1785" s="33" t="n">
        <v>49</v>
      </c>
      <c r="E1785" s="33" t="s">
        <v>154</v>
      </c>
      <c r="F1785" s="33" t="s">
        <v>226</v>
      </c>
      <c r="G1785" s="33" t="s">
        <v>386</v>
      </c>
      <c r="H1785" s="33" t="s">
        <v>263</v>
      </c>
      <c r="I1785" s="33" t="s">
        <v>143</v>
      </c>
      <c r="J1785" s="33" t="s">
        <v>144</v>
      </c>
      <c r="K1785" s="33" t="s">
        <v>184</v>
      </c>
      <c r="L1785" s="35" t="n">
        <v>87931.76</v>
      </c>
      <c r="M1785" s="33" t="n">
        <v>4</v>
      </c>
      <c r="N1785" s="33" t="s">
        <v>146</v>
      </c>
      <c r="O1785" s="33" t="s">
        <v>147</v>
      </c>
      <c r="P1785" s="39" t="n">
        <f aca="false">C1785-B1785</f>
        <v>16</v>
      </c>
      <c r="Q1785" s="40" t="str">
        <f aca="false">CHOOSE(MONTH(B1785),"يناير","فبراير","مارس","أبريل","مايو","يونيو","يوليو","أغسطس","سبتمبر","أكتوبر","نوفمبر","ديسمبر")</f>
        <v>نوفمبر</v>
      </c>
      <c r="R1785" s="40" t="str">
        <f aca="false">"الربع "&amp;ROUNDUP(MONTH(B1785)/3,0)</f>
        <v>الربع 4</v>
      </c>
      <c r="S1785" s="40" t="str">
        <f aca="false">IF(D1785&lt;=12,"أطفال (0-12)",IF(D1785&lt;=24,"شباب (13-24)",IF(D1785&lt;=44,"بالغون (25-44)",IF(D1785&lt;=64,"متوسطو العمر (45-64)","كبار السن (+65)"))))</f>
        <v>متوسطو العمر (45-64)</v>
      </c>
      <c r="T1785" s="41" t="n">
        <f aca="false">IFERROR(L1785/P1785,0)</f>
        <v>5495.735</v>
      </c>
    </row>
    <row r="1786" customFormat="false" ht="15" hidden="false" customHeight="false" outlineLevel="0" collapsed="false">
      <c r="A1786" s="42" t="s">
        <v>593</v>
      </c>
      <c r="B1786" s="43" t="n">
        <v>45602</v>
      </c>
      <c r="C1786" s="43" t="n">
        <v>45604</v>
      </c>
      <c r="D1786" s="42" t="n">
        <v>63</v>
      </c>
      <c r="E1786" s="42" t="s">
        <v>139</v>
      </c>
      <c r="F1786" s="42" t="s">
        <v>140</v>
      </c>
      <c r="G1786" s="42" t="s">
        <v>141</v>
      </c>
      <c r="H1786" s="42" t="s">
        <v>142</v>
      </c>
      <c r="I1786" s="42" t="s">
        <v>143</v>
      </c>
      <c r="J1786" s="42" t="s">
        <v>159</v>
      </c>
      <c r="K1786" s="42" t="s">
        <v>145</v>
      </c>
      <c r="L1786" s="44" t="n">
        <v>5416.28</v>
      </c>
      <c r="M1786" s="42" t="n">
        <v>3</v>
      </c>
      <c r="N1786" s="42" t="s">
        <v>146</v>
      </c>
      <c r="O1786" s="42" t="s">
        <v>147</v>
      </c>
      <c r="P1786" s="39" t="n">
        <f aca="false">C1786-B1786</f>
        <v>2</v>
      </c>
      <c r="Q1786" s="40" t="str">
        <f aca="false">CHOOSE(MONTH(B1786),"يناير","فبراير","مارس","أبريل","مايو","يونيو","يوليو","أغسطس","سبتمبر","أكتوبر","نوفمبر","ديسمبر")</f>
        <v>نوفمبر</v>
      </c>
      <c r="R1786" s="40" t="str">
        <f aca="false">"الربع "&amp;ROUNDUP(MONTH(B1786)/3,0)</f>
        <v>الربع 4</v>
      </c>
      <c r="S1786" s="40" t="str">
        <f aca="false">IF(D1786&lt;=12,"أطفال (0-12)",IF(D1786&lt;=24,"شباب (13-24)",IF(D1786&lt;=44,"بالغون (25-44)",IF(D1786&lt;=64,"متوسطو العمر (45-64)","كبار السن (+65)"))))</f>
        <v>متوسطو العمر (45-64)</v>
      </c>
      <c r="T1786" s="41" t="n">
        <f aca="false">IFERROR(L1786/P1786,0)</f>
        <v>2708.14</v>
      </c>
    </row>
    <row r="1787" customFormat="false" ht="15" hidden="false" customHeight="false" outlineLevel="0" collapsed="false">
      <c r="A1787" s="33" t="s">
        <v>526</v>
      </c>
      <c r="B1787" s="34" t="n">
        <v>45602</v>
      </c>
      <c r="C1787" s="34" t="n">
        <v>45608</v>
      </c>
      <c r="D1787" s="33" t="n">
        <v>23</v>
      </c>
      <c r="E1787" s="33" t="s">
        <v>154</v>
      </c>
      <c r="F1787" s="33" t="s">
        <v>140</v>
      </c>
      <c r="G1787" s="33" t="s">
        <v>316</v>
      </c>
      <c r="H1787" s="33" t="s">
        <v>290</v>
      </c>
      <c r="I1787" s="33" t="s">
        <v>152</v>
      </c>
      <c r="J1787" s="33" t="s">
        <v>144</v>
      </c>
      <c r="K1787" s="33" t="s">
        <v>145</v>
      </c>
      <c r="L1787" s="35" t="n">
        <v>25901.13</v>
      </c>
      <c r="M1787" s="33" t="n">
        <v>5</v>
      </c>
      <c r="N1787" s="33" t="s">
        <v>210</v>
      </c>
      <c r="O1787" s="33" t="s">
        <v>147</v>
      </c>
      <c r="P1787" s="39" t="n">
        <f aca="false">C1787-B1787</f>
        <v>6</v>
      </c>
      <c r="Q1787" s="40" t="str">
        <f aca="false">CHOOSE(MONTH(B1787),"يناير","فبراير","مارس","أبريل","مايو","يونيو","يوليو","أغسطس","سبتمبر","أكتوبر","نوفمبر","ديسمبر")</f>
        <v>نوفمبر</v>
      </c>
      <c r="R1787" s="40" t="str">
        <f aca="false">"الربع "&amp;ROUNDUP(MONTH(B1787)/3,0)</f>
        <v>الربع 4</v>
      </c>
      <c r="S1787" s="40" t="str">
        <f aca="false">IF(D1787&lt;=12,"أطفال (0-12)",IF(D1787&lt;=24,"شباب (13-24)",IF(D1787&lt;=44,"بالغون (25-44)",IF(D1787&lt;=64,"متوسطو العمر (45-64)","كبار السن (+65)"))))</f>
        <v>شباب (13-24)</v>
      </c>
      <c r="T1787" s="41" t="n">
        <f aca="false">IFERROR(L1787/P1787,0)</f>
        <v>4316.855</v>
      </c>
    </row>
    <row r="1788" customFormat="false" ht="15" hidden="false" customHeight="false" outlineLevel="0" collapsed="false">
      <c r="A1788" s="42" t="s">
        <v>699</v>
      </c>
      <c r="B1788" s="43" t="n">
        <v>45602</v>
      </c>
      <c r="C1788" s="43" t="n">
        <v>45604</v>
      </c>
      <c r="D1788" s="42" t="n">
        <v>53</v>
      </c>
      <c r="E1788" s="42" t="s">
        <v>139</v>
      </c>
      <c r="F1788" s="42" t="s">
        <v>169</v>
      </c>
      <c r="G1788" s="42" t="s">
        <v>163</v>
      </c>
      <c r="H1788" s="42" t="s">
        <v>195</v>
      </c>
      <c r="I1788" s="42" t="s">
        <v>143</v>
      </c>
      <c r="J1788" s="42" t="s">
        <v>159</v>
      </c>
      <c r="K1788" s="42" t="s">
        <v>145</v>
      </c>
      <c r="L1788" s="44" t="n">
        <v>2159.43</v>
      </c>
      <c r="M1788" s="42" t="n">
        <v>3</v>
      </c>
      <c r="N1788" s="42" t="s">
        <v>146</v>
      </c>
      <c r="O1788" s="42" t="s">
        <v>147</v>
      </c>
      <c r="P1788" s="39" t="n">
        <f aca="false">C1788-B1788</f>
        <v>2</v>
      </c>
      <c r="Q1788" s="40" t="str">
        <f aca="false">CHOOSE(MONTH(B1788),"يناير","فبراير","مارس","أبريل","مايو","يونيو","يوليو","أغسطس","سبتمبر","أكتوبر","نوفمبر","ديسمبر")</f>
        <v>نوفمبر</v>
      </c>
      <c r="R1788" s="40" t="str">
        <f aca="false">"الربع "&amp;ROUNDUP(MONTH(B1788)/3,0)</f>
        <v>الربع 4</v>
      </c>
      <c r="S1788" s="40" t="str">
        <f aca="false">IF(D1788&lt;=12,"أطفال (0-12)",IF(D1788&lt;=24,"شباب (13-24)",IF(D1788&lt;=44,"بالغون (25-44)",IF(D1788&lt;=64,"متوسطو العمر (45-64)","كبار السن (+65)"))))</f>
        <v>متوسطو العمر (45-64)</v>
      </c>
      <c r="T1788" s="41" t="n">
        <f aca="false">IFERROR(L1788/P1788,0)</f>
        <v>1079.715</v>
      </c>
    </row>
    <row r="1789" customFormat="false" ht="15" hidden="false" customHeight="false" outlineLevel="0" collapsed="false">
      <c r="A1789" s="33" t="s">
        <v>863</v>
      </c>
      <c r="B1789" s="34" t="n">
        <v>45602</v>
      </c>
      <c r="C1789" s="34" t="n">
        <v>45606</v>
      </c>
      <c r="D1789" s="33" t="n">
        <v>37</v>
      </c>
      <c r="E1789" s="33" t="s">
        <v>154</v>
      </c>
      <c r="F1789" s="33" t="s">
        <v>140</v>
      </c>
      <c r="G1789" s="33" t="s">
        <v>316</v>
      </c>
      <c r="H1789" s="33" t="s">
        <v>290</v>
      </c>
      <c r="I1789" s="33" t="s">
        <v>152</v>
      </c>
      <c r="J1789" s="33" t="s">
        <v>159</v>
      </c>
      <c r="K1789" s="33" t="s">
        <v>160</v>
      </c>
      <c r="L1789" s="35" t="n">
        <v>8172.44</v>
      </c>
      <c r="M1789" s="33" t="n">
        <v>5</v>
      </c>
      <c r="N1789" s="33" t="s">
        <v>146</v>
      </c>
      <c r="O1789" s="33" t="s">
        <v>147</v>
      </c>
      <c r="P1789" s="39" t="n">
        <f aca="false">C1789-B1789</f>
        <v>4</v>
      </c>
      <c r="Q1789" s="40" t="str">
        <f aca="false">CHOOSE(MONTH(B1789),"يناير","فبراير","مارس","أبريل","مايو","يونيو","يوليو","أغسطس","سبتمبر","أكتوبر","نوفمبر","ديسمبر")</f>
        <v>نوفمبر</v>
      </c>
      <c r="R1789" s="40" t="str">
        <f aca="false">"الربع "&amp;ROUNDUP(MONTH(B1789)/3,0)</f>
        <v>الربع 4</v>
      </c>
      <c r="S1789" s="40" t="str">
        <f aca="false">IF(D1789&lt;=12,"أطفال (0-12)",IF(D1789&lt;=24,"شباب (13-24)",IF(D1789&lt;=44,"بالغون (25-44)",IF(D1789&lt;=64,"متوسطو العمر (45-64)","كبار السن (+65)"))))</f>
        <v>بالغون (25-44)</v>
      </c>
      <c r="T1789" s="41" t="n">
        <f aca="false">IFERROR(L1789/P1789,0)</f>
        <v>2043.11</v>
      </c>
    </row>
    <row r="1790" customFormat="false" ht="15" hidden="false" customHeight="false" outlineLevel="0" collapsed="false">
      <c r="A1790" s="42" t="s">
        <v>605</v>
      </c>
      <c r="B1790" s="43" t="n">
        <v>45602</v>
      </c>
      <c r="C1790" s="43" t="n">
        <v>45604</v>
      </c>
      <c r="D1790" s="42" t="n">
        <v>5</v>
      </c>
      <c r="E1790" s="42" t="s">
        <v>139</v>
      </c>
      <c r="F1790" s="42" t="s">
        <v>155</v>
      </c>
      <c r="G1790" s="42" t="s">
        <v>156</v>
      </c>
      <c r="H1790" s="42" t="s">
        <v>157</v>
      </c>
      <c r="I1790" s="42" t="s">
        <v>143</v>
      </c>
      <c r="J1790" s="42" t="s">
        <v>159</v>
      </c>
      <c r="K1790" s="42" t="s">
        <v>145</v>
      </c>
      <c r="L1790" s="44" t="n">
        <v>1737.68</v>
      </c>
      <c r="M1790" s="42" t="n">
        <v>4</v>
      </c>
      <c r="N1790" s="42" t="s">
        <v>210</v>
      </c>
      <c r="O1790" s="42" t="s">
        <v>147</v>
      </c>
      <c r="P1790" s="39" t="n">
        <f aca="false">C1790-B1790</f>
        <v>2</v>
      </c>
      <c r="Q1790" s="40" t="str">
        <f aca="false">CHOOSE(MONTH(B1790),"يناير","فبراير","مارس","أبريل","مايو","يونيو","يوليو","أغسطس","سبتمبر","أكتوبر","نوفمبر","ديسمبر")</f>
        <v>نوفمبر</v>
      </c>
      <c r="R1790" s="40" t="str">
        <f aca="false">"الربع "&amp;ROUNDUP(MONTH(B1790)/3,0)</f>
        <v>الربع 4</v>
      </c>
      <c r="S1790" s="40" t="str">
        <f aca="false">IF(D1790&lt;=12,"أطفال (0-12)",IF(D1790&lt;=24,"شباب (13-24)",IF(D1790&lt;=44,"بالغون (25-44)",IF(D1790&lt;=64,"متوسطو العمر (45-64)","كبار السن (+65)"))))</f>
        <v>أطفال (0-12)</v>
      </c>
      <c r="T1790" s="41" t="n">
        <f aca="false">IFERROR(L1790/P1790,0)</f>
        <v>868.84</v>
      </c>
    </row>
    <row r="1791" customFormat="false" ht="15" hidden="false" customHeight="false" outlineLevel="0" collapsed="false">
      <c r="A1791" s="33" t="s">
        <v>367</v>
      </c>
      <c r="B1791" s="34" t="n">
        <v>45603</v>
      </c>
      <c r="C1791" s="34" t="n">
        <v>45604</v>
      </c>
      <c r="D1791" s="33" t="n">
        <v>27</v>
      </c>
      <c r="E1791" s="33" t="s">
        <v>139</v>
      </c>
      <c r="F1791" s="33" t="s">
        <v>169</v>
      </c>
      <c r="G1791" s="33" t="s">
        <v>163</v>
      </c>
      <c r="H1791" s="33" t="s">
        <v>164</v>
      </c>
      <c r="I1791" s="33" t="s">
        <v>143</v>
      </c>
      <c r="J1791" s="33" t="s">
        <v>159</v>
      </c>
      <c r="K1791" s="33" t="s">
        <v>145</v>
      </c>
      <c r="L1791" s="35" t="n">
        <v>968.84</v>
      </c>
      <c r="M1791" s="33" t="n">
        <v>5</v>
      </c>
      <c r="N1791" s="33" t="s">
        <v>146</v>
      </c>
      <c r="O1791" s="33" t="s">
        <v>147</v>
      </c>
      <c r="P1791" s="39" t="n">
        <f aca="false">C1791-B1791</f>
        <v>1</v>
      </c>
      <c r="Q1791" s="40" t="str">
        <f aca="false">CHOOSE(MONTH(B1791),"يناير","فبراير","مارس","أبريل","مايو","يونيو","يوليو","أغسطس","سبتمبر","أكتوبر","نوفمبر","ديسمبر")</f>
        <v>نوفمبر</v>
      </c>
      <c r="R1791" s="40" t="str">
        <f aca="false">"الربع "&amp;ROUNDUP(MONTH(B1791)/3,0)</f>
        <v>الربع 4</v>
      </c>
      <c r="S1791" s="40" t="str">
        <f aca="false">IF(D1791&lt;=12,"أطفال (0-12)",IF(D1791&lt;=24,"شباب (13-24)",IF(D1791&lt;=44,"بالغون (25-44)",IF(D1791&lt;=64,"متوسطو العمر (45-64)","كبار السن (+65)"))))</f>
        <v>بالغون (25-44)</v>
      </c>
      <c r="T1791" s="41" t="n">
        <f aca="false">IFERROR(L1791/P1791,0)</f>
        <v>968.84</v>
      </c>
    </row>
    <row r="1792" customFormat="false" ht="15" hidden="false" customHeight="false" outlineLevel="0" collapsed="false">
      <c r="A1792" s="42" t="s">
        <v>1331</v>
      </c>
      <c r="B1792" s="43" t="n">
        <v>45603</v>
      </c>
      <c r="C1792" s="43" t="n">
        <v>45606</v>
      </c>
      <c r="D1792" s="42" t="n">
        <v>0</v>
      </c>
      <c r="E1792" s="42" t="s">
        <v>139</v>
      </c>
      <c r="F1792" s="42" t="s">
        <v>155</v>
      </c>
      <c r="G1792" s="42" t="s">
        <v>302</v>
      </c>
      <c r="H1792" s="42" t="s">
        <v>157</v>
      </c>
      <c r="I1792" s="42" t="s">
        <v>152</v>
      </c>
      <c r="J1792" s="42" t="s">
        <v>159</v>
      </c>
      <c r="K1792" s="42" t="s">
        <v>209</v>
      </c>
      <c r="L1792" s="44" t="n">
        <v>2987.44</v>
      </c>
      <c r="M1792" s="42" t="n">
        <v>3</v>
      </c>
      <c r="N1792" s="42" t="s">
        <v>210</v>
      </c>
      <c r="O1792" s="42" t="s">
        <v>147</v>
      </c>
      <c r="P1792" s="39" t="n">
        <f aca="false">C1792-B1792</f>
        <v>3</v>
      </c>
      <c r="Q1792" s="40" t="str">
        <f aca="false">CHOOSE(MONTH(B1792),"يناير","فبراير","مارس","أبريل","مايو","يونيو","يوليو","أغسطس","سبتمبر","أكتوبر","نوفمبر","ديسمبر")</f>
        <v>نوفمبر</v>
      </c>
      <c r="R1792" s="40" t="str">
        <f aca="false">"الربع "&amp;ROUNDUP(MONTH(B1792)/3,0)</f>
        <v>الربع 4</v>
      </c>
      <c r="S1792" s="40" t="str">
        <f aca="false">IF(D1792&lt;=12,"أطفال (0-12)",IF(D1792&lt;=24,"شباب (13-24)",IF(D1792&lt;=44,"بالغون (25-44)",IF(D1792&lt;=64,"متوسطو العمر (45-64)","كبار السن (+65)"))))</f>
        <v>أطفال (0-12)</v>
      </c>
      <c r="T1792" s="41" t="n">
        <f aca="false">IFERROR(L1792/P1792,0)</f>
        <v>995.813333333333</v>
      </c>
    </row>
    <row r="1793" customFormat="false" ht="15" hidden="false" customHeight="false" outlineLevel="0" collapsed="false">
      <c r="A1793" s="33" t="s">
        <v>1125</v>
      </c>
      <c r="B1793" s="34" t="n">
        <v>45603</v>
      </c>
      <c r="C1793" s="34" t="n">
        <v>45604</v>
      </c>
      <c r="D1793" s="33" t="n">
        <v>69</v>
      </c>
      <c r="E1793" s="33" t="s">
        <v>154</v>
      </c>
      <c r="F1793" s="33" t="s">
        <v>203</v>
      </c>
      <c r="G1793" s="33" t="s">
        <v>204</v>
      </c>
      <c r="H1793" s="33" t="s">
        <v>193</v>
      </c>
      <c r="I1793" s="33" t="s">
        <v>143</v>
      </c>
      <c r="J1793" s="33" t="s">
        <v>159</v>
      </c>
      <c r="K1793" s="33" t="s">
        <v>209</v>
      </c>
      <c r="L1793" s="35" t="n">
        <v>814.61</v>
      </c>
      <c r="M1793" s="33" t="n">
        <v>2</v>
      </c>
      <c r="N1793" s="33" t="s">
        <v>146</v>
      </c>
      <c r="O1793" s="33" t="s">
        <v>147</v>
      </c>
      <c r="P1793" s="39" t="n">
        <f aca="false">C1793-B1793</f>
        <v>1</v>
      </c>
      <c r="Q1793" s="40" t="str">
        <f aca="false">CHOOSE(MONTH(B1793),"يناير","فبراير","مارس","أبريل","مايو","يونيو","يوليو","أغسطس","سبتمبر","أكتوبر","نوفمبر","ديسمبر")</f>
        <v>نوفمبر</v>
      </c>
      <c r="R1793" s="40" t="str">
        <f aca="false">"الربع "&amp;ROUNDUP(MONTH(B1793)/3,0)</f>
        <v>الربع 4</v>
      </c>
      <c r="S1793" s="40" t="str">
        <f aca="false">IF(D1793&lt;=12,"أطفال (0-12)",IF(D1793&lt;=24,"شباب (13-24)",IF(D1793&lt;=44,"بالغون (25-44)",IF(D1793&lt;=64,"متوسطو العمر (45-64)","كبار السن (+65)"))))</f>
        <v>كبار السن (+65)</v>
      </c>
      <c r="T1793" s="41" t="n">
        <f aca="false">IFERROR(L1793/P1793,0)</f>
        <v>814.61</v>
      </c>
    </row>
    <row r="1794" customFormat="false" ht="15" hidden="false" customHeight="false" outlineLevel="0" collapsed="false">
      <c r="A1794" s="42" t="s">
        <v>1569</v>
      </c>
      <c r="B1794" s="43" t="n">
        <v>45603</v>
      </c>
      <c r="C1794" s="43" t="n">
        <v>45606</v>
      </c>
      <c r="D1794" s="42" t="n">
        <v>45</v>
      </c>
      <c r="E1794" s="42" t="s">
        <v>154</v>
      </c>
      <c r="F1794" s="42" t="s">
        <v>173</v>
      </c>
      <c r="G1794" s="42" t="s">
        <v>198</v>
      </c>
      <c r="H1794" s="42" t="s">
        <v>175</v>
      </c>
      <c r="I1794" s="42" t="s">
        <v>152</v>
      </c>
      <c r="J1794" s="42" t="s">
        <v>159</v>
      </c>
      <c r="K1794" s="42" t="s">
        <v>145</v>
      </c>
      <c r="L1794" s="44" t="n">
        <v>7529.74</v>
      </c>
      <c r="M1794" s="42" t="n">
        <v>5</v>
      </c>
      <c r="N1794" s="42" t="s">
        <v>146</v>
      </c>
      <c r="O1794" s="42" t="s">
        <v>147</v>
      </c>
      <c r="P1794" s="39" t="n">
        <f aca="false">C1794-B1794</f>
        <v>3</v>
      </c>
      <c r="Q1794" s="40" t="str">
        <f aca="false">CHOOSE(MONTH(B1794),"يناير","فبراير","مارس","أبريل","مايو","يونيو","يوليو","أغسطس","سبتمبر","أكتوبر","نوفمبر","ديسمبر")</f>
        <v>نوفمبر</v>
      </c>
      <c r="R1794" s="40" t="str">
        <f aca="false">"الربع "&amp;ROUNDUP(MONTH(B1794)/3,0)</f>
        <v>الربع 4</v>
      </c>
      <c r="S1794" s="40" t="str">
        <f aca="false">IF(D1794&lt;=12,"أطفال (0-12)",IF(D1794&lt;=24,"شباب (13-24)",IF(D1794&lt;=44,"بالغون (25-44)",IF(D1794&lt;=64,"متوسطو العمر (45-64)","كبار السن (+65)"))))</f>
        <v>متوسطو العمر (45-64)</v>
      </c>
      <c r="T1794" s="41" t="n">
        <f aca="false">IFERROR(L1794/P1794,0)</f>
        <v>2509.91333333333</v>
      </c>
    </row>
    <row r="1795" customFormat="false" ht="15" hidden="false" customHeight="false" outlineLevel="0" collapsed="false">
      <c r="A1795" s="33" t="s">
        <v>2076</v>
      </c>
      <c r="B1795" s="34" t="n">
        <v>45603</v>
      </c>
      <c r="C1795" s="34" t="n">
        <v>45607</v>
      </c>
      <c r="D1795" s="33" t="n">
        <v>16</v>
      </c>
      <c r="E1795" s="33" t="s">
        <v>139</v>
      </c>
      <c r="F1795" s="33" t="s">
        <v>169</v>
      </c>
      <c r="G1795" s="33" t="s">
        <v>213</v>
      </c>
      <c r="H1795" s="33" t="s">
        <v>195</v>
      </c>
      <c r="I1795" s="33" t="s">
        <v>143</v>
      </c>
      <c r="J1795" s="33" t="s">
        <v>159</v>
      </c>
      <c r="K1795" s="33" t="s">
        <v>209</v>
      </c>
      <c r="L1795" s="35" t="n">
        <v>4734.95</v>
      </c>
      <c r="M1795" s="33" t="n">
        <v>3</v>
      </c>
      <c r="N1795" s="33" t="s">
        <v>146</v>
      </c>
      <c r="O1795" s="33" t="s">
        <v>147</v>
      </c>
      <c r="P1795" s="39" t="n">
        <f aca="false">C1795-B1795</f>
        <v>4</v>
      </c>
      <c r="Q1795" s="40" t="str">
        <f aca="false">CHOOSE(MONTH(B1795),"يناير","فبراير","مارس","أبريل","مايو","يونيو","يوليو","أغسطس","سبتمبر","أكتوبر","نوفمبر","ديسمبر")</f>
        <v>نوفمبر</v>
      </c>
      <c r="R1795" s="40" t="str">
        <f aca="false">"الربع "&amp;ROUNDUP(MONTH(B1795)/3,0)</f>
        <v>الربع 4</v>
      </c>
      <c r="S1795" s="40" t="str">
        <f aca="false">IF(D1795&lt;=12,"أطفال (0-12)",IF(D1795&lt;=24,"شباب (13-24)",IF(D1795&lt;=44,"بالغون (25-44)",IF(D1795&lt;=64,"متوسطو العمر (45-64)","كبار السن (+65)"))))</f>
        <v>شباب (13-24)</v>
      </c>
      <c r="T1795" s="41" t="n">
        <f aca="false">IFERROR(L1795/P1795,0)</f>
        <v>1183.7375</v>
      </c>
    </row>
    <row r="1796" customFormat="false" ht="15" hidden="false" customHeight="false" outlineLevel="0" collapsed="false">
      <c r="A1796" s="42" t="s">
        <v>1386</v>
      </c>
      <c r="B1796" s="43" t="n">
        <v>45603</v>
      </c>
      <c r="C1796" s="43" t="n">
        <v>45609</v>
      </c>
      <c r="D1796" s="42" t="n">
        <v>29</v>
      </c>
      <c r="E1796" s="42" t="s">
        <v>139</v>
      </c>
      <c r="F1796" s="42" t="s">
        <v>169</v>
      </c>
      <c r="G1796" s="42" t="s">
        <v>163</v>
      </c>
      <c r="H1796" s="42" t="s">
        <v>195</v>
      </c>
      <c r="I1796" s="42" t="s">
        <v>143</v>
      </c>
      <c r="J1796" s="42" t="s">
        <v>159</v>
      </c>
      <c r="K1796" s="42" t="s">
        <v>209</v>
      </c>
      <c r="L1796" s="44" t="n">
        <v>6435.9</v>
      </c>
      <c r="M1796" s="42" t="n">
        <v>4</v>
      </c>
      <c r="N1796" s="42" t="s">
        <v>146</v>
      </c>
      <c r="O1796" s="42" t="s">
        <v>147</v>
      </c>
      <c r="P1796" s="39" t="n">
        <f aca="false">C1796-B1796</f>
        <v>6</v>
      </c>
      <c r="Q1796" s="40" t="str">
        <f aca="false">CHOOSE(MONTH(B1796),"يناير","فبراير","مارس","أبريل","مايو","يونيو","يوليو","أغسطس","سبتمبر","أكتوبر","نوفمبر","ديسمبر")</f>
        <v>نوفمبر</v>
      </c>
      <c r="R1796" s="40" t="str">
        <f aca="false">"الربع "&amp;ROUNDUP(MONTH(B1796)/3,0)</f>
        <v>الربع 4</v>
      </c>
      <c r="S1796" s="40" t="str">
        <f aca="false">IF(D1796&lt;=12,"أطفال (0-12)",IF(D1796&lt;=24,"شباب (13-24)",IF(D1796&lt;=44,"بالغون (25-44)",IF(D1796&lt;=64,"متوسطو العمر (45-64)","كبار السن (+65)"))))</f>
        <v>بالغون (25-44)</v>
      </c>
      <c r="T1796" s="41" t="n">
        <f aca="false">IFERROR(L1796/P1796,0)</f>
        <v>1072.65</v>
      </c>
    </row>
    <row r="1797" customFormat="false" ht="15" hidden="false" customHeight="false" outlineLevel="0" collapsed="false">
      <c r="A1797" s="33" t="s">
        <v>371</v>
      </c>
      <c r="B1797" s="34" t="n">
        <v>45603</v>
      </c>
      <c r="C1797" s="34" t="n">
        <v>45604</v>
      </c>
      <c r="D1797" s="33" t="n">
        <v>63</v>
      </c>
      <c r="E1797" s="33" t="s">
        <v>154</v>
      </c>
      <c r="F1797" s="33" t="s">
        <v>203</v>
      </c>
      <c r="G1797" s="33" t="s">
        <v>217</v>
      </c>
      <c r="H1797" s="33" t="s">
        <v>233</v>
      </c>
      <c r="I1797" s="33" t="s">
        <v>143</v>
      </c>
      <c r="J1797" s="33" t="s">
        <v>159</v>
      </c>
      <c r="K1797" s="33" t="s">
        <v>145</v>
      </c>
      <c r="L1797" s="35" t="n">
        <v>645.6</v>
      </c>
      <c r="M1797" s="33" t="n">
        <v>5</v>
      </c>
      <c r="N1797" s="33" t="s">
        <v>146</v>
      </c>
      <c r="O1797" s="33" t="s">
        <v>147</v>
      </c>
      <c r="P1797" s="39" t="n">
        <f aca="false">C1797-B1797</f>
        <v>1</v>
      </c>
      <c r="Q1797" s="40" t="str">
        <f aca="false">CHOOSE(MONTH(B1797),"يناير","فبراير","مارس","أبريل","مايو","يونيو","يوليو","أغسطس","سبتمبر","أكتوبر","نوفمبر","ديسمبر")</f>
        <v>نوفمبر</v>
      </c>
      <c r="R1797" s="40" t="str">
        <f aca="false">"الربع "&amp;ROUNDUP(MONTH(B1797)/3,0)</f>
        <v>الربع 4</v>
      </c>
      <c r="S1797" s="40" t="str">
        <f aca="false">IF(D1797&lt;=12,"أطفال (0-12)",IF(D1797&lt;=24,"شباب (13-24)",IF(D1797&lt;=44,"بالغون (25-44)",IF(D1797&lt;=64,"متوسطو العمر (45-64)","كبار السن (+65)"))))</f>
        <v>متوسطو العمر (45-64)</v>
      </c>
      <c r="T1797" s="41" t="n">
        <f aca="false">IFERROR(L1797/P1797,0)</f>
        <v>645.6</v>
      </c>
    </row>
    <row r="1798" customFormat="false" ht="15" hidden="false" customHeight="false" outlineLevel="0" collapsed="false">
      <c r="A1798" s="42" t="s">
        <v>2135</v>
      </c>
      <c r="B1798" s="43" t="n">
        <v>45603</v>
      </c>
      <c r="C1798" s="43" t="n">
        <v>45606</v>
      </c>
      <c r="D1798" s="42" t="n">
        <v>4</v>
      </c>
      <c r="E1798" s="42" t="s">
        <v>139</v>
      </c>
      <c r="F1798" s="42" t="s">
        <v>155</v>
      </c>
      <c r="G1798" s="42" t="s">
        <v>156</v>
      </c>
      <c r="H1798" s="42" t="s">
        <v>157</v>
      </c>
      <c r="I1798" s="42" t="s">
        <v>152</v>
      </c>
      <c r="J1798" s="42" t="s">
        <v>176</v>
      </c>
      <c r="K1798" s="42" t="s">
        <v>160</v>
      </c>
      <c r="L1798" s="44" t="n">
        <v>9738.08</v>
      </c>
      <c r="M1798" s="42" t="n">
        <v>5</v>
      </c>
      <c r="N1798" s="42" t="s">
        <v>146</v>
      </c>
      <c r="O1798" s="42" t="s">
        <v>147</v>
      </c>
      <c r="P1798" s="39" t="n">
        <f aca="false">C1798-B1798</f>
        <v>3</v>
      </c>
      <c r="Q1798" s="40" t="str">
        <f aca="false">CHOOSE(MONTH(B1798),"يناير","فبراير","مارس","أبريل","مايو","يونيو","يوليو","أغسطس","سبتمبر","أكتوبر","نوفمبر","ديسمبر")</f>
        <v>نوفمبر</v>
      </c>
      <c r="R1798" s="40" t="str">
        <f aca="false">"الربع "&amp;ROUNDUP(MONTH(B1798)/3,0)</f>
        <v>الربع 4</v>
      </c>
      <c r="S1798" s="40" t="str">
        <f aca="false">IF(D1798&lt;=12,"أطفال (0-12)",IF(D1798&lt;=24,"شباب (13-24)",IF(D1798&lt;=44,"بالغون (25-44)",IF(D1798&lt;=64,"متوسطو العمر (45-64)","كبار السن (+65)"))))</f>
        <v>أطفال (0-12)</v>
      </c>
      <c r="T1798" s="41" t="n">
        <f aca="false">IFERROR(L1798/P1798,0)</f>
        <v>3246.02666666667</v>
      </c>
    </row>
    <row r="1799" customFormat="false" ht="15" hidden="false" customHeight="false" outlineLevel="0" collapsed="false">
      <c r="A1799" s="33" t="s">
        <v>1583</v>
      </c>
      <c r="B1799" s="34" t="n">
        <v>45603</v>
      </c>
      <c r="C1799" s="34" t="n">
        <v>45610</v>
      </c>
      <c r="D1799" s="33" t="n">
        <v>70</v>
      </c>
      <c r="E1799" s="33" t="s">
        <v>139</v>
      </c>
      <c r="F1799" s="33" t="s">
        <v>169</v>
      </c>
      <c r="G1799" s="33" t="s">
        <v>163</v>
      </c>
      <c r="H1799" s="33" t="s">
        <v>164</v>
      </c>
      <c r="I1799" s="33" t="s">
        <v>152</v>
      </c>
      <c r="J1799" s="33" t="s">
        <v>159</v>
      </c>
      <c r="K1799" s="33" t="s">
        <v>145</v>
      </c>
      <c r="L1799" s="35" t="n">
        <v>7723.34</v>
      </c>
      <c r="M1799" s="33" t="n">
        <v>4</v>
      </c>
      <c r="N1799" s="33" t="s">
        <v>146</v>
      </c>
      <c r="O1799" s="33" t="s">
        <v>147</v>
      </c>
      <c r="P1799" s="39" t="n">
        <f aca="false">C1799-B1799</f>
        <v>7</v>
      </c>
      <c r="Q1799" s="40" t="str">
        <f aca="false">CHOOSE(MONTH(B1799),"يناير","فبراير","مارس","أبريل","مايو","يونيو","يوليو","أغسطس","سبتمبر","أكتوبر","نوفمبر","ديسمبر")</f>
        <v>نوفمبر</v>
      </c>
      <c r="R1799" s="40" t="str">
        <f aca="false">"الربع "&amp;ROUNDUP(MONTH(B1799)/3,0)</f>
        <v>الربع 4</v>
      </c>
      <c r="S1799" s="40" t="str">
        <f aca="false">IF(D1799&lt;=12,"أطفال (0-12)",IF(D1799&lt;=24,"شباب (13-24)",IF(D1799&lt;=44,"بالغون (25-44)",IF(D1799&lt;=64,"متوسطو العمر (45-64)","كبار السن (+65)"))))</f>
        <v>كبار السن (+65)</v>
      </c>
      <c r="T1799" s="41" t="n">
        <f aca="false">IFERROR(L1799/P1799,0)</f>
        <v>1103.33428571429</v>
      </c>
    </row>
    <row r="1800" customFormat="false" ht="15" hidden="false" customHeight="false" outlineLevel="0" collapsed="false">
      <c r="A1800" s="42" t="s">
        <v>1272</v>
      </c>
      <c r="B1800" s="43" t="n">
        <v>45603</v>
      </c>
      <c r="C1800" s="43" t="n">
        <v>45605</v>
      </c>
      <c r="D1800" s="42" t="n">
        <v>26</v>
      </c>
      <c r="E1800" s="42" t="s">
        <v>139</v>
      </c>
      <c r="F1800" s="42" t="s">
        <v>169</v>
      </c>
      <c r="G1800" s="42" t="s">
        <v>163</v>
      </c>
      <c r="H1800" s="42" t="s">
        <v>171</v>
      </c>
      <c r="I1800" s="42" t="s">
        <v>152</v>
      </c>
      <c r="J1800" s="42" t="s">
        <v>176</v>
      </c>
      <c r="K1800" s="42" t="s">
        <v>184</v>
      </c>
      <c r="L1800" s="44" t="n">
        <v>8506.43</v>
      </c>
      <c r="M1800" s="42" t="n">
        <v>3</v>
      </c>
      <c r="N1800" s="42" t="s">
        <v>146</v>
      </c>
      <c r="O1800" s="42" t="s">
        <v>147</v>
      </c>
      <c r="P1800" s="39" t="n">
        <f aca="false">C1800-B1800</f>
        <v>2</v>
      </c>
      <c r="Q1800" s="40" t="str">
        <f aca="false">CHOOSE(MONTH(B1800),"يناير","فبراير","مارس","أبريل","مايو","يونيو","يوليو","أغسطس","سبتمبر","أكتوبر","نوفمبر","ديسمبر")</f>
        <v>نوفمبر</v>
      </c>
      <c r="R1800" s="40" t="str">
        <f aca="false">"الربع "&amp;ROUNDUP(MONTH(B1800)/3,0)</f>
        <v>الربع 4</v>
      </c>
      <c r="S1800" s="40" t="str">
        <f aca="false">IF(D1800&lt;=12,"أطفال (0-12)",IF(D1800&lt;=24,"شباب (13-24)",IF(D1800&lt;=44,"بالغون (25-44)",IF(D1800&lt;=64,"متوسطو العمر (45-64)","كبار السن (+65)"))))</f>
        <v>بالغون (25-44)</v>
      </c>
      <c r="T1800" s="41" t="n">
        <f aca="false">IFERROR(L1800/P1800,0)</f>
        <v>4253.215</v>
      </c>
    </row>
    <row r="1801" customFormat="false" ht="15" hidden="false" customHeight="false" outlineLevel="0" collapsed="false">
      <c r="A1801" s="33" t="s">
        <v>1544</v>
      </c>
      <c r="B1801" s="34" t="n">
        <v>45604</v>
      </c>
      <c r="C1801" s="34" t="n">
        <v>45606</v>
      </c>
      <c r="D1801" s="33" t="n">
        <v>31</v>
      </c>
      <c r="E1801" s="33" t="s">
        <v>154</v>
      </c>
      <c r="F1801" s="33" t="s">
        <v>173</v>
      </c>
      <c r="G1801" s="33" t="s">
        <v>178</v>
      </c>
      <c r="H1801" s="33" t="s">
        <v>175</v>
      </c>
      <c r="I1801" s="33" t="s">
        <v>143</v>
      </c>
      <c r="J1801" s="33" t="s">
        <v>159</v>
      </c>
      <c r="K1801" s="33" t="s">
        <v>184</v>
      </c>
      <c r="L1801" s="35" t="n">
        <v>4718.75</v>
      </c>
      <c r="M1801" s="33" t="n">
        <v>4</v>
      </c>
      <c r="N1801" s="33" t="s">
        <v>146</v>
      </c>
      <c r="O1801" s="33" t="s">
        <v>147</v>
      </c>
      <c r="P1801" s="39" t="n">
        <f aca="false">C1801-B1801</f>
        <v>2</v>
      </c>
      <c r="Q1801" s="40" t="str">
        <f aca="false">CHOOSE(MONTH(B1801),"يناير","فبراير","مارس","أبريل","مايو","يونيو","يوليو","أغسطس","سبتمبر","أكتوبر","نوفمبر","ديسمبر")</f>
        <v>نوفمبر</v>
      </c>
      <c r="R1801" s="40" t="str">
        <f aca="false">"الربع "&amp;ROUNDUP(MONTH(B1801)/3,0)</f>
        <v>الربع 4</v>
      </c>
      <c r="S1801" s="40" t="str">
        <f aca="false">IF(D1801&lt;=12,"أطفال (0-12)",IF(D1801&lt;=24,"شباب (13-24)",IF(D1801&lt;=44,"بالغون (25-44)",IF(D1801&lt;=64,"متوسطو العمر (45-64)","كبار السن (+65)"))))</f>
        <v>بالغون (25-44)</v>
      </c>
      <c r="T1801" s="41" t="n">
        <f aca="false">IFERROR(L1801/P1801,0)</f>
        <v>2359.375</v>
      </c>
    </row>
    <row r="1802" customFormat="false" ht="15" hidden="false" customHeight="false" outlineLevel="0" collapsed="false">
      <c r="A1802" s="42" t="s">
        <v>1282</v>
      </c>
      <c r="B1802" s="43" t="n">
        <v>45604</v>
      </c>
      <c r="C1802" s="43" t="n">
        <v>45605</v>
      </c>
      <c r="D1802" s="42" t="n">
        <v>45</v>
      </c>
      <c r="E1802" s="42" t="s">
        <v>154</v>
      </c>
      <c r="F1802" s="42" t="s">
        <v>203</v>
      </c>
      <c r="G1802" s="42" t="s">
        <v>204</v>
      </c>
      <c r="H1802" s="42" t="s">
        <v>193</v>
      </c>
      <c r="I1802" s="42" t="s">
        <v>143</v>
      </c>
      <c r="J1802" s="42" t="s">
        <v>176</v>
      </c>
      <c r="K1802" s="42" t="s">
        <v>145</v>
      </c>
      <c r="L1802" s="44" t="n">
        <v>3251.85</v>
      </c>
      <c r="M1802" s="42" t="n">
        <v>5</v>
      </c>
      <c r="N1802" s="42" t="s">
        <v>146</v>
      </c>
      <c r="O1802" s="42" t="s">
        <v>147</v>
      </c>
      <c r="P1802" s="39" t="n">
        <f aca="false">C1802-B1802</f>
        <v>1</v>
      </c>
      <c r="Q1802" s="40" t="str">
        <f aca="false">CHOOSE(MONTH(B1802),"يناير","فبراير","مارس","أبريل","مايو","يونيو","يوليو","أغسطس","سبتمبر","أكتوبر","نوفمبر","ديسمبر")</f>
        <v>نوفمبر</v>
      </c>
      <c r="R1802" s="40" t="str">
        <f aca="false">"الربع "&amp;ROUNDUP(MONTH(B1802)/3,0)</f>
        <v>الربع 4</v>
      </c>
      <c r="S1802" s="40" t="str">
        <f aca="false">IF(D1802&lt;=12,"أطفال (0-12)",IF(D1802&lt;=24,"شباب (13-24)",IF(D1802&lt;=44,"بالغون (25-44)",IF(D1802&lt;=64,"متوسطو العمر (45-64)","كبار السن (+65)"))))</f>
        <v>متوسطو العمر (45-64)</v>
      </c>
      <c r="T1802" s="41" t="n">
        <f aca="false">IFERROR(L1802/P1802,0)</f>
        <v>3251.85</v>
      </c>
    </row>
    <row r="1803" customFormat="false" ht="15" hidden="false" customHeight="false" outlineLevel="0" collapsed="false">
      <c r="A1803" s="33" t="s">
        <v>1918</v>
      </c>
      <c r="B1803" s="34" t="n">
        <v>45604</v>
      </c>
      <c r="C1803" s="34" t="n">
        <v>45612</v>
      </c>
      <c r="D1803" s="33" t="n">
        <v>35</v>
      </c>
      <c r="E1803" s="33" t="s">
        <v>154</v>
      </c>
      <c r="F1803" s="33" t="s">
        <v>169</v>
      </c>
      <c r="G1803" s="33" t="s">
        <v>163</v>
      </c>
      <c r="H1803" s="33" t="s">
        <v>195</v>
      </c>
      <c r="I1803" s="33" t="s">
        <v>143</v>
      </c>
      <c r="J1803" s="33" t="s">
        <v>159</v>
      </c>
      <c r="K1803" s="33" t="s">
        <v>160</v>
      </c>
      <c r="L1803" s="35" t="n">
        <v>9660.25</v>
      </c>
      <c r="M1803" s="33" t="n">
        <v>5</v>
      </c>
      <c r="N1803" s="33" t="s">
        <v>146</v>
      </c>
      <c r="O1803" s="33" t="s">
        <v>147</v>
      </c>
      <c r="P1803" s="39" t="n">
        <f aca="false">C1803-B1803</f>
        <v>8</v>
      </c>
      <c r="Q1803" s="40" t="str">
        <f aca="false">CHOOSE(MONTH(B1803),"يناير","فبراير","مارس","أبريل","مايو","يونيو","يوليو","أغسطس","سبتمبر","أكتوبر","نوفمبر","ديسمبر")</f>
        <v>نوفمبر</v>
      </c>
      <c r="R1803" s="40" t="str">
        <f aca="false">"الربع "&amp;ROUNDUP(MONTH(B1803)/3,0)</f>
        <v>الربع 4</v>
      </c>
      <c r="S1803" s="40" t="str">
        <f aca="false">IF(D1803&lt;=12,"أطفال (0-12)",IF(D1803&lt;=24,"شباب (13-24)",IF(D1803&lt;=44,"بالغون (25-44)",IF(D1803&lt;=64,"متوسطو العمر (45-64)","كبار السن (+65)"))))</f>
        <v>بالغون (25-44)</v>
      </c>
      <c r="T1803" s="41" t="n">
        <f aca="false">IFERROR(L1803/P1803,0)</f>
        <v>1207.53125</v>
      </c>
    </row>
    <row r="1804" customFormat="false" ht="15" hidden="false" customHeight="false" outlineLevel="0" collapsed="false">
      <c r="A1804" s="42" t="s">
        <v>1354</v>
      </c>
      <c r="B1804" s="43" t="n">
        <v>45604</v>
      </c>
      <c r="C1804" s="43" t="n">
        <v>45610</v>
      </c>
      <c r="D1804" s="42" t="n">
        <v>35</v>
      </c>
      <c r="E1804" s="42" t="s">
        <v>139</v>
      </c>
      <c r="F1804" s="42" t="s">
        <v>173</v>
      </c>
      <c r="G1804" s="42" t="s">
        <v>174</v>
      </c>
      <c r="H1804" s="42" t="s">
        <v>175</v>
      </c>
      <c r="I1804" s="42" t="s">
        <v>143</v>
      </c>
      <c r="J1804" s="42" t="s">
        <v>159</v>
      </c>
      <c r="K1804" s="42" t="s">
        <v>145</v>
      </c>
      <c r="L1804" s="44" t="n">
        <v>19519.01</v>
      </c>
      <c r="M1804" s="42" t="n">
        <v>5</v>
      </c>
      <c r="N1804" s="42" t="s">
        <v>146</v>
      </c>
      <c r="O1804" s="42" t="s">
        <v>147</v>
      </c>
      <c r="P1804" s="39" t="n">
        <f aca="false">C1804-B1804</f>
        <v>6</v>
      </c>
      <c r="Q1804" s="40" t="str">
        <f aca="false">CHOOSE(MONTH(B1804),"يناير","فبراير","مارس","أبريل","مايو","يونيو","يوليو","أغسطس","سبتمبر","أكتوبر","نوفمبر","ديسمبر")</f>
        <v>نوفمبر</v>
      </c>
      <c r="R1804" s="40" t="str">
        <f aca="false">"الربع "&amp;ROUNDUP(MONTH(B1804)/3,0)</f>
        <v>الربع 4</v>
      </c>
      <c r="S1804" s="40" t="str">
        <f aca="false">IF(D1804&lt;=12,"أطفال (0-12)",IF(D1804&lt;=24,"شباب (13-24)",IF(D1804&lt;=44,"بالغون (25-44)",IF(D1804&lt;=64,"متوسطو العمر (45-64)","كبار السن (+65)"))))</f>
        <v>بالغون (25-44)</v>
      </c>
      <c r="T1804" s="41" t="n">
        <f aca="false">IFERROR(L1804/P1804,0)</f>
        <v>3253.16833333333</v>
      </c>
    </row>
    <row r="1805" customFormat="false" ht="15" hidden="false" customHeight="false" outlineLevel="0" collapsed="false">
      <c r="A1805" s="33" t="s">
        <v>694</v>
      </c>
      <c r="B1805" s="34" t="n">
        <v>45604</v>
      </c>
      <c r="C1805" s="34" t="n">
        <v>45606</v>
      </c>
      <c r="D1805" s="33" t="n">
        <v>60</v>
      </c>
      <c r="E1805" s="33" t="s">
        <v>139</v>
      </c>
      <c r="F1805" s="33" t="s">
        <v>203</v>
      </c>
      <c r="G1805" s="33" t="s">
        <v>232</v>
      </c>
      <c r="H1805" s="33" t="s">
        <v>233</v>
      </c>
      <c r="I1805" s="33" t="s">
        <v>143</v>
      </c>
      <c r="J1805" s="33" t="s">
        <v>176</v>
      </c>
      <c r="K1805" s="33" t="s">
        <v>145</v>
      </c>
      <c r="L1805" s="35" t="n">
        <v>5723.65</v>
      </c>
      <c r="M1805" s="33" t="n">
        <v>3</v>
      </c>
      <c r="N1805" s="33" t="s">
        <v>146</v>
      </c>
      <c r="O1805" s="33" t="s">
        <v>147</v>
      </c>
      <c r="P1805" s="39" t="n">
        <f aca="false">C1805-B1805</f>
        <v>2</v>
      </c>
      <c r="Q1805" s="40" t="str">
        <f aca="false">CHOOSE(MONTH(B1805),"يناير","فبراير","مارس","أبريل","مايو","يونيو","يوليو","أغسطس","سبتمبر","أكتوبر","نوفمبر","ديسمبر")</f>
        <v>نوفمبر</v>
      </c>
      <c r="R1805" s="40" t="str">
        <f aca="false">"الربع "&amp;ROUNDUP(MONTH(B1805)/3,0)</f>
        <v>الربع 4</v>
      </c>
      <c r="S1805" s="40" t="str">
        <f aca="false">IF(D1805&lt;=12,"أطفال (0-12)",IF(D1805&lt;=24,"شباب (13-24)",IF(D1805&lt;=44,"بالغون (25-44)",IF(D1805&lt;=64,"متوسطو العمر (45-64)","كبار السن (+65)"))))</f>
        <v>متوسطو العمر (45-64)</v>
      </c>
      <c r="T1805" s="41" t="n">
        <f aca="false">IFERROR(L1805/P1805,0)</f>
        <v>2861.825</v>
      </c>
    </row>
    <row r="1806" customFormat="false" ht="15" hidden="false" customHeight="false" outlineLevel="0" collapsed="false">
      <c r="A1806" s="42" t="s">
        <v>1831</v>
      </c>
      <c r="B1806" s="43" t="n">
        <v>45604</v>
      </c>
      <c r="C1806" s="43" t="n">
        <v>45610</v>
      </c>
      <c r="D1806" s="42" t="n">
        <v>58</v>
      </c>
      <c r="E1806" s="42" t="s">
        <v>154</v>
      </c>
      <c r="F1806" s="42" t="s">
        <v>181</v>
      </c>
      <c r="G1806" s="42" t="s">
        <v>182</v>
      </c>
      <c r="H1806" s="42" t="s">
        <v>183</v>
      </c>
      <c r="I1806" s="42" t="s">
        <v>143</v>
      </c>
      <c r="J1806" s="42" t="s">
        <v>144</v>
      </c>
      <c r="K1806" s="42" t="s">
        <v>160</v>
      </c>
      <c r="L1806" s="44" t="n">
        <v>32551.56</v>
      </c>
      <c r="M1806" s="42" t="n">
        <v>4</v>
      </c>
      <c r="N1806" s="42" t="s">
        <v>146</v>
      </c>
      <c r="O1806" s="42" t="s">
        <v>147</v>
      </c>
      <c r="P1806" s="39" t="n">
        <f aca="false">C1806-B1806</f>
        <v>6</v>
      </c>
      <c r="Q1806" s="40" t="str">
        <f aca="false">CHOOSE(MONTH(B1806),"يناير","فبراير","مارس","أبريل","مايو","يونيو","يوليو","أغسطس","سبتمبر","أكتوبر","نوفمبر","ديسمبر")</f>
        <v>نوفمبر</v>
      </c>
      <c r="R1806" s="40" t="str">
        <f aca="false">"الربع "&amp;ROUNDUP(MONTH(B1806)/3,0)</f>
        <v>الربع 4</v>
      </c>
      <c r="S1806" s="40" t="str">
        <f aca="false">IF(D1806&lt;=12,"أطفال (0-12)",IF(D1806&lt;=24,"شباب (13-24)",IF(D1806&lt;=44,"بالغون (25-44)",IF(D1806&lt;=64,"متوسطو العمر (45-64)","كبار السن (+65)"))))</f>
        <v>متوسطو العمر (45-64)</v>
      </c>
      <c r="T1806" s="41" t="n">
        <f aca="false">IFERROR(L1806/P1806,0)</f>
        <v>5425.26</v>
      </c>
    </row>
    <row r="1807" customFormat="false" ht="15" hidden="false" customHeight="false" outlineLevel="0" collapsed="false">
      <c r="A1807" s="33" t="s">
        <v>649</v>
      </c>
      <c r="B1807" s="34" t="n">
        <v>45604</v>
      </c>
      <c r="C1807" s="34" t="n">
        <v>45605</v>
      </c>
      <c r="D1807" s="33" t="n">
        <v>9</v>
      </c>
      <c r="E1807" s="33" t="s">
        <v>154</v>
      </c>
      <c r="F1807" s="33" t="s">
        <v>155</v>
      </c>
      <c r="G1807" s="33" t="s">
        <v>302</v>
      </c>
      <c r="H1807" s="33" t="s">
        <v>222</v>
      </c>
      <c r="I1807" s="33" t="s">
        <v>143</v>
      </c>
      <c r="J1807" s="33" t="s">
        <v>176</v>
      </c>
      <c r="K1807" s="33" t="s">
        <v>145</v>
      </c>
      <c r="L1807" s="35" t="n">
        <v>2955.73</v>
      </c>
      <c r="M1807" s="33" t="n">
        <v>4</v>
      </c>
      <c r="N1807" s="33" t="s">
        <v>146</v>
      </c>
      <c r="O1807" s="33" t="s">
        <v>147</v>
      </c>
      <c r="P1807" s="39" t="n">
        <f aca="false">C1807-B1807</f>
        <v>1</v>
      </c>
      <c r="Q1807" s="40" t="str">
        <f aca="false">CHOOSE(MONTH(B1807),"يناير","فبراير","مارس","أبريل","مايو","يونيو","يوليو","أغسطس","سبتمبر","أكتوبر","نوفمبر","ديسمبر")</f>
        <v>نوفمبر</v>
      </c>
      <c r="R1807" s="40" t="str">
        <f aca="false">"الربع "&amp;ROUNDUP(MONTH(B1807)/3,0)</f>
        <v>الربع 4</v>
      </c>
      <c r="S1807" s="40" t="str">
        <f aca="false">IF(D1807&lt;=12,"أطفال (0-12)",IF(D1807&lt;=24,"شباب (13-24)",IF(D1807&lt;=44,"بالغون (25-44)",IF(D1807&lt;=64,"متوسطو العمر (45-64)","كبار السن (+65)"))))</f>
        <v>أطفال (0-12)</v>
      </c>
      <c r="T1807" s="41" t="n">
        <f aca="false">IFERROR(L1807/P1807,0)</f>
        <v>2955.73</v>
      </c>
    </row>
    <row r="1808" customFormat="false" ht="15" hidden="false" customHeight="false" outlineLevel="0" collapsed="false">
      <c r="A1808" s="42" t="s">
        <v>1820</v>
      </c>
      <c r="B1808" s="43" t="n">
        <v>45604</v>
      </c>
      <c r="C1808" s="43" t="n">
        <v>45608</v>
      </c>
      <c r="D1808" s="42" t="n">
        <v>5</v>
      </c>
      <c r="E1808" s="42" t="s">
        <v>139</v>
      </c>
      <c r="F1808" s="42" t="s">
        <v>155</v>
      </c>
      <c r="G1808" s="42" t="s">
        <v>156</v>
      </c>
      <c r="H1808" s="42" t="s">
        <v>222</v>
      </c>
      <c r="I1808" s="42" t="s">
        <v>143</v>
      </c>
      <c r="J1808" s="42" t="s">
        <v>144</v>
      </c>
      <c r="K1808" s="42" t="s">
        <v>184</v>
      </c>
      <c r="L1808" s="44" t="n">
        <v>6342.87</v>
      </c>
      <c r="M1808" s="42" t="n">
        <v>4</v>
      </c>
      <c r="N1808" s="42" t="s">
        <v>146</v>
      </c>
      <c r="O1808" s="42" t="s">
        <v>147</v>
      </c>
      <c r="P1808" s="39" t="n">
        <f aca="false">C1808-B1808</f>
        <v>4</v>
      </c>
      <c r="Q1808" s="40" t="str">
        <f aca="false">CHOOSE(MONTH(B1808),"يناير","فبراير","مارس","أبريل","مايو","يونيو","يوليو","أغسطس","سبتمبر","أكتوبر","نوفمبر","ديسمبر")</f>
        <v>نوفمبر</v>
      </c>
      <c r="R1808" s="40" t="str">
        <f aca="false">"الربع "&amp;ROUNDUP(MONTH(B1808)/3,0)</f>
        <v>الربع 4</v>
      </c>
      <c r="S1808" s="40" t="str">
        <f aca="false">IF(D1808&lt;=12,"أطفال (0-12)",IF(D1808&lt;=24,"شباب (13-24)",IF(D1808&lt;=44,"بالغون (25-44)",IF(D1808&lt;=64,"متوسطو العمر (45-64)","كبار السن (+65)"))))</f>
        <v>أطفال (0-12)</v>
      </c>
      <c r="T1808" s="41" t="n">
        <f aca="false">IFERROR(L1808/P1808,0)</f>
        <v>1585.7175</v>
      </c>
    </row>
    <row r="1809" customFormat="false" ht="15" hidden="false" customHeight="false" outlineLevel="0" collapsed="false">
      <c r="A1809" s="33" t="s">
        <v>1986</v>
      </c>
      <c r="B1809" s="34" t="n">
        <v>45604</v>
      </c>
      <c r="C1809" s="34" t="n">
        <v>45611</v>
      </c>
      <c r="D1809" s="33" t="n">
        <v>25</v>
      </c>
      <c r="E1809" s="33" t="s">
        <v>139</v>
      </c>
      <c r="F1809" s="33" t="s">
        <v>149</v>
      </c>
      <c r="G1809" s="33" t="s">
        <v>224</v>
      </c>
      <c r="H1809" s="33" t="s">
        <v>186</v>
      </c>
      <c r="I1809" s="33" t="s">
        <v>143</v>
      </c>
      <c r="J1809" s="33" t="s">
        <v>159</v>
      </c>
      <c r="K1809" s="33" t="s">
        <v>160</v>
      </c>
      <c r="L1809" s="35" t="n">
        <v>8292.35</v>
      </c>
      <c r="M1809" s="33" t="n">
        <v>4</v>
      </c>
      <c r="N1809" s="33" t="s">
        <v>146</v>
      </c>
      <c r="O1809" s="33" t="s">
        <v>147</v>
      </c>
      <c r="P1809" s="39" t="n">
        <f aca="false">C1809-B1809</f>
        <v>7</v>
      </c>
      <c r="Q1809" s="40" t="str">
        <f aca="false">CHOOSE(MONTH(B1809),"يناير","فبراير","مارس","أبريل","مايو","يونيو","يوليو","أغسطس","سبتمبر","أكتوبر","نوفمبر","ديسمبر")</f>
        <v>نوفمبر</v>
      </c>
      <c r="R1809" s="40" t="str">
        <f aca="false">"الربع "&amp;ROUNDUP(MONTH(B1809)/3,0)</f>
        <v>الربع 4</v>
      </c>
      <c r="S1809" s="40" t="str">
        <f aca="false">IF(D1809&lt;=12,"أطفال (0-12)",IF(D1809&lt;=24,"شباب (13-24)",IF(D1809&lt;=44,"بالغون (25-44)",IF(D1809&lt;=64,"متوسطو العمر (45-64)","كبار السن (+65)"))))</f>
        <v>بالغون (25-44)</v>
      </c>
      <c r="T1809" s="41" t="n">
        <f aca="false">IFERROR(L1809/P1809,0)</f>
        <v>1184.62142857143</v>
      </c>
    </row>
    <row r="1810" customFormat="false" ht="15" hidden="false" customHeight="false" outlineLevel="0" collapsed="false">
      <c r="A1810" s="42" t="s">
        <v>308</v>
      </c>
      <c r="B1810" s="43" t="n">
        <v>45605</v>
      </c>
      <c r="C1810" s="43" t="n">
        <v>45606</v>
      </c>
      <c r="D1810" s="42" t="n">
        <v>26</v>
      </c>
      <c r="E1810" s="42" t="s">
        <v>139</v>
      </c>
      <c r="F1810" s="42" t="s">
        <v>149</v>
      </c>
      <c r="G1810" s="42" t="s">
        <v>150</v>
      </c>
      <c r="H1810" s="42" t="s">
        <v>151</v>
      </c>
      <c r="I1810" s="42" t="s">
        <v>152</v>
      </c>
      <c r="J1810" s="42" t="s">
        <v>176</v>
      </c>
      <c r="K1810" s="42" t="s">
        <v>145</v>
      </c>
      <c r="L1810" s="44" t="n">
        <v>5763.72</v>
      </c>
      <c r="M1810" s="42" t="n">
        <v>4</v>
      </c>
      <c r="N1810" s="42" t="s">
        <v>146</v>
      </c>
      <c r="O1810" s="42" t="s">
        <v>147</v>
      </c>
      <c r="P1810" s="39" t="n">
        <f aca="false">C1810-B1810</f>
        <v>1</v>
      </c>
      <c r="Q1810" s="40" t="str">
        <f aca="false">CHOOSE(MONTH(B1810),"يناير","فبراير","مارس","أبريل","مايو","يونيو","يوليو","أغسطس","سبتمبر","أكتوبر","نوفمبر","ديسمبر")</f>
        <v>نوفمبر</v>
      </c>
      <c r="R1810" s="40" t="str">
        <f aca="false">"الربع "&amp;ROUNDUP(MONTH(B1810)/3,0)</f>
        <v>الربع 4</v>
      </c>
      <c r="S1810" s="40" t="str">
        <f aca="false">IF(D1810&lt;=12,"أطفال (0-12)",IF(D1810&lt;=24,"شباب (13-24)",IF(D1810&lt;=44,"بالغون (25-44)",IF(D1810&lt;=64,"متوسطو العمر (45-64)","كبار السن (+65)"))))</f>
        <v>بالغون (25-44)</v>
      </c>
      <c r="T1810" s="41" t="n">
        <f aca="false">IFERROR(L1810/P1810,0)</f>
        <v>5763.72</v>
      </c>
    </row>
    <row r="1811" customFormat="false" ht="15" hidden="false" customHeight="false" outlineLevel="0" collapsed="false">
      <c r="A1811" s="33" t="s">
        <v>1293</v>
      </c>
      <c r="B1811" s="34" t="n">
        <v>45605</v>
      </c>
      <c r="C1811" s="34" t="n">
        <v>45608</v>
      </c>
      <c r="D1811" s="33" t="n">
        <v>30</v>
      </c>
      <c r="E1811" s="33" t="s">
        <v>139</v>
      </c>
      <c r="F1811" s="33" t="s">
        <v>149</v>
      </c>
      <c r="G1811" s="33" t="s">
        <v>224</v>
      </c>
      <c r="H1811" s="33" t="s">
        <v>151</v>
      </c>
      <c r="I1811" s="33" t="s">
        <v>152</v>
      </c>
      <c r="J1811" s="33" t="s">
        <v>159</v>
      </c>
      <c r="K1811" s="33" t="s">
        <v>160</v>
      </c>
      <c r="L1811" s="35" t="n">
        <v>4361.95</v>
      </c>
      <c r="M1811" s="33" t="n">
        <v>3</v>
      </c>
      <c r="N1811" s="33" t="s">
        <v>146</v>
      </c>
      <c r="O1811" s="33" t="s">
        <v>147</v>
      </c>
      <c r="P1811" s="39" t="n">
        <f aca="false">C1811-B1811</f>
        <v>3</v>
      </c>
      <c r="Q1811" s="40" t="str">
        <f aca="false">CHOOSE(MONTH(B1811),"يناير","فبراير","مارس","أبريل","مايو","يونيو","يوليو","أغسطس","سبتمبر","أكتوبر","نوفمبر","ديسمبر")</f>
        <v>نوفمبر</v>
      </c>
      <c r="R1811" s="40" t="str">
        <f aca="false">"الربع "&amp;ROUNDUP(MONTH(B1811)/3,0)</f>
        <v>الربع 4</v>
      </c>
      <c r="S1811" s="40" t="str">
        <f aca="false">IF(D1811&lt;=12,"أطفال (0-12)",IF(D1811&lt;=24,"شباب (13-24)",IF(D1811&lt;=44,"بالغون (25-44)",IF(D1811&lt;=64,"متوسطو العمر (45-64)","كبار السن (+65)"))))</f>
        <v>بالغون (25-44)</v>
      </c>
      <c r="T1811" s="41" t="n">
        <f aca="false">IFERROR(L1811/P1811,0)</f>
        <v>1453.98333333333</v>
      </c>
    </row>
    <row r="1812" customFormat="false" ht="15" hidden="false" customHeight="false" outlineLevel="0" collapsed="false">
      <c r="A1812" s="42" t="s">
        <v>1043</v>
      </c>
      <c r="B1812" s="43" t="n">
        <v>45605</v>
      </c>
      <c r="C1812" s="43" t="n">
        <v>45611</v>
      </c>
      <c r="D1812" s="42" t="n">
        <v>6</v>
      </c>
      <c r="E1812" s="42" t="s">
        <v>154</v>
      </c>
      <c r="F1812" s="42" t="s">
        <v>173</v>
      </c>
      <c r="G1812" s="42" t="s">
        <v>198</v>
      </c>
      <c r="H1812" s="42" t="s">
        <v>175</v>
      </c>
      <c r="I1812" s="42" t="s">
        <v>158</v>
      </c>
      <c r="J1812" s="42" t="s">
        <v>159</v>
      </c>
      <c r="K1812" s="42" t="s">
        <v>160</v>
      </c>
      <c r="L1812" s="44" t="n">
        <v>15207.84</v>
      </c>
      <c r="M1812" s="42" t="n">
        <v>4</v>
      </c>
      <c r="N1812" s="42" t="s">
        <v>146</v>
      </c>
      <c r="O1812" s="42" t="s">
        <v>147</v>
      </c>
      <c r="P1812" s="39" t="n">
        <f aca="false">C1812-B1812</f>
        <v>6</v>
      </c>
      <c r="Q1812" s="40" t="str">
        <f aca="false">CHOOSE(MONTH(B1812),"يناير","فبراير","مارس","أبريل","مايو","يونيو","يوليو","أغسطس","سبتمبر","أكتوبر","نوفمبر","ديسمبر")</f>
        <v>نوفمبر</v>
      </c>
      <c r="R1812" s="40" t="str">
        <f aca="false">"الربع "&amp;ROUNDUP(MONTH(B1812)/3,0)</f>
        <v>الربع 4</v>
      </c>
      <c r="S1812" s="40" t="str">
        <f aca="false">IF(D1812&lt;=12,"أطفال (0-12)",IF(D1812&lt;=24,"شباب (13-24)",IF(D1812&lt;=44,"بالغون (25-44)",IF(D1812&lt;=64,"متوسطو العمر (45-64)","كبار السن (+65)"))))</f>
        <v>أطفال (0-12)</v>
      </c>
      <c r="T1812" s="41" t="n">
        <f aca="false">IFERROR(L1812/P1812,0)</f>
        <v>2534.64</v>
      </c>
    </row>
    <row r="1813" customFormat="false" ht="15" hidden="false" customHeight="false" outlineLevel="0" collapsed="false">
      <c r="A1813" s="33" t="s">
        <v>1740</v>
      </c>
      <c r="B1813" s="34" t="n">
        <v>45605</v>
      </c>
      <c r="C1813" s="34" t="n">
        <v>45609</v>
      </c>
      <c r="D1813" s="33" t="n">
        <v>81</v>
      </c>
      <c r="E1813" s="33" t="s">
        <v>139</v>
      </c>
      <c r="F1813" s="33" t="s">
        <v>173</v>
      </c>
      <c r="G1813" s="33" t="s">
        <v>178</v>
      </c>
      <c r="H1813" s="33" t="s">
        <v>175</v>
      </c>
      <c r="I1813" s="33" t="s">
        <v>143</v>
      </c>
      <c r="J1813" s="33" t="s">
        <v>176</v>
      </c>
      <c r="K1813" s="33" t="s">
        <v>160</v>
      </c>
      <c r="L1813" s="35" t="n">
        <v>36323.9</v>
      </c>
      <c r="M1813" s="33" t="n">
        <v>4</v>
      </c>
      <c r="N1813" s="33" t="s">
        <v>146</v>
      </c>
      <c r="O1813" s="33" t="s">
        <v>247</v>
      </c>
      <c r="P1813" s="39" t="n">
        <f aca="false">C1813-B1813</f>
        <v>4</v>
      </c>
      <c r="Q1813" s="40" t="str">
        <f aca="false">CHOOSE(MONTH(B1813),"يناير","فبراير","مارس","أبريل","مايو","يونيو","يوليو","أغسطس","سبتمبر","أكتوبر","نوفمبر","ديسمبر")</f>
        <v>نوفمبر</v>
      </c>
      <c r="R1813" s="40" t="str">
        <f aca="false">"الربع "&amp;ROUNDUP(MONTH(B1813)/3,0)</f>
        <v>الربع 4</v>
      </c>
      <c r="S1813" s="40" t="str">
        <f aca="false">IF(D1813&lt;=12,"أطفال (0-12)",IF(D1813&lt;=24,"شباب (13-24)",IF(D1813&lt;=44,"بالغون (25-44)",IF(D1813&lt;=64,"متوسطو العمر (45-64)","كبار السن (+65)"))))</f>
        <v>كبار السن (+65)</v>
      </c>
      <c r="T1813" s="41" t="n">
        <f aca="false">IFERROR(L1813/P1813,0)</f>
        <v>9080.975</v>
      </c>
    </row>
    <row r="1814" customFormat="false" ht="15" hidden="false" customHeight="false" outlineLevel="0" collapsed="false">
      <c r="A1814" s="42" t="s">
        <v>221</v>
      </c>
      <c r="B1814" s="43" t="n">
        <v>45605</v>
      </c>
      <c r="C1814" s="43" t="n">
        <v>45606</v>
      </c>
      <c r="D1814" s="42" t="n">
        <v>3</v>
      </c>
      <c r="E1814" s="42" t="s">
        <v>139</v>
      </c>
      <c r="F1814" s="42" t="s">
        <v>155</v>
      </c>
      <c r="G1814" s="42" t="s">
        <v>156</v>
      </c>
      <c r="H1814" s="42" t="s">
        <v>222</v>
      </c>
      <c r="I1814" s="42" t="s">
        <v>143</v>
      </c>
      <c r="J1814" s="42" t="s">
        <v>159</v>
      </c>
      <c r="K1814" s="42" t="s">
        <v>145</v>
      </c>
      <c r="L1814" s="44" t="n">
        <v>582.59</v>
      </c>
      <c r="M1814" s="42" t="n">
        <v>3</v>
      </c>
      <c r="N1814" s="42" t="s">
        <v>146</v>
      </c>
      <c r="O1814" s="42" t="s">
        <v>147</v>
      </c>
      <c r="P1814" s="39" t="n">
        <f aca="false">C1814-B1814</f>
        <v>1</v>
      </c>
      <c r="Q1814" s="40" t="str">
        <f aca="false">CHOOSE(MONTH(B1814),"يناير","فبراير","مارس","أبريل","مايو","يونيو","يوليو","أغسطس","سبتمبر","أكتوبر","نوفمبر","ديسمبر")</f>
        <v>نوفمبر</v>
      </c>
      <c r="R1814" s="40" t="str">
        <f aca="false">"الربع "&amp;ROUNDUP(MONTH(B1814)/3,0)</f>
        <v>الربع 4</v>
      </c>
      <c r="S1814" s="40" t="str">
        <f aca="false">IF(D1814&lt;=12,"أطفال (0-12)",IF(D1814&lt;=24,"شباب (13-24)",IF(D1814&lt;=44,"بالغون (25-44)",IF(D1814&lt;=64,"متوسطو العمر (45-64)","كبار السن (+65)"))))</f>
        <v>أطفال (0-12)</v>
      </c>
      <c r="T1814" s="41" t="n">
        <f aca="false">IFERROR(L1814/P1814,0)</f>
        <v>582.59</v>
      </c>
    </row>
    <row r="1815" customFormat="false" ht="15" hidden="false" customHeight="false" outlineLevel="0" collapsed="false">
      <c r="A1815" s="33" t="s">
        <v>1220</v>
      </c>
      <c r="B1815" s="34" t="n">
        <v>45605</v>
      </c>
      <c r="C1815" s="34" t="n">
        <v>45616</v>
      </c>
      <c r="D1815" s="33" t="n">
        <v>36</v>
      </c>
      <c r="E1815" s="33" t="s">
        <v>154</v>
      </c>
      <c r="F1815" s="33" t="s">
        <v>226</v>
      </c>
      <c r="G1815" s="33" t="s">
        <v>258</v>
      </c>
      <c r="H1815" s="33" t="s">
        <v>228</v>
      </c>
      <c r="I1815" s="33" t="s">
        <v>143</v>
      </c>
      <c r="J1815" s="33" t="s">
        <v>159</v>
      </c>
      <c r="K1815" s="33" t="s">
        <v>145</v>
      </c>
      <c r="L1815" s="35" t="n">
        <v>41031.79</v>
      </c>
      <c r="M1815" s="33" t="n">
        <v>5</v>
      </c>
      <c r="N1815" s="33" t="s">
        <v>146</v>
      </c>
      <c r="O1815" s="33" t="s">
        <v>147</v>
      </c>
      <c r="P1815" s="39" t="n">
        <f aca="false">C1815-B1815</f>
        <v>11</v>
      </c>
      <c r="Q1815" s="40" t="str">
        <f aca="false">CHOOSE(MONTH(B1815),"يناير","فبراير","مارس","أبريل","مايو","يونيو","يوليو","أغسطس","سبتمبر","أكتوبر","نوفمبر","ديسمبر")</f>
        <v>نوفمبر</v>
      </c>
      <c r="R1815" s="40" t="str">
        <f aca="false">"الربع "&amp;ROUNDUP(MONTH(B1815)/3,0)</f>
        <v>الربع 4</v>
      </c>
      <c r="S1815" s="40" t="str">
        <f aca="false">IF(D1815&lt;=12,"أطفال (0-12)",IF(D1815&lt;=24,"شباب (13-24)",IF(D1815&lt;=44,"بالغون (25-44)",IF(D1815&lt;=64,"متوسطو العمر (45-64)","كبار السن (+65)"))))</f>
        <v>بالغون (25-44)</v>
      </c>
      <c r="T1815" s="41" t="n">
        <f aca="false">IFERROR(L1815/P1815,0)</f>
        <v>3730.16272727273</v>
      </c>
    </row>
    <row r="1816" customFormat="false" ht="15" hidden="false" customHeight="false" outlineLevel="0" collapsed="false">
      <c r="A1816" s="42" t="s">
        <v>1885</v>
      </c>
      <c r="B1816" s="43" t="n">
        <v>45606</v>
      </c>
      <c r="C1816" s="43" t="n">
        <v>45612</v>
      </c>
      <c r="D1816" s="42" t="n">
        <v>56</v>
      </c>
      <c r="E1816" s="42" t="s">
        <v>154</v>
      </c>
      <c r="F1816" s="42" t="s">
        <v>226</v>
      </c>
      <c r="G1816" s="42" t="s">
        <v>258</v>
      </c>
      <c r="H1816" s="42" t="s">
        <v>228</v>
      </c>
      <c r="I1816" s="42" t="s">
        <v>152</v>
      </c>
      <c r="J1816" s="42" t="s">
        <v>159</v>
      </c>
      <c r="K1816" s="42" t="s">
        <v>209</v>
      </c>
      <c r="L1816" s="44" t="n">
        <v>16449.02</v>
      </c>
      <c r="M1816" s="42" t="n">
        <v>5</v>
      </c>
      <c r="N1816" s="42" t="s">
        <v>146</v>
      </c>
      <c r="O1816" s="42" t="s">
        <v>147</v>
      </c>
      <c r="P1816" s="39" t="n">
        <f aca="false">C1816-B1816</f>
        <v>6</v>
      </c>
      <c r="Q1816" s="40" t="str">
        <f aca="false">CHOOSE(MONTH(B1816),"يناير","فبراير","مارس","أبريل","مايو","يونيو","يوليو","أغسطس","سبتمبر","أكتوبر","نوفمبر","ديسمبر")</f>
        <v>نوفمبر</v>
      </c>
      <c r="R1816" s="40" t="str">
        <f aca="false">"الربع "&amp;ROUNDUP(MONTH(B1816)/3,0)</f>
        <v>الربع 4</v>
      </c>
      <c r="S1816" s="40" t="str">
        <f aca="false">IF(D1816&lt;=12,"أطفال (0-12)",IF(D1816&lt;=24,"شباب (13-24)",IF(D1816&lt;=44,"بالغون (25-44)",IF(D1816&lt;=64,"متوسطو العمر (45-64)","كبار السن (+65)"))))</f>
        <v>متوسطو العمر (45-64)</v>
      </c>
      <c r="T1816" s="41" t="n">
        <f aca="false">IFERROR(L1816/P1816,0)</f>
        <v>2741.50333333333</v>
      </c>
    </row>
    <row r="1817" customFormat="false" ht="15" hidden="false" customHeight="false" outlineLevel="0" collapsed="false">
      <c r="A1817" s="33" t="s">
        <v>293</v>
      </c>
      <c r="B1817" s="34" t="n">
        <v>45606</v>
      </c>
      <c r="C1817" s="34" t="n">
        <v>45611</v>
      </c>
      <c r="D1817" s="33" t="n">
        <v>5</v>
      </c>
      <c r="E1817" s="33" t="s">
        <v>154</v>
      </c>
      <c r="F1817" s="33" t="s">
        <v>155</v>
      </c>
      <c r="G1817" s="33" t="s">
        <v>220</v>
      </c>
      <c r="H1817" s="33" t="s">
        <v>157</v>
      </c>
      <c r="I1817" s="33" t="s">
        <v>143</v>
      </c>
      <c r="J1817" s="33" t="s">
        <v>159</v>
      </c>
      <c r="K1817" s="33" t="s">
        <v>145</v>
      </c>
      <c r="L1817" s="35" t="n">
        <v>4388.85</v>
      </c>
      <c r="M1817" s="33" t="n">
        <v>4</v>
      </c>
      <c r="N1817" s="33" t="s">
        <v>146</v>
      </c>
      <c r="O1817" s="33" t="s">
        <v>147</v>
      </c>
      <c r="P1817" s="39" t="n">
        <f aca="false">C1817-B1817</f>
        <v>5</v>
      </c>
      <c r="Q1817" s="40" t="str">
        <f aca="false">CHOOSE(MONTH(B1817),"يناير","فبراير","مارس","أبريل","مايو","يونيو","يوليو","أغسطس","سبتمبر","أكتوبر","نوفمبر","ديسمبر")</f>
        <v>نوفمبر</v>
      </c>
      <c r="R1817" s="40" t="str">
        <f aca="false">"الربع "&amp;ROUNDUP(MONTH(B1817)/3,0)</f>
        <v>الربع 4</v>
      </c>
      <c r="S1817" s="40" t="str">
        <f aca="false">IF(D1817&lt;=12,"أطفال (0-12)",IF(D1817&lt;=24,"شباب (13-24)",IF(D1817&lt;=44,"بالغون (25-44)",IF(D1817&lt;=64,"متوسطو العمر (45-64)","كبار السن (+65)"))))</f>
        <v>أطفال (0-12)</v>
      </c>
      <c r="T1817" s="41" t="n">
        <f aca="false">IFERROR(L1817/P1817,0)</f>
        <v>877.77</v>
      </c>
    </row>
    <row r="1818" customFormat="false" ht="15" hidden="false" customHeight="false" outlineLevel="0" collapsed="false">
      <c r="A1818" s="42" t="s">
        <v>513</v>
      </c>
      <c r="B1818" s="43" t="n">
        <v>45606</v>
      </c>
      <c r="C1818" s="43" t="n">
        <v>45617</v>
      </c>
      <c r="D1818" s="42" t="n">
        <v>91</v>
      </c>
      <c r="E1818" s="42" t="s">
        <v>154</v>
      </c>
      <c r="F1818" s="42" t="s">
        <v>169</v>
      </c>
      <c r="G1818" s="42" t="s">
        <v>163</v>
      </c>
      <c r="H1818" s="42" t="s">
        <v>171</v>
      </c>
      <c r="I1818" s="42" t="s">
        <v>143</v>
      </c>
      <c r="J1818" s="42" t="s">
        <v>159</v>
      </c>
      <c r="K1818" s="42" t="s">
        <v>184</v>
      </c>
      <c r="L1818" s="44" t="n">
        <v>12266.38</v>
      </c>
      <c r="M1818" s="42" t="n">
        <v>4</v>
      </c>
      <c r="N1818" s="42" t="s">
        <v>146</v>
      </c>
      <c r="O1818" s="42" t="s">
        <v>147</v>
      </c>
      <c r="P1818" s="39" t="n">
        <f aca="false">C1818-B1818</f>
        <v>11</v>
      </c>
      <c r="Q1818" s="40" t="str">
        <f aca="false">CHOOSE(MONTH(B1818),"يناير","فبراير","مارس","أبريل","مايو","يونيو","يوليو","أغسطس","سبتمبر","أكتوبر","نوفمبر","ديسمبر")</f>
        <v>نوفمبر</v>
      </c>
      <c r="R1818" s="40" t="str">
        <f aca="false">"الربع "&amp;ROUNDUP(MONTH(B1818)/3,0)</f>
        <v>الربع 4</v>
      </c>
      <c r="S1818" s="40" t="str">
        <f aca="false">IF(D1818&lt;=12,"أطفال (0-12)",IF(D1818&lt;=24,"شباب (13-24)",IF(D1818&lt;=44,"بالغون (25-44)",IF(D1818&lt;=64,"متوسطو العمر (45-64)","كبار السن (+65)"))))</f>
        <v>كبار السن (+65)</v>
      </c>
      <c r="T1818" s="41" t="n">
        <f aca="false">IFERROR(L1818/P1818,0)</f>
        <v>1115.12545454545</v>
      </c>
    </row>
    <row r="1819" customFormat="false" ht="15" hidden="false" customHeight="false" outlineLevel="0" collapsed="false">
      <c r="A1819" s="33" t="s">
        <v>1105</v>
      </c>
      <c r="B1819" s="34" t="n">
        <v>45606</v>
      </c>
      <c r="C1819" s="34" t="n">
        <v>45608</v>
      </c>
      <c r="D1819" s="33" t="n">
        <v>4</v>
      </c>
      <c r="E1819" s="33" t="s">
        <v>139</v>
      </c>
      <c r="F1819" s="33" t="s">
        <v>155</v>
      </c>
      <c r="G1819" s="33" t="s">
        <v>156</v>
      </c>
      <c r="H1819" s="33" t="s">
        <v>157</v>
      </c>
      <c r="I1819" s="33" t="s">
        <v>143</v>
      </c>
      <c r="J1819" s="33" t="s">
        <v>159</v>
      </c>
      <c r="K1819" s="33" t="s">
        <v>145</v>
      </c>
      <c r="L1819" s="35" t="n">
        <v>1457.99</v>
      </c>
      <c r="M1819" s="33" t="n">
        <v>5</v>
      </c>
      <c r="N1819" s="33" t="s">
        <v>146</v>
      </c>
      <c r="O1819" s="33" t="s">
        <v>147</v>
      </c>
      <c r="P1819" s="39" t="n">
        <f aca="false">C1819-B1819</f>
        <v>2</v>
      </c>
      <c r="Q1819" s="40" t="str">
        <f aca="false">CHOOSE(MONTH(B1819),"يناير","فبراير","مارس","أبريل","مايو","يونيو","يوليو","أغسطس","سبتمبر","أكتوبر","نوفمبر","ديسمبر")</f>
        <v>نوفمبر</v>
      </c>
      <c r="R1819" s="40" t="str">
        <f aca="false">"الربع "&amp;ROUNDUP(MONTH(B1819)/3,0)</f>
        <v>الربع 4</v>
      </c>
      <c r="S1819" s="40" t="str">
        <f aca="false">IF(D1819&lt;=12,"أطفال (0-12)",IF(D1819&lt;=24,"شباب (13-24)",IF(D1819&lt;=44,"بالغون (25-44)",IF(D1819&lt;=64,"متوسطو العمر (45-64)","كبار السن (+65)"))))</f>
        <v>أطفال (0-12)</v>
      </c>
      <c r="T1819" s="41" t="n">
        <f aca="false">IFERROR(L1819/P1819,0)</f>
        <v>728.995</v>
      </c>
    </row>
    <row r="1820" customFormat="false" ht="15" hidden="false" customHeight="false" outlineLevel="0" collapsed="false">
      <c r="A1820" s="42" t="s">
        <v>1376</v>
      </c>
      <c r="B1820" s="43" t="n">
        <v>45606</v>
      </c>
      <c r="C1820" s="43" t="n">
        <v>45607</v>
      </c>
      <c r="D1820" s="42" t="n">
        <v>68</v>
      </c>
      <c r="E1820" s="42" t="s">
        <v>154</v>
      </c>
      <c r="F1820" s="42" t="s">
        <v>203</v>
      </c>
      <c r="G1820" s="42" t="s">
        <v>204</v>
      </c>
      <c r="H1820" s="42" t="s">
        <v>233</v>
      </c>
      <c r="I1820" s="42" t="s">
        <v>143</v>
      </c>
      <c r="J1820" s="42" t="s">
        <v>159</v>
      </c>
      <c r="K1820" s="42" t="s">
        <v>145</v>
      </c>
      <c r="L1820" s="44" t="n">
        <v>990.14</v>
      </c>
      <c r="M1820" s="42" t="n">
        <v>3</v>
      </c>
      <c r="N1820" s="42" t="s">
        <v>146</v>
      </c>
      <c r="O1820" s="42" t="s">
        <v>147</v>
      </c>
      <c r="P1820" s="39" t="n">
        <f aca="false">C1820-B1820</f>
        <v>1</v>
      </c>
      <c r="Q1820" s="40" t="str">
        <f aca="false">CHOOSE(MONTH(B1820),"يناير","فبراير","مارس","أبريل","مايو","يونيو","يوليو","أغسطس","سبتمبر","أكتوبر","نوفمبر","ديسمبر")</f>
        <v>نوفمبر</v>
      </c>
      <c r="R1820" s="40" t="str">
        <f aca="false">"الربع "&amp;ROUNDUP(MONTH(B1820)/3,0)</f>
        <v>الربع 4</v>
      </c>
      <c r="S1820" s="40" t="str">
        <f aca="false">IF(D1820&lt;=12,"أطفال (0-12)",IF(D1820&lt;=24,"شباب (13-24)",IF(D1820&lt;=44,"بالغون (25-44)",IF(D1820&lt;=64,"متوسطو العمر (45-64)","كبار السن (+65)"))))</f>
        <v>كبار السن (+65)</v>
      </c>
      <c r="T1820" s="41" t="n">
        <f aca="false">IFERROR(L1820/P1820,0)</f>
        <v>990.14</v>
      </c>
    </row>
    <row r="1821" customFormat="false" ht="15" hidden="false" customHeight="false" outlineLevel="0" collapsed="false">
      <c r="A1821" s="33" t="s">
        <v>2025</v>
      </c>
      <c r="B1821" s="34" t="n">
        <v>45606</v>
      </c>
      <c r="C1821" s="34" t="n">
        <v>45612</v>
      </c>
      <c r="D1821" s="33" t="n">
        <v>55</v>
      </c>
      <c r="E1821" s="33" t="s">
        <v>139</v>
      </c>
      <c r="F1821" s="33" t="s">
        <v>226</v>
      </c>
      <c r="G1821" s="33" t="s">
        <v>258</v>
      </c>
      <c r="H1821" s="33" t="s">
        <v>263</v>
      </c>
      <c r="I1821" s="33" t="s">
        <v>152</v>
      </c>
      <c r="J1821" s="33" t="s">
        <v>144</v>
      </c>
      <c r="K1821" s="33" t="s">
        <v>184</v>
      </c>
      <c r="L1821" s="35" t="n">
        <v>28761.76</v>
      </c>
      <c r="M1821" s="33" t="n">
        <v>5</v>
      </c>
      <c r="N1821" s="33" t="s">
        <v>146</v>
      </c>
      <c r="O1821" s="33" t="s">
        <v>147</v>
      </c>
      <c r="P1821" s="39" t="n">
        <f aca="false">C1821-B1821</f>
        <v>6</v>
      </c>
      <c r="Q1821" s="40" t="str">
        <f aca="false">CHOOSE(MONTH(B1821),"يناير","فبراير","مارس","أبريل","مايو","يونيو","يوليو","أغسطس","سبتمبر","أكتوبر","نوفمبر","ديسمبر")</f>
        <v>نوفمبر</v>
      </c>
      <c r="R1821" s="40" t="str">
        <f aca="false">"الربع "&amp;ROUNDUP(MONTH(B1821)/3,0)</f>
        <v>الربع 4</v>
      </c>
      <c r="S1821" s="40" t="str">
        <f aca="false">IF(D1821&lt;=12,"أطفال (0-12)",IF(D1821&lt;=24,"شباب (13-24)",IF(D1821&lt;=44,"بالغون (25-44)",IF(D1821&lt;=64,"متوسطو العمر (45-64)","كبار السن (+65)"))))</f>
        <v>متوسطو العمر (45-64)</v>
      </c>
      <c r="T1821" s="41" t="n">
        <f aca="false">IFERROR(L1821/P1821,0)</f>
        <v>4793.62666666667</v>
      </c>
    </row>
    <row r="1822" customFormat="false" ht="15" hidden="false" customHeight="false" outlineLevel="0" collapsed="false">
      <c r="A1822" s="42" t="s">
        <v>986</v>
      </c>
      <c r="B1822" s="43" t="n">
        <v>45607</v>
      </c>
      <c r="C1822" s="43" t="n">
        <v>45611</v>
      </c>
      <c r="D1822" s="42" t="n">
        <v>58</v>
      </c>
      <c r="E1822" s="42" t="s">
        <v>154</v>
      </c>
      <c r="F1822" s="42" t="s">
        <v>203</v>
      </c>
      <c r="G1822" s="42" t="s">
        <v>232</v>
      </c>
      <c r="H1822" s="42" t="s">
        <v>233</v>
      </c>
      <c r="I1822" s="42" t="s">
        <v>143</v>
      </c>
      <c r="J1822" s="42" t="s">
        <v>159</v>
      </c>
      <c r="K1822" s="42" t="s">
        <v>145</v>
      </c>
      <c r="L1822" s="44" t="n">
        <v>3224.44</v>
      </c>
      <c r="M1822" s="42" t="n">
        <v>4</v>
      </c>
      <c r="N1822" s="42" t="s">
        <v>146</v>
      </c>
      <c r="O1822" s="42" t="s">
        <v>147</v>
      </c>
      <c r="P1822" s="39" t="n">
        <f aca="false">C1822-B1822</f>
        <v>4</v>
      </c>
      <c r="Q1822" s="40" t="str">
        <f aca="false">CHOOSE(MONTH(B1822),"يناير","فبراير","مارس","أبريل","مايو","يونيو","يوليو","أغسطس","سبتمبر","أكتوبر","نوفمبر","ديسمبر")</f>
        <v>نوفمبر</v>
      </c>
      <c r="R1822" s="40" t="str">
        <f aca="false">"الربع "&amp;ROUNDUP(MONTH(B1822)/3,0)</f>
        <v>الربع 4</v>
      </c>
      <c r="S1822" s="40" t="str">
        <f aca="false">IF(D1822&lt;=12,"أطفال (0-12)",IF(D1822&lt;=24,"شباب (13-24)",IF(D1822&lt;=44,"بالغون (25-44)",IF(D1822&lt;=64,"متوسطو العمر (45-64)","كبار السن (+65)"))))</f>
        <v>متوسطو العمر (45-64)</v>
      </c>
      <c r="T1822" s="41" t="n">
        <f aca="false">IFERROR(L1822/P1822,0)</f>
        <v>806.11</v>
      </c>
    </row>
    <row r="1823" customFormat="false" ht="15" hidden="false" customHeight="false" outlineLevel="0" collapsed="false">
      <c r="A1823" s="33" t="s">
        <v>1651</v>
      </c>
      <c r="B1823" s="34" t="n">
        <v>45607</v>
      </c>
      <c r="C1823" s="34" t="n">
        <v>45608</v>
      </c>
      <c r="D1823" s="33" t="n">
        <v>47</v>
      </c>
      <c r="E1823" s="33" t="s">
        <v>139</v>
      </c>
      <c r="F1823" s="33" t="s">
        <v>203</v>
      </c>
      <c r="G1823" s="33" t="s">
        <v>241</v>
      </c>
      <c r="H1823" s="33" t="s">
        <v>193</v>
      </c>
      <c r="I1823" s="33" t="s">
        <v>143</v>
      </c>
      <c r="J1823" s="33" t="s">
        <v>159</v>
      </c>
      <c r="K1823" s="33" t="s">
        <v>145</v>
      </c>
      <c r="L1823" s="35" t="n">
        <v>1007.52</v>
      </c>
      <c r="M1823" s="33" t="n">
        <v>4</v>
      </c>
      <c r="N1823" s="33" t="s">
        <v>146</v>
      </c>
      <c r="O1823" s="33" t="s">
        <v>147</v>
      </c>
      <c r="P1823" s="39" t="n">
        <f aca="false">C1823-B1823</f>
        <v>1</v>
      </c>
      <c r="Q1823" s="40" t="str">
        <f aca="false">CHOOSE(MONTH(B1823),"يناير","فبراير","مارس","أبريل","مايو","يونيو","يوليو","أغسطس","سبتمبر","أكتوبر","نوفمبر","ديسمبر")</f>
        <v>نوفمبر</v>
      </c>
      <c r="R1823" s="40" t="str">
        <f aca="false">"الربع "&amp;ROUNDUP(MONTH(B1823)/3,0)</f>
        <v>الربع 4</v>
      </c>
      <c r="S1823" s="40" t="str">
        <f aca="false">IF(D1823&lt;=12,"أطفال (0-12)",IF(D1823&lt;=24,"شباب (13-24)",IF(D1823&lt;=44,"بالغون (25-44)",IF(D1823&lt;=64,"متوسطو العمر (45-64)","كبار السن (+65)"))))</f>
        <v>متوسطو العمر (45-64)</v>
      </c>
      <c r="T1823" s="41" t="n">
        <f aca="false">IFERROR(L1823/P1823,0)</f>
        <v>1007.52</v>
      </c>
    </row>
    <row r="1824" customFormat="false" ht="15" hidden="false" customHeight="false" outlineLevel="0" collapsed="false">
      <c r="A1824" s="42" t="s">
        <v>1310</v>
      </c>
      <c r="B1824" s="43" t="n">
        <v>45607</v>
      </c>
      <c r="C1824" s="43" t="n">
        <v>45608</v>
      </c>
      <c r="D1824" s="42" t="n">
        <v>44</v>
      </c>
      <c r="E1824" s="42" t="s">
        <v>154</v>
      </c>
      <c r="F1824" s="42" t="s">
        <v>173</v>
      </c>
      <c r="G1824" s="42" t="s">
        <v>174</v>
      </c>
      <c r="H1824" s="42" t="s">
        <v>199</v>
      </c>
      <c r="I1824" s="42" t="s">
        <v>143</v>
      </c>
      <c r="J1824" s="42" t="s">
        <v>176</v>
      </c>
      <c r="K1824" s="42" t="s">
        <v>145</v>
      </c>
      <c r="L1824" s="44" t="n">
        <v>6399.03</v>
      </c>
      <c r="M1824" s="42" t="n">
        <v>5</v>
      </c>
      <c r="N1824" s="42" t="s">
        <v>146</v>
      </c>
      <c r="O1824" s="42" t="s">
        <v>147</v>
      </c>
      <c r="P1824" s="39" t="n">
        <f aca="false">C1824-B1824</f>
        <v>1</v>
      </c>
      <c r="Q1824" s="40" t="str">
        <f aca="false">CHOOSE(MONTH(B1824),"يناير","فبراير","مارس","أبريل","مايو","يونيو","يوليو","أغسطس","سبتمبر","أكتوبر","نوفمبر","ديسمبر")</f>
        <v>نوفمبر</v>
      </c>
      <c r="R1824" s="40" t="str">
        <f aca="false">"الربع "&amp;ROUNDUP(MONTH(B1824)/3,0)</f>
        <v>الربع 4</v>
      </c>
      <c r="S1824" s="40" t="str">
        <f aca="false">IF(D1824&lt;=12,"أطفال (0-12)",IF(D1824&lt;=24,"شباب (13-24)",IF(D1824&lt;=44,"بالغون (25-44)",IF(D1824&lt;=64,"متوسطو العمر (45-64)","كبار السن (+65)"))))</f>
        <v>بالغون (25-44)</v>
      </c>
      <c r="T1824" s="41" t="n">
        <f aca="false">IFERROR(L1824/P1824,0)</f>
        <v>6399.03</v>
      </c>
    </row>
    <row r="1825" customFormat="false" ht="15" hidden="false" customHeight="false" outlineLevel="0" collapsed="false">
      <c r="A1825" s="33" t="s">
        <v>1613</v>
      </c>
      <c r="B1825" s="34" t="n">
        <v>45607</v>
      </c>
      <c r="C1825" s="34" t="n">
        <v>45608</v>
      </c>
      <c r="D1825" s="33" t="n">
        <v>11</v>
      </c>
      <c r="E1825" s="33" t="s">
        <v>139</v>
      </c>
      <c r="F1825" s="33" t="s">
        <v>203</v>
      </c>
      <c r="G1825" s="33" t="s">
        <v>204</v>
      </c>
      <c r="H1825" s="33" t="s">
        <v>205</v>
      </c>
      <c r="I1825" s="33" t="s">
        <v>143</v>
      </c>
      <c r="J1825" s="33" t="s">
        <v>159</v>
      </c>
      <c r="K1825" s="33" t="s">
        <v>145</v>
      </c>
      <c r="L1825" s="35" t="n">
        <v>887.36</v>
      </c>
      <c r="M1825" s="33" t="n">
        <v>5</v>
      </c>
      <c r="N1825" s="33" t="s">
        <v>146</v>
      </c>
      <c r="O1825" s="33" t="s">
        <v>147</v>
      </c>
      <c r="P1825" s="39" t="n">
        <f aca="false">C1825-B1825</f>
        <v>1</v>
      </c>
      <c r="Q1825" s="40" t="str">
        <f aca="false">CHOOSE(MONTH(B1825),"يناير","فبراير","مارس","أبريل","مايو","يونيو","يوليو","أغسطس","سبتمبر","أكتوبر","نوفمبر","ديسمبر")</f>
        <v>نوفمبر</v>
      </c>
      <c r="R1825" s="40" t="str">
        <f aca="false">"الربع "&amp;ROUNDUP(MONTH(B1825)/3,0)</f>
        <v>الربع 4</v>
      </c>
      <c r="S1825" s="40" t="str">
        <f aca="false">IF(D1825&lt;=12,"أطفال (0-12)",IF(D1825&lt;=24,"شباب (13-24)",IF(D1825&lt;=44,"بالغون (25-44)",IF(D1825&lt;=64,"متوسطو العمر (45-64)","كبار السن (+65)"))))</f>
        <v>أطفال (0-12)</v>
      </c>
      <c r="T1825" s="41" t="n">
        <f aca="false">IFERROR(L1825/P1825,0)</f>
        <v>887.36</v>
      </c>
    </row>
    <row r="1826" customFormat="false" ht="15" hidden="false" customHeight="false" outlineLevel="0" collapsed="false">
      <c r="A1826" s="42" t="s">
        <v>1846</v>
      </c>
      <c r="B1826" s="43" t="n">
        <v>45607</v>
      </c>
      <c r="C1826" s="43" t="n">
        <v>45608</v>
      </c>
      <c r="D1826" s="42" t="n">
        <v>65</v>
      </c>
      <c r="E1826" s="42" t="s">
        <v>154</v>
      </c>
      <c r="F1826" s="42" t="s">
        <v>203</v>
      </c>
      <c r="G1826" s="42" t="s">
        <v>204</v>
      </c>
      <c r="H1826" s="42" t="s">
        <v>233</v>
      </c>
      <c r="I1826" s="42" t="s">
        <v>158</v>
      </c>
      <c r="J1826" s="42" t="s">
        <v>144</v>
      </c>
      <c r="K1826" s="42" t="s">
        <v>184</v>
      </c>
      <c r="L1826" s="44" t="n">
        <v>2003.33</v>
      </c>
      <c r="M1826" s="42" t="n">
        <v>5</v>
      </c>
      <c r="N1826" s="42" t="s">
        <v>146</v>
      </c>
      <c r="O1826" s="42" t="s">
        <v>147</v>
      </c>
      <c r="P1826" s="39" t="n">
        <f aca="false">C1826-B1826</f>
        <v>1</v>
      </c>
      <c r="Q1826" s="40" t="str">
        <f aca="false">CHOOSE(MONTH(B1826),"يناير","فبراير","مارس","أبريل","مايو","يونيو","يوليو","أغسطس","سبتمبر","أكتوبر","نوفمبر","ديسمبر")</f>
        <v>نوفمبر</v>
      </c>
      <c r="R1826" s="40" t="str">
        <f aca="false">"الربع "&amp;ROUNDUP(MONTH(B1826)/3,0)</f>
        <v>الربع 4</v>
      </c>
      <c r="S1826" s="40" t="str">
        <f aca="false">IF(D1826&lt;=12,"أطفال (0-12)",IF(D1826&lt;=24,"شباب (13-24)",IF(D1826&lt;=44,"بالغون (25-44)",IF(D1826&lt;=64,"متوسطو العمر (45-64)","كبار السن (+65)"))))</f>
        <v>كبار السن (+65)</v>
      </c>
      <c r="T1826" s="41" t="n">
        <f aca="false">IFERROR(L1826/P1826,0)</f>
        <v>2003.33</v>
      </c>
    </row>
    <row r="1827" customFormat="false" ht="15" hidden="false" customHeight="false" outlineLevel="0" collapsed="false">
      <c r="A1827" s="33" t="s">
        <v>1351</v>
      </c>
      <c r="B1827" s="34" t="n">
        <v>45607</v>
      </c>
      <c r="C1827" s="34" t="n">
        <v>45608</v>
      </c>
      <c r="D1827" s="33" t="n">
        <v>3</v>
      </c>
      <c r="E1827" s="33" t="s">
        <v>154</v>
      </c>
      <c r="F1827" s="33" t="s">
        <v>155</v>
      </c>
      <c r="G1827" s="33" t="s">
        <v>302</v>
      </c>
      <c r="H1827" s="33" t="s">
        <v>222</v>
      </c>
      <c r="I1827" s="33" t="s">
        <v>152</v>
      </c>
      <c r="J1827" s="33" t="s">
        <v>159</v>
      </c>
      <c r="K1827" s="33" t="s">
        <v>184</v>
      </c>
      <c r="L1827" s="35" t="n">
        <v>628.17</v>
      </c>
      <c r="M1827" s="33" t="n">
        <v>4</v>
      </c>
      <c r="N1827" s="33" t="s">
        <v>146</v>
      </c>
      <c r="O1827" s="33" t="s">
        <v>147</v>
      </c>
      <c r="P1827" s="39" t="n">
        <f aca="false">C1827-B1827</f>
        <v>1</v>
      </c>
      <c r="Q1827" s="40" t="str">
        <f aca="false">CHOOSE(MONTH(B1827),"يناير","فبراير","مارس","أبريل","مايو","يونيو","يوليو","أغسطس","سبتمبر","أكتوبر","نوفمبر","ديسمبر")</f>
        <v>نوفمبر</v>
      </c>
      <c r="R1827" s="40" t="str">
        <f aca="false">"الربع "&amp;ROUNDUP(MONTH(B1827)/3,0)</f>
        <v>الربع 4</v>
      </c>
      <c r="S1827" s="40" t="str">
        <f aca="false">IF(D1827&lt;=12,"أطفال (0-12)",IF(D1827&lt;=24,"شباب (13-24)",IF(D1827&lt;=44,"بالغون (25-44)",IF(D1827&lt;=64,"متوسطو العمر (45-64)","كبار السن (+65)"))))</f>
        <v>أطفال (0-12)</v>
      </c>
      <c r="T1827" s="41" t="n">
        <f aca="false">IFERROR(L1827/P1827,0)</f>
        <v>628.17</v>
      </c>
    </row>
    <row r="1828" customFormat="false" ht="15" hidden="false" customHeight="false" outlineLevel="0" collapsed="false">
      <c r="A1828" s="42" t="s">
        <v>1120</v>
      </c>
      <c r="B1828" s="43" t="n">
        <v>45608</v>
      </c>
      <c r="C1828" s="43" t="n">
        <v>45610</v>
      </c>
      <c r="D1828" s="42" t="n">
        <v>51</v>
      </c>
      <c r="E1828" s="42" t="s">
        <v>139</v>
      </c>
      <c r="F1828" s="42" t="s">
        <v>169</v>
      </c>
      <c r="G1828" s="42" t="s">
        <v>230</v>
      </c>
      <c r="H1828" s="42" t="s">
        <v>164</v>
      </c>
      <c r="I1828" s="42" t="s">
        <v>152</v>
      </c>
      <c r="J1828" s="42" t="s">
        <v>144</v>
      </c>
      <c r="K1828" s="42" t="s">
        <v>184</v>
      </c>
      <c r="L1828" s="44" t="n">
        <v>3929.95</v>
      </c>
      <c r="M1828" s="42" t="n">
        <v>3</v>
      </c>
      <c r="N1828" s="42" t="s">
        <v>146</v>
      </c>
      <c r="O1828" s="42" t="s">
        <v>147</v>
      </c>
      <c r="P1828" s="39" t="n">
        <f aca="false">C1828-B1828</f>
        <v>2</v>
      </c>
      <c r="Q1828" s="40" t="str">
        <f aca="false">CHOOSE(MONTH(B1828),"يناير","فبراير","مارس","أبريل","مايو","يونيو","يوليو","أغسطس","سبتمبر","أكتوبر","نوفمبر","ديسمبر")</f>
        <v>نوفمبر</v>
      </c>
      <c r="R1828" s="40" t="str">
        <f aca="false">"الربع "&amp;ROUNDUP(MONTH(B1828)/3,0)</f>
        <v>الربع 4</v>
      </c>
      <c r="S1828" s="40" t="str">
        <f aca="false">IF(D1828&lt;=12,"أطفال (0-12)",IF(D1828&lt;=24,"شباب (13-24)",IF(D1828&lt;=44,"بالغون (25-44)",IF(D1828&lt;=64,"متوسطو العمر (45-64)","كبار السن (+65)"))))</f>
        <v>متوسطو العمر (45-64)</v>
      </c>
      <c r="T1828" s="41" t="n">
        <f aca="false">IFERROR(L1828/P1828,0)</f>
        <v>1964.975</v>
      </c>
    </row>
    <row r="1829" customFormat="false" ht="15" hidden="false" customHeight="false" outlineLevel="0" collapsed="false">
      <c r="A1829" s="33" t="s">
        <v>344</v>
      </c>
      <c r="B1829" s="34" t="n">
        <v>45608</v>
      </c>
      <c r="C1829" s="34" t="n">
        <v>45609</v>
      </c>
      <c r="D1829" s="33" t="n">
        <v>48</v>
      </c>
      <c r="E1829" s="33" t="s">
        <v>154</v>
      </c>
      <c r="F1829" s="33" t="s">
        <v>203</v>
      </c>
      <c r="G1829" s="33" t="s">
        <v>241</v>
      </c>
      <c r="H1829" s="33" t="s">
        <v>193</v>
      </c>
      <c r="I1829" s="33" t="s">
        <v>143</v>
      </c>
      <c r="J1829" s="33" t="s">
        <v>176</v>
      </c>
      <c r="K1829" s="33" t="s">
        <v>145</v>
      </c>
      <c r="L1829" s="35" t="n">
        <v>3057</v>
      </c>
      <c r="M1829" s="33" t="n">
        <v>5</v>
      </c>
      <c r="N1829" s="33" t="s">
        <v>146</v>
      </c>
      <c r="O1829" s="33" t="s">
        <v>147</v>
      </c>
      <c r="P1829" s="39" t="n">
        <f aca="false">C1829-B1829</f>
        <v>1</v>
      </c>
      <c r="Q1829" s="40" t="str">
        <f aca="false">CHOOSE(MONTH(B1829),"يناير","فبراير","مارس","أبريل","مايو","يونيو","يوليو","أغسطس","سبتمبر","أكتوبر","نوفمبر","ديسمبر")</f>
        <v>نوفمبر</v>
      </c>
      <c r="R1829" s="40" t="str">
        <f aca="false">"الربع "&amp;ROUNDUP(MONTH(B1829)/3,0)</f>
        <v>الربع 4</v>
      </c>
      <c r="S1829" s="40" t="str">
        <f aca="false">IF(D1829&lt;=12,"أطفال (0-12)",IF(D1829&lt;=24,"شباب (13-24)",IF(D1829&lt;=44,"بالغون (25-44)",IF(D1829&lt;=64,"متوسطو العمر (45-64)","كبار السن (+65)"))))</f>
        <v>متوسطو العمر (45-64)</v>
      </c>
      <c r="T1829" s="41" t="n">
        <f aca="false">IFERROR(L1829/P1829,0)</f>
        <v>3057</v>
      </c>
    </row>
    <row r="1830" customFormat="false" ht="15" hidden="false" customHeight="false" outlineLevel="0" collapsed="false">
      <c r="A1830" s="42" t="s">
        <v>862</v>
      </c>
      <c r="B1830" s="43" t="n">
        <v>45608</v>
      </c>
      <c r="C1830" s="43" t="n">
        <v>45615</v>
      </c>
      <c r="D1830" s="42" t="n">
        <v>67</v>
      </c>
      <c r="E1830" s="42" t="s">
        <v>139</v>
      </c>
      <c r="F1830" s="42" t="s">
        <v>169</v>
      </c>
      <c r="G1830" s="42" t="s">
        <v>163</v>
      </c>
      <c r="H1830" s="42" t="s">
        <v>195</v>
      </c>
      <c r="I1830" s="42" t="s">
        <v>152</v>
      </c>
      <c r="J1830" s="42" t="s">
        <v>159</v>
      </c>
      <c r="K1830" s="42" t="s">
        <v>160</v>
      </c>
      <c r="L1830" s="44" t="n">
        <v>6523.26</v>
      </c>
      <c r="M1830" s="42" t="n">
        <v>4</v>
      </c>
      <c r="N1830" s="42" t="s">
        <v>146</v>
      </c>
      <c r="O1830" s="42" t="s">
        <v>147</v>
      </c>
      <c r="P1830" s="39" t="n">
        <f aca="false">C1830-B1830</f>
        <v>7</v>
      </c>
      <c r="Q1830" s="40" t="str">
        <f aca="false">CHOOSE(MONTH(B1830),"يناير","فبراير","مارس","أبريل","مايو","يونيو","يوليو","أغسطس","سبتمبر","أكتوبر","نوفمبر","ديسمبر")</f>
        <v>نوفمبر</v>
      </c>
      <c r="R1830" s="40" t="str">
        <f aca="false">"الربع "&amp;ROUNDUP(MONTH(B1830)/3,0)</f>
        <v>الربع 4</v>
      </c>
      <c r="S1830" s="40" t="str">
        <f aca="false">IF(D1830&lt;=12,"أطفال (0-12)",IF(D1830&lt;=24,"شباب (13-24)",IF(D1830&lt;=44,"بالغون (25-44)",IF(D1830&lt;=64,"متوسطو العمر (45-64)","كبار السن (+65)"))))</f>
        <v>كبار السن (+65)</v>
      </c>
      <c r="T1830" s="41" t="n">
        <f aca="false">IFERROR(L1830/P1830,0)</f>
        <v>931.894285714286</v>
      </c>
    </row>
    <row r="1831" customFormat="false" ht="15" hidden="false" customHeight="false" outlineLevel="0" collapsed="false">
      <c r="A1831" s="33" t="s">
        <v>935</v>
      </c>
      <c r="B1831" s="34" t="n">
        <v>45608</v>
      </c>
      <c r="C1831" s="34" t="n">
        <v>45614</v>
      </c>
      <c r="D1831" s="33" t="n">
        <v>17</v>
      </c>
      <c r="E1831" s="33" t="s">
        <v>154</v>
      </c>
      <c r="F1831" s="33" t="s">
        <v>169</v>
      </c>
      <c r="G1831" s="33" t="s">
        <v>170</v>
      </c>
      <c r="H1831" s="33" t="s">
        <v>195</v>
      </c>
      <c r="I1831" s="33" t="s">
        <v>152</v>
      </c>
      <c r="J1831" s="33" t="s">
        <v>159</v>
      </c>
      <c r="K1831" s="33" t="s">
        <v>145</v>
      </c>
      <c r="L1831" s="35" t="n">
        <v>7383.97</v>
      </c>
      <c r="M1831" s="33" t="n">
        <v>4</v>
      </c>
      <c r="N1831" s="33" t="s">
        <v>146</v>
      </c>
      <c r="O1831" s="33" t="s">
        <v>206</v>
      </c>
      <c r="P1831" s="39" t="n">
        <f aca="false">C1831-B1831</f>
        <v>6</v>
      </c>
      <c r="Q1831" s="40" t="str">
        <f aca="false">CHOOSE(MONTH(B1831),"يناير","فبراير","مارس","أبريل","مايو","يونيو","يوليو","أغسطس","سبتمبر","أكتوبر","نوفمبر","ديسمبر")</f>
        <v>نوفمبر</v>
      </c>
      <c r="R1831" s="40" t="str">
        <f aca="false">"الربع "&amp;ROUNDUP(MONTH(B1831)/3,0)</f>
        <v>الربع 4</v>
      </c>
      <c r="S1831" s="40" t="str">
        <f aca="false">IF(D1831&lt;=12,"أطفال (0-12)",IF(D1831&lt;=24,"شباب (13-24)",IF(D1831&lt;=44,"بالغون (25-44)",IF(D1831&lt;=64,"متوسطو العمر (45-64)","كبار السن (+65)"))))</f>
        <v>شباب (13-24)</v>
      </c>
      <c r="T1831" s="41" t="n">
        <f aca="false">IFERROR(L1831/P1831,0)</f>
        <v>1230.66166666667</v>
      </c>
    </row>
    <row r="1832" customFormat="false" ht="15" hidden="false" customHeight="false" outlineLevel="0" collapsed="false">
      <c r="A1832" s="42" t="s">
        <v>626</v>
      </c>
      <c r="B1832" s="43" t="n">
        <v>45608</v>
      </c>
      <c r="C1832" s="43" t="n">
        <v>45613</v>
      </c>
      <c r="D1832" s="42" t="n">
        <v>38</v>
      </c>
      <c r="E1832" s="42" t="s">
        <v>154</v>
      </c>
      <c r="F1832" s="42" t="s">
        <v>173</v>
      </c>
      <c r="G1832" s="42" t="s">
        <v>178</v>
      </c>
      <c r="H1832" s="42" t="s">
        <v>175</v>
      </c>
      <c r="I1832" s="42" t="s">
        <v>152</v>
      </c>
      <c r="J1832" s="42" t="s">
        <v>159</v>
      </c>
      <c r="K1832" s="42" t="s">
        <v>184</v>
      </c>
      <c r="L1832" s="44" t="n">
        <v>15353.04</v>
      </c>
      <c r="M1832" s="42" t="n">
        <v>4</v>
      </c>
      <c r="N1832" s="42" t="s">
        <v>146</v>
      </c>
      <c r="O1832" s="42" t="s">
        <v>147</v>
      </c>
      <c r="P1832" s="39" t="n">
        <f aca="false">C1832-B1832</f>
        <v>5</v>
      </c>
      <c r="Q1832" s="40" t="str">
        <f aca="false">CHOOSE(MONTH(B1832),"يناير","فبراير","مارس","أبريل","مايو","يونيو","يوليو","أغسطس","سبتمبر","أكتوبر","نوفمبر","ديسمبر")</f>
        <v>نوفمبر</v>
      </c>
      <c r="R1832" s="40" t="str">
        <f aca="false">"الربع "&amp;ROUNDUP(MONTH(B1832)/3,0)</f>
        <v>الربع 4</v>
      </c>
      <c r="S1832" s="40" t="str">
        <f aca="false">IF(D1832&lt;=12,"أطفال (0-12)",IF(D1832&lt;=24,"شباب (13-24)",IF(D1832&lt;=44,"بالغون (25-44)",IF(D1832&lt;=64,"متوسطو العمر (45-64)","كبار السن (+65)"))))</f>
        <v>بالغون (25-44)</v>
      </c>
      <c r="T1832" s="41" t="n">
        <f aca="false">IFERROR(L1832/P1832,0)</f>
        <v>3070.608</v>
      </c>
    </row>
    <row r="1833" customFormat="false" ht="15" hidden="false" customHeight="false" outlineLevel="0" collapsed="false">
      <c r="A1833" s="33" t="s">
        <v>563</v>
      </c>
      <c r="B1833" s="34" t="n">
        <v>45609</v>
      </c>
      <c r="C1833" s="34" t="n">
        <v>45610</v>
      </c>
      <c r="D1833" s="33" t="n">
        <v>46</v>
      </c>
      <c r="E1833" s="33" t="s">
        <v>154</v>
      </c>
      <c r="F1833" s="33" t="s">
        <v>169</v>
      </c>
      <c r="G1833" s="33" t="s">
        <v>230</v>
      </c>
      <c r="H1833" s="33" t="s">
        <v>164</v>
      </c>
      <c r="I1833" s="33" t="s">
        <v>143</v>
      </c>
      <c r="J1833" s="33" t="s">
        <v>159</v>
      </c>
      <c r="K1833" s="33" t="s">
        <v>160</v>
      </c>
      <c r="L1833" s="35" t="n">
        <v>1330.44</v>
      </c>
      <c r="M1833" s="33" t="n">
        <v>5</v>
      </c>
      <c r="N1833" s="33" t="s">
        <v>146</v>
      </c>
      <c r="O1833" s="33" t="s">
        <v>147</v>
      </c>
      <c r="P1833" s="39" t="n">
        <f aca="false">C1833-B1833</f>
        <v>1</v>
      </c>
      <c r="Q1833" s="40" t="str">
        <f aca="false">CHOOSE(MONTH(B1833),"يناير","فبراير","مارس","أبريل","مايو","يونيو","يوليو","أغسطس","سبتمبر","أكتوبر","نوفمبر","ديسمبر")</f>
        <v>نوفمبر</v>
      </c>
      <c r="R1833" s="40" t="str">
        <f aca="false">"الربع "&amp;ROUNDUP(MONTH(B1833)/3,0)</f>
        <v>الربع 4</v>
      </c>
      <c r="S1833" s="40" t="str">
        <f aca="false">IF(D1833&lt;=12,"أطفال (0-12)",IF(D1833&lt;=24,"شباب (13-24)",IF(D1833&lt;=44,"بالغون (25-44)",IF(D1833&lt;=64,"متوسطو العمر (45-64)","كبار السن (+65)"))))</f>
        <v>متوسطو العمر (45-64)</v>
      </c>
      <c r="T1833" s="41" t="n">
        <f aca="false">IFERROR(L1833/P1833,0)</f>
        <v>1330.44</v>
      </c>
    </row>
    <row r="1834" customFormat="false" ht="15" hidden="false" customHeight="false" outlineLevel="0" collapsed="false">
      <c r="A1834" s="42" t="s">
        <v>1576</v>
      </c>
      <c r="B1834" s="43" t="n">
        <v>45609</v>
      </c>
      <c r="C1834" s="43" t="n">
        <v>45611</v>
      </c>
      <c r="D1834" s="42" t="n">
        <v>12</v>
      </c>
      <c r="E1834" s="42" t="s">
        <v>154</v>
      </c>
      <c r="F1834" s="42" t="s">
        <v>173</v>
      </c>
      <c r="G1834" s="42" t="s">
        <v>174</v>
      </c>
      <c r="H1834" s="42" t="s">
        <v>2322</v>
      </c>
      <c r="I1834" s="42" t="s">
        <v>143</v>
      </c>
      <c r="J1834" s="42" t="s">
        <v>159</v>
      </c>
      <c r="K1834" s="42" t="s">
        <v>160</v>
      </c>
      <c r="L1834" s="44" t="n">
        <v>5041.96</v>
      </c>
      <c r="M1834" s="42" t="n">
        <v>5</v>
      </c>
      <c r="N1834" s="42" t="s">
        <v>210</v>
      </c>
      <c r="O1834" s="42" t="s">
        <v>147</v>
      </c>
      <c r="P1834" s="39" t="n">
        <f aca="false">C1834-B1834</f>
        <v>2</v>
      </c>
      <c r="Q1834" s="40" t="str">
        <f aca="false">CHOOSE(MONTH(B1834),"يناير","فبراير","مارس","أبريل","مايو","يونيو","يوليو","أغسطس","سبتمبر","أكتوبر","نوفمبر","ديسمبر")</f>
        <v>نوفمبر</v>
      </c>
      <c r="R1834" s="40" t="str">
        <f aca="false">"الربع "&amp;ROUNDUP(MONTH(B1834)/3,0)</f>
        <v>الربع 4</v>
      </c>
      <c r="S1834" s="40" t="str">
        <f aca="false">IF(D1834&lt;=12,"أطفال (0-12)",IF(D1834&lt;=24,"شباب (13-24)",IF(D1834&lt;=44,"بالغون (25-44)",IF(D1834&lt;=64,"متوسطو العمر (45-64)","كبار السن (+65)"))))</f>
        <v>أطفال (0-12)</v>
      </c>
      <c r="T1834" s="41" t="n">
        <f aca="false">IFERROR(L1834/P1834,0)</f>
        <v>2520.98</v>
      </c>
    </row>
    <row r="1835" customFormat="false" ht="15" hidden="false" customHeight="false" outlineLevel="0" collapsed="false">
      <c r="A1835" s="33" t="s">
        <v>788</v>
      </c>
      <c r="B1835" s="34" t="n">
        <v>45609</v>
      </c>
      <c r="C1835" s="34" t="n">
        <v>45613</v>
      </c>
      <c r="D1835" s="33" t="n">
        <v>47</v>
      </c>
      <c r="E1835" s="33" t="s">
        <v>154</v>
      </c>
      <c r="F1835" s="33" t="s">
        <v>169</v>
      </c>
      <c r="G1835" s="33" t="s">
        <v>163</v>
      </c>
      <c r="H1835" s="33" t="s">
        <v>171</v>
      </c>
      <c r="I1835" s="33" t="s">
        <v>158</v>
      </c>
      <c r="J1835" s="33" t="s">
        <v>159</v>
      </c>
      <c r="K1835" s="33" t="s">
        <v>160</v>
      </c>
      <c r="L1835" s="35" t="n">
        <v>4423.86</v>
      </c>
      <c r="M1835" s="33" t="n">
        <v>3</v>
      </c>
      <c r="N1835" s="33" t="s">
        <v>210</v>
      </c>
      <c r="O1835" s="33" t="s">
        <v>147</v>
      </c>
      <c r="P1835" s="39" t="n">
        <f aca="false">C1835-B1835</f>
        <v>4</v>
      </c>
      <c r="Q1835" s="40" t="str">
        <f aca="false">CHOOSE(MONTH(B1835),"يناير","فبراير","مارس","أبريل","مايو","يونيو","يوليو","أغسطس","سبتمبر","أكتوبر","نوفمبر","ديسمبر")</f>
        <v>نوفمبر</v>
      </c>
      <c r="R1835" s="40" t="str">
        <f aca="false">"الربع "&amp;ROUNDUP(MONTH(B1835)/3,0)</f>
        <v>الربع 4</v>
      </c>
      <c r="S1835" s="40" t="str">
        <f aca="false">IF(D1835&lt;=12,"أطفال (0-12)",IF(D1835&lt;=24,"شباب (13-24)",IF(D1835&lt;=44,"بالغون (25-44)",IF(D1835&lt;=64,"متوسطو العمر (45-64)","كبار السن (+65)"))))</f>
        <v>متوسطو العمر (45-64)</v>
      </c>
      <c r="T1835" s="41" t="n">
        <f aca="false">IFERROR(L1835/P1835,0)</f>
        <v>1105.965</v>
      </c>
    </row>
    <row r="1836" customFormat="false" ht="15" hidden="false" customHeight="false" outlineLevel="0" collapsed="false">
      <c r="A1836" s="42" t="s">
        <v>1039</v>
      </c>
      <c r="B1836" s="43" t="n">
        <v>45609</v>
      </c>
      <c r="C1836" s="43" t="n">
        <v>45611</v>
      </c>
      <c r="D1836" s="42" t="n">
        <v>7</v>
      </c>
      <c r="E1836" s="42" t="s">
        <v>139</v>
      </c>
      <c r="F1836" s="42" t="s">
        <v>155</v>
      </c>
      <c r="G1836" s="42" t="s">
        <v>156</v>
      </c>
      <c r="H1836" s="42" t="s">
        <v>222</v>
      </c>
      <c r="I1836" s="42" t="s">
        <v>143</v>
      </c>
      <c r="J1836" s="42" t="s">
        <v>159</v>
      </c>
      <c r="K1836" s="42" t="s">
        <v>184</v>
      </c>
      <c r="L1836" s="44" t="n">
        <v>1975.64</v>
      </c>
      <c r="M1836" s="42" t="n">
        <v>5</v>
      </c>
      <c r="N1836" s="42" t="s">
        <v>146</v>
      </c>
      <c r="O1836" s="42" t="s">
        <v>147</v>
      </c>
      <c r="P1836" s="39" t="n">
        <f aca="false">C1836-B1836</f>
        <v>2</v>
      </c>
      <c r="Q1836" s="40" t="str">
        <f aca="false">CHOOSE(MONTH(B1836),"يناير","فبراير","مارس","أبريل","مايو","يونيو","يوليو","أغسطس","سبتمبر","أكتوبر","نوفمبر","ديسمبر")</f>
        <v>نوفمبر</v>
      </c>
      <c r="R1836" s="40" t="str">
        <f aca="false">"الربع "&amp;ROUNDUP(MONTH(B1836)/3,0)</f>
        <v>الربع 4</v>
      </c>
      <c r="S1836" s="40" t="str">
        <f aca="false">IF(D1836&lt;=12,"أطفال (0-12)",IF(D1836&lt;=24,"شباب (13-24)",IF(D1836&lt;=44,"بالغون (25-44)",IF(D1836&lt;=64,"متوسطو العمر (45-64)","كبار السن (+65)"))))</f>
        <v>أطفال (0-12)</v>
      </c>
      <c r="T1836" s="41" t="n">
        <f aca="false">IFERROR(L1836/P1836,0)</f>
        <v>987.82</v>
      </c>
    </row>
    <row r="1837" customFormat="false" ht="15" hidden="false" customHeight="false" outlineLevel="0" collapsed="false">
      <c r="A1837" s="33" t="s">
        <v>1244</v>
      </c>
      <c r="B1837" s="34" t="n">
        <v>45609</v>
      </c>
      <c r="C1837" s="34" t="n">
        <v>45610</v>
      </c>
      <c r="D1837" s="33" t="n">
        <v>47</v>
      </c>
      <c r="E1837" s="33" t="s">
        <v>154</v>
      </c>
      <c r="F1837" s="33" t="s">
        <v>203</v>
      </c>
      <c r="G1837" s="33" t="s">
        <v>241</v>
      </c>
      <c r="H1837" s="33" t="s">
        <v>205</v>
      </c>
      <c r="I1837" s="33" t="s">
        <v>143</v>
      </c>
      <c r="J1837" s="33" t="s">
        <v>159</v>
      </c>
      <c r="K1837" s="33" t="s">
        <v>160</v>
      </c>
      <c r="L1837" s="35" t="n">
        <v>886.48</v>
      </c>
      <c r="M1837" s="33" t="n">
        <v>2</v>
      </c>
      <c r="N1837" s="33" t="s">
        <v>146</v>
      </c>
      <c r="O1837" s="33" t="s">
        <v>147</v>
      </c>
      <c r="P1837" s="39" t="n">
        <f aca="false">C1837-B1837</f>
        <v>1</v>
      </c>
      <c r="Q1837" s="40" t="str">
        <f aca="false">CHOOSE(MONTH(B1837),"يناير","فبراير","مارس","أبريل","مايو","يونيو","يوليو","أغسطس","سبتمبر","أكتوبر","نوفمبر","ديسمبر")</f>
        <v>نوفمبر</v>
      </c>
      <c r="R1837" s="40" t="str">
        <f aca="false">"الربع "&amp;ROUNDUP(MONTH(B1837)/3,0)</f>
        <v>الربع 4</v>
      </c>
      <c r="S1837" s="40" t="str">
        <f aca="false">IF(D1837&lt;=12,"أطفال (0-12)",IF(D1837&lt;=24,"شباب (13-24)",IF(D1837&lt;=44,"بالغون (25-44)",IF(D1837&lt;=64,"متوسطو العمر (45-64)","كبار السن (+65)"))))</f>
        <v>متوسطو العمر (45-64)</v>
      </c>
      <c r="T1837" s="41" t="n">
        <f aca="false">IFERROR(L1837/P1837,0)</f>
        <v>886.48</v>
      </c>
    </row>
    <row r="1838" customFormat="false" ht="15" hidden="false" customHeight="false" outlineLevel="0" collapsed="false">
      <c r="A1838" s="42" t="s">
        <v>981</v>
      </c>
      <c r="B1838" s="43" t="n">
        <v>45611</v>
      </c>
      <c r="C1838" s="43" t="n">
        <v>45617</v>
      </c>
      <c r="D1838" s="42" t="n">
        <v>4</v>
      </c>
      <c r="E1838" s="42" t="s">
        <v>154</v>
      </c>
      <c r="F1838" s="42" t="s">
        <v>169</v>
      </c>
      <c r="G1838" s="42" t="s">
        <v>170</v>
      </c>
      <c r="H1838" s="42" t="s">
        <v>164</v>
      </c>
      <c r="I1838" s="42" t="s">
        <v>143</v>
      </c>
      <c r="J1838" s="42" t="s">
        <v>159</v>
      </c>
      <c r="K1838" s="42" t="s">
        <v>209</v>
      </c>
      <c r="L1838" s="44" t="n">
        <v>5862.82</v>
      </c>
      <c r="M1838" s="42" t="n">
        <v>5</v>
      </c>
      <c r="N1838" s="42" t="s">
        <v>146</v>
      </c>
      <c r="O1838" s="42" t="s">
        <v>147</v>
      </c>
      <c r="P1838" s="39" t="n">
        <f aca="false">C1838-B1838</f>
        <v>6</v>
      </c>
      <c r="Q1838" s="40" t="str">
        <f aca="false">CHOOSE(MONTH(B1838),"يناير","فبراير","مارس","أبريل","مايو","يونيو","يوليو","أغسطس","سبتمبر","أكتوبر","نوفمبر","ديسمبر")</f>
        <v>نوفمبر</v>
      </c>
      <c r="R1838" s="40" t="str">
        <f aca="false">"الربع "&amp;ROUNDUP(MONTH(B1838)/3,0)</f>
        <v>الربع 4</v>
      </c>
      <c r="S1838" s="40" t="str">
        <f aca="false">IF(D1838&lt;=12,"أطفال (0-12)",IF(D1838&lt;=24,"شباب (13-24)",IF(D1838&lt;=44,"بالغون (25-44)",IF(D1838&lt;=64,"متوسطو العمر (45-64)","كبار السن (+65)"))))</f>
        <v>أطفال (0-12)</v>
      </c>
      <c r="T1838" s="41" t="n">
        <f aca="false">IFERROR(L1838/P1838,0)</f>
        <v>977.136666666667</v>
      </c>
    </row>
    <row r="1839" customFormat="false" ht="15" hidden="false" customHeight="false" outlineLevel="0" collapsed="false">
      <c r="A1839" s="33" t="s">
        <v>2182</v>
      </c>
      <c r="B1839" s="34" t="n">
        <v>45611</v>
      </c>
      <c r="C1839" s="34" t="n">
        <v>45613</v>
      </c>
      <c r="D1839" s="33" t="n">
        <v>50</v>
      </c>
      <c r="E1839" s="33" t="s">
        <v>139</v>
      </c>
      <c r="F1839" s="33" t="s">
        <v>203</v>
      </c>
      <c r="G1839" s="33" t="s">
        <v>241</v>
      </c>
      <c r="H1839" s="33" t="s">
        <v>193</v>
      </c>
      <c r="I1839" s="33" t="s">
        <v>143</v>
      </c>
      <c r="J1839" s="33" t="s">
        <v>144</v>
      </c>
      <c r="K1839" s="33" t="s">
        <v>160</v>
      </c>
      <c r="L1839" s="35" t="n">
        <v>3690.83</v>
      </c>
      <c r="M1839" s="33" t="n">
        <v>3</v>
      </c>
      <c r="N1839" s="33" t="s">
        <v>210</v>
      </c>
      <c r="O1839" s="33" t="s">
        <v>147</v>
      </c>
      <c r="P1839" s="39" t="n">
        <f aca="false">C1839-B1839</f>
        <v>2</v>
      </c>
      <c r="Q1839" s="40" t="str">
        <f aca="false">CHOOSE(MONTH(B1839),"يناير","فبراير","مارس","أبريل","مايو","يونيو","يوليو","أغسطس","سبتمبر","أكتوبر","نوفمبر","ديسمبر")</f>
        <v>نوفمبر</v>
      </c>
      <c r="R1839" s="40" t="str">
        <f aca="false">"الربع "&amp;ROUNDUP(MONTH(B1839)/3,0)</f>
        <v>الربع 4</v>
      </c>
      <c r="S1839" s="40" t="str">
        <f aca="false">IF(D1839&lt;=12,"أطفال (0-12)",IF(D1839&lt;=24,"شباب (13-24)",IF(D1839&lt;=44,"بالغون (25-44)",IF(D1839&lt;=64,"متوسطو العمر (45-64)","كبار السن (+65)"))))</f>
        <v>متوسطو العمر (45-64)</v>
      </c>
      <c r="T1839" s="41" t="n">
        <f aca="false">IFERROR(L1839/P1839,0)</f>
        <v>1845.415</v>
      </c>
    </row>
    <row r="1840" customFormat="false" ht="15" hidden="false" customHeight="false" outlineLevel="0" collapsed="false">
      <c r="A1840" s="42" t="s">
        <v>1924</v>
      </c>
      <c r="B1840" s="43" t="n">
        <v>45611</v>
      </c>
      <c r="C1840" s="43" t="n">
        <v>45614</v>
      </c>
      <c r="D1840" s="42" t="n">
        <v>37</v>
      </c>
      <c r="E1840" s="42" t="s">
        <v>139</v>
      </c>
      <c r="F1840" s="42" t="s">
        <v>149</v>
      </c>
      <c r="G1840" s="42" t="s">
        <v>150</v>
      </c>
      <c r="H1840" s="42" t="s">
        <v>151</v>
      </c>
      <c r="I1840" s="42" t="s">
        <v>143</v>
      </c>
      <c r="J1840" s="42" t="s">
        <v>159</v>
      </c>
      <c r="K1840" s="42" t="s">
        <v>145</v>
      </c>
      <c r="L1840" s="44" t="n">
        <v>5205.58</v>
      </c>
      <c r="M1840" s="42" t="n">
        <v>4</v>
      </c>
      <c r="N1840" s="42" t="s">
        <v>146</v>
      </c>
      <c r="O1840" s="42" t="s">
        <v>147</v>
      </c>
      <c r="P1840" s="39" t="n">
        <f aca="false">C1840-B1840</f>
        <v>3</v>
      </c>
      <c r="Q1840" s="40" t="str">
        <f aca="false">CHOOSE(MONTH(B1840),"يناير","فبراير","مارس","أبريل","مايو","يونيو","يوليو","أغسطس","سبتمبر","أكتوبر","نوفمبر","ديسمبر")</f>
        <v>نوفمبر</v>
      </c>
      <c r="R1840" s="40" t="str">
        <f aca="false">"الربع "&amp;ROUNDUP(MONTH(B1840)/3,0)</f>
        <v>الربع 4</v>
      </c>
      <c r="S1840" s="40" t="str">
        <f aca="false">IF(D1840&lt;=12,"أطفال (0-12)",IF(D1840&lt;=24,"شباب (13-24)",IF(D1840&lt;=44,"بالغون (25-44)",IF(D1840&lt;=64,"متوسطو العمر (45-64)","كبار السن (+65)"))))</f>
        <v>بالغون (25-44)</v>
      </c>
      <c r="T1840" s="41" t="n">
        <f aca="false">IFERROR(L1840/P1840,0)</f>
        <v>1735.19333333333</v>
      </c>
    </row>
    <row r="1841" customFormat="false" ht="15" hidden="false" customHeight="false" outlineLevel="0" collapsed="false">
      <c r="A1841" s="33" t="s">
        <v>1177</v>
      </c>
      <c r="B1841" s="34" t="n">
        <v>45612</v>
      </c>
      <c r="C1841" s="34" t="n">
        <v>45619</v>
      </c>
      <c r="D1841" s="33" t="n">
        <v>61</v>
      </c>
      <c r="E1841" s="33" t="s">
        <v>139</v>
      </c>
      <c r="F1841" s="33" t="s">
        <v>169</v>
      </c>
      <c r="G1841" s="33" t="s">
        <v>230</v>
      </c>
      <c r="H1841" s="33" t="s">
        <v>171</v>
      </c>
      <c r="I1841" s="33" t="s">
        <v>143</v>
      </c>
      <c r="J1841" s="33" t="s">
        <v>176</v>
      </c>
      <c r="K1841" s="33" t="s">
        <v>145</v>
      </c>
      <c r="L1841" s="35" t="n">
        <v>30454.83</v>
      </c>
      <c r="M1841" s="33" t="n">
        <v>5</v>
      </c>
      <c r="N1841" s="33" t="s">
        <v>146</v>
      </c>
      <c r="O1841" s="33" t="s">
        <v>147</v>
      </c>
      <c r="P1841" s="39" t="n">
        <f aca="false">C1841-B1841</f>
        <v>7</v>
      </c>
      <c r="Q1841" s="40" t="str">
        <f aca="false">CHOOSE(MONTH(B1841),"يناير","فبراير","مارس","أبريل","مايو","يونيو","يوليو","أغسطس","سبتمبر","أكتوبر","نوفمبر","ديسمبر")</f>
        <v>نوفمبر</v>
      </c>
      <c r="R1841" s="40" t="str">
        <f aca="false">"الربع "&amp;ROUNDUP(MONTH(B1841)/3,0)</f>
        <v>الربع 4</v>
      </c>
      <c r="S1841" s="40" t="str">
        <f aca="false">IF(D1841&lt;=12,"أطفال (0-12)",IF(D1841&lt;=24,"شباب (13-24)",IF(D1841&lt;=44,"بالغون (25-44)",IF(D1841&lt;=64,"متوسطو العمر (45-64)","كبار السن (+65)"))))</f>
        <v>متوسطو العمر (45-64)</v>
      </c>
      <c r="T1841" s="41" t="n">
        <f aca="false">IFERROR(L1841/P1841,0)</f>
        <v>4350.69</v>
      </c>
    </row>
    <row r="1842" customFormat="false" ht="15" hidden="false" customHeight="false" outlineLevel="0" collapsed="false">
      <c r="A1842" s="42" t="s">
        <v>592</v>
      </c>
      <c r="B1842" s="43" t="n">
        <v>45612</v>
      </c>
      <c r="C1842" s="43" t="n">
        <v>45613</v>
      </c>
      <c r="D1842" s="42" t="n">
        <v>47</v>
      </c>
      <c r="E1842" s="42" t="s">
        <v>154</v>
      </c>
      <c r="F1842" s="42" t="s">
        <v>140</v>
      </c>
      <c r="G1842" s="42" t="s">
        <v>167</v>
      </c>
      <c r="H1842" s="42" t="s">
        <v>290</v>
      </c>
      <c r="I1842" s="42" t="s">
        <v>152</v>
      </c>
      <c r="J1842" s="42" t="s">
        <v>159</v>
      </c>
      <c r="K1842" s="42" t="s">
        <v>209</v>
      </c>
      <c r="L1842" s="44" t="n">
        <v>2413.49</v>
      </c>
      <c r="M1842" s="42" t="n">
        <v>4</v>
      </c>
      <c r="N1842" s="42" t="s">
        <v>146</v>
      </c>
      <c r="O1842" s="42" t="s">
        <v>147</v>
      </c>
      <c r="P1842" s="39" t="n">
        <f aca="false">C1842-B1842</f>
        <v>1</v>
      </c>
      <c r="Q1842" s="40" t="str">
        <f aca="false">CHOOSE(MONTH(B1842),"يناير","فبراير","مارس","أبريل","مايو","يونيو","يوليو","أغسطس","سبتمبر","أكتوبر","نوفمبر","ديسمبر")</f>
        <v>نوفمبر</v>
      </c>
      <c r="R1842" s="40" t="str">
        <f aca="false">"الربع "&amp;ROUNDUP(MONTH(B1842)/3,0)</f>
        <v>الربع 4</v>
      </c>
      <c r="S1842" s="40" t="str">
        <f aca="false">IF(D1842&lt;=12,"أطفال (0-12)",IF(D1842&lt;=24,"شباب (13-24)",IF(D1842&lt;=44,"بالغون (25-44)",IF(D1842&lt;=64,"متوسطو العمر (45-64)","كبار السن (+65)"))))</f>
        <v>متوسطو العمر (45-64)</v>
      </c>
      <c r="T1842" s="41" t="n">
        <f aca="false">IFERROR(L1842/P1842,0)</f>
        <v>2413.49</v>
      </c>
    </row>
    <row r="1843" customFormat="false" ht="15" hidden="false" customHeight="false" outlineLevel="0" collapsed="false">
      <c r="A1843" s="33" t="s">
        <v>284</v>
      </c>
      <c r="B1843" s="34" t="n">
        <v>45612</v>
      </c>
      <c r="C1843" s="34" t="n">
        <v>45613</v>
      </c>
      <c r="D1843" s="33" t="n">
        <v>21</v>
      </c>
      <c r="E1843" s="33" t="s">
        <v>154</v>
      </c>
      <c r="F1843" s="33" t="s">
        <v>203</v>
      </c>
      <c r="G1843" s="33" t="s">
        <v>192</v>
      </c>
      <c r="H1843" s="33" t="s">
        <v>205</v>
      </c>
      <c r="I1843" s="33" t="s">
        <v>143</v>
      </c>
      <c r="J1843" s="33" t="s">
        <v>159</v>
      </c>
      <c r="K1843" s="33" t="s">
        <v>145</v>
      </c>
      <c r="L1843" s="35" t="n">
        <v>953.89</v>
      </c>
      <c r="M1843" s="33" t="n">
        <v>3</v>
      </c>
      <c r="N1843" s="33" t="s">
        <v>146</v>
      </c>
      <c r="O1843" s="33" t="s">
        <v>147</v>
      </c>
      <c r="P1843" s="39" t="n">
        <f aca="false">C1843-B1843</f>
        <v>1</v>
      </c>
      <c r="Q1843" s="40" t="str">
        <f aca="false">CHOOSE(MONTH(B1843),"يناير","فبراير","مارس","أبريل","مايو","يونيو","يوليو","أغسطس","سبتمبر","أكتوبر","نوفمبر","ديسمبر")</f>
        <v>نوفمبر</v>
      </c>
      <c r="R1843" s="40" t="str">
        <f aca="false">"الربع "&amp;ROUNDUP(MONTH(B1843)/3,0)</f>
        <v>الربع 4</v>
      </c>
      <c r="S1843" s="40" t="str">
        <f aca="false">IF(D1843&lt;=12,"أطفال (0-12)",IF(D1843&lt;=24,"شباب (13-24)",IF(D1843&lt;=44,"بالغون (25-44)",IF(D1843&lt;=64,"متوسطو العمر (45-64)","كبار السن (+65)"))))</f>
        <v>شباب (13-24)</v>
      </c>
      <c r="T1843" s="41" t="n">
        <f aca="false">IFERROR(L1843/P1843,0)</f>
        <v>953.89</v>
      </c>
    </row>
    <row r="1844" customFormat="false" ht="15" hidden="false" customHeight="false" outlineLevel="0" collapsed="false">
      <c r="A1844" s="42" t="s">
        <v>1389</v>
      </c>
      <c r="B1844" s="43" t="n">
        <v>45612</v>
      </c>
      <c r="C1844" s="43" t="n">
        <v>45617</v>
      </c>
      <c r="D1844" s="42" t="n">
        <v>44</v>
      </c>
      <c r="E1844" s="42" t="s">
        <v>139</v>
      </c>
      <c r="F1844" s="42" t="s">
        <v>169</v>
      </c>
      <c r="G1844" s="42" t="s">
        <v>213</v>
      </c>
      <c r="H1844" s="42" t="s">
        <v>171</v>
      </c>
      <c r="I1844" s="42" t="s">
        <v>158</v>
      </c>
      <c r="J1844" s="42" t="s">
        <v>176</v>
      </c>
      <c r="K1844" s="42" t="s">
        <v>145</v>
      </c>
      <c r="L1844" s="44" t="n">
        <v>19918.36</v>
      </c>
      <c r="M1844" s="42" t="n">
        <v>4</v>
      </c>
      <c r="N1844" s="42" t="s">
        <v>146</v>
      </c>
      <c r="O1844" s="42" t="s">
        <v>147</v>
      </c>
      <c r="P1844" s="39" t="n">
        <f aca="false">C1844-B1844</f>
        <v>5</v>
      </c>
      <c r="Q1844" s="40" t="str">
        <f aca="false">CHOOSE(MONTH(B1844),"يناير","فبراير","مارس","أبريل","مايو","يونيو","يوليو","أغسطس","سبتمبر","أكتوبر","نوفمبر","ديسمبر")</f>
        <v>نوفمبر</v>
      </c>
      <c r="R1844" s="40" t="str">
        <f aca="false">"الربع "&amp;ROUNDUP(MONTH(B1844)/3,0)</f>
        <v>الربع 4</v>
      </c>
      <c r="S1844" s="40" t="str">
        <f aca="false">IF(D1844&lt;=12,"أطفال (0-12)",IF(D1844&lt;=24,"شباب (13-24)",IF(D1844&lt;=44,"بالغون (25-44)",IF(D1844&lt;=64,"متوسطو العمر (45-64)","كبار السن (+65)"))))</f>
        <v>بالغون (25-44)</v>
      </c>
      <c r="T1844" s="41" t="n">
        <f aca="false">IFERROR(L1844/P1844,0)</f>
        <v>3983.672</v>
      </c>
    </row>
    <row r="1845" customFormat="false" ht="15" hidden="false" customHeight="false" outlineLevel="0" collapsed="false">
      <c r="A1845" s="33" t="s">
        <v>1811</v>
      </c>
      <c r="B1845" s="34" t="n">
        <v>45612</v>
      </c>
      <c r="C1845" s="34" t="n">
        <v>45616</v>
      </c>
      <c r="D1845" s="33" t="n">
        <v>52</v>
      </c>
      <c r="E1845" s="33" t="s">
        <v>154</v>
      </c>
      <c r="F1845" s="33" t="s">
        <v>169</v>
      </c>
      <c r="G1845" s="33" t="s">
        <v>170</v>
      </c>
      <c r="H1845" s="33" t="s">
        <v>171</v>
      </c>
      <c r="I1845" s="33" t="s">
        <v>152</v>
      </c>
      <c r="J1845" s="33" t="s">
        <v>144</v>
      </c>
      <c r="K1845" s="33" t="s">
        <v>209</v>
      </c>
      <c r="L1845" s="35" t="n">
        <v>7409.09</v>
      </c>
      <c r="M1845" s="33" t="n">
        <v>3</v>
      </c>
      <c r="N1845" s="33" t="s">
        <v>146</v>
      </c>
      <c r="O1845" s="33" t="s">
        <v>147</v>
      </c>
      <c r="P1845" s="39" t="n">
        <f aca="false">C1845-B1845</f>
        <v>4</v>
      </c>
      <c r="Q1845" s="40" t="str">
        <f aca="false">CHOOSE(MONTH(B1845),"يناير","فبراير","مارس","أبريل","مايو","يونيو","يوليو","أغسطس","سبتمبر","أكتوبر","نوفمبر","ديسمبر")</f>
        <v>نوفمبر</v>
      </c>
      <c r="R1845" s="40" t="str">
        <f aca="false">"الربع "&amp;ROUNDUP(MONTH(B1845)/3,0)</f>
        <v>الربع 4</v>
      </c>
      <c r="S1845" s="40" t="str">
        <f aca="false">IF(D1845&lt;=12,"أطفال (0-12)",IF(D1845&lt;=24,"شباب (13-24)",IF(D1845&lt;=44,"بالغون (25-44)",IF(D1845&lt;=64,"متوسطو العمر (45-64)","كبار السن (+65)"))))</f>
        <v>متوسطو العمر (45-64)</v>
      </c>
      <c r="T1845" s="41" t="n">
        <f aca="false">IFERROR(L1845/P1845,0)</f>
        <v>1852.2725</v>
      </c>
    </row>
    <row r="1846" customFormat="false" ht="15" hidden="false" customHeight="false" outlineLevel="0" collapsed="false">
      <c r="A1846" s="42" t="s">
        <v>1364</v>
      </c>
      <c r="B1846" s="43" t="n">
        <v>45612</v>
      </c>
      <c r="C1846" s="43" t="n">
        <v>45615</v>
      </c>
      <c r="D1846" s="42" t="n">
        <v>33</v>
      </c>
      <c r="E1846" s="42" t="s">
        <v>139</v>
      </c>
      <c r="F1846" s="42" t="s">
        <v>149</v>
      </c>
      <c r="G1846" s="42" t="s">
        <v>224</v>
      </c>
      <c r="H1846" s="42" t="s">
        <v>151</v>
      </c>
      <c r="I1846" s="42" t="s">
        <v>143</v>
      </c>
      <c r="J1846" s="42" t="s">
        <v>176</v>
      </c>
      <c r="K1846" s="42" t="s">
        <v>145</v>
      </c>
      <c r="L1846" s="44" t="n">
        <v>16730.45</v>
      </c>
      <c r="M1846" s="42" t="n">
        <v>4</v>
      </c>
      <c r="N1846" s="42" t="s">
        <v>146</v>
      </c>
      <c r="O1846" s="42" t="s">
        <v>147</v>
      </c>
      <c r="P1846" s="39" t="n">
        <f aca="false">C1846-B1846</f>
        <v>3</v>
      </c>
      <c r="Q1846" s="40" t="str">
        <f aca="false">CHOOSE(MONTH(B1846),"يناير","فبراير","مارس","أبريل","مايو","يونيو","يوليو","أغسطس","سبتمبر","أكتوبر","نوفمبر","ديسمبر")</f>
        <v>نوفمبر</v>
      </c>
      <c r="R1846" s="40" t="str">
        <f aca="false">"الربع "&amp;ROUNDUP(MONTH(B1846)/3,0)</f>
        <v>الربع 4</v>
      </c>
      <c r="S1846" s="40" t="str">
        <f aca="false">IF(D1846&lt;=12,"أطفال (0-12)",IF(D1846&lt;=24,"شباب (13-24)",IF(D1846&lt;=44,"بالغون (25-44)",IF(D1846&lt;=64,"متوسطو العمر (45-64)","كبار السن (+65)"))))</f>
        <v>بالغون (25-44)</v>
      </c>
      <c r="T1846" s="41" t="n">
        <f aca="false">IFERROR(L1846/P1846,0)</f>
        <v>5576.81666666667</v>
      </c>
    </row>
    <row r="1847" customFormat="false" ht="15" hidden="false" customHeight="false" outlineLevel="0" collapsed="false">
      <c r="A1847" s="33" t="s">
        <v>1372</v>
      </c>
      <c r="B1847" s="34" t="n">
        <v>45613</v>
      </c>
      <c r="C1847" s="34" t="n">
        <v>45614</v>
      </c>
      <c r="D1847" s="33" t="n">
        <v>26</v>
      </c>
      <c r="E1847" s="33" t="s">
        <v>154</v>
      </c>
      <c r="F1847" s="33" t="s">
        <v>203</v>
      </c>
      <c r="G1847" s="33" t="s">
        <v>241</v>
      </c>
      <c r="H1847" s="33" t="s">
        <v>193</v>
      </c>
      <c r="I1847" s="33" t="s">
        <v>143</v>
      </c>
      <c r="J1847" s="33" t="s">
        <v>159</v>
      </c>
      <c r="K1847" s="33" t="s">
        <v>145</v>
      </c>
      <c r="L1847" s="35" t="n">
        <v>743.46</v>
      </c>
      <c r="M1847" s="33" t="n">
        <v>3</v>
      </c>
      <c r="N1847" s="33" t="s">
        <v>146</v>
      </c>
      <c r="O1847" s="33" t="s">
        <v>147</v>
      </c>
      <c r="P1847" s="39" t="n">
        <f aca="false">C1847-B1847</f>
        <v>1</v>
      </c>
      <c r="Q1847" s="40" t="str">
        <f aca="false">CHOOSE(MONTH(B1847),"يناير","فبراير","مارس","أبريل","مايو","يونيو","يوليو","أغسطس","سبتمبر","أكتوبر","نوفمبر","ديسمبر")</f>
        <v>نوفمبر</v>
      </c>
      <c r="R1847" s="40" t="str">
        <f aca="false">"الربع "&amp;ROUNDUP(MONTH(B1847)/3,0)</f>
        <v>الربع 4</v>
      </c>
      <c r="S1847" s="40" t="str">
        <f aca="false">IF(D1847&lt;=12,"أطفال (0-12)",IF(D1847&lt;=24,"شباب (13-24)",IF(D1847&lt;=44,"بالغون (25-44)",IF(D1847&lt;=64,"متوسطو العمر (45-64)","كبار السن (+65)"))))</f>
        <v>بالغون (25-44)</v>
      </c>
      <c r="T1847" s="41" t="n">
        <f aca="false">IFERROR(L1847/P1847,0)</f>
        <v>743.46</v>
      </c>
    </row>
    <row r="1848" customFormat="false" ht="15" hidden="false" customHeight="false" outlineLevel="0" collapsed="false">
      <c r="A1848" s="42" t="s">
        <v>688</v>
      </c>
      <c r="B1848" s="43" t="n">
        <v>45613</v>
      </c>
      <c r="C1848" s="43" t="n">
        <v>45614</v>
      </c>
      <c r="D1848" s="42" t="n">
        <v>52</v>
      </c>
      <c r="E1848" s="42" t="s">
        <v>154</v>
      </c>
      <c r="F1848" s="42" t="s">
        <v>173</v>
      </c>
      <c r="G1848" s="42" t="s">
        <v>198</v>
      </c>
      <c r="H1848" s="42" t="s">
        <v>175</v>
      </c>
      <c r="I1848" s="42" t="s">
        <v>143</v>
      </c>
      <c r="J1848" s="42" t="s">
        <v>176</v>
      </c>
      <c r="K1848" s="42" t="s">
        <v>184</v>
      </c>
      <c r="L1848" s="44" t="n">
        <v>32591.66</v>
      </c>
      <c r="M1848" s="42" t="n">
        <v>5</v>
      </c>
      <c r="N1848" s="42" t="s">
        <v>146</v>
      </c>
      <c r="O1848" s="42" t="s">
        <v>147</v>
      </c>
      <c r="P1848" s="39" t="n">
        <f aca="false">C1848-B1848</f>
        <v>1</v>
      </c>
      <c r="Q1848" s="40" t="str">
        <f aca="false">CHOOSE(MONTH(B1848),"يناير","فبراير","مارس","أبريل","مايو","يونيو","يوليو","أغسطس","سبتمبر","أكتوبر","نوفمبر","ديسمبر")</f>
        <v>نوفمبر</v>
      </c>
      <c r="R1848" s="40" t="str">
        <f aca="false">"الربع "&amp;ROUNDUP(MONTH(B1848)/3,0)</f>
        <v>الربع 4</v>
      </c>
      <c r="S1848" s="40" t="str">
        <f aca="false">IF(D1848&lt;=12,"أطفال (0-12)",IF(D1848&lt;=24,"شباب (13-24)",IF(D1848&lt;=44,"بالغون (25-44)",IF(D1848&lt;=64,"متوسطو العمر (45-64)","كبار السن (+65)"))))</f>
        <v>متوسطو العمر (45-64)</v>
      </c>
      <c r="T1848" s="41" t="n">
        <f aca="false">IFERROR(L1848/P1848,0)</f>
        <v>32591.66</v>
      </c>
    </row>
    <row r="1849" customFormat="false" ht="15" hidden="false" customHeight="false" outlineLevel="0" collapsed="false">
      <c r="A1849" s="33" t="s">
        <v>2035</v>
      </c>
      <c r="B1849" s="34" t="n">
        <v>45613</v>
      </c>
      <c r="C1849" s="34" t="n">
        <v>45622</v>
      </c>
      <c r="D1849" s="33" t="n">
        <v>31</v>
      </c>
      <c r="E1849" s="33" t="s">
        <v>154</v>
      </c>
      <c r="F1849" s="33" t="s">
        <v>173</v>
      </c>
      <c r="G1849" s="33" t="s">
        <v>178</v>
      </c>
      <c r="H1849" s="33" t="s">
        <v>175</v>
      </c>
      <c r="I1849" s="33" t="s">
        <v>152</v>
      </c>
      <c r="J1849" s="33" t="s">
        <v>144</v>
      </c>
      <c r="K1849" s="33" t="s">
        <v>160</v>
      </c>
      <c r="L1849" s="35" t="n">
        <v>47359.59</v>
      </c>
      <c r="M1849" s="33" t="n">
        <v>3</v>
      </c>
      <c r="N1849" s="33" t="s">
        <v>146</v>
      </c>
      <c r="O1849" s="33" t="s">
        <v>147</v>
      </c>
      <c r="P1849" s="39" t="n">
        <f aca="false">C1849-B1849</f>
        <v>9</v>
      </c>
      <c r="Q1849" s="40" t="str">
        <f aca="false">CHOOSE(MONTH(B1849),"يناير","فبراير","مارس","أبريل","مايو","يونيو","يوليو","أغسطس","سبتمبر","أكتوبر","نوفمبر","ديسمبر")</f>
        <v>نوفمبر</v>
      </c>
      <c r="R1849" s="40" t="str">
        <f aca="false">"الربع "&amp;ROUNDUP(MONTH(B1849)/3,0)</f>
        <v>الربع 4</v>
      </c>
      <c r="S1849" s="40" t="str">
        <f aca="false">IF(D1849&lt;=12,"أطفال (0-12)",IF(D1849&lt;=24,"شباب (13-24)",IF(D1849&lt;=44,"بالغون (25-44)",IF(D1849&lt;=64,"متوسطو العمر (45-64)","كبار السن (+65)"))))</f>
        <v>بالغون (25-44)</v>
      </c>
      <c r="T1849" s="41" t="n">
        <f aca="false">IFERROR(L1849/P1849,0)</f>
        <v>5262.17666666667</v>
      </c>
    </row>
    <row r="1850" customFormat="false" ht="15" hidden="false" customHeight="false" outlineLevel="0" collapsed="false">
      <c r="A1850" s="42" t="s">
        <v>1729</v>
      </c>
      <c r="B1850" s="43" t="n">
        <v>45613</v>
      </c>
      <c r="C1850" s="43" t="n">
        <v>45615</v>
      </c>
      <c r="D1850" s="42" t="n">
        <v>74</v>
      </c>
      <c r="E1850" s="42" t="s">
        <v>154</v>
      </c>
      <c r="F1850" s="42" t="s">
        <v>169</v>
      </c>
      <c r="G1850" s="42" t="s">
        <v>213</v>
      </c>
      <c r="H1850" s="42" t="s">
        <v>164</v>
      </c>
      <c r="I1850" s="42" t="s">
        <v>158</v>
      </c>
      <c r="J1850" s="42" t="s">
        <v>144</v>
      </c>
      <c r="K1850" s="42" t="s">
        <v>145</v>
      </c>
      <c r="L1850" s="44" t="n">
        <v>3996.59</v>
      </c>
      <c r="M1850" s="42" t="n">
        <v>5</v>
      </c>
      <c r="N1850" s="42" t="s">
        <v>146</v>
      </c>
      <c r="O1850" s="42" t="s">
        <v>147</v>
      </c>
      <c r="P1850" s="39" t="n">
        <f aca="false">C1850-B1850</f>
        <v>2</v>
      </c>
      <c r="Q1850" s="40" t="str">
        <f aca="false">CHOOSE(MONTH(B1850),"يناير","فبراير","مارس","أبريل","مايو","يونيو","يوليو","أغسطس","سبتمبر","أكتوبر","نوفمبر","ديسمبر")</f>
        <v>نوفمبر</v>
      </c>
      <c r="R1850" s="40" t="str">
        <f aca="false">"الربع "&amp;ROUNDUP(MONTH(B1850)/3,0)</f>
        <v>الربع 4</v>
      </c>
      <c r="S1850" s="40" t="str">
        <f aca="false">IF(D1850&lt;=12,"أطفال (0-12)",IF(D1850&lt;=24,"شباب (13-24)",IF(D1850&lt;=44,"بالغون (25-44)",IF(D1850&lt;=64,"متوسطو العمر (45-64)","كبار السن (+65)"))))</f>
        <v>كبار السن (+65)</v>
      </c>
      <c r="T1850" s="41" t="n">
        <f aca="false">IFERROR(L1850/P1850,0)</f>
        <v>1998.295</v>
      </c>
    </row>
    <row r="1851" customFormat="false" ht="15" hidden="false" customHeight="false" outlineLevel="0" collapsed="false">
      <c r="A1851" s="33" t="s">
        <v>1905</v>
      </c>
      <c r="B1851" s="34" t="n">
        <v>45613</v>
      </c>
      <c r="C1851" s="34" t="n">
        <v>45615</v>
      </c>
      <c r="D1851" s="33" t="n">
        <v>6</v>
      </c>
      <c r="E1851" s="33" t="s">
        <v>154</v>
      </c>
      <c r="F1851" s="33" t="s">
        <v>155</v>
      </c>
      <c r="G1851" s="33" t="s">
        <v>220</v>
      </c>
      <c r="H1851" s="33" t="s">
        <v>157</v>
      </c>
      <c r="I1851" s="33" t="s">
        <v>152</v>
      </c>
      <c r="J1851" s="33" t="s">
        <v>144</v>
      </c>
      <c r="K1851" s="33" t="s">
        <v>145</v>
      </c>
      <c r="L1851" s="35" t="n">
        <v>2692.16</v>
      </c>
      <c r="M1851" s="33" t="n">
        <v>5</v>
      </c>
      <c r="N1851" s="33" t="s">
        <v>146</v>
      </c>
      <c r="O1851" s="33" t="s">
        <v>147</v>
      </c>
      <c r="P1851" s="39" t="n">
        <f aca="false">C1851-B1851</f>
        <v>2</v>
      </c>
      <c r="Q1851" s="40" t="str">
        <f aca="false">CHOOSE(MONTH(B1851),"يناير","فبراير","مارس","أبريل","مايو","يونيو","يوليو","أغسطس","سبتمبر","أكتوبر","نوفمبر","ديسمبر")</f>
        <v>نوفمبر</v>
      </c>
      <c r="R1851" s="40" t="str">
        <f aca="false">"الربع "&amp;ROUNDUP(MONTH(B1851)/3,0)</f>
        <v>الربع 4</v>
      </c>
      <c r="S1851" s="40" t="str">
        <f aca="false">IF(D1851&lt;=12,"أطفال (0-12)",IF(D1851&lt;=24,"شباب (13-24)",IF(D1851&lt;=44,"بالغون (25-44)",IF(D1851&lt;=64,"متوسطو العمر (45-64)","كبار السن (+65)"))))</f>
        <v>أطفال (0-12)</v>
      </c>
      <c r="T1851" s="41" t="n">
        <f aca="false">IFERROR(L1851/P1851,0)</f>
        <v>1346.08</v>
      </c>
    </row>
    <row r="1852" customFormat="false" ht="15" hidden="false" customHeight="false" outlineLevel="0" collapsed="false">
      <c r="A1852" s="42" t="s">
        <v>1703</v>
      </c>
      <c r="B1852" s="43" t="n">
        <v>45613</v>
      </c>
      <c r="C1852" s="43" t="n">
        <v>45632</v>
      </c>
      <c r="D1852" s="42" t="n">
        <v>60</v>
      </c>
      <c r="E1852" s="42" t="s">
        <v>154</v>
      </c>
      <c r="F1852" s="42" t="s">
        <v>226</v>
      </c>
      <c r="G1852" s="42" t="s">
        <v>227</v>
      </c>
      <c r="H1852" s="42" t="s">
        <v>228</v>
      </c>
      <c r="I1852" s="42" t="s">
        <v>152</v>
      </c>
      <c r="J1852" s="42" t="s">
        <v>159</v>
      </c>
      <c r="K1852" s="42" t="s">
        <v>160</v>
      </c>
      <c r="L1852" s="44" t="n">
        <v>55648.02</v>
      </c>
      <c r="M1852" s="42" t="n">
        <v>3</v>
      </c>
      <c r="N1852" s="42" t="s">
        <v>146</v>
      </c>
      <c r="O1852" s="42" t="s">
        <v>147</v>
      </c>
      <c r="P1852" s="39" t="n">
        <f aca="false">C1852-B1852</f>
        <v>19</v>
      </c>
      <c r="Q1852" s="40" t="str">
        <f aca="false">CHOOSE(MONTH(B1852),"يناير","فبراير","مارس","أبريل","مايو","يونيو","يوليو","أغسطس","سبتمبر","أكتوبر","نوفمبر","ديسمبر")</f>
        <v>نوفمبر</v>
      </c>
      <c r="R1852" s="40" t="str">
        <f aca="false">"الربع "&amp;ROUNDUP(MONTH(B1852)/3,0)</f>
        <v>الربع 4</v>
      </c>
      <c r="S1852" s="40" t="str">
        <f aca="false">IF(D1852&lt;=12,"أطفال (0-12)",IF(D1852&lt;=24,"شباب (13-24)",IF(D1852&lt;=44,"بالغون (25-44)",IF(D1852&lt;=64,"متوسطو العمر (45-64)","كبار السن (+65)"))))</f>
        <v>متوسطو العمر (45-64)</v>
      </c>
      <c r="T1852" s="41" t="n">
        <f aca="false">IFERROR(L1852/P1852,0)</f>
        <v>2928.84315789474</v>
      </c>
    </row>
    <row r="1853" customFormat="false" ht="15" hidden="false" customHeight="false" outlineLevel="0" collapsed="false">
      <c r="A1853" s="33" t="s">
        <v>2108</v>
      </c>
      <c r="B1853" s="34" t="n">
        <v>45614</v>
      </c>
      <c r="C1853" s="34" t="n">
        <v>45617</v>
      </c>
      <c r="D1853" s="33" t="n">
        <v>44</v>
      </c>
      <c r="E1853" s="33" t="s">
        <v>139</v>
      </c>
      <c r="F1853" s="33" t="s">
        <v>169</v>
      </c>
      <c r="G1853" s="33" t="s">
        <v>163</v>
      </c>
      <c r="H1853" s="33" t="s">
        <v>195</v>
      </c>
      <c r="I1853" s="33" t="s">
        <v>143</v>
      </c>
      <c r="J1853" s="33" t="s">
        <v>176</v>
      </c>
      <c r="K1853" s="33" t="s">
        <v>145</v>
      </c>
      <c r="L1853" s="35" t="n">
        <v>13105.67</v>
      </c>
      <c r="M1853" s="33" t="n">
        <v>5</v>
      </c>
      <c r="N1853" s="33" t="s">
        <v>146</v>
      </c>
      <c r="O1853" s="33" t="s">
        <v>147</v>
      </c>
      <c r="P1853" s="39" t="n">
        <f aca="false">C1853-B1853</f>
        <v>3</v>
      </c>
      <c r="Q1853" s="40" t="str">
        <f aca="false">CHOOSE(MONTH(B1853),"يناير","فبراير","مارس","أبريل","مايو","يونيو","يوليو","أغسطس","سبتمبر","أكتوبر","نوفمبر","ديسمبر")</f>
        <v>نوفمبر</v>
      </c>
      <c r="R1853" s="40" t="str">
        <f aca="false">"الربع "&amp;ROUNDUP(MONTH(B1853)/3,0)</f>
        <v>الربع 4</v>
      </c>
      <c r="S1853" s="40" t="str">
        <f aca="false">IF(D1853&lt;=12,"أطفال (0-12)",IF(D1853&lt;=24,"شباب (13-24)",IF(D1853&lt;=44,"بالغون (25-44)",IF(D1853&lt;=64,"متوسطو العمر (45-64)","كبار السن (+65)"))))</f>
        <v>بالغون (25-44)</v>
      </c>
      <c r="T1853" s="41" t="n">
        <f aca="false">IFERROR(L1853/P1853,0)</f>
        <v>4368.55666666667</v>
      </c>
    </row>
    <row r="1854" customFormat="false" ht="15" hidden="false" customHeight="false" outlineLevel="0" collapsed="false">
      <c r="A1854" s="42" t="s">
        <v>1332</v>
      </c>
      <c r="B1854" s="43" t="n">
        <v>45614</v>
      </c>
      <c r="C1854" s="43" t="n">
        <v>45615</v>
      </c>
      <c r="D1854" s="42" t="n">
        <v>70</v>
      </c>
      <c r="E1854" s="42" t="s">
        <v>139</v>
      </c>
      <c r="F1854" s="42" t="s">
        <v>203</v>
      </c>
      <c r="G1854" s="42" t="s">
        <v>192</v>
      </c>
      <c r="H1854" s="42" t="s">
        <v>193</v>
      </c>
      <c r="I1854" s="42" t="s">
        <v>143</v>
      </c>
      <c r="J1854" s="42" t="s">
        <v>159</v>
      </c>
      <c r="K1854" s="42" t="s">
        <v>209</v>
      </c>
      <c r="L1854" s="44" t="n">
        <v>898.51</v>
      </c>
      <c r="M1854" s="42" t="n">
        <v>3</v>
      </c>
      <c r="N1854" s="42" t="s">
        <v>146</v>
      </c>
      <c r="O1854" s="42" t="s">
        <v>147</v>
      </c>
      <c r="P1854" s="39" t="n">
        <f aca="false">C1854-B1854</f>
        <v>1</v>
      </c>
      <c r="Q1854" s="40" t="str">
        <f aca="false">CHOOSE(MONTH(B1854),"يناير","فبراير","مارس","أبريل","مايو","يونيو","يوليو","أغسطس","سبتمبر","أكتوبر","نوفمبر","ديسمبر")</f>
        <v>نوفمبر</v>
      </c>
      <c r="R1854" s="40" t="str">
        <f aca="false">"الربع "&amp;ROUNDUP(MONTH(B1854)/3,0)</f>
        <v>الربع 4</v>
      </c>
      <c r="S1854" s="40" t="str">
        <f aca="false">IF(D1854&lt;=12,"أطفال (0-12)",IF(D1854&lt;=24,"شباب (13-24)",IF(D1854&lt;=44,"بالغون (25-44)",IF(D1854&lt;=64,"متوسطو العمر (45-64)","كبار السن (+65)"))))</f>
        <v>كبار السن (+65)</v>
      </c>
      <c r="T1854" s="41" t="n">
        <f aca="false">IFERROR(L1854/P1854,0)</f>
        <v>898.51</v>
      </c>
    </row>
    <row r="1855" customFormat="false" ht="15" hidden="false" customHeight="false" outlineLevel="0" collapsed="false">
      <c r="A1855" s="33" t="s">
        <v>653</v>
      </c>
      <c r="B1855" s="34" t="n">
        <v>45614</v>
      </c>
      <c r="C1855" s="34" t="n">
        <v>45616</v>
      </c>
      <c r="D1855" s="33" t="n">
        <v>40</v>
      </c>
      <c r="E1855" s="33" t="s">
        <v>139</v>
      </c>
      <c r="F1855" s="33" t="s">
        <v>169</v>
      </c>
      <c r="G1855" s="33" t="s">
        <v>163</v>
      </c>
      <c r="H1855" s="33" t="s">
        <v>195</v>
      </c>
      <c r="I1855" s="33" t="s">
        <v>143</v>
      </c>
      <c r="J1855" s="33" t="s">
        <v>144</v>
      </c>
      <c r="K1855" s="33" t="s">
        <v>145</v>
      </c>
      <c r="L1855" s="35" t="n">
        <v>4340.86</v>
      </c>
      <c r="M1855" s="33" t="n">
        <v>4</v>
      </c>
      <c r="N1855" s="33" t="s">
        <v>146</v>
      </c>
      <c r="O1855" s="33" t="s">
        <v>147</v>
      </c>
      <c r="P1855" s="39" t="n">
        <f aca="false">C1855-B1855</f>
        <v>2</v>
      </c>
      <c r="Q1855" s="40" t="str">
        <f aca="false">CHOOSE(MONTH(B1855),"يناير","فبراير","مارس","أبريل","مايو","يونيو","يوليو","أغسطس","سبتمبر","أكتوبر","نوفمبر","ديسمبر")</f>
        <v>نوفمبر</v>
      </c>
      <c r="R1855" s="40" t="str">
        <f aca="false">"الربع "&amp;ROUNDUP(MONTH(B1855)/3,0)</f>
        <v>الربع 4</v>
      </c>
      <c r="S1855" s="40" t="str">
        <f aca="false">IF(D1855&lt;=12,"أطفال (0-12)",IF(D1855&lt;=24,"شباب (13-24)",IF(D1855&lt;=44,"بالغون (25-44)",IF(D1855&lt;=64,"متوسطو العمر (45-64)","كبار السن (+65)"))))</f>
        <v>بالغون (25-44)</v>
      </c>
      <c r="T1855" s="41" t="n">
        <f aca="false">IFERROR(L1855/P1855,0)</f>
        <v>2170.43</v>
      </c>
    </row>
    <row r="1856" customFormat="false" ht="15" hidden="false" customHeight="false" outlineLevel="0" collapsed="false">
      <c r="A1856" s="42" t="s">
        <v>1702</v>
      </c>
      <c r="B1856" s="43" t="n">
        <v>45614</v>
      </c>
      <c r="C1856" s="43" t="n">
        <v>45615</v>
      </c>
      <c r="D1856" s="42" t="n">
        <v>1</v>
      </c>
      <c r="E1856" s="42" t="s">
        <v>154</v>
      </c>
      <c r="F1856" s="42" t="s">
        <v>155</v>
      </c>
      <c r="G1856" s="42" t="s">
        <v>220</v>
      </c>
      <c r="H1856" s="42" t="s">
        <v>222</v>
      </c>
      <c r="I1856" s="42" t="s">
        <v>152</v>
      </c>
      <c r="J1856" s="42" t="s">
        <v>176</v>
      </c>
      <c r="K1856" s="42" t="s">
        <v>160</v>
      </c>
      <c r="L1856" s="44" t="n">
        <v>3172.72</v>
      </c>
      <c r="M1856" s="42" t="n">
        <v>4</v>
      </c>
      <c r="N1856" s="42" t="s">
        <v>146</v>
      </c>
      <c r="O1856" s="42" t="s">
        <v>147</v>
      </c>
      <c r="P1856" s="39" t="n">
        <f aca="false">C1856-B1856</f>
        <v>1</v>
      </c>
      <c r="Q1856" s="40" t="str">
        <f aca="false">CHOOSE(MONTH(B1856),"يناير","فبراير","مارس","أبريل","مايو","يونيو","يوليو","أغسطس","سبتمبر","أكتوبر","نوفمبر","ديسمبر")</f>
        <v>نوفمبر</v>
      </c>
      <c r="R1856" s="40" t="str">
        <f aca="false">"الربع "&amp;ROUNDUP(MONTH(B1856)/3,0)</f>
        <v>الربع 4</v>
      </c>
      <c r="S1856" s="40" t="str">
        <f aca="false">IF(D1856&lt;=12,"أطفال (0-12)",IF(D1856&lt;=24,"شباب (13-24)",IF(D1856&lt;=44,"بالغون (25-44)",IF(D1856&lt;=64,"متوسطو العمر (45-64)","كبار السن (+65)"))))</f>
        <v>أطفال (0-12)</v>
      </c>
      <c r="T1856" s="41" t="n">
        <f aca="false">IFERROR(L1856/P1856,0)</f>
        <v>3172.72</v>
      </c>
    </row>
    <row r="1857" customFormat="false" ht="15" hidden="false" customHeight="false" outlineLevel="0" collapsed="false">
      <c r="A1857" s="33" t="s">
        <v>1786</v>
      </c>
      <c r="B1857" s="34" t="n">
        <v>45614</v>
      </c>
      <c r="C1857" s="34" t="n">
        <v>45619</v>
      </c>
      <c r="D1857" s="33" t="n">
        <v>46</v>
      </c>
      <c r="E1857" s="33" t="s">
        <v>139</v>
      </c>
      <c r="F1857" s="33" t="s">
        <v>140</v>
      </c>
      <c r="G1857" s="33" t="s">
        <v>316</v>
      </c>
      <c r="H1857" s="33" t="s">
        <v>142</v>
      </c>
      <c r="I1857" s="33" t="s">
        <v>152</v>
      </c>
      <c r="J1857" s="33" t="s">
        <v>159</v>
      </c>
      <c r="K1857" s="33" t="s">
        <v>145</v>
      </c>
      <c r="L1857" s="35" t="n">
        <v>9221.17</v>
      </c>
      <c r="M1857" s="33" t="n">
        <v>4</v>
      </c>
      <c r="N1857" s="33" t="s">
        <v>146</v>
      </c>
      <c r="O1857" s="33" t="s">
        <v>147</v>
      </c>
      <c r="P1857" s="39" t="n">
        <f aca="false">C1857-B1857</f>
        <v>5</v>
      </c>
      <c r="Q1857" s="40" t="str">
        <f aca="false">CHOOSE(MONTH(B1857),"يناير","فبراير","مارس","أبريل","مايو","يونيو","يوليو","أغسطس","سبتمبر","أكتوبر","نوفمبر","ديسمبر")</f>
        <v>نوفمبر</v>
      </c>
      <c r="R1857" s="40" t="str">
        <f aca="false">"الربع "&amp;ROUNDUP(MONTH(B1857)/3,0)</f>
        <v>الربع 4</v>
      </c>
      <c r="S1857" s="40" t="str">
        <f aca="false">IF(D1857&lt;=12,"أطفال (0-12)",IF(D1857&lt;=24,"شباب (13-24)",IF(D1857&lt;=44,"بالغون (25-44)",IF(D1857&lt;=64,"متوسطو العمر (45-64)","كبار السن (+65)"))))</f>
        <v>متوسطو العمر (45-64)</v>
      </c>
      <c r="T1857" s="41" t="n">
        <f aca="false">IFERROR(L1857/P1857,0)</f>
        <v>1844.234</v>
      </c>
    </row>
    <row r="1858" customFormat="false" ht="15" hidden="false" customHeight="false" outlineLevel="0" collapsed="false">
      <c r="A1858" s="42" t="s">
        <v>1798</v>
      </c>
      <c r="B1858" s="43" t="n">
        <v>45614</v>
      </c>
      <c r="C1858" s="43" t="n">
        <v>45618</v>
      </c>
      <c r="D1858" s="42" t="n">
        <v>59</v>
      </c>
      <c r="E1858" s="42" t="s">
        <v>139</v>
      </c>
      <c r="F1858" s="42" t="s">
        <v>140</v>
      </c>
      <c r="G1858" s="42" t="s">
        <v>141</v>
      </c>
      <c r="H1858" s="42" t="s">
        <v>290</v>
      </c>
      <c r="I1858" s="42" t="s">
        <v>143</v>
      </c>
      <c r="J1858" s="42" t="s">
        <v>176</v>
      </c>
      <c r="K1858" s="42" t="s">
        <v>209</v>
      </c>
      <c r="L1858" s="44" t="n">
        <v>29419.73</v>
      </c>
      <c r="M1858" s="42" t="n">
        <v>3</v>
      </c>
      <c r="N1858" s="42" t="s">
        <v>146</v>
      </c>
      <c r="O1858" s="42" t="s">
        <v>147</v>
      </c>
      <c r="P1858" s="39" t="n">
        <f aca="false">C1858-B1858</f>
        <v>4</v>
      </c>
      <c r="Q1858" s="40" t="str">
        <f aca="false">CHOOSE(MONTH(B1858),"يناير","فبراير","مارس","أبريل","مايو","يونيو","يوليو","أغسطس","سبتمبر","أكتوبر","نوفمبر","ديسمبر")</f>
        <v>نوفمبر</v>
      </c>
      <c r="R1858" s="40" t="str">
        <f aca="false">"الربع "&amp;ROUNDUP(MONTH(B1858)/3,0)</f>
        <v>الربع 4</v>
      </c>
      <c r="S1858" s="40" t="str">
        <f aca="false">IF(D1858&lt;=12,"أطفال (0-12)",IF(D1858&lt;=24,"شباب (13-24)",IF(D1858&lt;=44,"بالغون (25-44)",IF(D1858&lt;=64,"متوسطو العمر (45-64)","كبار السن (+65)"))))</f>
        <v>متوسطو العمر (45-64)</v>
      </c>
      <c r="T1858" s="41" t="n">
        <f aca="false">IFERROR(L1858/P1858,0)</f>
        <v>7354.9325</v>
      </c>
    </row>
    <row r="1859" customFormat="false" ht="15" hidden="false" customHeight="false" outlineLevel="0" collapsed="false">
      <c r="A1859" s="33" t="s">
        <v>1248</v>
      </c>
      <c r="B1859" s="34" t="n">
        <v>45615</v>
      </c>
      <c r="C1859" s="34" t="n">
        <v>45616</v>
      </c>
      <c r="D1859" s="33" t="n">
        <v>72</v>
      </c>
      <c r="E1859" s="33" t="s">
        <v>154</v>
      </c>
      <c r="F1859" s="33" t="s">
        <v>203</v>
      </c>
      <c r="G1859" s="33" t="s">
        <v>204</v>
      </c>
      <c r="H1859" s="33" t="s">
        <v>193</v>
      </c>
      <c r="I1859" s="33" t="s">
        <v>143</v>
      </c>
      <c r="J1859" s="33" t="s">
        <v>144</v>
      </c>
      <c r="K1859" s="33" t="s">
        <v>160</v>
      </c>
      <c r="L1859" s="35" t="n">
        <v>1372.62</v>
      </c>
      <c r="M1859" s="33" t="n">
        <v>4</v>
      </c>
      <c r="N1859" s="33" t="s">
        <v>146</v>
      </c>
      <c r="O1859" s="33" t="s">
        <v>147</v>
      </c>
      <c r="P1859" s="39" t="n">
        <f aca="false">C1859-B1859</f>
        <v>1</v>
      </c>
      <c r="Q1859" s="40" t="str">
        <f aca="false">CHOOSE(MONTH(B1859),"يناير","فبراير","مارس","أبريل","مايو","يونيو","يوليو","أغسطس","سبتمبر","أكتوبر","نوفمبر","ديسمبر")</f>
        <v>نوفمبر</v>
      </c>
      <c r="R1859" s="40" t="str">
        <f aca="false">"الربع "&amp;ROUNDUP(MONTH(B1859)/3,0)</f>
        <v>الربع 4</v>
      </c>
      <c r="S1859" s="40" t="str">
        <f aca="false">IF(D1859&lt;=12,"أطفال (0-12)",IF(D1859&lt;=24,"شباب (13-24)",IF(D1859&lt;=44,"بالغون (25-44)",IF(D1859&lt;=64,"متوسطو العمر (45-64)","كبار السن (+65)"))))</f>
        <v>كبار السن (+65)</v>
      </c>
      <c r="T1859" s="41" t="n">
        <f aca="false">IFERROR(L1859/P1859,0)</f>
        <v>1372.62</v>
      </c>
    </row>
    <row r="1860" customFormat="false" ht="15" hidden="false" customHeight="false" outlineLevel="0" collapsed="false">
      <c r="A1860" s="42" t="s">
        <v>1032</v>
      </c>
      <c r="B1860" s="43" t="n">
        <v>45615</v>
      </c>
      <c r="C1860" s="43" t="n">
        <v>45616</v>
      </c>
      <c r="D1860" s="42" t="n">
        <v>48</v>
      </c>
      <c r="E1860" s="42" t="s">
        <v>139</v>
      </c>
      <c r="F1860" s="42" t="s">
        <v>203</v>
      </c>
      <c r="G1860" s="42" t="s">
        <v>241</v>
      </c>
      <c r="H1860" s="42" t="s">
        <v>233</v>
      </c>
      <c r="I1860" s="42" t="s">
        <v>143</v>
      </c>
      <c r="J1860" s="42" t="s">
        <v>159</v>
      </c>
      <c r="K1860" s="42" t="s">
        <v>145</v>
      </c>
      <c r="L1860" s="44" t="n">
        <v>582.06</v>
      </c>
      <c r="M1860" s="42" t="n">
        <v>3</v>
      </c>
      <c r="N1860" s="42" t="s">
        <v>146</v>
      </c>
      <c r="O1860" s="42" t="s">
        <v>147</v>
      </c>
      <c r="P1860" s="39" t="n">
        <f aca="false">C1860-B1860</f>
        <v>1</v>
      </c>
      <c r="Q1860" s="40" t="str">
        <f aca="false">CHOOSE(MONTH(B1860),"يناير","فبراير","مارس","أبريل","مايو","يونيو","يوليو","أغسطس","سبتمبر","أكتوبر","نوفمبر","ديسمبر")</f>
        <v>نوفمبر</v>
      </c>
      <c r="R1860" s="40" t="str">
        <f aca="false">"الربع "&amp;ROUNDUP(MONTH(B1860)/3,0)</f>
        <v>الربع 4</v>
      </c>
      <c r="S1860" s="40" t="str">
        <f aca="false">IF(D1860&lt;=12,"أطفال (0-12)",IF(D1860&lt;=24,"شباب (13-24)",IF(D1860&lt;=44,"بالغون (25-44)",IF(D1860&lt;=64,"متوسطو العمر (45-64)","كبار السن (+65)"))))</f>
        <v>متوسطو العمر (45-64)</v>
      </c>
      <c r="T1860" s="41" t="n">
        <f aca="false">IFERROR(L1860/P1860,0)</f>
        <v>582.06</v>
      </c>
    </row>
    <row r="1861" customFormat="false" ht="15" hidden="false" customHeight="false" outlineLevel="0" collapsed="false">
      <c r="A1861" s="33" t="s">
        <v>483</v>
      </c>
      <c r="B1861" s="34" t="n">
        <v>45616</v>
      </c>
      <c r="C1861" s="34" t="n">
        <v>45617</v>
      </c>
      <c r="D1861" s="33" t="n">
        <v>4</v>
      </c>
      <c r="E1861" s="33" t="s">
        <v>139</v>
      </c>
      <c r="F1861" s="33" t="s">
        <v>155</v>
      </c>
      <c r="G1861" s="33" t="s">
        <v>302</v>
      </c>
      <c r="H1861" s="33" t="s">
        <v>157</v>
      </c>
      <c r="I1861" s="33" t="s">
        <v>158</v>
      </c>
      <c r="J1861" s="33" t="s">
        <v>159</v>
      </c>
      <c r="K1861" s="33" t="s">
        <v>160</v>
      </c>
      <c r="L1861" s="35" t="n">
        <v>824.58</v>
      </c>
      <c r="M1861" s="33" t="n">
        <v>3</v>
      </c>
      <c r="N1861" s="33" t="s">
        <v>146</v>
      </c>
      <c r="O1861" s="33" t="s">
        <v>147</v>
      </c>
      <c r="P1861" s="39" t="n">
        <f aca="false">C1861-B1861</f>
        <v>1</v>
      </c>
      <c r="Q1861" s="40" t="str">
        <f aca="false">CHOOSE(MONTH(B1861),"يناير","فبراير","مارس","أبريل","مايو","يونيو","يوليو","أغسطس","سبتمبر","أكتوبر","نوفمبر","ديسمبر")</f>
        <v>نوفمبر</v>
      </c>
      <c r="R1861" s="40" t="str">
        <f aca="false">"الربع "&amp;ROUNDUP(MONTH(B1861)/3,0)</f>
        <v>الربع 4</v>
      </c>
      <c r="S1861" s="40" t="str">
        <f aca="false">IF(D1861&lt;=12,"أطفال (0-12)",IF(D1861&lt;=24,"شباب (13-24)",IF(D1861&lt;=44,"بالغون (25-44)",IF(D1861&lt;=64,"متوسطو العمر (45-64)","كبار السن (+65)"))))</f>
        <v>أطفال (0-12)</v>
      </c>
      <c r="T1861" s="41" t="n">
        <f aca="false">IFERROR(L1861/P1861,0)</f>
        <v>824.58</v>
      </c>
    </row>
    <row r="1862" customFormat="false" ht="15" hidden="false" customHeight="false" outlineLevel="0" collapsed="false">
      <c r="A1862" s="42" t="s">
        <v>2032</v>
      </c>
      <c r="B1862" s="43" t="n">
        <v>45616</v>
      </c>
      <c r="C1862" s="43" t="n">
        <v>45617</v>
      </c>
      <c r="D1862" s="42" t="n">
        <v>48</v>
      </c>
      <c r="E1862" s="42" t="s">
        <v>154</v>
      </c>
      <c r="F1862" s="42" t="s">
        <v>203</v>
      </c>
      <c r="G1862" s="42" t="s">
        <v>217</v>
      </c>
      <c r="H1862" s="42" t="s">
        <v>205</v>
      </c>
      <c r="I1862" s="42" t="s">
        <v>143</v>
      </c>
      <c r="J1862" s="42" t="s">
        <v>159</v>
      </c>
      <c r="K1862" s="42" t="s">
        <v>184</v>
      </c>
      <c r="L1862" s="44" t="n">
        <v>879.29</v>
      </c>
      <c r="M1862" s="42" t="n">
        <v>3</v>
      </c>
      <c r="N1862" s="42" t="s">
        <v>146</v>
      </c>
      <c r="O1862" s="42" t="s">
        <v>247</v>
      </c>
      <c r="P1862" s="39" t="n">
        <f aca="false">C1862-B1862</f>
        <v>1</v>
      </c>
      <c r="Q1862" s="40" t="str">
        <f aca="false">CHOOSE(MONTH(B1862),"يناير","فبراير","مارس","أبريل","مايو","يونيو","يوليو","أغسطس","سبتمبر","أكتوبر","نوفمبر","ديسمبر")</f>
        <v>نوفمبر</v>
      </c>
      <c r="R1862" s="40" t="str">
        <f aca="false">"الربع "&amp;ROUNDUP(MONTH(B1862)/3,0)</f>
        <v>الربع 4</v>
      </c>
      <c r="S1862" s="40" t="str">
        <f aca="false">IF(D1862&lt;=12,"أطفال (0-12)",IF(D1862&lt;=24,"شباب (13-24)",IF(D1862&lt;=44,"بالغون (25-44)",IF(D1862&lt;=64,"متوسطو العمر (45-64)","كبار السن (+65)"))))</f>
        <v>متوسطو العمر (45-64)</v>
      </c>
      <c r="T1862" s="41" t="n">
        <f aca="false">IFERROR(L1862/P1862,0)</f>
        <v>879.29</v>
      </c>
    </row>
    <row r="1863" customFormat="false" ht="15" hidden="false" customHeight="false" outlineLevel="0" collapsed="false">
      <c r="A1863" s="33" t="s">
        <v>1669</v>
      </c>
      <c r="B1863" s="34" t="n">
        <v>45616</v>
      </c>
      <c r="C1863" s="34" t="n">
        <v>45620</v>
      </c>
      <c r="D1863" s="33" t="n">
        <v>46</v>
      </c>
      <c r="E1863" s="33" t="s">
        <v>139</v>
      </c>
      <c r="F1863" s="33" t="s">
        <v>169</v>
      </c>
      <c r="G1863" s="33" t="s">
        <v>230</v>
      </c>
      <c r="H1863" s="33" t="s">
        <v>195</v>
      </c>
      <c r="I1863" s="33" t="s">
        <v>152</v>
      </c>
      <c r="J1863" s="33" t="s">
        <v>176</v>
      </c>
      <c r="K1863" s="33" t="s">
        <v>184</v>
      </c>
      <c r="L1863" s="35" t="n">
        <v>16818.31</v>
      </c>
      <c r="M1863" s="33" t="n">
        <v>5</v>
      </c>
      <c r="N1863" s="33" t="s">
        <v>146</v>
      </c>
      <c r="O1863" s="33" t="s">
        <v>295</v>
      </c>
      <c r="P1863" s="39" t="n">
        <f aca="false">C1863-B1863</f>
        <v>4</v>
      </c>
      <c r="Q1863" s="40" t="str">
        <f aca="false">CHOOSE(MONTH(B1863),"يناير","فبراير","مارس","أبريل","مايو","يونيو","يوليو","أغسطس","سبتمبر","أكتوبر","نوفمبر","ديسمبر")</f>
        <v>نوفمبر</v>
      </c>
      <c r="R1863" s="40" t="str">
        <f aca="false">"الربع "&amp;ROUNDUP(MONTH(B1863)/3,0)</f>
        <v>الربع 4</v>
      </c>
      <c r="S1863" s="40" t="str">
        <f aca="false">IF(D1863&lt;=12,"أطفال (0-12)",IF(D1863&lt;=24,"شباب (13-24)",IF(D1863&lt;=44,"بالغون (25-44)",IF(D1863&lt;=64,"متوسطو العمر (45-64)","كبار السن (+65)"))))</f>
        <v>متوسطو العمر (45-64)</v>
      </c>
      <c r="T1863" s="41" t="n">
        <f aca="false">IFERROR(L1863/P1863,0)</f>
        <v>4204.5775</v>
      </c>
    </row>
    <row r="1864" customFormat="false" ht="15" hidden="false" customHeight="false" outlineLevel="0" collapsed="false">
      <c r="A1864" s="42" t="s">
        <v>408</v>
      </c>
      <c r="B1864" s="43" t="n">
        <v>45616</v>
      </c>
      <c r="C1864" s="43" t="n">
        <v>45619</v>
      </c>
      <c r="D1864" s="42" t="n">
        <v>56</v>
      </c>
      <c r="E1864" s="42" t="s">
        <v>139</v>
      </c>
      <c r="F1864" s="42" t="s">
        <v>203</v>
      </c>
      <c r="G1864" s="42" t="s">
        <v>232</v>
      </c>
      <c r="H1864" s="42" t="s">
        <v>205</v>
      </c>
      <c r="I1864" s="42" t="s">
        <v>143</v>
      </c>
      <c r="J1864" s="42" t="s">
        <v>144</v>
      </c>
      <c r="K1864" s="42" t="s">
        <v>145</v>
      </c>
      <c r="L1864" s="44" t="n">
        <v>4912.92</v>
      </c>
      <c r="M1864" s="42" t="n">
        <v>4</v>
      </c>
      <c r="N1864" s="42" t="s">
        <v>146</v>
      </c>
      <c r="O1864" s="42" t="s">
        <v>247</v>
      </c>
      <c r="P1864" s="39" t="n">
        <f aca="false">C1864-B1864</f>
        <v>3</v>
      </c>
      <c r="Q1864" s="40" t="str">
        <f aca="false">CHOOSE(MONTH(B1864),"يناير","فبراير","مارس","أبريل","مايو","يونيو","يوليو","أغسطس","سبتمبر","أكتوبر","نوفمبر","ديسمبر")</f>
        <v>نوفمبر</v>
      </c>
      <c r="R1864" s="40" t="str">
        <f aca="false">"الربع "&amp;ROUNDUP(MONTH(B1864)/3,0)</f>
        <v>الربع 4</v>
      </c>
      <c r="S1864" s="40" t="str">
        <f aca="false">IF(D1864&lt;=12,"أطفال (0-12)",IF(D1864&lt;=24,"شباب (13-24)",IF(D1864&lt;=44,"بالغون (25-44)",IF(D1864&lt;=64,"متوسطو العمر (45-64)","كبار السن (+65)"))))</f>
        <v>متوسطو العمر (45-64)</v>
      </c>
      <c r="T1864" s="41" t="n">
        <f aca="false">IFERROR(L1864/P1864,0)</f>
        <v>1637.64</v>
      </c>
    </row>
    <row r="1865" customFormat="false" ht="15" hidden="false" customHeight="false" outlineLevel="0" collapsed="false">
      <c r="A1865" s="33" t="s">
        <v>1534</v>
      </c>
      <c r="B1865" s="34" t="n">
        <v>45616</v>
      </c>
      <c r="C1865" s="34" t="n">
        <v>45619</v>
      </c>
      <c r="D1865" s="33" t="n">
        <v>11</v>
      </c>
      <c r="E1865" s="33" t="s">
        <v>154</v>
      </c>
      <c r="F1865" s="33" t="s">
        <v>155</v>
      </c>
      <c r="G1865" s="33" t="s">
        <v>220</v>
      </c>
      <c r="H1865" s="33" t="s">
        <v>157</v>
      </c>
      <c r="I1865" s="33" t="s">
        <v>143</v>
      </c>
      <c r="J1865" s="33" t="s">
        <v>159</v>
      </c>
      <c r="K1865" s="33" t="s">
        <v>184</v>
      </c>
      <c r="L1865" s="35" t="n">
        <v>2681.81</v>
      </c>
      <c r="M1865" s="33" t="n">
        <v>4</v>
      </c>
      <c r="N1865" s="33" t="s">
        <v>146</v>
      </c>
      <c r="O1865" s="33" t="s">
        <v>147</v>
      </c>
      <c r="P1865" s="39" t="n">
        <f aca="false">C1865-B1865</f>
        <v>3</v>
      </c>
      <c r="Q1865" s="40" t="str">
        <f aca="false">CHOOSE(MONTH(B1865),"يناير","فبراير","مارس","أبريل","مايو","يونيو","يوليو","أغسطس","سبتمبر","أكتوبر","نوفمبر","ديسمبر")</f>
        <v>نوفمبر</v>
      </c>
      <c r="R1865" s="40" t="str">
        <f aca="false">"الربع "&amp;ROUNDUP(MONTH(B1865)/3,0)</f>
        <v>الربع 4</v>
      </c>
      <c r="S1865" s="40" t="str">
        <f aca="false">IF(D1865&lt;=12,"أطفال (0-12)",IF(D1865&lt;=24,"شباب (13-24)",IF(D1865&lt;=44,"بالغون (25-44)",IF(D1865&lt;=64,"متوسطو العمر (45-64)","كبار السن (+65)"))))</f>
        <v>أطفال (0-12)</v>
      </c>
      <c r="T1865" s="41" t="n">
        <f aca="false">IFERROR(L1865/P1865,0)</f>
        <v>893.936666666667</v>
      </c>
    </row>
    <row r="1866" customFormat="false" ht="15" hidden="false" customHeight="false" outlineLevel="0" collapsed="false">
      <c r="A1866" s="42" t="s">
        <v>2049</v>
      </c>
      <c r="B1866" s="43" t="n">
        <v>45616</v>
      </c>
      <c r="C1866" s="43" t="n">
        <v>45620</v>
      </c>
      <c r="D1866" s="42" t="n">
        <v>24</v>
      </c>
      <c r="E1866" s="42" t="s">
        <v>154</v>
      </c>
      <c r="F1866" s="42" t="s">
        <v>140</v>
      </c>
      <c r="G1866" s="42" t="s">
        <v>167</v>
      </c>
      <c r="H1866" s="42" t="s">
        <v>290</v>
      </c>
      <c r="I1866" s="42" t="s">
        <v>143</v>
      </c>
      <c r="J1866" s="42" t="s">
        <v>144</v>
      </c>
      <c r="K1866" s="42" t="s">
        <v>184</v>
      </c>
      <c r="L1866" s="44" t="n">
        <v>18393.91</v>
      </c>
      <c r="M1866" s="42" t="n">
        <v>4</v>
      </c>
      <c r="N1866" s="42" t="s">
        <v>146</v>
      </c>
      <c r="O1866" s="42" t="s">
        <v>147</v>
      </c>
      <c r="P1866" s="39" t="n">
        <f aca="false">C1866-B1866</f>
        <v>4</v>
      </c>
      <c r="Q1866" s="40" t="str">
        <f aca="false">CHOOSE(MONTH(B1866),"يناير","فبراير","مارس","أبريل","مايو","يونيو","يوليو","أغسطس","سبتمبر","أكتوبر","نوفمبر","ديسمبر")</f>
        <v>نوفمبر</v>
      </c>
      <c r="R1866" s="40" t="str">
        <f aca="false">"الربع "&amp;ROUNDUP(MONTH(B1866)/3,0)</f>
        <v>الربع 4</v>
      </c>
      <c r="S1866" s="40" t="str">
        <f aca="false">IF(D1866&lt;=12,"أطفال (0-12)",IF(D1866&lt;=24,"شباب (13-24)",IF(D1866&lt;=44,"بالغون (25-44)",IF(D1866&lt;=64,"متوسطو العمر (45-64)","كبار السن (+65)"))))</f>
        <v>شباب (13-24)</v>
      </c>
      <c r="T1866" s="41" t="n">
        <f aca="false">IFERROR(L1866/P1866,0)</f>
        <v>4598.4775</v>
      </c>
    </row>
    <row r="1867" customFormat="false" ht="15" hidden="false" customHeight="false" outlineLevel="0" collapsed="false">
      <c r="A1867" s="33" t="s">
        <v>1079</v>
      </c>
      <c r="B1867" s="34" t="n">
        <v>45616</v>
      </c>
      <c r="C1867" s="34" t="n">
        <v>45619</v>
      </c>
      <c r="D1867" s="33" t="n">
        <v>21</v>
      </c>
      <c r="E1867" s="33" t="s">
        <v>139</v>
      </c>
      <c r="F1867" s="33" t="s">
        <v>149</v>
      </c>
      <c r="G1867" s="33" t="s">
        <v>243</v>
      </c>
      <c r="H1867" s="33" t="s">
        <v>151</v>
      </c>
      <c r="I1867" s="33" t="s">
        <v>152</v>
      </c>
      <c r="J1867" s="33" t="s">
        <v>176</v>
      </c>
      <c r="K1867" s="33" t="s">
        <v>145</v>
      </c>
      <c r="L1867" s="35" t="n">
        <v>17779.33</v>
      </c>
      <c r="M1867" s="33" t="n">
        <v>4</v>
      </c>
      <c r="N1867" s="33" t="s">
        <v>146</v>
      </c>
      <c r="O1867" s="33" t="s">
        <v>147</v>
      </c>
      <c r="P1867" s="39" t="n">
        <f aca="false">C1867-B1867</f>
        <v>3</v>
      </c>
      <c r="Q1867" s="40" t="str">
        <f aca="false">CHOOSE(MONTH(B1867),"يناير","فبراير","مارس","أبريل","مايو","يونيو","يوليو","أغسطس","سبتمبر","أكتوبر","نوفمبر","ديسمبر")</f>
        <v>نوفمبر</v>
      </c>
      <c r="R1867" s="40" t="str">
        <f aca="false">"الربع "&amp;ROUNDUP(MONTH(B1867)/3,0)</f>
        <v>الربع 4</v>
      </c>
      <c r="S1867" s="40" t="str">
        <f aca="false">IF(D1867&lt;=12,"أطفال (0-12)",IF(D1867&lt;=24,"شباب (13-24)",IF(D1867&lt;=44,"بالغون (25-44)",IF(D1867&lt;=64,"متوسطو العمر (45-64)","كبار السن (+65)"))))</f>
        <v>شباب (13-24)</v>
      </c>
      <c r="T1867" s="41" t="n">
        <f aca="false">IFERROR(L1867/P1867,0)</f>
        <v>5926.44333333333</v>
      </c>
    </row>
    <row r="1868" customFormat="false" ht="15" hidden="false" customHeight="false" outlineLevel="0" collapsed="false">
      <c r="A1868" s="42" t="s">
        <v>1886</v>
      </c>
      <c r="B1868" s="43" t="n">
        <v>45617</v>
      </c>
      <c r="C1868" s="43" t="n">
        <v>45625</v>
      </c>
      <c r="D1868" s="42" t="n">
        <v>22</v>
      </c>
      <c r="E1868" s="42" t="s">
        <v>139</v>
      </c>
      <c r="F1868" s="42" t="s">
        <v>140</v>
      </c>
      <c r="G1868" s="42" t="s">
        <v>141</v>
      </c>
      <c r="H1868" s="42" t="s">
        <v>142</v>
      </c>
      <c r="I1868" s="42" t="s">
        <v>152</v>
      </c>
      <c r="J1868" s="42" t="s">
        <v>159</v>
      </c>
      <c r="K1868" s="42" t="s">
        <v>145</v>
      </c>
      <c r="L1868" s="44" t="n">
        <v>20954.96</v>
      </c>
      <c r="M1868" s="42" t="n">
        <v>4</v>
      </c>
      <c r="N1868" s="42" t="s">
        <v>146</v>
      </c>
      <c r="O1868" s="42" t="s">
        <v>147</v>
      </c>
      <c r="P1868" s="39" t="n">
        <f aca="false">C1868-B1868</f>
        <v>8</v>
      </c>
      <c r="Q1868" s="40" t="str">
        <f aca="false">CHOOSE(MONTH(B1868),"يناير","فبراير","مارس","أبريل","مايو","يونيو","يوليو","أغسطس","سبتمبر","أكتوبر","نوفمبر","ديسمبر")</f>
        <v>نوفمبر</v>
      </c>
      <c r="R1868" s="40" t="str">
        <f aca="false">"الربع "&amp;ROUNDUP(MONTH(B1868)/3,0)</f>
        <v>الربع 4</v>
      </c>
      <c r="S1868" s="40" t="str">
        <f aca="false">IF(D1868&lt;=12,"أطفال (0-12)",IF(D1868&lt;=24,"شباب (13-24)",IF(D1868&lt;=44,"بالغون (25-44)",IF(D1868&lt;=64,"متوسطو العمر (45-64)","كبار السن (+65)"))))</f>
        <v>شباب (13-24)</v>
      </c>
      <c r="T1868" s="41" t="n">
        <f aca="false">IFERROR(L1868/P1868,0)</f>
        <v>2619.37</v>
      </c>
    </row>
    <row r="1869" customFormat="false" ht="15" hidden="false" customHeight="false" outlineLevel="0" collapsed="false">
      <c r="A1869" s="33" t="s">
        <v>969</v>
      </c>
      <c r="B1869" s="34" t="n">
        <v>45617</v>
      </c>
      <c r="C1869" s="34" t="n">
        <v>45620</v>
      </c>
      <c r="D1869" s="33" t="n">
        <v>19</v>
      </c>
      <c r="E1869" s="33" t="s">
        <v>139</v>
      </c>
      <c r="F1869" s="33" t="s">
        <v>149</v>
      </c>
      <c r="G1869" s="33" t="s">
        <v>243</v>
      </c>
      <c r="H1869" s="33" t="s">
        <v>186</v>
      </c>
      <c r="I1869" s="33" t="s">
        <v>152</v>
      </c>
      <c r="J1869" s="33" t="s">
        <v>176</v>
      </c>
      <c r="K1869" s="33" t="s">
        <v>209</v>
      </c>
      <c r="L1869" s="35" t="n">
        <v>15204.19</v>
      </c>
      <c r="M1869" s="33" t="n">
        <v>4</v>
      </c>
      <c r="N1869" s="33" t="s">
        <v>146</v>
      </c>
      <c r="O1869" s="33" t="s">
        <v>147</v>
      </c>
      <c r="P1869" s="39" t="n">
        <f aca="false">C1869-B1869</f>
        <v>3</v>
      </c>
      <c r="Q1869" s="40" t="str">
        <f aca="false">CHOOSE(MONTH(B1869),"يناير","فبراير","مارس","أبريل","مايو","يونيو","يوليو","أغسطس","سبتمبر","أكتوبر","نوفمبر","ديسمبر")</f>
        <v>نوفمبر</v>
      </c>
      <c r="R1869" s="40" t="str">
        <f aca="false">"الربع "&amp;ROUNDUP(MONTH(B1869)/3,0)</f>
        <v>الربع 4</v>
      </c>
      <c r="S1869" s="40" t="str">
        <f aca="false">IF(D1869&lt;=12,"أطفال (0-12)",IF(D1869&lt;=24,"شباب (13-24)",IF(D1869&lt;=44,"بالغون (25-44)",IF(D1869&lt;=64,"متوسطو العمر (45-64)","كبار السن (+65)"))))</f>
        <v>شباب (13-24)</v>
      </c>
      <c r="T1869" s="41" t="n">
        <f aca="false">IFERROR(L1869/P1869,0)</f>
        <v>5068.06333333333</v>
      </c>
    </row>
    <row r="1870" customFormat="false" ht="15" hidden="false" customHeight="false" outlineLevel="0" collapsed="false">
      <c r="A1870" s="42" t="s">
        <v>1288</v>
      </c>
      <c r="B1870" s="43" t="n">
        <v>45617</v>
      </c>
      <c r="C1870" s="43" t="n">
        <v>45619</v>
      </c>
      <c r="D1870" s="42" t="n">
        <v>20</v>
      </c>
      <c r="E1870" s="42" t="s">
        <v>139</v>
      </c>
      <c r="F1870" s="42" t="s">
        <v>203</v>
      </c>
      <c r="G1870" s="42" t="s">
        <v>204</v>
      </c>
      <c r="H1870" s="42" t="s">
        <v>193</v>
      </c>
      <c r="I1870" s="42" t="s">
        <v>143</v>
      </c>
      <c r="J1870" s="42" t="s">
        <v>159</v>
      </c>
      <c r="K1870" s="42" t="s">
        <v>145</v>
      </c>
      <c r="L1870" s="44" t="n">
        <v>1927.83</v>
      </c>
      <c r="M1870" s="42" t="n">
        <v>2</v>
      </c>
      <c r="N1870" s="42" t="s">
        <v>146</v>
      </c>
      <c r="O1870" s="42" t="s">
        <v>147</v>
      </c>
      <c r="P1870" s="39" t="n">
        <f aca="false">C1870-B1870</f>
        <v>2</v>
      </c>
      <c r="Q1870" s="40" t="str">
        <f aca="false">CHOOSE(MONTH(B1870),"يناير","فبراير","مارس","أبريل","مايو","يونيو","يوليو","أغسطس","سبتمبر","أكتوبر","نوفمبر","ديسمبر")</f>
        <v>نوفمبر</v>
      </c>
      <c r="R1870" s="40" t="str">
        <f aca="false">"الربع "&amp;ROUNDUP(MONTH(B1870)/3,0)</f>
        <v>الربع 4</v>
      </c>
      <c r="S1870" s="40" t="str">
        <f aca="false">IF(D1870&lt;=12,"أطفال (0-12)",IF(D1870&lt;=24,"شباب (13-24)",IF(D1870&lt;=44,"بالغون (25-44)",IF(D1870&lt;=64,"متوسطو العمر (45-64)","كبار السن (+65)"))))</f>
        <v>شباب (13-24)</v>
      </c>
      <c r="T1870" s="41" t="n">
        <f aca="false">IFERROR(L1870/P1870,0)</f>
        <v>963.915</v>
      </c>
    </row>
    <row r="1871" customFormat="false" ht="15" hidden="false" customHeight="false" outlineLevel="0" collapsed="false">
      <c r="A1871" s="33" t="s">
        <v>1671</v>
      </c>
      <c r="B1871" s="34" t="n">
        <v>45617</v>
      </c>
      <c r="C1871" s="34" t="n">
        <v>45624</v>
      </c>
      <c r="D1871" s="33" t="n">
        <v>46</v>
      </c>
      <c r="E1871" s="33" t="s">
        <v>154</v>
      </c>
      <c r="F1871" s="33" t="s">
        <v>140</v>
      </c>
      <c r="G1871" s="33" t="s">
        <v>141</v>
      </c>
      <c r="H1871" s="33" t="s">
        <v>142</v>
      </c>
      <c r="I1871" s="33" t="s">
        <v>143</v>
      </c>
      <c r="J1871" s="33" t="s">
        <v>144</v>
      </c>
      <c r="K1871" s="33" t="s">
        <v>160</v>
      </c>
      <c r="L1871" s="35" t="n">
        <v>31819.12</v>
      </c>
      <c r="M1871" s="33" t="n">
        <v>5</v>
      </c>
      <c r="N1871" s="33" t="s">
        <v>146</v>
      </c>
      <c r="O1871" s="33" t="s">
        <v>147</v>
      </c>
      <c r="P1871" s="39" t="n">
        <f aca="false">C1871-B1871</f>
        <v>7</v>
      </c>
      <c r="Q1871" s="40" t="str">
        <f aca="false">CHOOSE(MONTH(B1871),"يناير","فبراير","مارس","أبريل","مايو","يونيو","يوليو","أغسطس","سبتمبر","أكتوبر","نوفمبر","ديسمبر")</f>
        <v>نوفمبر</v>
      </c>
      <c r="R1871" s="40" t="str">
        <f aca="false">"الربع "&amp;ROUNDUP(MONTH(B1871)/3,0)</f>
        <v>الربع 4</v>
      </c>
      <c r="S1871" s="40" t="str">
        <f aca="false">IF(D1871&lt;=12,"أطفال (0-12)",IF(D1871&lt;=24,"شباب (13-24)",IF(D1871&lt;=44,"بالغون (25-44)",IF(D1871&lt;=64,"متوسطو العمر (45-64)","كبار السن (+65)"))))</f>
        <v>متوسطو العمر (45-64)</v>
      </c>
      <c r="T1871" s="41" t="n">
        <f aca="false">IFERROR(L1871/P1871,0)</f>
        <v>4545.58857142857</v>
      </c>
    </row>
    <row r="1872" customFormat="false" ht="15" hidden="false" customHeight="false" outlineLevel="0" collapsed="false">
      <c r="A1872" s="42" t="s">
        <v>2261</v>
      </c>
      <c r="B1872" s="43" t="n">
        <v>45618</v>
      </c>
      <c r="C1872" s="43" t="n">
        <v>45620</v>
      </c>
      <c r="D1872" s="42" t="n">
        <v>24</v>
      </c>
      <c r="E1872" s="42" t="s">
        <v>139</v>
      </c>
      <c r="F1872" s="42" t="s">
        <v>149</v>
      </c>
      <c r="G1872" s="42" t="s">
        <v>150</v>
      </c>
      <c r="H1872" s="42" t="s">
        <v>186</v>
      </c>
      <c r="I1872" s="42" t="s">
        <v>143</v>
      </c>
      <c r="J1872" s="42" t="s">
        <v>159</v>
      </c>
      <c r="K1872" s="42" t="s">
        <v>184</v>
      </c>
      <c r="L1872" s="44" t="n">
        <v>3069.27</v>
      </c>
      <c r="M1872" s="42" t="n">
        <v>2</v>
      </c>
      <c r="N1872" s="42" t="s">
        <v>146</v>
      </c>
      <c r="O1872" s="42" t="s">
        <v>147</v>
      </c>
      <c r="P1872" s="39" t="n">
        <f aca="false">C1872-B1872</f>
        <v>2</v>
      </c>
      <c r="Q1872" s="40" t="str">
        <f aca="false">CHOOSE(MONTH(B1872),"يناير","فبراير","مارس","أبريل","مايو","يونيو","يوليو","أغسطس","سبتمبر","أكتوبر","نوفمبر","ديسمبر")</f>
        <v>نوفمبر</v>
      </c>
      <c r="R1872" s="40" t="str">
        <f aca="false">"الربع "&amp;ROUNDUP(MONTH(B1872)/3,0)</f>
        <v>الربع 4</v>
      </c>
      <c r="S1872" s="40" t="str">
        <f aca="false">IF(D1872&lt;=12,"أطفال (0-12)",IF(D1872&lt;=24,"شباب (13-24)",IF(D1872&lt;=44,"بالغون (25-44)",IF(D1872&lt;=64,"متوسطو العمر (45-64)","كبار السن (+65)"))))</f>
        <v>شباب (13-24)</v>
      </c>
      <c r="T1872" s="41" t="n">
        <f aca="false">IFERROR(L1872/P1872,0)</f>
        <v>1534.635</v>
      </c>
    </row>
    <row r="1873" customFormat="false" ht="15" hidden="false" customHeight="false" outlineLevel="0" collapsed="false">
      <c r="A1873" s="33" t="s">
        <v>1541</v>
      </c>
      <c r="B1873" s="34" t="n">
        <v>45618</v>
      </c>
      <c r="C1873" s="34" t="n">
        <v>45623</v>
      </c>
      <c r="D1873" s="33" t="n">
        <v>60</v>
      </c>
      <c r="E1873" s="33" t="s">
        <v>154</v>
      </c>
      <c r="F1873" s="33" t="s">
        <v>226</v>
      </c>
      <c r="G1873" s="33" t="s">
        <v>386</v>
      </c>
      <c r="H1873" s="33" t="s">
        <v>263</v>
      </c>
      <c r="I1873" s="33" t="s">
        <v>143</v>
      </c>
      <c r="J1873" s="33" t="s">
        <v>159</v>
      </c>
      <c r="K1873" s="33" t="s">
        <v>145</v>
      </c>
      <c r="L1873" s="35" t="n">
        <v>15241.61</v>
      </c>
      <c r="M1873" s="33" t="n">
        <v>4</v>
      </c>
      <c r="N1873" s="33" t="s">
        <v>146</v>
      </c>
      <c r="O1873" s="33" t="s">
        <v>147</v>
      </c>
      <c r="P1873" s="39" t="n">
        <f aca="false">C1873-B1873</f>
        <v>5</v>
      </c>
      <c r="Q1873" s="40" t="str">
        <f aca="false">CHOOSE(MONTH(B1873),"يناير","فبراير","مارس","أبريل","مايو","يونيو","يوليو","أغسطس","سبتمبر","أكتوبر","نوفمبر","ديسمبر")</f>
        <v>نوفمبر</v>
      </c>
      <c r="R1873" s="40" t="str">
        <f aca="false">"الربع "&amp;ROUNDUP(MONTH(B1873)/3,0)</f>
        <v>الربع 4</v>
      </c>
      <c r="S1873" s="40" t="str">
        <f aca="false">IF(D1873&lt;=12,"أطفال (0-12)",IF(D1873&lt;=24,"شباب (13-24)",IF(D1873&lt;=44,"بالغون (25-44)",IF(D1873&lt;=64,"متوسطو العمر (45-64)","كبار السن (+65)"))))</f>
        <v>متوسطو العمر (45-64)</v>
      </c>
      <c r="T1873" s="41" t="n">
        <f aca="false">IFERROR(L1873/P1873,0)</f>
        <v>3048.322</v>
      </c>
    </row>
    <row r="1874" customFormat="false" ht="15" hidden="false" customHeight="false" outlineLevel="0" collapsed="false">
      <c r="A1874" s="42" t="s">
        <v>792</v>
      </c>
      <c r="B1874" s="43" t="n">
        <v>45618</v>
      </c>
      <c r="C1874" s="43" t="n">
        <v>45621</v>
      </c>
      <c r="D1874" s="42" t="n">
        <v>62</v>
      </c>
      <c r="E1874" s="42" t="s">
        <v>154</v>
      </c>
      <c r="F1874" s="42" t="s">
        <v>181</v>
      </c>
      <c r="G1874" s="42" t="s">
        <v>188</v>
      </c>
      <c r="H1874" s="42" t="s">
        <v>245</v>
      </c>
      <c r="I1874" s="42" t="s">
        <v>152</v>
      </c>
      <c r="J1874" s="42" t="s">
        <v>159</v>
      </c>
      <c r="K1874" s="42" t="s">
        <v>145</v>
      </c>
      <c r="L1874" s="44" t="n">
        <v>7574.1</v>
      </c>
      <c r="M1874" s="42" t="n">
        <v>3</v>
      </c>
      <c r="N1874" s="42" t="s">
        <v>146</v>
      </c>
      <c r="O1874" s="42" t="s">
        <v>147</v>
      </c>
      <c r="P1874" s="39" t="n">
        <f aca="false">C1874-B1874</f>
        <v>3</v>
      </c>
      <c r="Q1874" s="40" t="str">
        <f aca="false">CHOOSE(MONTH(B1874),"يناير","فبراير","مارس","أبريل","مايو","يونيو","يوليو","أغسطس","سبتمبر","أكتوبر","نوفمبر","ديسمبر")</f>
        <v>نوفمبر</v>
      </c>
      <c r="R1874" s="40" t="str">
        <f aca="false">"الربع "&amp;ROUNDUP(MONTH(B1874)/3,0)</f>
        <v>الربع 4</v>
      </c>
      <c r="S1874" s="40" t="str">
        <f aca="false">IF(D1874&lt;=12,"أطفال (0-12)",IF(D1874&lt;=24,"شباب (13-24)",IF(D1874&lt;=44,"بالغون (25-44)",IF(D1874&lt;=64,"متوسطو العمر (45-64)","كبار السن (+65)"))))</f>
        <v>متوسطو العمر (45-64)</v>
      </c>
      <c r="T1874" s="41" t="n">
        <f aca="false">IFERROR(L1874/P1874,0)</f>
        <v>2524.7</v>
      </c>
    </row>
    <row r="1875" customFormat="false" ht="15" hidden="false" customHeight="false" outlineLevel="0" collapsed="false">
      <c r="A1875" s="33" t="s">
        <v>451</v>
      </c>
      <c r="B1875" s="34" t="n">
        <v>45618</v>
      </c>
      <c r="C1875" s="34" t="n">
        <v>45622</v>
      </c>
      <c r="D1875" s="33" t="n">
        <v>7</v>
      </c>
      <c r="E1875" s="33" t="s">
        <v>154</v>
      </c>
      <c r="F1875" s="33" t="s">
        <v>140</v>
      </c>
      <c r="G1875" s="33" t="s">
        <v>167</v>
      </c>
      <c r="H1875" s="33" t="s">
        <v>142</v>
      </c>
      <c r="I1875" s="33" t="s">
        <v>143</v>
      </c>
      <c r="J1875" s="33" t="s">
        <v>176</v>
      </c>
      <c r="K1875" s="33" t="s">
        <v>145</v>
      </c>
      <c r="L1875" s="35" t="n">
        <v>23540.98</v>
      </c>
      <c r="M1875" s="33" t="n">
        <v>5</v>
      </c>
      <c r="N1875" s="33" t="s">
        <v>146</v>
      </c>
      <c r="O1875" s="33" t="s">
        <v>147</v>
      </c>
      <c r="P1875" s="39" t="n">
        <f aca="false">C1875-B1875</f>
        <v>4</v>
      </c>
      <c r="Q1875" s="40" t="str">
        <f aca="false">CHOOSE(MONTH(B1875),"يناير","فبراير","مارس","أبريل","مايو","يونيو","يوليو","أغسطس","سبتمبر","أكتوبر","نوفمبر","ديسمبر")</f>
        <v>نوفمبر</v>
      </c>
      <c r="R1875" s="40" t="str">
        <f aca="false">"الربع "&amp;ROUNDUP(MONTH(B1875)/3,0)</f>
        <v>الربع 4</v>
      </c>
      <c r="S1875" s="40" t="str">
        <f aca="false">IF(D1875&lt;=12,"أطفال (0-12)",IF(D1875&lt;=24,"شباب (13-24)",IF(D1875&lt;=44,"بالغون (25-44)",IF(D1875&lt;=64,"متوسطو العمر (45-64)","كبار السن (+65)"))))</f>
        <v>أطفال (0-12)</v>
      </c>
      <c r="T1875" s="41" t="n">
        <f aca="false">IFERROR(L1875/P1875,0)</f>
        <v>5885.245</v>
      </c>
    </row>
    <row r="1876" customFormat="false" ht="15" hidden="false" customHeight="false" outlineLevel="0" collapsed="false">
      <c r="A1876" s="42" t="s">
        <v>1708</v>
      </c>
      <c r="B1876" s="43" t="n">
        <v>45618</v>
      </c>
      <c r="C1876" s="43" t="n">
        <v>45622</v>
      </c>
      <c r="D1876" s="42" t="n">
        <v>12</v>
      </c>
      <c r="E1876" s="42" t="s">
        <v>154</v>
      </c>
      <c r="F1876" s="42" t="s">
        <v>155</v>
      </c>
      <c r="G1876" s="42" t="s">
        <v>302</v>
      </c>
      <c r="H1876" s="42" t="s">
        <v>222</v>
      </c>
      <c r="I1876" s="42" t="s">
        <v>152</v>
      </c>
      <c r="J1876" s="42" t="s">
        <v>144</v>
      </c>
      <c r="K1876" s="42" t="s">
        <v>209</v>
      </c>
      <c r="L1876" s="44" t="n">
        <v>6026.64</v>
      </c>
      <c r="M1876" s="42" t="n">
        <v>3</v>
      </c>
      <c r="N1876" s="42" t="s">
        <v>146</v>
      </c>
      <c r="O1876" s="42" t="s">
        <v>147</v>
      </c>
      <c r="P1876" s="39" t="n">
        <f aca="false">C1876-B1876</f>
        <v>4</v>
      </c>
      <c r="Q1876" s="40" t="str">
        <f aca="false">CHOOSE(MONTH(B1876),"يناير","فبراير","مارس","أبريل","مايو","يونيو","يوليو","أغسطس","سبتمبر","أكتوبر","نوفمبر","ديسمبر")</f>
        <v>نوفمبر</v>
      </c>
      <c r="R1876" s="40" t="str">
        <f aca="false">"الربع "&amp;ROUNDUP(MONTH(B1876)/3,0)</f>
        <v>الربع 4</v>
      </c>
      <c r="S1876" s="40" t="str">
        <f aca="false">IF(D1876&lt;=12,"أطفال (0-12)",IF(D1876&lt;=24,"شباب (13-24)",IF(D1876&lt;=44,"بالغون (25-44)",IF(D1876&lt;=64,"متوسطو العمر (45-64)","كبار السن (+65)"))))</f>
        <v>أطفال (0-12)</v>
      </c>
      <c r="T1876" s="41" t="n">
        <f aca="false">IFERROR(L1876/P1876,0)</f>
        <v>1506.66</v>
      </c>
    </row>
    <row r="1877" customFormat="false" ht="15" hidden="false" customHeight="false" outlineLevel="0" collapsed="false">
      <c r="A1877" s="33" t="s">
        <v>643</v>
      </c>
      <c r="B1877" s="34" t="n">
        <v>45618</v>
      </c>
      <c r="C1877" s="34" t="n">
        <v>45619</v>
      </c>
      <c r="D1877" s="33" t="n">
        <v>64</v>
      </c>
      <c r="E1877" s="33" t="s">
        <v>139</v>
      </c>
      <c r="F1877" s="33" t="s">
        <v>173</v>
      </c>
      <c r="G1877" s="33" t="s">
        <v>178</v>
      </c>
      <c r="H1877" s="33" t="s">
        <v>175</v>
      </c>
      <c r="I1877" s="33" t="s">
        <v>158</v>
      </c>
      <c r="J1877" s="33" t="s">
        <v>159</v>
      </c>
      <c r="K1877" s="33" t="s">
        <v>160</v>
      </c>
      <c r="L1877" s="35" t="n">
        <v>2574.23</v>
      </c>
      <c r="M1877" s="33" t="n">
        <v>4</v>
      </c>
      <c r="N1877" s="33" t="s">
        <v>146</v>
      </c>
      <c r="O1877" s="33" t="s">
        <v>147</v>
      </c>
      <c r="P1877" s="39" t="n">
        <f aca="false">C1877-B1877</f>
        <v>1</v>
      </c>
      <c r="Q1877" s="40" t="str">
        <f aca="false">CHOOSE(MONTH(B1877),"يناير","فبراير","مارس","أبريل","مايو","يونيو","يوليو","أغسطس","سبتمبر","أكتوبر","نوفمبر","ديسمبر")</f>
        <v>نوفمبر</v>
      </c>
      <c r="R1877" s="40" t="str">
        <f aca="false">"الربع "&amp;ROUNDUP(MONTH(B1877)/3,0)</f>
        <v>الربع 4</v>
      </c>
      <c r="S1877" s="40" t="str">
        <f aca="false">IF(D1877&lt;=12,"أطفال (0-12)",IF(D1877&lt;=24,"شباب (13-24)",IF(D1877&lt;=44,"بالغون (25-44)",IF(D1877&lt;=64,"متوسطو العمر (45-64)","كبار السن (+65)"))))</f>
        <v>متوسطو العمر (45-64)</v>
      </c>
      <c r="T1877" s="41" t="n">
        <f aca="false">IFERROR(L1877/P1877,0)</f>
        <v>2574.23</v>
      </c>
    </row>
    <row r="1878" customFormat="false" ht="15" hidden="false" customHeight="false" outlineLevel="0" collapsed="false">
      <c r="A1878" s="42" t="s">
        <v>732</v>
      </c>
      <c r="B1878" s="43" t="n">
        <v>45619</v>
      </c>
      <c r="C1878" s="43" t="n">
        <v>45623</v>
      </c>
      <c r="D1878" s="42" t="n">
        <v>32</v>
      </c>
      <c r="E1878" s="42" t="s">
        <v>139</v>
      </c>
      <c r="F1878" s="42" t="s">
        <v>149</v>
      </c>
      <c r="G1878" s="42" t="s">
        <v>224</v>
      </c>
      <c r="H1878" s="42" t="s">
        <v>186</v>
      </c>
      <c r="I1878" s="42" t="s">
        <v>143</v>
      </c>
      <c r="J1878" s="42" t="s">
        <v>144</v>
      </c>
      <c r="K1878" s="42" t="s">
        <v>184</v>
      </c>
      <c r="L1878" s="44" t="n">
        <v>10415.89</v>
      </c>
      <c r="M1878" s="42" t="n">
        <v>4</v>
      </c>
      <c r="N1878" s="42" t="s">
        <v>146</v>
      </c>
      <c r="O1878" s="42" t="s">
        <v>147</v>
      </c>
      <c r="P1878" s="39" t="n">
        <f aca="false">C1878-B1878</f>
        <v>4</v>
      </c>
      <c r="Q1878" s="40" t="str">
        <f aca="false">CHOOSE(MONTH(B1878),"يناير","فبراير","مارس","أبريل","مايو","يونيو","يوليو","أغسطس","سبتمبر","أكتوبر","نوفمبر","ديسمبر")</f>
        <v>نوفمبر</v>
      </c>
      <c r="R1878" s="40" t="str">
        <f aca="false">"الربع "&amp;ROUNDUP(MONTH(B1878)/3,0)</f>
        <v>الربع 4</v>
      </c>
      <c r="S1878" s="40" t="str">
        <f aca="false">IF(D1878&lt;=12,"أطفال (0-12)",IF(D1878&lt;=24,"شباب (13-24)",IF(D1878&lt;=44,"بالغون (25-44)",IF(D1878&lt;=64,"متوسطو العمر (45-64)","كبار السن (+65)"))))</f>
        <v>بالغون (25-44)</v>
      </c>
      <c r="T1878" s="41" t="n">
        <f aca="false">IFERROR(L1878/P1878,0)</f>
        <v>2603.9725</v>
      </c>
    </row>
    <row r="1879" customFormat="false" ht="15" hidden="false" customHeight="false" outlineLevel="0" collapsed="false">
      <c r="A1879" s="33" t="s">
        <v>727</v>
      </c>
      <c r="B1879" s="34" t="n">
        <v>45619</v>
      </c>
      <c r="C1879" s="34" t="n">
        <v>45621</v>
      </c>
      <c r="D1879" s="33" t="n">
        <v>19</v>
      </c>
      <c r="E1879" s="33" t="s">
        <v>139</v>
      </c>
      <c r="F1879" s="33" t="s">
        <v>149</v>
      </c>
      <c r="G1879" s="33" t="s">
        <v>243</v>
      </c>
      <c r="H1879" s="33" t="s">
        <v>186</v>
      </c>
      <c r="I1879" s="33" t="s">
        <v>152</v>
      </c>
      <c r="J1879" s="33" t="s">
        <v>159</v>
      </c>
      <c r="K1879" s="33" t="s">
        <v>160</v>
      </c>
      <c r="L1879" s="35" t="n">
        <v>3216.4</v>
      </c>
      <c r="M1879" s="33" t="n">
        <v>4</v>
      </c>
      <c r="N1879" s="33" t="s">
        <v>146</v>
      </c>
      <c r="O1879" s="33" t="s">
        <v>147</v>
      </c>
      <c r="P1879" s="39" t="n">
        <f aca="false">C1879-B1879</f>
        <v>2</v>
      </c>
      <c r="Q1879" s="40" t="str">
        <f aca="false">CHOOSE(MONTH(B1879),"يناير","فبراير","مارس","أبريل","مايو","يونيو","يوليو","أغسطس","سبتمبر","أكتوبر","نوفمبر","ديسمبر")</f>
        <v>نوفمبر</v>
      </c>
      <c r="R1879" s="40" t="str">
        <f aca="false">"الربع "&amp;ROUNDUP(MONTH(B1879)/3,0)</f>
        <v>الربع 4</v>
      </c>
      <c r="S1879" s="40" t="str">
        <f aca="false">IF(D1879&lt;=12,"أطفال (0-12)",IF(D1879&lt;=24,"شباب (13-24)",IF(D1879&lt;=44,"بالغون (25-44)",IF(D1879&lt;=64,"متوسطو العمر (45-64)","كبار السن (+65)"))))</f>
        <v>شباب (13-24)</v>
      </c>
      <c r="T1879" s="41" t="n">
        <f aca="false">IFERROR(L1879/P1879,0)</f>
        <v>1608.2</v>
      </c>
    </row>
    <row r="1880" customFormat="false" ht="15" hidden="false" customHeight="false" outlineLevel="0" collapsed="false">
      <c r="A1880" s="42" t="s">
        <v>347</v>
      </c>
      <c r="B1880" s="43" t="n">
        <v>45619</v>
      </c>
      <c r="C1880" s="43" t="n">
        <v>45625</v>
      </c>
      <c r="D1880" s="42" t="n">
        <v>63</v>
      </c>
      <c r="E1880" s="42" t="s">
        <v>154</v>
      </c>
      <c r="F1880" s="42" t="s">
        <v>181</v>
      </c>
      <c r="G1880" s="42" t="s">
        <v>237</v>
      </c>
      <c r="H1880" s="42" t="s">
        <v>183</v>
      </c>
      <c r="I1880" s="42" t="s">
        <v>152</v>
      </c>
      <c r="J1880" s="42" t="s">
        <v>144</v>
      </c>
      <c r="K1880" s="42" t="s">
        <v>160</v>
      </c>
      <c r="L1880" s="44" t="n">
        <v>23616.67</v>
      </c>
      <c r="M1880" s="42" t="n">
        <v>3</v>
      </c>
      <c r="N1880" s="42" t="s">
        <v>146</v>
      </c>
      <c r="O1880" s="42" t="s">
        <v>147</v>
      </c>
      <c r="P1880" s="39" t="n">
        <f aca="false">C1880-B1880</f>
        <v>6</v>
      </c>
      <c r="Q1880" s="40" t="str">
        <f aca="false">CHOOSE(MONTH(B1880),"يناير","فبراير","مارس","أبريل","مايو","يونيو","يوليو","أغسطس","سبتمبر","أكتوبر","نوفمبر","ديسمبر")</f>
        <v>نوفمبر</v>
      </c>
      <c r="R1880" s="40" t="str">
        <f aca="false">"الربع "&amp;ROUNDUP(MONTH(B1880)/3,0)</f>
        <v>الربع 4</v>
      </c>
      <c r="S1880" s="40" t="str">
        <f aca="false">IF(D1880&lt;=12,"أطفال (0-12)",IF(D1880&lt;=24,"شباب (13-24)",IF(D1880&lt;=44,"بالغون (25-44)",IF(D1880&lt;=64,"متوسطو العمر (45-64)","كبار السن (+65)"))))</f>
        <v>متوسطو العمر (45-64)</v>
      </c>
      <c r="T1880" s="41" t="n">
        <f aca="false">IFERROR(L1880/P1880,0)</f>
        <v>3936.11166666667</v>
      </c>
    </row>
    <row r="1881" customFormat="false" ht="15" hidden="false" customHeight="false" outlineLevel="0" collapsed="false">
      <c r="A1881" s="33" t="s">
        <v>2181</v>
      </c>
      <c r="B1881" s="34" t="n">
        <v>45619</v>
      </c>
      <c r="C1881" s="34" t="n">
        <v>45623</v>
      </c>
      <c r="D1881" s="33" t="n">
        <v>6</v>
      </c>
      <c r="E1881" s="33" t="s">
        <v>154</v>
      </c>
      <c r="F1881" s="33" t="s">
        <v>155</v>
      </c>
      <c r="G1881" s="33" t="s">
        <v>156</v>
      </c>
      <c r="H1881" s="33" t="s">
        <v>157</v>
      </c>
      <c r="I1881" s="33" t="s">
        <v>143</v>
      </c>
      <c r="J1881" s="33" t="s">
        <v>159</v>
      </c>
      <c r="K1881" s="33" t="s">
        <v>160</v>
      </c>
      <c r="L1881" s="35" t="n">
        <v>4501.08</v>
      </c>
      <c r="M1881" s="33" t="n">
        <v>4</v>
      </c>
      <c r="N1881" s="33" t="s">
        <v>146</v>
      </c>
      <c r="O1881" s="33" t="s">
        <v>147</v>
      </c>
      <c r="P1881" s="39" t="n">
        <f aca="false">C1881-B1881</f>
        <v>4</v>
      </c>
      <c r="Q1881" s="40" t="str">
        <f aca="false">CHOOSE(MONTH(B1881),"يناير","فبراير","مارس","أبريل","مايو","يونيو","يوليو","أغسطس","سبتمبر","أكتوبر","نوفمبر","ديسمبر")</f>
        <v>نوفمبر</v>
      </c>
      <c r="R1881" s="40" t="str">
        <f aca="false">"الربع "&amp;ROUNDUP(MONTH(B1881)/3,0)</f>
        <v>الربع 4</v>
      </c>
      <c r="S1881" s="40" t="str">
        <f aca="false">IF(D1881&lt;=12,"أطفال (0-12)",IF(D1881&lt;=24,"شباب (13-24)",IF(D1881&lt;=44,"بالغون (25-44)",IF(D1881&lt;=64,"متوسطو العمر (45-64)","كبار السن (+65)"))))</f>
        <v>أطفال (0-12)</v>
      </c>
      <c r="T1881" s="41" t="n">
        <f aca="false">IFERROR(L1881/P1881,0)</f>
        <v>1125.27</v>
      </c>
    </row>
    <row r="1882" customFormat="false" ht="15" hidden="false" customHeight="false" outlineLevel="0" collapsed="false">
      <c r="A1882" s="42" t="s">
        <v>974</v>
      </c>
      <c r="B1882" s="43" t="n">
        <v>45619</v>
      </c>
      <c r="C1882" s="43" t="n">
        <v>45622</v>
      </c>
      <c r="D1882" s="42" t="n">
        <v>88</v>
      </c>
      <c r="E1882" s="42" t="s">
        <v>154</v>
      </c>
      <c r="F1882" s="42" t="s">
        <v>226</v>
      </c>
      <c r="G1882" s="42" t="s">
        <v>258</v>
      </c>
      <c r="H1882" s="42" t="s">
        <v>263</v>
      </c>
      <c r="I1882" s="42" t="s">
        <v>158</v>
      </c>
      <c r="J1882" s="42" t="s">
        <v>159</v>
      </c>
      <c r="K1882" s="42" t="s">
        <v>184</v>
      </c>
      <c r="L1882" s="44" t="n">
        <v>11059.31</v>
      </c>
      <c r="M1882" s="42" t="n">
        <v>4</v>
      </c>
      <c r="N1882" s="42" t="s">
        <v>146</v>
      </c>
      <c r="O1882" s="42" t="s">
        <v>147</v>
      </c>
      <c r="P1882" s="39" t="n">
        <f aca="false">C1882-B1882</f>
        <v>3</v>
      </c>
      <c r="Q1882" s="40" t="str">
        <f aca="false">CHOOSE(MONTH(B1882),"يناير","فبراير","مارس","أبريل","مايو","يونيو","يوليو","أغسطس","سبتمبر","أكتوبر","نوفمبر","ديسمبر")</f>
        <v>نوفمبر</v>
      </c>
      <c r="R1882" s="40" t="str">
        <f aca="false">"الربع "&amp;ROUNDUP(MONTH(B1882)/3,0)</f>
        <v>الربع 4</v>
      </c>
      <c r="S1882" s="40" t="str">
        <f aca="false">IF(D1882&lt;=12,"أطفال (0-12)",IF(D1882&lt;=24,"شباب (13-24)",IF(D1882&lt;=44,"بالغون (25-44)",IF(D1882&lt;=64,"متوسطو العمر (45-64)","كبار السن (+65)"))))</f>
        <v>كبار السن (+65)</v>
      </c>
      <c r="T1882" s="41" t="n">
        <f aca="false">IFERROR(L1882/P1882,0)</f>
        <v>3686.43666666667</v>
      </c>
    </row>
    <row r="1883" customFormat="false" ht="15" hidden="false" customHeight="false" outlineLevel="0" collapsed="false">
      <c r="A1883" s="33" t="s">
        <v>1976</v>
      </c>
      <c r="B1883" s="34" t="n">
        <v>45619</v>
      </c>
      <c r="C1883" s="34" t="n">
        <v>45622</v>
      </c>
      <c r="D1883" s="33" t="n">
        <v>54</v>
      </c>
      <c r="E1883" s="33" t="s">
        <v>139</v>
      </c>
      <c r="F1883" s="33" t="s">
        <v>203</v>
      </c>
      <c r="G1883" s="33" t="s">
        <v>217</v>
      </c>
      <c r="H1883" s="33" t="s">
        <v>193</v>
      </c>
      <c r="I1883" s="33" t="s">
        <v>143</v>
      </c>
      <c r="J1883" s="33" t="s">
        <v>159</v>
      </c>
      <c r="K1883" s="33" t="s">
        <v>145</v>
      </c>
      <c r="L1883" s="35" t="n">
        <v>2881.24</v>
      </c>
      <c r="M1883" s="33" t="n">
        <v>3</v>
      </c>
      <c r="N1883" s="33" t="s">
        <v>146</v>
      </c>
      <c r="O1883" s="33" t="s">
        <v>147</v>
      </c>
      <c r="P1883" s="39" t="n">
        <f aca="false">C1883-B1883</f>
        <v>3</v>
      </c>
      <c r="Q1883" s="40" t="str">
        <f aca="false">CHOOSE(MONTH(B1883),"يناير","فبراير","مارس","أبريل","مايو","يونيو","يوليو","أغسطس","سبتمبر","أكتوبر","نوفمبر","ديسمبر")</f>
        <v>نوفمبر</v>
      </c>
      <c r="R1883" s="40" t="str">
        <f aca="false">"الربع "&amp;ROUNDUP(MONTH(B1883)/3,0)</f>
        <v>الربع 4</v>
      </c>
      <c r="S1883" s="40" t="str">
        <f aca="false">IF(D1883&lt;=12,"أطفال (0-12)",IF(D1883&lt;=24,"شباب (13-24)",IF(D1883&lt;=44,"بالغون (25-44)",IF(D1883&lt;=64,"متوسطو العمر (45-64)","كبار السن (+65)"))))</f>
        <v>متوسطو العمر (45-64)</v>
      </c>
      <c r="T1883" s="41" t="n">
        <f aca="false">IFERROR(L1883/P1883,0)</f>
        <v>960.413333333333</v>
      </c>
    </row>
    <row r="1884" customFormat="false" ht="15" hidden="false" customHeight="false" outlineLevel="0" collapsed="false">
      <c r="A1884" s="42" t="s">
        <v>1664</v>
      </c>
      <c r="B1884" s="43" t="n">
        <v>45620</v>
      </c>
      <c r="C1884" s="43" t="n">
        <v>45623</v>
      </c>
      <c r="D1884" s="42" t="n">
        <v>23</v>
      </c>
      <c r="E1884" s="42" t="s">
        <v>139</v>
      </c>
      <c r="F1884" s="42" t="s">
        <v>149</v>
      </c>
      <c r="G1884" s="42" t="s">
        <v>243</v>
      </c>
      <c r="H1884" s="42" t="s">
        <v>151</v>
      </c>
      <c r="I1884" s="42" t="s">
        <v>143</v>
      </c>
      <c r="J1884" s="42" t="s">
        <v>176</v>
      </c>
      <c r="K1884" s="42" t="s">
        <v>145</v>
      </c>
      <c r="L1884" s="44" t="n">
        <v>13002.03</v>
      </c>
      <c r="M1884" s="42" t="n">
        <v>4</v>
      </c>
      <c r="N1884" s="42" t="s">
        <v>146</v>
      </c>
      <c r="O1884" s="42" t="s">
        <v>147</v>
      </c>
      <c r="P1884" s="39" t="n">
        <f aca="false">C1884-B1884</f>
        <v>3</v>
      </c>
      <c r="Q1884" s="40" t="str">
        <f aca="false">CHOOSE(MONTH(B1884),"يناير","فبراير","مارس","أبريل","مايو","يونيو","يوليو","أغسطس","سبتمبر","أكتوبر","نوفمبر","ديسمبر")</f>
        <v>نوفمبر</v>
      </c>
      <c r="R1884" s="40" t="str">
        <f aca="false">"الربع "&amp;ROUNDUP(MONTH(B1884)/3,0)</f>
        <v>الربع 4</v>
      </c>
      <c r="S1884" s="40" t="str">
        <f aca="false">IF(D1884&lt;=12,"أطفال (0-12)",IF(D1884&lt;=24,"شباب (13-24)",IF(D1884&lt;=44,"بالغون (25-44)",IF(D1884&lt;=64,"متوسطو العمر (45-64)","كبار السن (+65)"))))</f>
        <v>شباب (13-24)</v>
      </c>
      <c r="T1884" s="41" t="n">
        <f aca="false">IFERROR(L1884/P1884,0)</f>
        <v>4334.01</v>
      </c>
    </row>
    <row r="1885" customFormat="false" ht="15" hidden="false" customHeight="false" outlineLevel="0" collapsed="false">
      <c r="A1885" s="33" t="s">
        <v>289</v>
      </c>
      <c r="B1885" s="34" t="n">
        <v>45620</v>
      </c>
      <c r="C1885" s="34" t="n">
        <v>45624</v>
      </c>
      <c r="D1885" s="33" t="n">
        <v>39</v>
      </c>
      <c r="E1885" s="33" t="s">
        <v>154</v>
      </c>
      <c r="F1885" s="33" t="s">
        <v>140</v>
      </c>
      <c r="G1885" s="33" t="s">
        <v>167</v>
      </c>
      <c r="H1885" s="33" t="s">
        <v>290</v>
      </c>
      <c r="I1885" s="33" t="s">
        <v>143</v>
      </c>
      <c r="J1885" s="33" t="s">
        <v>159</v>
      </c>
      <c r="K1885" s="33" t="s">
        <v>160</v>
      </c>
      <c r="L1885" s="35" t="n">
        <v>9284.68</v>
      </c>
      <c r="M1885" s="33" t="n">
        <v>4</v>
      </c>
      <c r="N1885" s="33" t="s">
        <v>146</v>
      </c>
      <c r="O1885" s="33" t="s">
        <v>147</v>
      </c>
      <c r="P1885" s="39" t="n">
        <f aca="false">C1885-B1885</f>
        <v>4</v>
      </c>
      <c r="Q1885" s="40" t="str">
        <f aca="false">CHOOSE(MONTH(B1885),"يناير","فبراير","مارس","أبريل","مايو","يونيو","يوليو","أغسطس","سبتمبر","أكتوبر","نوفمبر","ديسمبر")</f>
        <v>نوفمبر</v>
      </c>
      <c r="R1885" s="40" t="str">
        <f aca="false">"الربع "&amp;ROUNDUP(MONTH(B1885)/3,0)</f>
        <v>الربع 4</v>
      </c>
      <c r="S1885" s="40" t="str">
        <f aca="false">IF(D1885&lt;=12,"أطفال (0-12)",IF(D1885&lt;=24,"شباب (13-24)",IF(D1885&lt;=44,"بالغون (25-44)",IF(D1885&lt;=64,"متوسطو العمر (45-64)","كبار السن (+65)"))))</f>
        <v>بالغون (25-44)</v>
      </c>
      <c r="T1885" s="41" t="n">
        <f aca="false">IFERROR(L1885/P1885,0)</f>
        <v>2321.17</v>
      </c>
    </row>
    <row r="1886" customFormat="false" ht="15" hidden="false" customHeight="false" outlineLevel="0" collapsed="false">
      <c r="A1886" s="42" t="s">
        <v>1863</v>
      </c>
      <c r="B1886" s="43" t="n">
        <v>45620</v>
      </c>
      <c r="C1886" s="43" t="n">
        <v>45629</v>
      </c>
      <c r="D1886" s="42" t="n">
        <v>65</v>
      </c>
      <c r="E1886" s="42" t="s">
        <v>139</v>
      </c>
      <c r="F1886" s="42" t="s">
        <v>181</v>
      </c>
      <c r="G1886" s="42" t="s">
        <v>188</v>
      </c>
      <c r="H1886" s="42" t="s">
        <v>245</v>
      </c>
      <c r="I1886" s="42" t="s">
        <v>158</v>
      </c>
      <c r="J1886" s="42" t="s">
        <v>159</v>
      </c>
      <c r="K1886" s="42" t="s">
        <v>145</v>
      </c>
      <c r="L1886" s="44" t="n">
        <v>22894.2</v>
      </c>
      <c r="M1886" s="42" t="n">
        <v>4</v>
      </c>
      <c r="N1886" s="42" t="s">
        <v>146</v>
      </c>
      <c r="O1886" s="42" t="s">
        <v>147</v>
      </c>
      <c r="P1886" s="39" t="n">
        <f aca="false">C1886-B1886</f>
        <v>9</v>
      </c>
      <c r="Q1886" s="40" t="str">
        <f aca="false">CHOOSE(MONTH(B1886),"يناير","فبراير","مارس","أبريل","مايو","يونيو","يوليو","أغسطس","سبتمبر","أكتوبر","نوفمبر","ديسمبر")</f>
        <v>نوفمبر</v>
      </c>
      <c r="R1886" s="40" t="str">
        <f aca="false">"الربع "&amp;ROUNDUP(MONTH(B1886)/3,0)</f>
        <v>الربع 4</v>
      </c>
      <c r="S1886" s="40" t="str">
        <f aca="false">IF(D1886&lt;=12,"أطفال (0-12)",IF(D1886&lt;=24,"شباب (13-24)",IF(D1886&lt;=44,"بالغون (25-44)",IF(D1886&lt;=64,"متوسطو العمر (45-64)","كبار السن (+65)"))))</f>
        <v>كبار السن (+65)</v>
      </c>
      <c r="T1886" s="41" t="n">
        <f aca="false">IFERROR(L1886/P1886,0)</f>
        <v>2543.8</v>
      </c>
    </row>
    <row r="1887" customFormat="false" ht="15" hidden="false" customHeight="false" outlineLevel="0" collapsed="false">
      <c r="A1887" s="33" t="s">
        <v>273</v>
      </c>
      <c r="B1887" s="34" t="n">
        <v>45620</v>
      </c>
      <c r="C1887" s="34" t="n">
        <v>45622</v>
      </c>
      <c r="D1887" s="33" t="n">
        <v>29</v>
      </c>
      <c r="E1887" s="33" t="s">
        <v>139</v>
      </c>
      <c r="F1887" s="33" t="s">
        <v>203</v>
      </c>
      <c r="G1887" s="33" t="s">
        <v>217</v>
      </c>
      <c r="H1887" s="33" t="s">
        <v>205</v>
      </c>
      <c r="I1887" s="33" t="s">
        <v>143</v>
      </c>
      <c r="J1887" s="33" t="s">
        <v>159</v>
      </c>
      <c r="K1887" s="33" t="s">
        <v>145</v>
      </c>
      <c r="L1887" s="35" t="n">
        <v>1780.43</v>
      </c>
      <c r="M1887" s="33" t="n">
        <v>3</v>
      </c>
      <c r="N1887" s="33" t="s">
        <v>146</v>
      </c>
      <c r="O1887" s="33" t="s">
        <v>147</v>
      </c>
      <c r="P1887" s="39" t="n">
        <f aca="false">C1887-B1887</f>
        <v>2</v>
      </c>
      <c r="Q1887" s="40" t="str">
        <f aca="false">CHOOSE(MONTH(B1887),"يناير","فبراير","مارس","أبريل","مايو","يونيو","يوليو","أغسطس","سبتمبر","أكتوبر","نوفمبر","ديسمبر")</f>
        <v>نوفمبر</v>
      </c>
      <c r="R1887" s="40" t="str">
        <f aca="false">"الربع "&amp;ROUNDUP(MONTH(B1887)/3,0)</f>
        <v>الربع 4</v>
      </c>
      <c r="S1887" s="40" t="str">
        <f aca="false">IF(D1887&lt;=12,"أطفال (0-12)",IF(D1887&lt;=24,"شباب (13-24)",IF(D1887&lt;=44,"بالغون (25-44)",IF(D1887&lt;=64,"متوسطو العمر (45-64)","كبار السن (+65)"))))</f>
        <v>بالغون (25-44)</v>
      </c>
      <c r="T1887" s="41" t="n">
        <f aca="false">IFERROR(L1887/P1887,0)</f>
        <v>890.215</v>
      </c>
    </row>
    <row r="1888" customFormat="false" ht="15" hidden="false" customHeight="false" outlineLevel="0" collapsed="false">
      <c r="A1888" s="42" t="s">
        <v>2249</v>
      </c>
      <c r="B1888" s="43" t="n">
        <v>45620</v>
      </c>
      <c r="C1888" s="43" t="n">
        <v>45631</v>
      </c>
      <c r="D1888" s="42" t="n">
        <v>54</v>
      </c>
      <c r="E1888" s="42" t="s">
        <v>154</v>
      </c>
      <c r="F1888" s="42" t="s">
        <v>169</v>
      </c>
      <c r="G1888" s="42" t="s">
        <v>163</v>
      </c>
      <c r="H1888" s="42" t="s">
        <v>171</v>
      </c>
      <c r="I1888" s="42" t="s">
        <v>143</v>
      </c>
      <c r="J1888" s="42" t="s">
        <v>159</v>
      </c>
      <c r="K1888" s="42" t="s">
        <v>160</v>
      </c>
      <c r="L1888" s="44" t="n">
        <v>9578.4</v>
      </c>
      <c r="M1888" s="42" t="n">
        <v>5</v>
      </c>
      <c r="N1888" s="42" t="s">
        <v>146</v>
      </c>
      <c r="O1888" s="42" t="s">
        <v>147</v>
      </c>
      <c r="P1888" s="39" t="n">
        <f aca="false">C1888-B1888</f>
        <v>11</v>
      </c>
      <c r="Q1888" s="40" t="str">
        <f aca="false">CHOOSE(MONTH(B1888),"يناير","فبراير","مارس","أبريل","مايو","يونيو","يوليو","أغسطس","سبتمبر","أكتوبر","نوفمبر","ديسمبر")</f>
        <v>نوفمبر</v>
      </c>
      <c r="R1888" s="40" t="str">
        <f aca="false">"الربع "&amp;ROUNDUP(MONTH(B1888)/3,0)</f>
        <v>الربع 4</v>
      </c>
      <c r="S1888" s="40" t="str">
        <f aca="false">IF(D1888&lt;=12,"أطفال (0-12)",IF(D1888&lt;=24,"شباب (13-24)",IF(D1888&lt;=44,"بالغون (25-44)",IF(D1888&lt;=64,"متوسطو العمر (45-64)","كبار السن (+65)"))))</f>
        <v>متوسطو العمر (45-64)</v>
      </c>
      <c r="T1888" s="41" t="n">
        <f aca="false">IFERROR(L1888/P1888,0)</f>
        <v>870.763636363636</v>
      </c>
    </row>
    <row r="1889" customFormat="false" ht="15" hidden="false" customHeight="false" outlineLevel="0" collapsed="false">
      <c r="A1889" s="33" t="s">
        <v>559</v>
      </c>
      <c r="B1889" s="34" t="n">
        <v>45620</v>
      </c>
      <c r="C1889" s="34" t="n">
        <v>45627</v>
      </c>
      <c r="D1889" s="33" t="n">
        <v>29</v>
      </c>
      <c r="E1889" s="33" t="s">
        <v>139</v>
      </c>
      <c r="F1889" s="33" t="s">
        <v>149</v>
      </c>
      <c r="G1889" s="33" t="s">
        <v>150</v>
      </c>
      <c r="H1889" s="33" t="s">
        <v>186</v>
      </c>
      <c r="I1889" s="33" t="s">
        <v>143</v>
      </c>
      <c r="J1889" s="33" t="s">
        <v>159</v>
      </c>
      <c r="K1889" s="33" t="s">
        <v>145</v>
      </c>
      <c r="L1889" s="35" t="n">
        <v>9142.27</v>
      </c>
      <c r="M1889" s="33" t="n">
        <v>4</v>
      </c>
      <c r="N1889" s="33" t="s">
        <v>146</v>
      </c>
      <c r="O1889" s="33" t="s">
        <v>147</v>
      </c>
      <c r="P1889" s="39" t="n">
        <f aca="false">C1889-B1889</f>
        <v>7</v>
      </c>
      <c r="Q1889" s="40" t="str">
        <f aca="false">CHOOSE(MONTH(B1889),"يناير","فبراير","مارس","أبريل","مايو","يونيو","يوليو","أغسطس","سبتمبر","أكتوبر","نوفمبر","ديسمبر")</f>
        <v>نوفمبر</v>
      </c>
      <c r="R1889" s="40" t="str">
        <f aca="false">"الربع "&amp;ROUNDUP(MONTH(B1889)/3,0)</f>
        <v>الربع 4</v>
      </c>
      <c r="S1889" s="40" t="str">
        <f aca="false">IF(D1889&lt;=12,"أطفال (0-12)",IF(D1889&lt;=24,"شباب (13-24)",IF(D1889&lt;=44,"بالغون (25-44)",IF(D1889&lt;=64,"متوسطو العمر (45-64)","كبار السن (+65)"))))</f>
        <v>بالغون (25-44)</v>
      </c>
      <c r="T1889" s="41" t="n">
        <f aca="false">IFERROR(L1889/P1889,0)</f>
        <v>1306.03857142857</v>
      </c>
    </row>
    <row r="1890" customFormat="false" ht="15" hidden="false" customHeight="false" outlineLevel="0" collapsed="false">
      <c r="A1890" s="42" t="s">
        <v>1825</v>
      </c>
      <c r="B1890" s="43" t="n">
        <v>45620</v>
      </c>
      <c r="C1890" s="43" t="n">
        <v>45624</v>
      </c>
      <c r="D1890" s="42" t="n">
        <v>51</v>
      </c>
      <c r="E1890" s="42" t="s">
        <v>154</v>
      </c>
      <c r="F1890" s="42" t="s">
        <v>181</v>
      </c>
      <c r="G1890" s="42" t="s">
        <v>237</v>
      </c>
      <c r="H1890" s="42" t="s">
        <v>245</v>
      </c>
      <c r="I1890" s="42" t="s">
        <v>152</v>
      </c>
      <c r="J1890" s="42" t="s">
        <v>159</v>
      </c>
      <c r="K1890" s="42" t="s">
        <v>145</v>
      </c>
      <c r="L1890" s="44" t="n">
        <v>8265.2</v>
      </c>
      <c r="M1890" s="42" t="n">
        <v>5</v>
      </c>
      <c r="N1890" s="42" t="s">
        <v>210</v>
      </c>
      <c r="O1890" s="42" t="s">
        <v>147</v>
      </c>
      <c r="P1890" s="39" t="n">
        <f aca="false">C1890-B1890</f>
        <v>4</v>
      </c>
      <c r="Q1890" s="40" t="str">
        <f aca="false">CHOOSE(MONTH(B1890),"يناير","فبراير","مارس","أبريل","مايو","يونيو","يوليو","أغسطس","سبتمبر","أكتوبر","نوفمبر","ديسمبر")</f>
        <v>نوفمبر</v>
      </c>
      <c r="R1890" s="40" t="str">
        <f aca="false">"الربع "&amp;ROUNDUP(MONTH(B1890)/3,0)</f>
        <v>الربع 4</v>
      </c>
      <c r="S1890" s="40" t="str">
        <f aca="false">IF(D1890&lt;=12,"أطفال (0-12)",IF(D1890&lt;=24,"شباب (13-24)",IF(D1890&lt;=44,"بالغون (25-44)",IF(D1890&lt;=64,"متوسطو العمر (45-64)","كبار السن (+65)"))))</f>
        <v>متوسطو العمر (45-64)</v>
      </c>
      <c r="T1890" s="41" t="n">
        <f aca="false">IFERROR(L1890/P1890,0)</f>
        <v>2066.3</v>
      </c>
    </row>
    <row r="1891" customFormat="false" ht="15" hidden="false" customHeight="false" outlineLevel="0" collapsed="false">
      <c r="A1891" s="33" t="s">
        <v>1892</v>
      </c>
      <c r="B1891" s="34" t="n">
        <v>45621</v>
      </c>
      <c r="C1891" s="34" t="n">
        <v>45623</v>
      </c>
      <c r="D1891" s="33" t="n">
        <v>34</v>
      </c>
      <c r="E1891" s="33" t="s">
        <v>154</v>
      </c>
      <c r="F1891" s="33" t="s">
        <v>203</v>
      </c>
      <c r="G1891" s="33" t="s">
        <v>204</v>
      </c>
      <c r="H1891" s="33" t="s">
        <v>2322</v>
      </c>
      <c r="I1891" s="33" t="s">
        <v>143</v>
      </c>
      <c r="J1891" s="33" t="s">
        <v>159</v>
      </c>
      <c r="K1891" s="33" t="s">
        <v>145</v>
      </c>
      <c r="L1891" s="35" t="n">
        <v>1704.66</v>
      </c>
      <c r="M1891" s="33" t="n">
        <v>4</v>
      </c>
      <c r="N1891" s="33" t="s">
        <v>146</v>
      </c>
      <c r="O1891" s="33" t="s">
        <v>247</v>
      </c>
      <c r="P1891" s="39" t="n">
        <f aca="false">C1891-B1891</f>
        <v>2</v>
      </c>
      <c r="Q1891" s="40" t="str">
        <f aca="false">CHOOSE(MONTH(B1891),"يناير","فبراير","مارس","أبريل","مايو","يونيو","يوليو","أغسطس","سبتمبر","أكتوبر","نوفمبر","ديسمبر")</f>
        <v>نوفمبر</v>
      </c>
      <c r="R1891" s="40" t="str">
        <f aca="false">"الربع "&amp;ROUNDUP(MONTH(B1891)/3,0)</f>
        <v>الربع 4</v>
      </c>
      <c r="S1891" s="40" t="str">
        <f aca="false">IF(D1891&lt;=12,"أطفال (0-12)",IF(D1891&lt;=24,"شباب (13-24)",IF(D1891&lt;=44,"بالغون (25-44)",IF(D1891&lt;=64,"متوسطو العمر (45-64)","كبار السن (+65)"))))</f>
        <v>بالغون (25-44)</v>
      </c>
      <c r="T1891" s="41" t="n">
        <f aca="false">IFERROR(L1891/P1891,0)</f>
        <v>852.33</v>
      </c>
    </row>
    <row r="1892" customFormat="false" ht="15" hidden="false" customHeight="false" outlineLevel="0" collapsed="false">
      <c r="A1892" s="42" t="s">
        <v>2223</v>
      </c>
      <c r="B1892" s="43" t="n">
        <v>45622</v>
      </c>
      <c r="C1892" s="43" t="n">
        <v>45625</v>
      </c>
      <c r="D1892" s="42" t="n">
        <v>47</v>
      </c>
      <c r="E1892" s="42" t="s">
        <v>139</v>
      </c>
      <c r="F1892" s="42" t="s">
        <v>169</v>
      </c>
      <c r="G1892" s="42" t="s">
        <v>213</v>
      </c>
      <c r="H1892" s="42" t="s">
        <v>195</v>
      </c>
      <c r="I1892" s="42" t="s">
        <v>143</v>
      </c>
      <c r="J1892" s="42" t="s">
        <v>144</v>
      </c>
      <c r="K1892" s="42" t="s">
        <v>145</v>
      </c>
      <c r="L1892" s="44" t="n">
        <v>5683.66</v>
      </c>
      <c r="M1892" s="42" t="n">
        <v>4</v>
      </c>
      <c r="N1892" s="42" t="s">
        <v>146</v>
      </c>
      <c r="O1892" s="42" t="s">
        <v>147</v>
      </c>
      <c r="P1892" s="39" t="n">
        <f aca="false">C1892-B1892</f>
        <v>3</v>
      </c>
      <c r="Q1892" s="40" t="str">
        <f aca="false">CHOOSE(MONTH(B1892),"يناير","فبراير","مارس","أبريل","مايو","يونيو","يوليو","أغسطس","سبتمبر","أكتوبر","نوفمبر","ديسمبر")</f>
        <v>نوفمبر</v>
      </c>
      <c r="R1892" s="40" t="str">
        <f aca="false">"الربع "&amp;ROUNDUP(MONTH(B1892)/3,0)</f>
        <v>الربع 4</v>
      </c>
      <c r="S1892" s="40" t="str">
        <f aca="false">IF(D1892&lt;=12,"أطفال (0-12)",IF(D1892&lt;=24,"شباب (13-24)",IF(D1892&lt;=44,"بالغون (25-44)",IF(D1892&lt;=64,"متوسطو العمر (45-64)","كبار السن (+65)"))))</f>
        <v>متوسطو العمر (45-64)</v>
      </c>
      <c r="T1892" s="41" t="n">
        <f aca="false">IFERROR(L1892/P1892,0)</f>
        <v>1894.55333333333</v>
      </c>
    </row>
    <row r="1893" customFormat="false" ht="15" hidden="false" customHeight="false" outlineLevel="0" collapsed="false">
      <c r="A1893" s="33" t="s">
        <v>1882</v>
      </c>
      <c r="B1893" s="34" t="n">
        <v>45622</v>
      </c>
      <c r="C1893" s="34" t="n">
        <v>45623</v>
      </c>
      <c r="D1893" s="33" t="n">
        <v>32</v>
      </c>
      <c r="E1893" s="33" t="s">
        <v>139</v>
      </c>
      <c r="F1893" s="33" t="s">
        <v>149</v>
      </c>
      <c r="G1893" s="33" t="s">
        <v>150</v>
      </c>
      <c r="H1893" s="33" t="s">
        <v>151</v>
      </c>
      <c r="I1893" s="33" t="s">
        <v>143</v>
      </c>
      <c r="J1893" s="33" t="s">
        <v>144</v>
      </c>
      <c r="K1893" s="33" t="s">
        <v>145</v>
      </c>
      <c r="L1893" s="35" t="n">
        <v>2553.12</v>
      </c>
      <c r="M1893" s="33" t="n">
        <v>4</v>
      </c>
      <c r="N1893" s="33" t="s">
        <v>146</v>
      </c>
      <c r="O1893" s="33" t="s">
        <v>147</v>
      </c>
      <c r="P1893" s="39" t="n">
        <f aca="false">C1893-B1893</f>
        <v>1</v>
      </c>
      <c r="Q1893" s="40" t="str">
        <f aca="false">CHOOSE(MONTH(B1893),"يناير","فبراير","مارس","أبريل","مايو","يونيو","يوليو","أغسطس","سبتمبر","أكتوبر","نوفمبر","ديسمبر")</f>
        <v>نوفمبر</v>
      </c>
      <c r="R1893" s="40" t="str">
        <f aca="false">"الربع "&amp;ROUNDUP(MONTH(B1893)/3,0)</f>
        <v>الربع 4</v>
      </c>
      <c r="S1893" s="40" t="str">
        <f aca="false">IF(D1893&lt;=12,"أطفال (0-12)",IF(D1893&lt;=24,"شباب (13-24)",IF(D1893&lt;=44,"بالغون (25-44)",IF(D1893&lt;=64,"متوسطو العمر (45-64)","كبار السن (+65)"))))</f>
        <v>بالغون (25-44)</v>
      </c>
      <c r="T1893" s="41" t="n">
        <f aca="false">IFERROR(L1893/P1893,0)</f>
        <v>2553.12</v>
      </c>
    </row>
    <row r="1894" customFormat="false" ht="15" hidden="false" customHeight="false" outlineLevel="0" collapsed="false">
      <c r="A1894" s="42" t="s">
        <v>1537</v>
      </c>
      <c r="B1894" s="43" t="n">
        <v>45622</v>
      </c>
      <c r="C1894" s="43" t="n">
        <v>45631</v>
      </c>
      <c r="D1894" s="42" t="n">
        <v>25</v>
      </c>
      <c r="E1894" s="42" t="s">
        <v>139</v>
      </c>
      <c r="F1894" s="42" t="s">
        <v>173</v>
      </c>
      <c r="G1894" s="42" t="s">
        <v>198</v>
      </c>
      <c r="H1894" s="42" t="s">
        <v>175</v>
      </c>
      <c r="I1894" s="42" t="s">
        <v>143</v>
      </c>
      <c r="J1894" s="42" t="s">
        <v>159</v>
      </c>
      <c r="K1894" s="42" t="s">
        <v>160</v>
      </c>
      <c r="L1894" s="44" t="n">
        <v>23549.92</v>
      </c>
      <c r="M1894" s="42" t="n">
        <v>4</v>
      </c>
      <c r="N1894" s="42" t="s">
        <v>146</v>
      </c>
      <c r="O1894" s="42" t="s">
        <v>147</v>
      </c>
      <c r="P1894" s="39" t="n">
        <f aca="false">C1894-B1894</f>
        <v>9</v>
      </c>
      <c r="Q1894" s="40" t="str">
        <f aca="false">CHOOSE(MONTH(B1894),"يناير","فبراير","مارس","أبريل","مايو","يونيو","يوليو","أغسطس","سبتمبر","أكتوبر","نوفمبر","ديسمبر")</f>
        <v>نوفمبر</v>
      </c>
      <c r="R1894" s="40" t="str">
        <f aca="false">"الربع "&amp;ROUNDUP(MONTH(B1894)/3,0)</f>
        <v>الربع 4</v>
      </c>
      <c r="S1894" s="40" t="str">
        <f aca="false">IF(D1894&lt;=12,"أطفال (0-12)",IF(D1894&lt;=24,"شباب (13-24)",IF(D1894&lt;=44,"بالغون (25-44)",IF(D1894&lt;=64,"متوسطو العمر (45-64)","كبار السن (+65)"))))</f>
        <v>بالغون (25-44)</v>
      </c>
      <c r="T1894" s="41" t="n">
        <f aca="false">IFERROR(L1894/P1894,0)</f>
        <v>2616.65777777778</v>
      </c>
    </row>
    <row r="1895" customFormat="false" ht="15" hidden="false" customHeight="false" outlineLevel="0" collapsed="false">
      <c r="A1895" s="33" t="s">
        <v>734</v>
      </c>
      <c r="B1895" s="34" t="n">
        <v>45622</v>
      </c>
      <c r="C1895" s="34" t="n">
        <v>45627</v>
      </c>
      <c r="D1895" s="33" t="n">
        <v>39</v>
      </c>
      <c r="E1895" s="33" t="s">
        <v>139</v>
      </c>
      <c r="F1895" s="33" t="s">
        <v>169</v>
      </c>
      <c r="G1895" s="33" t="s">
        <v>230</v>
      </c>
      <c r="H1895" s="33" t="s">
        <v>164</v>
      </c>
      <c r="I1895" s="33" t="s">
        <v>143</v>
      </c>
      <c r="J1895" s="33" t="s">
        <v>159</v>
      </c>
      <c r="K1895" s="33" t="s">
        <v>160</v>
      </c>
      <c r="L1895" s="35" t="n">
        <v>4938.35</v>
      </c>
      <c r="M1895" s="33" t="n">
        <v>3</v>
      </c>
      <c r="N1895" s="33" t="s">
        <v>146</v>
      </c>
      <c r="O1895" s="33" t="s">
        <v>147</v>
      </c>
      <c r="P1895" s="39" t="n">
        <f aca="false">C1895-B1895</f>
        <v>5</v>
      </c>
      <c r="Q1895" s="40" t="str">
        <f aca="false">CHOOSE(MONTH(B1895),"يناير","فبراير","مارس","أبريل","مايو","يونيو","يوليو","أغسطس","سبتمبر","أكتوبر","نوفمبر","ديسمبر")</f>
        <v>نوفمبر</v>
      </c>
      <c r="R1895" s="40" t="str">
        <f aca="false">"الربع "&amp;ROUNDUP(MONTH(B1895)/3,0)</f>
        <v>الربع 4</v>
      </c>
      <c r="S1895" s="40" t="str">
        <f aca="false">IF(D1895&lt;=12,"أطفال (0-12)",IF(D1895&lt;=24,"شباب (13-24)",IF(D1895&lt;=44,"بالغون (25-44)",IF(D1895&lt;=64,"متوسطو العمر (45-64)","كبار السن (+65)"))))</f>
        <v>بالغون (25-44)</v>
      </c>
      <c r="T1895" s="41" t="n">
        <f aca="false">IFERROR(L1895/P1895,0)</f>
        <v>987.67</v>
      </c>
    </row>
    <row r="1896" customFormat="false" ht="15" hidden="false" customHeight="false" outlineLevel="0" collapsed="false">
      <c r="A1896" s="42" t="s">
        <v>1552</v>
      </c>
      <c r="B1896" s="43" t="n">
        <v>45622</v>
      </c>
      <c r="C1896" s="43" t="n">
        <v>45625</v>
      </c>
      <c r="D1896" s="42" t="n">
        <v>8</v>
      </c>
      <c r="E1896" s="42" t="s">
        <v>139</v>
      </c>
      <c r="F1896" s="42" t="s">
        <v>203</v>
      </c>
      <c r="G1896" s="42" t="s">
        <v>204</v>
      </c>
      <c r="H1896" s="42" t="s">
        <v>205</v>
      </c>
      <c r="I1896" s="42" t="s">
        <v>143</v>
      </c>
      <c r="J1896" s="42" t="s">
        <v>159</v>
      </c>
      <c r="K1896" s="42" t="s">
        <v>160</v>
      </c>
      <c r="L1896" s="44" t="n">
        <v>2753.53</v>
      </c>
      <c r="M1896" s="42" t="n">
        <v>3</v>
      </c>
      <c r="N1896" s="42" t="s">
        <v>146</v>
      </c>
      <c r="O1896" s="42" t="s">
        <v>147</v>
      </c>
      <c r="P1896" s="39" t="n">
        <f aca="false">C1896-B1896</f>
        <v>3</v>
      </c>
      <c r="Q1896" s="40" t="str">
        <f aca="false">CHOOSE(MONTH(B1896),"يناير","فبراير","مارس","أبريل","مايو","يونيو","يوليو","أغسطس","سبتمبر","أكتوبر","نوفمبر","ديسمبر")</f>
        <v>نوفمبر</v>
      </c>
      <c r="R1896" s="40" t="str">
        <f aca="false">"الربع "&amp;ROUNDUP(MONTH(B1896)/3,0)</f>
        <v>الربع 4</v>
      </c>
      <c r="S1896" s="40" t="str">
        <f aca="false">IF(D1896&lt;=12,"أطفال (0-12)",IF(D1896&lt;=24,"شباب (13-24)",IF(D1896&lt;=44,"بالغون (25-44)",IF(D1896&lt;=64,"متوسطو العمر (45-64)","كبار السن (+65)"))))</f>
        <v>أطفال (0-12)</v>
      </c>
      <c r="T1896" s="41" t="n">
        <f aca="false">IFERROR(L1896/P1896,0)</f>
        <v>917.843333333333</v>
      </c>
    </row>
    <row r="1897" customFormat="false" ht="15" hidden="false" customHeight="false" outlineLevel="0" collapsed="false">
      <c r="A1897" s="33" t="s">
        <v>1223</v>
      </c>
      <c r="B1897" s="34" t="n">
        <v>45622</v>
      </c>
      <c r="C1897" s="34" t="n">
        <v>45634</v>
      </c>
      <c r="D1897" s="33" t="n">
        <v>60</v>
      </c>
      <c r="E1897" s="33" t="s">
        <v>154</v>
      </c>
      <c r="F1897" s="33" t="s">
        <v>181</v>
      </c>
      <c r="G1897" s="33" t="s">
        <v>182</v>
      </c>
      <c r="H1897" s="33" t="s">
        <v>183</v>
      </c>
      <c r="I1897" s="33" t="s">
        <v>143</v>
      </c>
      <c r="J1897" s="33" t="s">
        <v>159</v>
      </c>
      <c r="K1897" s="33" t="s">
        <v>145</v>
      </c>
      <c r="L1897" s="35" t="n">
        <v>33057.72</v>
      </c>
      <c r="M1897" s="33" t="n">
        <v>4</v>
      </c>
      <c r="N1897" s="33" t="s">
        <v>146</v>
      </c>
      <c r="O1897" s="33" t="s">
        <v>147</v>
      </c>
      <c r="P1897" s="39" t="n">
        <f aca="false">C1897-B1897</f>
        <v>12</v>
      </c>
      <c r="Q1897" s="40" t="str">
        <f aca="false">CHOOSE(MONTH(B1897),"يناير","فبراير","مارس","أبريل","مايو","يونيو","يوليو","أغسطس","سبتمبر","أكتوبر","نوفمبر","ديسمبر")</f>
        <v>نوفمبر</v>
      </c>
      <c r="R1897" s="40" t="str">
        <f aca="false">"الربع "&amp;ROUNDUP(MONTH(B1897)/3,0)</f>
        <v>الربع 4</v>
      </c>
      <c r="S1897" s="40" t="str">
        <f aca="false">IF(D1897&lt;=12,"أطفال (0-12)",IF(D1897&lt;=24,"شباب (13-24)",IF(D1897&lt;=44,"بالغون (25-44)",IF(D1897&lt;=64,"متوسطو العمر (45-64)","كبار السن (+65)"))))</f>
        <v>متوسطو العمر (45-64)</v>
      </c>
      <c r="T1897" s="41" t="n">
        <f aca="false">IFERROR(L1897/P1897,0)</f>
        <v>2754.81</v>
      </c>
    </row>
    <row r="1898" customFormat="false" ht="15" hidden="false" customHeight="false" outlineLevel="0" collapsed="false">
      <c r="A1898" s="42" t="s">
        <v>698</v>
      </c>
      <c r="B1898" s="43" t="n">
        <v>45622</v>
      </c>
      <c r="C1898" s="43" t="n">
        <v>45630</v>
      </c>
      <c r="D1898" s="42" t="n">
        <v>69</v>
      </c>
      <c r="E1898" s="42" t="s">
        <v>139</v>
      </c>
      <c r="F1898" s="42" t="s">
        <v>173</v>
      </c>
      <c r="G1898" s="42" t="s">
        <v>178</v>
      </c>
      <c r="H1898" s="42" t="s">
        <v>199</v>
      </c>
      <c r="I1898" s="42" t="s">
        <v>143</v>
      </c>
      <c r="J1898" s="42" t="s">
        <v>159</v>
      </c>
      <c r="K1898" s="42" t="s">
        <v>184</v>
      </c>
      <c r="L1898" s="44" t="n">
        <v>17049.31</v>
      </c>
      <c r="M1898" s="42" t="n">
        <v>4</v>
      </c>
      <c r="N1898" s="42" t="s">
        <v>146</v>
      </c>
      <c r="O1898" s="42" t="s">
        <v>147</v>
      </c>
      <c r="P1898" s="39" t="n">
        <f aca="false">C1898-B1898</f>
        <v>8</v>
      </c>
      <c r="Q1898" s="40" t="str">
        <f aca="false">CHOOSE(MONTH(B1898),"يناير","فبراير","مارس","أبريل","مايو","يونيو","يوليو","أغسطس","سبتمبر","أكتوبر","نوفمبر","ديسمبر")</f>
        <v>نوفمبر</v>
      </c>
      <c r="R1898" s="40" t="str">
        <f aca="false">"الربع "&amp;ROUNDUP(MONTH(B1898)/3,0)</f>
        <v>الربع 4</v>
      </c>
      <c r="S1898" s="40" t="str">
        <f aca="false">IF(D1898&lt;=12,"أطفال (0-12)",IF(D1898&lt;=24,"شباب (13-24)",IF(D1898&lt;=44,"بالغون (25-44)",IF(D1898&lt;=64,"متوسطو العمر (45-64)","كبار السن (+65)"))))</f>
        <v>كبار السن (+65)</v>
      </c>
      <c r="T1898" s="41" t="n">
        <f aca="false">IFERROR(L1898/P1898,0)</f>
        <v>2131.16375</v>
      </c>
    </row>
    <row r="1899" customFormat="false" ht="15" hidden="false" customHeight="false" outlineLevel="0" collapsed="false">
      <c r="A1899" s="33" t="s">
        <v>1584</v>
      </c>
      <c r="B1899" s="34" t="n">
        <v>45622</v>
      </c>
      <c r="C1899" s="34" t="n">
        <v>45625</v>
      </c>
      <c r="D1899" s="33" t="n">
        <v>65</v>
      </c>
      <c r="E1899" s="33" t="s">
        <v>154</v>
      </c>
      <c r="F1899" s="33" t="s">
        <v>169</v>
      </c>
      <c r="G1899" s="33" t="s">
        <v>163</v>
      </c>
      <c r="H1899" s="33" t="s">
        <v>195</v>
      </c>
      <c r="I1899" s="33" t="s">
        <v>143</v>
      </c>
      <c r="J1899" s="33" t="s">
        <v>176</v>
      </c>
      <c r="K1899" s="33" t="s">
        <v>145</v>
      </c>
      <c r="L1899" s="35" t="n">
        <v>10614.6</v>
      </c>
      <c r="M1899" s="33" t="n">
        <v>3</v>
      </c>
      <c r="N1899" s="33" t="s">
        <v>146</v>
      </c>
      <c r="O1899" s="33" t="s">
        <v>147</v>
      </c>
      <c r="P1899" s="39" t="n">
        <f aca="false">C1899-B1899</f>
        <v>3</v>
      </c>
      <c r="Q1899" s="40" t="str">
        <f aca="false">CHOOSE(MONTH(B1899),"يناير","فبراير","مارس","أبريل","مايو","يونيو","يوليو","أغسطس","سبتمبر","أكتوبر","نوفمبر","ديسمبر")</f>
        <v>نوفمبر</v>
      </c>
      <c r="R1899" s="40" t="str">
        <f aca="false">"الربع "&amp;ROUNDUP(MONTH(B1899)/3,0)</f>
        <v>الربع 4</v>
      </c>
      <c r="S1899" s="40" t="str">
        <f aca="false">IF(D1899&lt;=12,"أطفال (0-12)",IF(D1899&lt;=24,"شباب (13-24)",IF(D1899&lt;=44,"بالغون (25-44)",IF(D1899&lt;=64,"متوسطو العمر (45-64)","كبار السن (+65)"))))</f>
        <v>كبار السن (+65)</v>
      </c>
      <c r="T1899" s="41" t="n">
        <f aca="false">IFERROR(L1899/P1899,0)</f>
        <v>3538.2</v>
      </c>
    </row>
    <row r="1900" customFormat="false" ht="15" hidden="false" customHeight="false" outlineLevel="0" collapsed="false">
      <c r="A1900" s="42" t="s">
        <v>716</v>
      </c>
      <c r="B1900" s="43" t="n">
        <v>45623</v>
      </c>
      <c r="C1900" s="43" t="n">
        <v>45625</v>
      </c>
      <c r="D1900" s="42" t="n">
        <v>6</v>
      </c>
      <c r="E1900" s="42" t="s">
        <v>154</v>
      </c>
      <c r="F1900" s="42" t="s">
        <v>155</v>
      </c>
      <c r="G1900" s="42" t="s">
        <v>302</v>
      </c>
      <c r="H1900" s="42" t="s">
        <v>157</v>
      </c>
      <c r="I1900" s="42" t="s">
        <v>143</v>
      </c>
      <c r="J1900" s="42" t="s">
        <v>159</v>
      </c>
      <c r="K1900" s="42" t="s">
        <v>160</v>
      </c>
      <c r="L1900" s="44" t="n">
        <v>1858.55</v>
      </c>
      <c r="M1900" s="42" t="n">
        <v>4</v>
      </c>
      <c r="N1900" s="42" t="s">
        <v>146</v>
      </c>
      <c r="O1900" s="42" t="s">
        <v>247</v>
      </c>
      <c r="P1900" s="39" t="n">
        <f aca="false">C1900-B1900</f>
        <v>2</v>
      </c>
      <c r="Q1900" s="40" t="str">
        <f aca="false">CHOOSE(MONTH(B1900),"يناير","فبراير","مارس","أبريل","مايو","يونيو","يوليو","أغسطس","سبتمبر","أكتوبر","نوفمبر","ديسمبر")</f>
        <v>نوفمبر</v>
      </c>
      <c r="R1900" s="40" t="str">
        <f aca="false">"الربع "&amp;ROUNDUP(MONTH(B1900)/3,0)</f>
        <v>الربع 4</v>
      </c>
      <c r="S1900" s="40" t="str">
        <f aca="false">IF(D1900&lt;=12,"أطفال (0-12)",IF(D1900&lt;=24,"شباب (13-24)",IF(D1900&lt;=44,"بالغون (25-44)",IF(D1900&lt;=64,"متوسطو العمر (45-64)","كبار السن (+65)"))))</f>
        <v>أطفال (0-12)</v>
      </c>
      <c r="T1900" s="41" t="n">
        <f aca="false">IFERROR(L1900/P1900,0)</f>
        <v>929.275</v>
      </c>
    </row>
    <row r="1901" customFormat="false" ht="15" hidden="false" customHeight="false" outlineLevel="0" collapsed="false">
      <c r="A1901" s="33" t="s">
        <v>2266</v>
      </c>
      <c r="B1901" s="34" t="n">
        <v>45623</v>
      </c>
      <c r="C1901" s="34" t="n">
        <v>45625</v>
      </c>
      <c r="D1901" s="33" t="n">
        <v>42</v>
      </c>
      <c r="E1901" s="33" t="s">
        <v>154</v>
      </c>
      <c r="F1901" s="33" t="s">
        <v>203</v>
      </c>
      <c r="G1901" s="33" t="s">
        <v>232</v>
      </c>
      <c r="H1901" s="33" t="s">
        <v>193</v>
      </c>
      <c r="I1901" s="33" t="s">
        <v>143</v>
      </c>
      <c r="J1901" s="33" t="s">
        <v>159</v>
      </c>
      <c r="K1901" s="33" t="s">
        <v>209</v>
      </c>
      <c r="L1901" s="35" t="n">
        <v>1877.39</v>
      </c>
      <c r="M1901" s="33" t="n">
        <v>3</v>
      </c>
      <c r="N1901" s="33" t="s">
        <v>210</v>
      </c>
      <c r="O1901" s="33" t="s">
        <v>247</v>
      </c>
      <c r="P1901" s="39" t="n">
        <f aca="false">C1901-B1901</f>
        <v>2</v>
      </c>
      <c r="Q1901" s="40" t="str">
        <f aca="false">CHOOSE(MONTH(B1901),"يناير","فبراير","مارس","أبريل","مايو","يونيو","يوليو","أغسطس","سبتمبر","أكتوبر","نوفمبر","ديسمبر")</f>
        <v>نوفمبر</v>
      </c>
      <c r="R1901" s="40" t="str">
        <f aca="false">"الربع "&amp;ROUNDUP(MONTH(B1901)/3,0)</f>
        <v>الربع 4</v>
      </c>
      <c r="S1901" s="40" t="str">
        <f aca="false">IF(D1901&lt;=12,"أطفال (0-12)",IF(D1901&lt;=24,"شباب (13-24)",IF(D1901&lt;=44,"بالغون (25-44)",IF(D1901&lt;=64,"متوسطو العمر (45-64)","كبار السن (+65)"))))</f>
        <v>بالغون (25-44)</v>
      </c>
      <c r="T1901" s="41" t="n">
        <f aca="false">IFERROR(L1901/P1901,0)</f>
        <v>938.695</v>
      </c>
    </row>
    <row r="1902" customFormat="false" ht="15" hidden="false" customHeight="false" outlineLevel="0" collapsed="false">
      <c r="A1902" s="42" t="s">
        <v>1559</v>
      </c>
      <c r="B1902" s="43" t="n">
        <v>45623</v>
      </c>
      <c r="C1902" s="43" t="n">
        <v>45630</v>
      </c>
      <c r="D1902" s="42" t="n">
        <v>59</v>
      </c>
      <c r="E1902" s="42" t="s">
        <v>139</v>
      </c>
      <c r="F1902" s="42" t="s">
        <v>173</v>
      </c>
      <c r="G1902" s="42" t="s">
        <v>174</v>
      </c>
      <c r="H1902" s="42" t="s">
        <v>175</v>
      </c>
      <c r="I1902" s="42" t="s">
        <v>143</v>
      </c>
      <c r="J1902" s="42" t="s">
        <v>159</v>
      </c>
      <c r="K1902" s="42" t="s">
        <v>209</v>
      </c>
      <c r="L1902" s="44" t="n">
        <v>17743.47</v>
      </c>
      <c r="M1902" s="42" t="n">
        <v>3</v>
      </c>
      <c r="N1902" s="42" t="s">
        <v>146</v>
      </c>
      <c r="O1902" s="42" t="s">
        <v>147</v>
      </c>
      <c r="P1902" s="39" t="n">
        <f aca="false">C1902-B1902</f>
        <v>7</v>
      </c>
      <c r="Q1902" s="40" t="str">
        <f aca="false">CHOOSE(MONTH(B1902),"يناير","فبراير","مارس","أبريل","مايو","يونيو","يوليو","أغسطس","سبتمبر","أكتوبر","نوفمبر","ديسمبر")</f>
        <v>نوفمبر</v>
      </c>
      <c r="R1902" s="40" t="str">
        <f aca="false">"الربع "&amp;ROUNDUP(MONTH(B1902)/3,0)</f>
        <v>الربع 4</v>
      </c>
      <c r="S1902" s="40" t="str">
        <f aca="false">IF(D1902&lt;=12,"أطفال (0-12)",IF(D1902&lt;=24,"شباب (13-24)",IF(D1902&lt;=44,"بالغون (25-44)",IF(D1902&lt;=64,"متوسطو العمر (45-64)","كبار السن (+65)"))))</f>
        <v>متوسطو العمر (45-64)</v>
      </c>
      <c r="T1902" s="41" t="n">
        <f aca="false">IFERROR(L1902/P1902,0)</f>
        <v>2534.78142857143</v>
      </c>
    </row>
    <row r="1903" customFormat="false" ht="15" hidden="false" customHeight="false" outlineLevel="0" collapsed="false">
      <c r="A1903" s="33" t="s">
        <v>1057</v>
      </c>
      <c r="B1903" s="34" t="n">
        <v>45623</v>
      </c>
      <c r="C1903" s="34" t="n">
        <v>45630</v>
      </c>
      <c r="D1903" s="33" t="n">
        <v>54</v>
      </c>
      <c r="E1903" s="33" t="s">
        <v>154</v>
      </c>
      <c r="F1903" s="33" t="s">
        <v>181</v>
      </c>
      <c r="G1903" s="33" t="s">
        <v>237</v>
      </c>
      <c r="H1903" s="33" t="s">
        <v>183</v>
      </c>
      <c r="I1903" s="33" t="s">
        <v>152</v>
      </c>
      <c r="J1903" s="33" t="s">
        <v>159</v>
      </c>
      <c r="K1903" s="33" t="s">
        <v>145</v>
      </c>
      <c r="L1903" s="35" t="n">
        <v>15344.43</v>
      </c>
      <c r="M1903" s="33" t="n">
        <v>4</v>
      </c>
      <c r="N1903" s="33" t="s">
        <v>210</v>
      </c>
      <c r="O1903" s="33" t="s">
        <v>147</v>
      </c>
      <c r="P1903" s="39" t="n">
        <f aca="false">C1903-B1903</f>
        <v>7</v>
      </c>
      <c r="Q1903" s="40" t="str">
        <f aca="false">CHOOSE(MONTH(B1903),"يناير","فبراير","مارس","أبريل","مايو","يونيو","يوليو","أغسطس","سبتمبر","أكتوبر","نوفمبر","ديسمبر")</f>
        <v>نوفمبر</v>
      </c>
      <c r="R1903" s="40" t="str">
        <f aca="false">"الربع "&amp;ROUNDUP(MONTH(B1903)/3,0)</f>
        <v>الربع 4</v>
      </c>
      <c r="S1903" s="40" t="str">
        <f aca="false">IF(D1903&lt;=12,"أطفال (0-12)",IF(D1903&lt;=24,"شباب (13-24)",IF(D1903&lt;=44,"بالغون (25-44)",IF(D1903&lt;=64,"متوسطو العمر (45-64)","كبار السن (+65)"))))</f>
        <v>متوسطو العمر (45-64)</v>
      </c>
      <c r="T1903" s="41" t="n">
        <f aca="false">IFERROR(L1903/P1903,0)</f>
        <v>2192.06142857143</v>
      </c>
    </row>
    <row r="1904" customFormat="false" ht="15" hidden="false" customHeight="false" outlineLevel="0" collapsed="false">
      <c r="A1904" s="42" t="s">
        <v>1233</v>
      </c>
      <c r="B1904" s="43" t="n">
        <v>45624</v>
      </c>
      <c r="C1904" s="43" t="n">
        <v>45626</v>
      </c>
      <c r="D1904" s="42" t="n">
        <v>39</v>
      </c>
      <c r="E1904" s="42" t="s">
        <v>139</v>
      </c>
      <c r="F1904" s="42" t="s">
        <v>203</v>
      </c>
      <c r="G1904" s="42" t="s">
        <v>204</v>
      </c>
      <c r="H1904" s="42" t="s">
        <v>193</v>
      </c>
      <c r="I1904" s="42" t="s">
        <v>143</v>
      </c>
      <c r="J1904" s="42" t="s">
        <v>159</v>
      </c>
      <c r="K1904" s="42" t="s">
        <v>160</v>
      </c>
      <c r="L1904" s="44" t="n">
        <v>1759.73</v>
      </c>
      <c r="M1904" s="42" t="n">
        <v>3</v>
      </c>
      <c r="N1904" s="42" t="s">
        <v>146</v>
      </c>
      <c r="O1904" s="42" t="s">
        <v>147</v>
      </c>
      <c r="P1904" s="39" t="n">
        <f aca="false">C1904-B1904</f>
        <v>2</v>
      </c>
      <c r="Q1904" s="40" t="str">
        <f aca="false">CHOOSE(MONTH(B1904),"يناير","فبراير","مارس","أبريل","مايو","يونيو","يوليو","أغسطس","سبتمبر","أكتوبر","نوفمبر","ديسمبر")</f>
        <v>نوفمبر</v>
      </c>
      <c r="R1904" s="40" t="str">
        <f aca="false">"الربع "&amp;ROUNDUP(MONTH(B1904)/3,0)</f>
        <v>الربع 4</v>
      </c>
      <c r="S1904" s="40" t="str">
        <f aca="false">IF(D1904&lt;=12,"أطفال (0-12)",IF(D1904&lt;=24,"شباب (13-24)",IF(D1904&lt;=44,"بالغون (25-44)",IF(D1904&lt;=64,"متوسطو العمر (45-64)","كبار السن (+65)"))))</f>
        <v>بالغون (25-44)</v>
      </c>
      <c r="T1904" s="41" t="n">
        <f aca="false">IFERROR(L1904/P1904,0)</f>
        <v>879.865</v>
      </c>
    </row>
    <row r="1905" customFormat="false" ht="15" hidden="false" customHeight="false" outlineLevel="0" collapsed="false">
      <c r="A1905" s="33" t="s">
        <v>305</v>
      </c>
      <c r="B1905" s="34" t="n">
        <v>45624</v>
      </c>
      <c r="C1905" s="34" t="n">
        <v>45629</v>
      </c>
      <c r="D1905" s="33" t="n">
        <v>43</v>
      </c>
      <c r="E1905" s="33" t="s">
        <v>139</v>
      </c>
      <c r="F1905" s="33" t="s">
        <v>169</v>
      </c>
      <c r="G1905" s="33" t="s">
        <v>170</v>
      </c>
      <c r="H1905" s="33" t="s">
        <v>171</v>
      </c>
      <c r="I1905" s="33" t="s">
        <v>143</v>
      </c>
      <c r="J1905" s="33" t="s">
        <v>159</v>
      </c>
      <c r="K1905" s="33" t="s">
        <v>145</v>
      </c>
      <c r="L1905" s="35" t="n">
        <v>5488.52</v>
      </c>
      <c r="M1905" s="33" t="n">
        <v>4</v>
      </c>
      <c r="N1905" s="33" t="s">
        <v>146</v>
      </c>
      <c r="O1905" s="33" t="s">
        <v>147</v>
      </c>
      <c r="P1905" s="39" t="n">
        <f aca="false">C1905-B1905</f>
        <v>5</v>
      </c>
      <c r="Q1905" s="40" t="str">
        <f aca="false">CHOOSE(MONTH(B1905),"يناير","فبراير","مارس","أبريل","مايو","يونيو","يوليو","أغسطس","سبتمبر","أكتوبر","نوفمبر","ديسمبر")</f>
        <v>نوفمبر</v>
      </c>
      <c r="R1905" s="40" t="str">
        <f aca="false">"الربع "&amp;ROUNDUP(MONTH(B1905)/3,0)</f>
        <v>الربع 4</v>
      </c>
      <c r="S1905" s="40" t="str">
        <f aca="false">IF(D1905&lt;=12,"أطفال (0-12)",IF(D1905&lt;=24,"شباب (13-24)",IF(D1905&lt;=44,"بالغون (25-44)",IF(D1905&lt;=64,"متوسطو العمر (45-64)","كبار السن (+65)"))))</f>
        <v>بالغون (25-44)</v>
      </c>
      <c r="T1905" s="41" t="n">
        <f aca="false">IFERROR(L1905/P1905,0)</f>
        <v>1097.704</v>
      </c>
    </row>
    <row r="1906" customFormat="false" ht="15" hidden="false" customHeight="false" outlineLevel="0" collapsed="false">
      <c r="A1906" s="42" t="s">
        <v>1879</v>
      </c>
      <c r="B1906" s="43" t="n">
        <v>45624</v>
      </c>
      <c r="C1906" s="43" t="n">
        <v>45626</v>
      </c>
      <c r="D1906" s="42" t="n">
        <v>41</v>
      </c>
      <c r="E1906" s="42" t="s">
        <v>139</v>
      </c>
      <c r="F1906" s="42" t="s">
        <v>173</v>
      </c>
      <c r="G1906" s="42" t="s">
        <v>174</v>
      </c>
      <c r="H1906" s="42" t="s">
        <v>199</v>
      </c>
      <c r="I1906" s="42" t="s">
        <v>143</v>
      </c>
      <c r="J1906" s="42" t="s">
        <v>159</v>
      </c>
      <c r="K1906" s="42" t="s">
        <v>160</v>
      </c>
      <c r="L1906" s="44" t="n">
        <v>5858.39</v>
      </c>
      <c r="M1906" s="42" t="n">
        <v>4</v>
      </c>
      <c r="N1906" s="42" t="s">
        <v>146</v>
      </c>
      <c r="O1906" s="42" t="s">
        <v>147</v>
      </c>
      <c r="P1906" s="39" t="n">
        <f aca="false">C1906-B1906</f>
        <v>2</v>
      </c>
      <c r="Q1906" s="40" t="str">
        <f aca="false">CHOOSE(MONTH(B1906),"يناير","فبراير","مارس","أبريل","مايو","يونيو","يوليو","أغسطس","سبتمبر","أكتوبر","نوفمبر","ديسمبر")</f>
        <v>نوفمبر</v>
      </c>
      <c r="R1906" s="40" t="str">
        <f aca="false">"الربع "&amp;ROUNDUP(MONTH(B1906)/3,0)</f>
        <v>الربع 4</v>
      </c>
      <c r="S1906" s="40" t="str">
        <f aca="false">IF(D1906&lt;=12,"أطفال (0-12)",IF(D1906&lt;=24,"شباب (13-24)",IF(D1906&lt;=44,"بالغون (25-44)",IF(D1906&lt;=64,"متوسطو العمر (45-64)","كبار السن (+65)"))))</f>
        <v>بالغون (25-44)</v>
      </c>
      <c r="T1906" s="41" t="n">
        <f aca="false">IFERROR(L1906/P1906,0)</f>
        <v>2929.195</v>
      </c>
    </row>
    <row r="1907" customFormat="false" ht="15" hidden="false" customHeight="false" outlineLevel="0" collapsed="false">
      <c r="A1907" s="33" t="s">
        <v>771</v>
      </c>
      <c r="B1907" s="34" t="n">
        <v>45624</v>
      </c>
      <c r="C1907" s="34" t="n">
        <v>45631</v>
      </c>
      <c r="D1907" s="33" t="n">
        <v>49</v>
      </c>
      <c r="E1907" s="33" t="s">
        <v>154</v>
      </c>
      <c r="F1907" s="33" t="s">
        <v>173</v>
      </c>
      <c r="G1907" s="33" t="s">
        <v>178</v>
      </c>
      <c r="H1907" s="33" t="s">
        <v>199</v>
      </c>
      <c r="I1907" s="33" t="s">
        <v>158</v>
      </c>
      <c r="J1907" s="33" t="s">
        <v>159</v>
      </c>
      <c r="K1907" s="33" t="s">
        <v>145</v>
      </c>
      <c r="L1907" s="35" t="n">
        <v>14397.26</v>
      </c>
      <c r="M1907" s="33" t="n">
        <v>5</v>
      </c>
      <c r="N1907" s="33" t="s">
        <v>146</v>
      </c>
      <c r="O1907" s="33" t="s">
        <v>147</v>
      </c>
      <c r="P1907" s="39" t="n">
        <f aca="false">C1907-B1907</f>
        <v>7</v>
      </c>
      <c r="Q1907" s="40" t="str">
        <f aca="false">CHOOSE(MONTH(B1907),"يناير","فبراير","مارس","أبريل","مايو","يونيو","يوليو","أغسطس","سبتمبر","أكتوبر","نوفمبر","ديسمبر")</f>
        <v>نوفمبر</v>
      </c>
      <c r="R1907" s="40" t="str">
        <f aca="false">"الربع "&amp;ROUNDUP(MONTH(B1907)/3,0)</f>
        <v>الربع 4</v>
      </c>
      <c r="S1907" s="40" t="str">
        <f aca="false">IF(D1907&lt;=12,"أطفال (0-12)",IF(D1907&lt;=24,"شباب (13-24)",IF(D1907&lt;=44,"بالغون (25-44)",IF(D1907&lt;=64,"متوسطو العمر (45-64)","كبار السن (+65)"))))</f>
        <v>متوسطو العمر (45-64)</v>
      </c>
      <c r="T1907" s="41" t="n">
        <f aca="false">IFERROR(L1907/P1907,0)</f>
        <v>2056.75142857143</v>
      </c>
    </row>
    <row r="1908" customFormat="false" ht="15" hidden="false" customHeight="false" outlineLevel="0" collapsed="false">
      <c r="A1908" s="42" t="s">
        <v>1226</v>
      </c>
      <c r="B1908" s="43" t="n">
        <v>45624</v>
      </c>
      <c r="C1908" s="43" t="n">
        <v>45625</v>
      </c>
      <c r="D1908" s="42" t="n">
        <v>7</v>
      </c>
      <c r="E1908" s="42" t="s">
        <v>154</v>
      </c>
      <c r="F1908" s="42" t="s">
        <v>203</v>
      </c>
      <c r="G1908" s="42" t="s">
        <v>204</v>
      </c>
      <c r="H1908" s="42" t="s">
        <v>193</v>
      </c>
      <c r="I1908" s="42" t="s">
        <v>143</v>
      </c>
      <c r="J1908" s="42" t="s">
        <v>176</v>
      </c>
      <c r="K1908" s="42" t="s">
        <v>145</v>
      </c>
      <c r="L1908" s="44" t="n">
        <v>3726.38</v>
      </c>
      <c r="M1908" s="42" t="n">
        <v>4</v>
      </c>
      <c r="N1908" s="42" t="s">
        <v>146</v>
      </c>
      <c r="O1908" s="42" t="s">
        <v>147</v>
      </c>
      <c r="P1908" s="39" t="n">
        <f aca="false">C1908-B1908</f>
        <v>1</v>
      </c>
      <c r="Q1908" s="40" t="str">
        <f aca="false">CHOOSE(MONTH(B1908),"يناير","فبراير","مارس","أبريل","مايو","يونيو","يوليو","أغسطس","سبتمبر","أكتوبر","نوفمبر","ديسمبر")</f>
        <v>نوفمبر</v>
      </c>
      <c r="R1908" s="40" t="str">
        <f aca="false">"الربع "&amp;ROUNDUP(MONTH(B1908)/3,0)</f>
        <v>الربع 4</v>
      </c>
      <c r="S1908" s="40" t="str">
        <f aca="false">IF(D1908&lt;=12,"أطفال (0-12)",IF(D1908&lt;=24,"شباب (13-24)",IF(D1908&lt;=44,"بالغون (25-44)",IF(D1908&lt;=64,"متوسطو العمر (45-64)","كبار السن (+65)"))))</f>
        <v>أطفال (0-12)</v>
      </c>
      <c r="T1908" s="41" t="n">
        <f aca="false">IFERROR(L1908/P1908,0)</f>
        <v>3726.38</v>
      </c>
    </row>
    <row r="1909" customFormat="false" ht="15" hidden="false" customHeight="false" outlineLevel="0" collapsed="false">
      <c r="A1909" s="33" t="s">
        <v>1059</v>
      </c>
      <c r="B1909" s="34" t="n">
        <v>45624</v>
      </c>
      <c r="C1909" s="34" t="n">
        <v>45633</v>
      </c>
      <c r="D1909" s="33" t="n">
        <v>27</v>
      </c>
      <c r="E1909" s="33" t="s">
        <v>139</v>
      </c>
      <c r="F1909" s="33" t="s">
        <v>169</v>
      </c>
      <c r="G1909" s="33" t="s">
        <v>170</v>
      </c>
      <c r="H1909" s="33" t="s">
        <v>171</v>
      </c>
      <c r="I1909" s="33" t="s">
        <v>152</v>
      </c>
      <c r="J1909" s="33" t="s">
        <v>159</v>
      </c>
      <c r="K1909" s="33" t="s">
        <v>184</v>
      </c>
      <c r="L1909" s="35" t="n">
        <v>9452.61</v>
      </c>
      <c r="M1909" s="33" t="n">
        <v>4</v>
      </c>
      <c r="N1909" s="33" t="s">
        <v>146</v>
      </c>
      <c r="O1909" s="33" t="s">
        <v>147</v>
      </c>
      <c r="P1909" s="39" t="n">
        <f aca="false">C1909-B1909</f>
        <v>9</v>
      </c>
      <c r="Q1909" s="40" t="str">
        <f aca="false">CHOOSE(MONTH(B1909),"يناير","فبراير","مارس","أبريل","مايو","يونيو","يوليو","أغسطس","سبتمبر","أكتوبر","نوفمبر","ديسمبر")</f>
        <v>نوفمبر</v>
      </c>
      <c r="R1909" s="40" t="str">
        <f aca="false">"الربع "&amp;ROUNDUP(MONTH(B1909)/3,0)</f>
        <v>الربع 4</v>
      </c>
      <c r="S1909" s="40" t="str">
        <f aca="false">IF(D1909&lt;=12,"أطفال (0-12)",IF(D1909&lt;=24,"شباب (13-24)",IF(D1909&lt;=44,"بالغون (25-44)",IF(D1909&lt;=64,"متوسطو العمر (45-64)","كبار السن (+65)"))))</f>
        <v>بالغون (25-44)</v>
      </c>
      <c r="T1909" s="41" t="n">
        <f aca="false">IFERROR(L1909/P1909,0)</f>
        <v>1050.29</v>
      </c>
    </row>
    <row r="1910" customFormat="false" ht="15" hidden="false" customHeight="false" outlineLevel="0" collapsed="false">
      <c r="A1910" s="42" t="s">
        <v>1637</v>
      </c>
      <c r="B1910" s="43" t="n">
        <v>45625</v>
      </c>
      <c r="C1910" s="43" t="n">
        <v>45626</v>
      </c>
      <c r="D1910" s="42" t="n">
        <v>20</v>
      </c>
      <c r="E1910" s="42" t="s">
        <v>139</v>
      </c>
      <c r="F1910" s="42" t="s">
        <v>149</v>
      </c>
      <c r="G1910" s="42" t="s">
        <v>150</v>
      </c>
      <c r="H1910" s="42" t="s">
        <v>186</v>
      </c>
      <c r="I1910" s="42" t="s">
        <v>158</v>
      </c>
      <c r="J1910" s="42" t="s">
        <v>159</v>
      </c>
      <c r="K1910" s="42" t="s">
        <v>145</v>
      </c>
      <c r="L1910" s="44" t="n">
        <v>1485.32</v>
      </c>
      <c r="M1910" s="42" t="n">
        <v>5</v>
      </c>
      <c r="N1910" s="42" t="s">
        <v>146</v>
      </c>
      <c r="O1910" s="42" t="s">
        <v>147</v>
      </c>
      <c r="P1910" s="39" t="n">
        <f aca="false">C1910-B1910</f>
        <v>1</v>
      </c>
      <c r="Q1910" s="40" t="str">
        <f aca="false">CHOOSE(MONTH(B1910),"يناير","فبراير","مارس","أبريل","مايو","يونيو","يوليو","أغسطس","سبتمبر","أكتوبر","نوفمبر","ديسمبر")</f>
        <v>نوفمبر</v>
      </c>
      <c r="R1910" s="40" t="str">
        <f aca="false">"الربع "&amp;ROUNDUP(MONTH(B1910)/3,0)</f>
        <v>الربع 4</v>
      </c>
      <c r="S1910" s="40" t="str">
        <f aca="false">IF(D1910&lt;=12,"أطفال (0-12)",IF(D1910&lt;=24,"شباب (13-24)",IF(D1910&lt;=44,"بالغون (25-44)",IF(D1910&lt;=64,"متوسطو العمر (45-64)","كبار السن (+65)"))))</f>
        <v>شباب (13-24)</v>
      </c>
      <c r="T1910" s="41" t="n">
        <f aca="false">IFERROR(L1910/P1910,0)</f>
        <v>1485.32</v>
      </c>
    </row>
    <row r="1911" customFormat="false" ht="15" hidden="false" customHeight="false" outlineLevel="0" collapsed="false">
      <c r="A1911" s="33" t="s">
        <v>830</v>
      </c>
      <c r="B1911" s="34" t="n">
        <v>45626</v>
      </c>
      <c r="C1911" s="34" t="n">
        <v>45627</v>
      </c>
      <c r="D1911" s="33" t="n">
        <v>72</v>
      </c>
      <c r="E1911" s="33" t="s">
        <v>154</v>
      </c>
      <c r="F1911" s="33" t="s">
        <v>181</v>
      </c>
      <c r="G1911" s="33" t="s">
        <v>237</v>
      </c>
      <c r="H1911" s="33" t="s">
        <v>183</v>
      </c>
      <c r="I1911" s="33" t="s">
        <v>143</v>
      </c>
      <c r="J1911" s="33" t="s">
        <v>159</v>
      </c>
      <c r="K1911" s="33" t="s">
        <v>160</v>
      </c>
      <c r="L1911" s="35" t="n">
        <v>2453.63</v>
      </c>
      <c r="M1911" s="33" t="n">
        <v>4</v>
      </c>
      <c r="N1911" s="33" t="s">
        <v>146</v>
      </c>
      <c r="O1911" s="33" t="s">
        <v>147</v>
      </c>
      <c r="P1911" s="39" t="n">
        <f aca="false">C1911-B1911</f>
        <v>1</v>
      </c>
      <c r="Q1911" s="40" t="str">
        <f aca="false">CHOOSE(MONTH(B1911),"يناير","فبراير","مارس","أبريل","مايو","يونيو","يوليو","أغسطس","سبتمبر","أكتوبر","نوفمبر","ديسمبر")</f>
        <v>نوفمبر</v>
      </c>
      <c r="R1911" s="40" t="str">
        <f aca="false">"الربع "&amp;ROUNDUP(MONTH(B1911)/3,0)</f>
        <v>الربع 4</v>
      </c>
      <c r="S1911" s="40" t="str">
        <f aca="false">IF(D1911&lt;=12,"أطفال (0-12)",IF(D1911&lt;=24,"شباب (13-24)",IF(D1911&lt;=44,"بالغون (25-44)",IF(D1911&lt;=64,"متوسطو العمر (45-64)","كبار السن (+65)"))))</f>
        <v>كبار السن (+65)</v>
      </c>
      <c r="T1911" s="41" t="n">
        <f aca="false">IFERROR(L1911/P1911,0)</f>
        <v>2453.63</v>
      </c>
    </row>
    <row r="1912" customFormat="false" ht="15" hidden="false" customHeight="false" outlineLevel="0" collapsed="false">
      <c r="A1912" s="42" t="s">
        <v>1971</v>
      </c>
      <c r="B1912" s="43" t="n">
        <v>45626</v>
      </c>
      <c r="C1912" s="43" t="n">
        <v>45631</v>
      </c>
      <c r="D1912" s="42" t="n">
        <v>0</v>
      </c>
      <c r="E1912" s="42" t="s">
        <v>154</v>
      </c>
      <c r="F1912" s="42" t="s">
        <v>169</v>
      </c>
      <c r="G1912" s="42" t="s">
        <v>230</v>
      </c>
      <c r="H1912" s="42" t="s">
        <v>164</v>
      </c>
      <c r="I1912" s="42" t="s">
        <v>152</v>
      </c>
      <c r="J1912" s="42" t="s">
        <v>159</v>
      </c>
      <c r="K1912" s="42" t="s">
        <v>184</v>
      </c>
      <c r="L1912" s="44" t="n">
        <v>6123.24</v>
      </c>
      <c r="M1912" s="42" t="n">
        <v>4</v>
      </c>
      <c r="N1912" s="42" t="s">
        <v>146</v>
      </c>
      <c r="O1912" s="42" t="s">
        <v>147</v>
      </c>
      <c r="P1912" s="39" t="n">
        <f aca="false">C1912-B1912</f>
        <v>5</v>
      </c>
      <c r="Q1912" s="40" t="str">
        <f aca="false">CHOOSE(MONTH(B1912),"يناير","فبراير","مارس","أبريل","مايو","يونيو","يوليو","أغسطس","سبتمبر","أكتوبر","نوفمبر","ديسمبر")</f>
        <v>نوفمبر</v>
      </c>
      <c r="R1912" s="40" t="str">
        <f aca="false">"الربع "&amp;ROUNDUP(MONTH(B1912)/3,0)</f>
        <v>الربع 4</v>
      </c>
      <c r="S1912" s="40" t="str">
        <f aca="false">IF(D1912&lt;=12,"أطفال (0-12)",IF(D1912&lt;=24,"شباب (13-24)",IF(D1912&lt;=44,"بالغون (25-44)",IF(D1912&lt;=64,"متوسطو العمر (45-64)","كبار السن (+65)"))))</f>
        <v>أطفال (0-12)</v>
      </c>
      <c r="T1912" s="41" t="n">
        <f aca="false">IFERROR(L1912/P1912,0)</f>
        <v>1224.648</v>
      </c>
    </row>
    <row r="1913" customFormat="false" ht="15" hidden="false" customHeight="false" outlineLevel="0" collapsed="false">
      <c r="A1913" s="33" t="s">
        <v>650</v>
      </c>
      <c r="B1913" s="34" t="n">
        <v>45626</v>
      </c>
      <c r="C1913" s="34" t="n">
        <v>45631</v>
      </c>
      <c r="D1913" s="33" t="n">
        <v>26</v>
      </c>
      <c r="E1913" s="33" t="s">
        <v>154</v>
      </c>
      <c r="F1913" s="33" t="s">
        <v>140</v>
      </c>
      <c r="G1913" s="33" t="s">
        <v>167</v>
      </c>
      <c r="H1913" s="33" t="s">
        <v>142</v>
      </c>
      <c r="I1913" s="33" t="s">
        <v>143</v>
      </c>
      <c r="J1913" s="33" t="s">
        <v>159</v>
      </c>
      <c r="K1913" s="33" t="s">
        <v>160</v>
      </c>
      <c r="L1913" s="35" t="n">
        <v>12340.2</v>
      </c>
      <c r="M1913" s="33" t="n">
        <v>3</v>
      </c>
      <c r="N1913" s="33" t="s">
        <v>146</v>
      </c>
      <c r="O1913" s="33" t="s">
        <v>147</v>
      </c>
      <c r="P1913" s="39" t="n">
        <f aca="false">C1913-B1913</f>
        <v>5</v>
      </c>
      <c r="Q1913" s="40" t="str">
        <f aca="false">CHOOSE(MONTH(B1913),"يناير","فبراير","مارس","أبريل","مايو","يونيو","يوليو","أغسطس","سبتمبر","أكتوبر","نوفمبر","ديسمبر")</f>
        <v>نوفمبر</v>
      </c>
      <c r="R1913" s="40" t="str">
        <f aca="false">"الربع "&amp;ROUNDUP(MONTH(B1913)/3,0)</f>
        <v>الربع 4</v>
      </c>
      <c r="S1913" s="40" t="str">
        <f aca="false">IF(D1913&lt;=12,"أطفال (0-12)",IF(D1913&lt;=24,"شباب (13-24)",IF(D1913&lt;=44,"بالغون (25-44)",IF(D1913&lt;=64,"متوسطو العمر (45-64)","كبار السن (+65)"))))</f>
        <v>بالغون (25-44)</v>
      </c>
      <c r="T1913" s="41" t="n">
        <f aca="false">IFERROR(L1913/P1913,0)</f>
        <v>2468.04</v>
      </c>
    </row>
    <row r="1914" customFormat="false" ht="15" hidden="false" customHeight="false" outlineLevel="0" collapsed="false">
      <c r="A1914" s="42" t="s">
        <v>2018</v>
      </c>
      <c r="B1914" s="43" t="n">
        <v>45626</v>
      </c>
      <c r="C1914" s="43" t="n">
        <v>45627</v>
      </c>
      <c r="D1914" s="42" t="n">
        <v>23</v>
      </c>
      <c r="E1914" s="42" t="s">
        <v>139</v>
      </c>
      <c r="F1914" s="42" t="s">
        <v>149</v>
      </c>
      <c r="G1914" s="42" t="s">
        <v>150</v>
      </c>
      <c r="H1914" s="42" t="s">
        <v>151</v>
      </c>
      <c r="I1914" s="42" t="s">
        <v>143</v>
      </c>
      <c r="J1914" s="42" t="s">
        <v>159</v>
      </c>
      <c r="K1914" s="42" t="s">
        <v>184</v>
      </c>
      <c r="L1914" s="44" t="n">
        <v>1425.2</v>
      </c>
      <c r="M1914" s="42" t="n">
        <v>5</v>
      </c>
      <c r="N1914" s="42" t="s">
        <v>146</v>
      </c>
      <c r="O1914" s="42" t="s">
        <v>147</v>
      </c>
      <c r="P1914" s="39" t="n">
        <f aca="false">C1914-B1914</f>
        <v>1</v>
      </c>
      <c r="Q1914" s="40" t="str">
        <f aca="false">CHOOSE(MONTH(B1914),"يناير","فبراير","مارس","أبريل","مايو","يونيو","يوليو","أغسطس","سبتمبر","أكتوبر","نوفمبر","ديسمبر")</f>
        <v>نوفمبر</v>
      </c>
      <c r="R1914" s="40" t="str">
        <f aca="false">"الربع "&amp;ROUNDUP(MONTH(B1914)/3,0)</f>
        <v>الربع 4</v>
      </c>
      <c r="S1914" s="40" t="str">
        <f aca="false">IF(D1914&lt;=12,"أطفال (0-12)",IF(D1914&lt;=24,"شباب (13-24)",IF(D1914&lt;=44,"بالغون (25-44)",IF(D1914&lt;=64,"متوسطو العمر (45-64)","كبار السن (+65)"))))</f>
        <v>شباب (13-24)</v>
      </c>
      <c r="T1914" s="41" t="n">
        <f aca="false">IFERROR(L1914/P1914,0)</f>
        <v>1425.2</v>
      </c>
    </row>
    <row r="1915" customFormat="false" ht="15" hidden="false" customHeight="false" outlineLevel="0" collapsed="false">
      <c r="A1915" s="33" t="s">
        <v>351</v>
      </c>
      <c r="B1915" s="34" t="n">
        <v>45626</v>
      </c>
      <c r="C1915" s="34" t="n">
        <v>45630</v>
      </c>
      <c r="D1915" s="33" t="n">
        <v>33</v>
      </c>
      <c r="E1915" s="33" t="s">
        <v>154</v>
      </c>
      <c r="F1915" s="33" t="s">
        <v>140</v>
      </c>
      <c r="G1915" s="33" t="s">
        <v>167</v>
      </c>
      <c r="H1915" s="33" t="s">
        <v>290</v>
      </c>
      <c r="I1915" s="33" t="s">
        <v>143</v>
      </c>
      <c r="J1915" s="33" t="s">
        <v>176</v>
      </c>
      <c r="K1915" s="33" t="s">
        <v>145</v>
      </c>
      <c r="L1915" s="35" t="n">
        <v>29814.39</v>
      </c>
      <c r="M1915" s="33" t="n">
        <v>3</v>
      </c>
      <c r="N1915" s="33" t="s">
        <v>146</v>
      </c>
      <c r="O1915" s="33" t="s">
        <v>147</v>
      </c>
      <c r="P1915" s="39" t="n">
        <f aca="false">C1915-B1915</f>
        <v>4</v>
      </c>
      <c r="Q1915" s="40" t="str">
        <f aca="false">CHOOSE(MONTH(B1915),"يناير","فبراير","مارس","أبريل","مايو","يونيو","يوليو","أغسطس","سبتمبر","أكتوبر","نوفمبر","ديسمبر")</f>
        <v>نوفمبر</v>
      </c>
      <c r="R1915" s="40" t="str">
        <f aca="false">"الربع "&amp;ROUNDUP(MONTH(B1915)/3,0)</f>
        <v>الربع 4</v>
      </c>
      <c r="S1915" s="40" t="str">
        <f aca="false">IF(D1915&lt;=12,"أطفال (0-12)",IF(D1915&lt;=24,"شباب (13-24)",IF(D1915&lt;=44,"بالغون (25-44)",IF(D1915&lt;=64,"متوسطو العمر (45-64)","كبار السن (+65)"))))</f>
        <v>بالغون (25-44)</v>
      </c>
      <c r="T1915" s="41" t="n">
        <f aca="false">IFERROR(L1915/P1915,0)</f>
        <v>7453.5975</v>
      </c>
    </row>
    <row r="1916" customFormat="false" ht="15" hidden="false" customHeight="false" outlineLevel="0" collapsed="false">
      <c r="A1916" s="42" t="s">
        <v>853</v>
      </c>
      <c r="B1916" s="43" t="n">
        <v>45627</v>
      </c>
      <c r="C1916" s="43" t="n">
        <v>45628</v>
      </c>
      <c r="D1916" s="42" t="n">
        <v>38</v>
      </c>
      <c r="E1916" s="42" t="s">
        <v>154</v>
      </c>
      <c r="F1916" s="42" t="s">
        <v>203</v>
      </c>
      <c r="G1916" s="42" t="s">
        <v>217</v>
      </c>
      <c r="H1916" s="42" t="s">
        <v>193</v>
      </c>
      <c r="I1916" s="42" t="s">
        <v>143</v>
      </c>
      <c r="J1916" s="42" t="s">
        <v>159</v>
      </c>
      <c r="K1916" s="42" t="s">
        <v>160</v>
      </c>
      <c r="L1916" s="44" t="n">
        <v>864</v>
      </c>
      <c r="M1916" s="42" t="n">
        <v>2</v>
      </c>
      <c r="N1916" s="42" t="s">
        <v>146</v>
      </c>
      <c r="O1916" s="42" t="s">
        <v>147</v>
      </c>
      <c r="P1916" s="39" t="n">
        <f aca="false">C1916-B1916</f>
        <v>1</v>
      </c>
      <c r="Q1916" s="40" t="str">
        <f aca="false">CHOOSE(MONTH(B1916),"يناير","فبراير","مارس","أبريل","مايو","يونيو","يوليو","أغسطس","سبتمبر","أكتوبر","نوفمبر","ديسمبر")</f>
        <v>ديسمبر</v>
      </c>
      <c r="R1916" s="40" t="str">
        <f aca="false">"الربع "&amp;ROUNDUP(MONTH(B1916)/3,0)</f>
        <v>الربع 4</v>
      </c>
      <c r="S1916" s="40" t="str">
        <f aca="false">IF(D1916&lt;=12,"أطفال (0-12)",IF(D1916&lt;=24,"شباب (13-24)",IF(D1916&lt;=44,"بالغون (25-44)",IF(D1916&lt;=64,"متوسطو العمر (45-64)","كبار السن (+65)"))))</f>
        <v>بالغون (25-44)</v>
      </c>
      <c r="T1916" s="41" t="n">
        <f aca="false">IFERROR(L1916/P1916,0)</f>
        <v>864</v>
      </c>
    </row>
    <row r="1917" customFormat="false" ht="15" hidden="false" customHeight="false" outlineLevel="0" collapsed="false">
      <c r="A1917" s="33" t="s">
        <v>1507</v>
      </c>
      <c r="B1917" s="34" t="n">
        <v>45627</v>
      </c>
      <c r="C1917" s="34" t="n">
        <v>45629</v>
      </c>
      <c r="D1917" s="33" t="n">
        <v>82</v>
      </c>
      <c r="E1917" s="33" t="s">
        <v>139</v>
      </c>
      <c r="F1917" s="33" t="s">
        <v>181</v>
      </c>
      <c r="G1917" s="33" t="s">
        <v>237</v>
      </c>
      <c r="H1917" s="33" t="s">
        <v>245</v>
      </c>
      <c r="I1917" s="33" t="s">
        <v>143</v>
      </c>
      <c r="J1917" s="33" t="s">
        <v>144</v>
      </c>
      <c r="K1917" s="33" t="s">
        <v>209</v>
      </c>
      <c r="L1917" s="35" t="n">
        <v>8319.3</v>
      </c>
      <c r="M1917" s="33" t="n">
        <v>3</v>
      </c>
      <c r="N1917" s="33" t="s">
        <v>210</v>
      </c>
      <c r="O1917" s="33" t="s">
        <v>147</v>
      </c>
      <c r="P1917" s="39" t="n">
        <f aca="false">C1917-B1917</f>
        <v>2</v>
      </c>
      <c r="Q1917" s="40" t="str">
        <f aca="false">CHOOSE(MONTH(B1917),"يناير","فبراير","مارس","أبريل","مايو","يونيو","يوليو","أغسطس","سبتمبر","أكتوبر","نوفمبر","ديسمبر")</f>
        <v>ديسمبر</v>
      </c>
      <c r="R1917" s="40" t="str">
        <f aca="false">"الربع "&amp;ROUNDUP(MONTH(B1917)/3,0)</f>
        <v>الربع 4</v>
      </c>
      <c r="S1917" s="40" t="str">
        <f aca="false">IF(D1917&lt;=12,"أطفال (0-12)",IF(D1917&lt;=24,"شباب (13-24)",IF(D1917&lt;=44,"بالغون (25-44)",IF(D1917&lt;=64,"متوسطو العمر (45-64)","كبار السن (+65)"))))</f>
        <v>كبار السن (+65)</v>
      </c>
      <c r="T1917" s="41" t="n">
        <f aca="false">IFERROR(L1917/P1917,0)</f>
        <v>4159.65</v>
      </c>
    </row>
    <row r="1918" customFormat="false" ht="15" hidden="false" customHeight="false" outlineLevel="0" collapsed="false">
      <c r="A1918" s="42" t="s">
        <v>1639</v>
      </c>
      <c r="B1918" s="43" t="n">
        <v>45627</v>
      </c>
      <c r="C1918" s="43" t="n">
        <v>45629</v>
      </c>
      <c r="D1918" s="42" t="n">
        <v>40</v>
      </c>
      <c r="E1918" s="42" t="s">
        <v>139</v>
      </c>
      <c r="F1918" s="42" t="s">
        <v>203</v>
      </c>
      <c r="G1918" s="42" t="s">
        <v>241</v>
      </c>
      <c r="H1918" s="42" t="s">
        <v>205</v>
      </c>
      <c r="I1918" s="42" t="s">
        <v>143</v>
      </c>
      <c r="J1918" s="42" t="s">
        <v>176</v>
      </c>
      <c r="K1918" s="42" t="s">
        <v>209</v>
      </c>
      <c r="L1918" s="44" t="n">
        <v>7284.22</v>
      </c>
      <c r="M1918" s="42" t="n">
        <v>3</v>
      </c>
      <c r="N1918" s="42" t="s">
        <v>146</v>
      </c>
      <c r="O1918" s="42" t="s">
        <v>147</v>
      </c>
      <c r="P1918" s="39" t="n">
        <f aca="false">C1918-B1918</f>
        <v>2</v>
      </c>
      <c r="Q1918" s="40" t="str">
        <f aca="false">CHOOSE(MONTH(B1918),"يناير","فبراير","مارس","أبريل","مايو","يونيو","يوليو","أغسطس","سبتمبر","أكتوبر","نوفمبر","ديسمبر")</f>
        <v>ديسمبر</v>
      </c>
      <c r="R1918" s="40" t="str">
        <f aca="false">"الربع "&amp;ROUNDUP(MONTH(B1918)/3,0)</f>
        <v>الربع 4</v>
      </c>
      <c r="S1918" s="40" t="str">
        <f aca="false">IF(D1918&lt;=12,"أطفال (0-12)",IF(D1918&lt;=24,"شباب (13-24)",IF(D1918&lt;=44,"بالغون (25-44)",IF(D1918&lt;=64,"متوسطو العمر (45-64)","كبار السن (+65)"))))</f>
        <v>بالغون (25-44)</v>
      </c>
      <c r="T1918" s="41" t="n">
        <f aca="false">IFERROR(L1918/P1918,0)</f>
        <v>3642.11</v>
      </c>
    </row>
    <row r="1919" customFormat="false" ht="15" hidden="false" customHeight="false" outlineLevel="0" collapsed="false">
      <c r="A1919" s="33" t="s">
        <v>1440</v>
      </c>
      <c r="B1919" s="34" t="n">
        <v>45627</v>
      </c>
      <c r="C1919" s="34" t="n">
        <v>45641</v>
      </c>
      <c r="D1919" s="33" t="n">
        <v>77</v>
      </c>
      <c r="E1919" s="33" t="s">
        <v>139</v>
      </c>
      <c r="F1919" s="33" t="s">
        <v>181</v>
      </c>
      <c r="G1919" s="33" t="s">
        <v>237</v>
      </c>
      <c r="H1919" s="33" t="s">
        <v>245</v>
      </c>
      <c r="I1919" s="33" t="s">
        <v>143</v>
      </c>
      <c r="J1919" s="33" t="s">
        <v>144</v>
      </c>
      <c r="K1919" s="33" t="s">
        <v>145</v>
      </c>
      <c r="L1919" s="35" t="n">
        <v>67897.12</v>
      </c>
      <c r="M1919" s="33" t="n">
        <v>5</v>
      </c>
      <c r="N1919" s="33" t="s">
        <v>146</v>
      </c>
      <c r="O1919" s="33" t="s">
        <v>147</v>
      </c>
      <c r="P1919" s="39" t="n">
        <f aca="false">C1919-B1919</f>
        <v>14</v>
      </c>
      <c r="Q1919" s="40" t="str">
        <f aca="false">CHOOSE(MONTH(B1919),"يناير","فبراير","مارس","أبريل","مايو","يونيو","يوليو","أغسطس","سبتمبر","أكتوبر","نوفمبر","ديسمبر")</f>
        <v>ديسمبر</v>
      </c>
      <c r="R1919" s="40" t="str">
        <f aca="false">"الربع "&amp;ROUNDUP(MONTH(B1919)/3,0)</f>
        <v>الربع 4</v>
      </c>
      <c r="S1919" s="40" t="str">
        <f aca="false">IF(D1919&lt;=12,"أطفال (0-12)",IF(D1919&lt;=24,"شباب (13-24)",IF(D1919&lt;=44,"بالغون (25-44)",IF(D1919&lt;=64,"متوسطو العمر (45-64)","كبار السن (+65)"))))</f>
        <v>كبار السن (+65)</v>
      </c>
      <c r="T1919" s="41" t="n">
        <f aca="false">IFERROR(L1919/P1919,0)</f>
        <v>4849.79428571429</v>
      </c>
    </row>
    <row r="1920" customFormat="false" ht="15" hidden="false" customHeight="false" outlineLevel="0" collapsed="false">
      <c r="A1920" s="42" t="s">
        <v>1479</v>
      </c>
      <c r="B1920" s="43" t="n">
        <v>45627</v>
      </c>
      <c r="C1920" s="43" t="n">
        <v>45634</v>
      </c>
      <c r="D1920" s="42" t="n">
        <v>15</v>
      </c>
      <c r="E1920" s="42" t="s">
        <v>139</v>
      </c>
      <c r="F1920" s="42" t="s">
        <v>149</v>
      </c>
      <c r="G1920" s="42" t="s">
        <v>150</v>
      </c>
      <c r="H1920" s="42" t="s">
        <v>186</v>
      </c>
      <c r="I1920" s="42" t="s">
        <v>143</v>
      </c>
      <c r="J1920" s="42" t="s">
        <v>159</v>
      </c>
      <c r="K1920" s="42" t="s">
        <v>145</v>
      </c>
      <c r="L1920" s="44" t="n">
        <v>10436.24</v>
      </c>
      <c r="M1920" s="42" t="n">
        <v>3</v>
      </c>
      <c r="N1920" s="42" t="s">
        <v>146</v>
      </c>
      <c r="O1920" s="42" t="s">
        <v>147</v>
      </c>
      <c r="P1920" s="39" t="n">
        <f aca="false">C1920-B1920</f>
        <v>7</v>
      </c>
      <c r="Q1920" s="40" t="str">
        <f aca="false">CHOOSE(MONTH(B1920),"يناير","فبراير","مارس","أبريل","مايو","يونيو","يوليو","أغسطس","سبتمبر","أكتوبر","نوفمبر","ديسمبر")</f>
        <v>ديسمبر</v>
      </c>
      <c r="R1920" s="40" t="str">
        <f aca="false">"الربع "&amp;ROUNDUP(MONTH(B1920)/3,0)</f>
        <v>الربع 4</v>
      </c>
      <c r="S1920" s="40" t="str">
        <f aca="false">IF(D1920&lt;=12,"أطفال (0-12)",IF(D1920&lt;=24,"شباب (13-24)",IF(D1920&lt;=44,"بالغون (25-44)",IF(D1920&lt;=64,"متوسطو العمر (45-64)","كبار السن (+65)"))))</f>
        <v>شباب (13-24)</v>
      </c>
      <c r="T1920" s="41" t="n">
        <f aca="false">IFERROR(L1920/P1920,0)</f>
        <v>1490.89142857143</v>
      </c>
    </row>
    <row r="1921" customFormat="false" ht="15" hidden="false" customHeight="false" outlineLevel="0" collapsed="false">
      <c r="A1921" s="33" t="s">
        <v>1074</v>
      </c>
      <c r="B1921" s="34" t="n">
        <v>45627</v>
      </c>
      <c r="C1921" s="34" t="n">
        <v>45640</v>
      </c>
      <c r="D1921" s="33" t="n">
        <v>76</v>
      </c>
      <c r="E1921" s="33" t="s">
        <v>154</v>
      </c>
      <c r="F1921" s="33" t="s">
        <v>169</v>
      </c>
      <c r="G1921" s="33" t="s">
        <v>213</v>
      </c>
      <c r="H1921" s="33" t="s">
        <v>195</v>
      </c>
      <c r="I1921" s="33" t="s">
        <v>152</v>
      </c>
      <c r="J1921" s="33" t="s">
        <v>159</v>
      </c>
      <c r="K1921" s="33" t="s">
        <v>145</v>
      </c>
      <c r="L1921" s="35" t="n">
        <v>14208.53</v>
      </c>
      <c r="M1921" s="33" t="n">
        <v>3</v>
      </c>
      <c r="N1921" s="33" t="s">
        <v>146</v>
      </c>
      <c r="O1921" s="33" t="s">
        <v>147</v>
      </c>
      <c r="P1921" s="39" t="n">
        <f aca="false">C1921-B1921</f>
        <v>13</v>
      </c>
      <c r="Q1921" s="40" t="str">
        <f aca="false">CHOOSE(MONTH(B1921),"يناير","فبراير","مارس","أبريل","مايو","يونيو","يوليو","أغسطس","سبتمبر","أكتوبر","نوفمبر","ديسمبر")</f>
        <v>ديسمبر</v>
      </c>
      <c r="R1921" s="40" t="str">
        <f aca="false">"الربع "&amp;ROUNDUP(MONTH(B1921)/3,0)</f>
        <v>الربع 4</v>
      </c>
      <c r="S1921" s="40" t="str">
        <f aca="false">IF(D1921&lt;=12,"أطفال (0-12)",IF(D1921&lt;=24,"شباب (13-24)",IF(D1921&lt;=44,"بالغون (25-44)",IF(D1921&lt;=64,"متوسطو العمر (45-64)","كبار السن (+65)"))))</f>
        <v>كبار السن (+65)</v>
      </c>
      <c r="T1921" s="41" t="n">
        <f aca="false">IFERROR(L1921/P1921,0)</f>
        <v>1092.96384615385</v>
      </c>
    </row>
    <row r="1922" customFormat="false" ht="15" hidden="false" customHeight="false" outlineLevel="0" collapsed="false">
      <c r="A1922" s="42" t="s">
        <v>1123</v>
      </c>
      <c r="B1922" s="43" t="n">
        <v>45628</v>
      </c>
      <c r="C1922" s="43" t="n">
        <v>45630</v>
      </c>
      <c r="D1922" s="42" t="n">
        <v>55</v>
      </c>
      <c r="E1922" s="42" t="s">
        <v>154</v>
      </c>
      <c r="F1922" s="42" t="s">
        <v>203</v>
      </c>
      <c r="G1922" s="42" t="s">
        <v>217</v>
      </c>
      <c r="H1922" s="42" t="s">
        <v>193</v>
      </c>
      <c r="I1922" s="42" t="s">
        <v>143</v>
      </c>
      <c r="J1922" s="42" t="s">
        <v>159</v>
      </c>
      <c r="K1922" s="42" t="s">
        <v>145</v>
      </c>
      <c r="L1922" s="44" t="n">
        <v>1624.1</v>
      </c>
      <c r="M1922" s="42" t="n">
        <v>4</v>
      </c>
      <c r="N1922" s="42" t="s">
        <v>146</v>
      </c>
      <c r="O1922" s="42" t="s">
        <v>147</v>
      </c>
      <c r="P1922" s="39" t="n">
        <f aca="false">C1922-B1922</f>
        <v>2</v>
      </c>
      <c r="Q1922" s="40" t="str">
        <f aca="false">CHOOSE(MONTH(B1922),"يناير","فبراير","مارس","أبريل","مايو","يونيو","يوليو","أغسطس","سبتمبر","أكتوبر","نوفمبر","ديسمبر")</f>
        <v>ديسمبر</v>
      </c>
      <c r="R1922" s="40" t="str">
        <f aca="false">"الربع "&amp;ROUNDUP(MONTH(B1922)/3,0)</f>
        <v>الربع 4</v>
      </c>
      <c r="S1922" s="40" t="str">
        <f aca="false">IF(D1922&lt;=12,"أطفال (0-12)",IF(D1922&lt;=24,"شباب (13-24)",IF(D1922&lt;=44,"بالغون (25-44)",IF(D1922&lt;=64,"متوسطو العمر (45-64)","كبار السن (+65)"))))</f>
        <v>متوسطو العمر (45-64)</v>
      </c>
      <c r="T1922" s="41" t="n">
        <f aca="false">IFERROR(L1922/P1922,0)</f>
        <v>812.05</v>
      </c>
    </row>
    <row r="1923" customFormat="false" ht="15" hidden="false" customHeight="false" outlineLevel="0" collapsed="false">
      <c r="A1923" s="33" t="s">
        <v>410</v>
      </c>
      <c r="B1923" s="34" t="n">
        <v>45628</v>
      </c>
      <c r="C1923" s="34" t="n">
        <v>45631</v>
      </c>
      <c r="D1923" s="33" t="n">
        <v>42</v>
      </c>
      <c r="E1923" s="33" t="s">
        <v>139</v>
      </c>
      <c r="F1923" s="33" t="s">
        <v>203</v>
      </c>
      <c r="G1923" s="33" t="s">
        <v>241</v>
      </c>
      <c r="H1923" s="33" t="s">
        <v>205</v>
      </c>
      <c r="I1923" s="33" t="s">
        <v>143</v>
      </c>
      <c r="J1923" s="33" t="s">
        <v>159</v>
      </c>
      <c r="K1923" s="33" t="s">
        <v>145</v>
      </c>
      <c r="L1923" s="35" t="n">
        <v>3132.66</v>
      </c>
      <c r="M1923" s="33" t="n">
        <v>3</v>
      </c>
      <c r="N1923" s="33" t="s">
        <v>146</v>
      </c>
      <c r="O1923" s="33" t="s">
        <v>147</v>
      </c>
      <c r="P1923" s="39" t="n">
        <f aca="false">C1923-B1923</f>
        <v>3</v>
      </c>
      <c r="Q1923" s="40" t="str">
        <f aca="false">CHOOSE(MONTH(B1923),"يناير","فبراير","مارس","أبريل","مايو","يونيو","يوليو","أغسطس","سبتمبر","أكتوبر","نوفمبر","ديسمبر")</f>
        <v>ديسمبر</v>
      </c>
      <c r="R1923" s="40" t="str">
        <f aca="false">"الربع "&amp;ROUNDUP(MONTH(B1923)/3,0)</f>
        <v>الربع 4</v>
      </c>
      <c r="S1923" s="40" t="str">
        <f aca="false">IF(D1923&lt;=12,"أطفال (0-12)",IF(D1923&lt;=24,"شباب (13-24)",IF(D1923&lt;=44,"بالغون (25-44)",IF(D1923&lt;=64,"متوسطو العمر (45-64)","كبار السن (+65)"))))</f>
        <v>بالغون (25-44)</v>
      </c>
      <c r="T1923" s="41" t="n">
        <f aca="false">IFERROR(L1923/P1923,0)</f>
        <v>1044.22</v>
      </c>
    </row>
    <row r="1924" customFormat="false" ht="15" hidden="false" customHeight="false" outlineLevel="0" collapsed="false">
      <c r="A1924" s="42" t="s">
        <v>1754</v>
      </c>
      <c r="B1924" s="43" t="n">
        <v>45628</v>
      </c>
      <c r="C1924" s="43" t="n">
        <v>45635</v>
      </c>
      <c r="D1924" s="42" t="n">
        <v>72</v>
      </c>
      <c r="E1924" s="42" t="s">
        <v>139</v>
      </c>
      <c r="F1924" s="42" t="s">
        <v>226</v>
      </c>
      <c r="G1924" s="42" t="s">
        <v>227</v>
      </c>
      <c r="H1924" s="42" t="s">
        <v>263</v>
      </c>
      <c r="I1924" s="42" t="s">
        <v>143</v>
      </c>
      <c r="J1924" s="42" t="s">
        <v>144</v>
      </c>
      <c r="K1924" s="42" t="s">
        <v>184</v>
      </c>
      <c r="L1924" s="44" t="n">
        <v>41788.24</v>
      </c>
      <c r="M1924" s="42" t="n">
        <v>3</v>
      </c>
      <c r="N1924" s="42" t="s">
        <v>146</v>
      </c>
      <c r="O1924" s="42" t="s">
        <v>147</v>
      </c>
      <c r="P1924" s="39" t="n">
        <f aca="false">C1924-B1924</f>
        <v>7</v>
      </c>
      <c r="Q1924" s="40" t="str">
        <f aca="false">CHOOSE(MONTH(B1924),"يناير","فبراير","مارس","أبريل","مايو","يونيو","يوليو","أغسطس","سبتمبر","أكتوبر","نوفمبر","ديسمبر")</f>
        <v>ديسمبر</v>
      </c>
      <c r="R1924" s="40" t="str">
        <f aca="false">"الربع "&amp;ROUNDUP(MONTH(B1924)/3,0)</f>
        <v>الربع 4</v>
      </c>
      <c r="S1924" s="40" t="str">
        <f aca="false">IF(D1924&lt;=12,"أطفال (0-12)",IF(D1924&lt;=24,"شباب (13-24)",IF(D1924&lt;=44,"بالغون (25-44)",IF(D1924&lt;=64,"متوسطو العمر (45-64)","كبار السن (+65)"))))</f>
        <v>كبار السن (+65)</v>
      </c>
      <c r="T1924" s="41" t="n">
        <f aca="false">IFERROR(L1924/P1924,0)</f>
        <v>5969.74857142857</v>
      </c>
    </row>
    <row r="1925" customFormat="false" ht="15" hidden="false" customHeight="false" outlineLevel="0" collapsed="false">
      <c r="A1925" s="33" t="s">
        <v>1817</v>
      </c>
      <c r="B1925" s="34" t="n">
        <v>45628</v>
      </c>
      <c r="C1925" s="34" t="n">
        <v>45631</v>
      </c>
      <c r="D1925" s="33" t="n">
        <v>30</v>
      </c>
      <c r="E1925" s="33" t="s">
        <v>139</v>
      </c>
      <c r="F1925" s="33" t="s">
        <v>149</v>
      </c>
      <c r="G1925" s="33" t="s">
        <v>243</v>
      </c>
      <c r="H1925" s="33" t="s">
        <v>151</v>
      </c>
      <c r="I1925" s="33" t="s">
        <v>143</v>
      </c>
      <c r="J1925" s="33" t="s">
        <v>159</v>
      </c>
      <c r="K1925" s="33" t="s">
        <v>184</v>
      </c>
      <c r="L1925" s="35" t="n">
        <v>5016.95</v>
      </c>
      <c r="M1925" s="33" t="n">
        <v>4</v>
      </c>
      <c r="N1925" s="33" t="s">
        <v>146</v>
      </c>
      <c r="O1925" s="33" t="s">
        <v>247</v>
      </c>
      <c r="P1925" s="39" t="n">
        <f aca="false">C1925-B1925</f>
        <v>3</v>
      </c>
      <c r="Q1925" s="40" t="str">
        <f aca="false">CHOOSE(MONTH(B1925),"يناير","فبراير","مارس","أبريل","مايو","يونيو","يوليو","أغسطس","سبتمبر","أكتوبر","نوفمبر","ديسمبر")</f>
        <v>ديسمبر</v>
      </c>
      <c r="R1925" s="40" t="str">
        <f aca="false">"الربع "&amp;ROUNDUP(MONTH(B1925)/3,0)</f>
        <v>الربع 4</v>
      </c>
      <c r="S1925" s="40" t="str">
        <f aca="false">IF(D1925&lt;=12,"أطفال (0-12)",IF(D1925&lt;=24,"شباب (13-24)",IF(D1925&lt;=44,"بالغون (25-44)",IF(D1925&lt;=64,"متوسطو العمر (45-64)","كبار السن (+65)"))))</f>
        <v>بالغون (25-44)</v>
      </c>
      <c r="T1925" s="41" t="n">
        <f aca="false">IFERROR(L1925/P1925,0)</f>
        <v>1672.31666666667</v>
      </c>
    </row>
    <row r="1926" customFormat="false" ht="15" hidden="false" customHeight="false" outlineLevel="0" collapsed="false">
      <c r="A1926" s="42" t="s">
        <v>450</v>
      </c>
      <c r="B1926" s="43" t="n">
        <v>45628</v>
      </c>
      <c r="C1926" s="43" t="n">
        <v>45629</v>
      </c>
      <c r="D1926" s="42" t="n">
        <v>15</v>
      </c>
      <c r="E1926" s="42" t="s">
        <v>139</v>
      </c>
      <c r="F1926" s="42" t="s">
        <v>149</v>
      </c>
      <c r="G1926" s="42" t="s">
        <v>224</v>
      </c>
      <c r="H1926" s="42" t="s">
        <v>151</v>
      </c>
      <c r="I1926" s="42" t="s">
        <v>143</v>
      </c>
      <c r="J1926" s="42" t="s">
        <v>159</v>
      </c>
      <c r="K1926" s="42" t="s">
        <v>209</v>
      </c>
      <c r="L1926" s="44" t="n">
        <v>1454.5</v>
      </c>
      <c r="M1926" s="42" t="n">
        <v>4</v>
      </c>
      <c r="N1926" s="42" t="s">
        <v>146</v>
      </c>
      <c r="O1926" s="42" t="s">
        <v>147</v>
      </c>
      <c r="P1926" s="39" t="n">
        <f aca="false">C1926-B1926</f>
        <v>1</v>
      </c>
      <c r="Q1926" s="40" t="str">
        <f aca="false">CHOOSE(MONTH(B1926),"يناير","فبراير","مارس","أبريل","مايو","يونيو","يوليو","أغسطس","سبتمبر","أكتوبر","نوفمبر","ديسمبر")</f>
        <v>ديسمبر</v>
      </c>
      <c r="R1926" s="40" t="str">
        <f aca="false">"الربع "&amp;ROUNDUP(MONTH(B1926)/3,0)</f>
        <v>الربع 4</v>
      </c>
      <c r="S1926" s="40" t="str">
        <f aca="false">IF(D1926&lt;=12,"أطفال (0-12)",IF(D1926&lt;=24,"شباب (13-24)",IF(D1926&lt;=44,"بالغون (25-44)",IF(D1926&lt;=64,"متوسطو العمر (45-64)","كبار السن (+65)"))))</f>
        <v>شباب (13-24)</v>
      </c>
      <c r="T1926" s="41" t="n">
        <f aca="false">IFERROR(L1926/P1926,0)</f>
        <v>1454.5</v>
      </c>
    </row>
    <row r="1927" customFormat="false" ht="15" hidden="false" customHeight="false" outlineLevel="0" collapsed="false">
      <c r="A1927" s="33" t="s">
        <v>1193</v>
      </c>
      <c r="B1927" s="34" t="n">
        <v>45628</v>
      </c>
      <c r="C1927" s="34" t="n">
        <v>45633</v>
      </c>
      <c r="D1927" s="33" t="n">
        <v>64</v>
      </c>
      <c r="E1927" s="33" t="s">
        <v>154</v>
      </c>
      <c r="F1927" s="33" t="s">
        <v>169</v>
      </c>
      <c r="G1927" s="33" t="s">
        <v>213</v>
      </c>
      <c r="H1927" s="33" t="s">
        <v>171</v>
      </c>
      <c r="I1927" s="33" t="s">
        <v>152</v>
      </c>
      <c r="J1927" s="33" t="s">
        <v>144</v>
      </c>
      <c r="K1927" s="33" t="s">
        <v>184</v>
      </c>
      <c r="L1927" s="35" t="n">
        <v>8992.07</v>
      </c>
      <c r="M1927" s="33" t="n">
        <v>5</v>
      </c>
      <c r="N1927" s="33" t="s">
        <v>146</v>
      </c>
      <c r="O1927" s="33" t="s">
        <v>147</v>
      </c>
      <c r="P1927" s="39" t="n">
        <f aca="false">C1927-B1927</f>
        <v>5</v>
      </c>
      <c r="Q1927" s="40" t="str">
        <f aca="false">CHOOSE(MONTH(B1927),"يناير","فبراير","مارس","أبريل","مايو","يونيو","يوليو","أغسطس","سبتمبر","أكتوبر","نوفمبر","ديسمبر")</f>
        <v>ديسمبر</v>
      </c>
      <c r="R1927" s="40" t="str">
        <f aca="false">"الربع "&amp;ROUNDUP(MONTH(B1927)/3,0)</f>
        <v>الربع 4</v>
      </c>
      <c r="S1927" s="40" t="str">
        <f aca="false">IF(D1927&lt;=12,"أطفال (0-12)",IF(D1927&lt;=24,"شباب (13-24)",IF(D1927&lt;=44,"بالغون (25-44)",IF(D1927&lt;=64,"متوسطو العمر (45-64)","كبار السن (+65)"))))</f>
        <v>متوسطو العمر (45-64)</v>
      </c>
      <c r="T1927" s="41" t="n">
        <f aca="false">IFERROR(L1927/P1927,0)</f>
        <v>1798.414</v>
      </c>
    </row>
    <row r="1928" customFormat="false" ht="15" hidden="false" customHeight="false" outlineLevel="0" collapsed="false">
      <c r="A1928" s="42" t="s">
        <v>1183</v>
      </c>
      <c r="B1928" s="43" t="n">
        <v>45628</v>
      </c>
      <c r="C1928" s="43" t="n">
        <v>45635</v>
      </c>
      <c r="D1928" s="42" t="n">
        <v>32</v>
      </c>
      <c r="E1928" s="42" t="s">
        <v>139</v>
      </c>
      <c r="F1928" s="42" t="s">
        <v>169</v>
      </c>
      <c r="G1928" s="42" t="s">
        <v>213</v>
      </c>
      <c r="H1928" s="42" t="s">
        <v>171</v>
      </c>
      <c r="I1928" s="42" t="s">
        <v>143</v>
      </c>
      <c r="J1928" s="42" t="s">
        <v>144</v>
      </c>
      <c r="K1928" s="42" t="s">
        <v>184</v>
      </c>
      <c r="L1928" s="44" t="n">
        <v>13088.27</v>
      </c>
      <c r="M1928" s="42" t="n">
        <v>5</v>
      </c>
      <c r="N1928" s="42" t="s">
        <v>146</v>
      </c>
      <c r="O1928" s="42" t="s">
        <v>147</v>
      </c>
      <c r="P1928" s="39" t="n">
        <f aca="false">C1928-B1928</f>
        <v>7</v>
      </c>
      <c r="Q1928" s="40" t="str">
        <f aca="false">CHOOSE(MONTH(B1928),"يناير","فبراير","مارس","أبريل","مايو","يونيو","يوليو","أغسطس","سبتمبر","أكتوبر","نوفمبر","ديسمبر")</f>
        <v>ديسمبر</v>
      </c>
      <c r="R1928" s="40" t="str">
        <f aca="false">"الربع "&amp;ROUNDUP(MONTH(B1928)/3,0)</f>
        <v>الربع 4</v>
      </c>
      <c r="S1928" s="40" t="str">
        <f aca="false">IF(D1928&lt;=12,"أطفال (0-12)",IF(D1928&lt;=24,"شباب (13-24)",IF(D1928&lt;=44,"بالغون (25-44)",IF(D1928&lt;=64,"متوسطو العمر (45-64)","كبار السن (+65)"))))</f>
        <v>بالغون (25-44)</v>
      </c>
      <c r="T1928" s="41" t="n">
        <f aca="false">IFERROR(L1928/P1928,0)</f>
        <v>1869.75285714286</v>
      </c>
    </row>
    <row r="1929" customFormat="false" ht="15" hidden="false" customHeight="false" outlineLevel="0" collapsed="false">
      <c r="A1929" s="33" t="s">
        <v>1066</v>
      </c>
      <c r="B1929" s="34" t="n">
        <v>45628</v>
      </c>
      <c r="C1929" s="34" t="n">
        <v>45633</v>
      </c>
      <c r="D1929" s="33" t="n">
        <v>72</v>
      </c>
      <c r="E1929" s="33" t="s">
        <v>139</v>
      </c>
      <c r="F1929" s="33" t="s">
        <v>140</v>
      </c>
      <c r="G1929" s="33" t="s">
        <v>316</v>
      </c>
      <c r="H1929" s="33" t="s">
        <v>290</v>
      </c>
      <c r="I1929" s="33" t="s">
        <v>158</v>
      </c>
      <c r="J1929" s="33" t="s">
        <v>159</v>
      </c>
      <c r="K1929" s="33" t="s">
        <v>184</v>
      </c>
      <c r="L1929" s="35" t="n">
        <v>9489.26</v>
      </c>
      <c r="M1929" s="33" t="n">
        <v>4</v>
      </c>
      <c r="N1929" s="33" t="s">
        <v>146</v>
      </c>
      <c r="O1929" s="33" t="s">
        <v>147</v>
      </c>
      <c r="P1929" s="39" t="n">
        <f aca="false">C1929-B1929</f>
        <v>5</v>
      </c>
      <c r="Q1929" s="40" t="str">
        <f aca="false">CHOOSE(MONTH(B1929),"يناير","فبراير","مارس","أبريل","مايو","يونيو","يوليو","أغسطس","سبتمبر","أكتوبر","نوفمبر","ديسمبر")</f>
        <v>ديسمبر</v>
      </c>
      <c r="R1929" s="40" t="str">
        <f aca="false">"الربع "&amp;ROUNDUP(MONTH(B1929)/3,0)</f>
        <v>الربع 4</v>
      </c>
      <c r="S1929" s="40" t="str">
        <f aca="false">IF(D1929&lt;=12,"أطفال (0-12)",IF(D1929&lt;=24,"شباب (13-24)",IF(D1929&lt;=44,"بالغون (25-44)",IF(D1929&lt;=64,"متوسطو العمر (45-64)","كبار السن (+65)"))))</f>
        <v>كبار السن (+65)</v>
      </c>
      <c r="T1929" s="41" t="n">
        <f aca="false">IFERROR(L1929/P1929,0)</f>
        <v>1897.852</v>
      </c>
    </row>
    <row r="1930" customFormat="false" ht="15" hidden="false" customHeight="false" outlineLevel="0" collapsed="false">
      <c r="A1930" s="42" t="s">
        <v>1668</v>
      </c>
      <c r="B1930" s="43" t="n">
        <v>45628</v>
      </c>
      <c r="C1930" s="43" t="n">
        <v>45634</v>
      </c>
      <c r="D1930" s="42" t="n">
        <v>22</v>
      </c>
      <c r="E1930" s="42" t="s">
        <v>154</v>
      </c>
      <c r="F1930" s="42" t="s">
        <v>173</v>
      </c>
      <c r="G1930" s="42" t="s">
        <v>198</v>
      </c>
      <c r="H1930" s="42" t="s">
        <v>199</v>
      </c>
      <c r="I1930" s="42" t="s">
        <v>143</v>
      </c>
      <c r="J1930" s="42" t="s">
        <v>144</v>
      </c>
      <c r="K1930" s="42" t="s">
        <v>145</v>
      </c>
      <c r="L1930" s="44" t="n">
        <v>20742.06</v>
      </c>
      <c r="M1930" s="42" t="n">
        <v>5</v>
      </c>
      <c r="N1930" s="42" t="s">
        <v>146</v>
      </c>
      <c r="O1930" s="42" t="s">
        <v>147</v>
      </c>
      <c r="P1930" s="39" t="n">
        <f aca="false">C1930-B1930</f>
        <v>6</v>
      </c>
      <c r="Q1930" s="40" t="str">
        <f aca="false">CHOOSE(MONTH(B1930),"يناير","فبراير","مارس","أبريل","مايو","يونيو","يوليو","أغسطس","سبتمبر","أكتوبر","نوفمبر","ديسمبر")</f>
        <v>ديسمبر</v>
      </c>
      <c r="R1930" s="40" t="str">
        <f aca="false">"الربع "&amp;ROUNDUP(MONTH(B1930)/3,0)</f>
        <v>الربع 4</v>
      </c>
      <c r="S1930" s="40" t="str">
        <f aca="false">IF(D1930&lt;=12,"أطفال (0-12)",IF(D1930&lt;=24,"شباب (13-24)",IF(D1930&lt;=44,"بالغون (25-44)",IF(D1930&lt;=64,"متوسطو العمر (45-64)","كبار السن (+65)"))))</f>
        <v>شباب (13-24)</v>
      </c>
      <c r="T1930" s="41" t="n">
        <f aca="false">IFERROR(L1930/P1930,0)</f>
        <v>3457.01</v>
      </c>
    </row>
    <row r="1931" customFormat="false" ht="15" hidden="false" customHeight="false" outlineLevel="0" collapsed="false">
      <c r="A1931" s="33" t="s">
        <v>1188</v>
      </c>
      <c r="B1931" s="34" t="n">
        <v>45628</v>
      </c>
      <c r="C1931" s="34" t="n">
        <v>45635</v>
      </c>
      <c r="D1931" s="33" t="n">
        <v>14</v>
      </c>
      <c r="E1931" s="33" t="s">
        <v>154</v>
      </c>
      <c r="F1931" s="33" t="s">
        <v>169</v>
      </c>
      <c r="G1931" s="33" t="s">
        <v>213</v>
      </c>
      <c r="H1931" s="33" t="s">
        <v>164</v>
      </c>
      <c r="I1931" s="33" t="s">
        <v>143</v>
      </c>
      <c r="J1931" s="33" t="s">
        <v>159</v>
      </c>
      <c r="K1931" s="33" t="s">
        <v>184</v>
      </c>
      <c r="L1931" s="35" t="n">
        <v>7402.04</v>
      </c>
      <c r="M1931" s="33" t="n">
        <v>4</v>
      </c>
      <c r="N1931" s="33" t="s">
        <v>146</v>
      </c>
      <c r="O1931" s="33" t="s">
        <v>247</v>
      </c>
      <c r="P1931" s="39" t="n">
        <f aca="false">C1931-B1931</f>
        <v>7</v>
      </c>
      <c r="Q1931" s="40" t="str">
        <f aca="false">CHOOSE(MONTH(B1931),"يناير","فبراير","مارس","أبريل","مايو","يونيو","يوليو","أغسطس","سبتمبر","أكتوبر","نوفمبر","ديسمبر")</f>
        <v>ديسمبر</v>
      </c>
      <c r="R1931" s="40" t="str">
        <f aca="false">"الربع "&amp;ROUNDUP(MONTH(B1931)/3,0)</f>
        <v>الربع 4</v>
      </c>
      <c r="S1931" s="40" t="str">
        <f aca="false">IF(D1931&lt;=12,"أطفال (0-12)",IF(D1931&lt;=24,"شباب (13-24)",IF(D1931&lt;=44,"بالغون (25-44)",IF(D1931&lt;=64,"متوسطو العمر (45-64)","كبار السن (+65)"))))</f>
        <v>شباب (13-24)</v>
      </c>
      <c r="T1931" s="41" t="n">
        <f aca="false">IFERROR(L1931/P1931,0)</f>
        <v>1057.43428571429</v>
      </c>
    </row>
    <row r="1932" customFormat="false" ht="15" hidden="false" customHeight="false" outlineLevel="0" collapsed="false">
      <c r="A1932" s="42" t="s">
        <v>722</v>
      </c>
      <c r="B1932" s="43" t="n">
        <v>45629</v>
      </c>
      <c r="C1932" s="43" t="n">
        <v>45630</v>
      </c>
      <c r="D1932" s="42" t="n">
        <v>36</v>
      </c>
      <c r="E1932" s="42" t="s">
        <v>139</v>
      </c>
      <c r="F1932" s="42" t="s">
        <v>149</v>
      </c>
      <c r="G1932" s="42" t="s">
        <v>150</v>
      </c>
      <c r="H1932" s="42" t="s">
        <v>186</v>
      </c>
      <c r="I1932" s="42" t="s">
        <v>158</v>
      </c>
      <c r="J1932" s="42" t="s">
        <v>159</v>
      </c>
      <c r="K1932" s="42" t="s">
        <v>145</v>
      </c>
      <c r="L1932" s="44" t="n">
        <v>1201.5</v>
      </c>
      <c r="M1932" s="42" t="n">
        <v>4</v>
      </c>
      <c r="N1932" s="42" t="s">
        <v>146</v>
      </c>
      <c r="O1932" s="42" t="s">
        <v>147</v>
      </c>
      <c r="P1932" s="39" t="n">
        <f aca="false">C1932-B1932</f>
        <v>1</v>
      </c>
      <c r="Q1932" s="40" t="str">
        <f aca="false">CHOOSE(MONTH(B1932),"يناير","فبراير","مارس","أبريل","مايو","يونيو","يوليو","أغسطس","سبتمبر","أكتوبر","نوفمبر","ديسمبر")</f>
        <v>ديسمبر</v>
      </c>
      <c r="R1932" s="40" t="str">
        <f aca="false">"الربع "&amp;ROUNDUP(MONTH(B1932)/3,0)</f>
        <v>الربع 4</v>
      </c>
      <c r="S1932" s="40" t="str">
        <f aca="false">IF(D1932&lt;=12,"أطفال (0-12)",IF(D1932&lt;=24,"شباب (13-24)",IF(D1932&lt;=44,"بالغون (25-44)",IF(D1932&lt;=64,"متوسطو العمر (45-64)","كبار السن (+65)"))))</f>
        <v>بالغون (25-44)</v>
      </c>
      <c r="T1932" s="41" t="n">
        <f aca="false">IFERROR(L1932/P1932,0)</f>
        <v>1201.5</v>
      </c>
    </row>
    <row r="1933" customFormat="false" ht="15" hidden="false" customHeight="false" outlineLevel="0" collapsed="false">
      <c r="A1933" s="33" t="s">
        <v>2212</v>
      </c>
      <c r="B1933" s="34" t="n">
        <v>45629</v>
      </c>
      <c r="C1933" s="34" t="n">
        <v>45630</v>
      </c>
      <c r="D1933" s="33" t="n">
        <v>17</v>
      </c>
      <c r="E1933" s="33" t="s">
        <v>139</v>
      </c>
      <c r="F1933" s="33" t="s">
        <v>149</v>
      </c>
      <c r="G1933" s="33" t="s">
        <v>224</v>
      </c>
      <c r="H1933" s="33" t="s">
        <v>186</v>
      </c>
      <c r="I1933" s="33" t="s">
        <v>152</v>
      </c>
      <c r="J1933" s="33" t="s">
        <v>159</v>
      </c>
      <c r="K1933" s="33" t="s">
        <v>145</v>
      </c>
      <c r="L1933" s="35" t="n">
        <v>1755.12</v>
      </c>
      <c r="M1933" s="33" t="n">
        <v>5</v>
      </c>
      <c r="N1933" s="33" t="s">
        <v>146</v>
      </c>
      <c r="O1933" s="33" t="s">
        <v>147</v>
      </c>
      <c r="P1933" s="39" t="n">
        <f aca="false">C1933-B1933</f>
        <v>1</v>
      </c>
      <c r="Q1933" s="40" t="str">
        <f aca="false">CHOOSE(MONTH(B1933),"يناير","فبراير","مارس","أبريل","مايو","يونيو","يوليو","أغسطس","سبتمبر","أكتوبر","نوفمبر","ديسمبر")</f>
        <v>ديسمبر</v>
      </c>
      <c r="R1933" s="40" t="str">
        <f aca="false">"الربع "&amp;ROUNDUP(MONTH(B1933)/3,0)</f>
        <v>الربع 4</v>
      </c>
      <c r="S1933" s="40" t="str">
        <f aca="false">IF(D1933&lt;=12,"أطفال (0-12)",IF(D1933&lt;=24,"شباب (13-24)",IF(D1933&lt;=44,"بالغون (25-44)",IF(D1933&lt;=64,"متوسطو العمر (45-64)","كبار السن (+65)"))))</f>
        <v>شباب (13-24)</v>
      </c>
      <c r="T1933" s="41" t="n">
        <f aca="false">IFERROR(L1933/P1933,0)</f>
        <v>1755.12</v>
      </c>
    </row>
    <row r="1934" customFormat="false" ht="15" hidden="false" customHeight="false" outlineLevel="0" collapsed="false">
      <c r="A1934" s="42" t="s">
        <v>1441</v>
      </c>
      <c r="B1934" s="43" t="n">
        <v>45629</v>
      </c>
      <c r="C1934" s="43" t="n">
        <v>45633</v>
      </c>
      <c r="D1934" s="42" t="n">
        <v>69</v>
      </c>
      <c r="E1934" s="42" t="s">
        <v>154</v>
      </c>
      <c r="F1934" s="42" t="s">
        <v>173</v>
      </c>
      <c r="G1934" s="42" t="s">
        <v>198</v>
      </c>
      <c r="H1934" s="42" t="s">
        <v>175</v>
      </c>
      <c r="I1934" s="42" t="s">
        <v>143</v>
      </c>
      <c r="J1934" s="42" t="s">
        <v>144</v>
      </c>
      <c r="K1934" s="42" t="s">
        <v>209</v>
      </c>
      <c r="L1934" s="44" t="n">
        <v>17998.21</v>
      </c>
      <c r="M1934" s="42" t="n">
        <v>3</v>
      </c>
      <c r="N1934" s="42" t="s">
        <v>210</v>
      </c>
      <c r="O1934" s="42" t="s">
        <v>206</v>
      </c>
      <c r="P1934" s="39" t="n">
        <f aca="false">C1934-B1934</f>
        <v>4</v>
      </c>
      <c r="Q1934" s="40" t="str">
        <f aca="false">CHOOSE(MONTH(B1934),"يناير","فبراير","مارس","أبريل","مايو","يونيو","يوليو","أغسطس","سبتمبر","أكتوبر","نوفمبر","ديسمبر")</f>
        <v>ديسمبر</v>
      </c>
      <c r="R1934" s="40" t="str">
        <f aca="false">"الربع "&amp;ROUNDUP(MONTH(B1934)/3,0)</f>
        <v>الربع 4</v>
      </c>
      <c r="S1934" s="40" t="str">
        <f aca="false">IF(D1934&lt;=12,"أطفال (0-12)",IF(D1934&lt;=24,"شباب (13-24)",IF(D1934&lt;=44,"بالغون (25-44)",IF(D1934&lt;=64,"متوسطو العمر (45-64)","كبار السن (+65)"))))</f>
        <v>كبار السن (+65)</v>
      </c>
      <c r="T1934" s="41" t="n">
        <f aca="false">IFERROR(L1934/P1934,0)</f>
        <v>4499.5525</v>
      </c>
    </row>
    <row r="1935" customFormat="false" ht="15" hidden="false" customHeight="false" outlineLevel="0" collapsed="false">
      <c r="A1935" s="33" t="s">
        <v>1160</v>
      </c>
      <c r="B1935" s="34" t="n">
        <v>45629</v>
      </c>
      <c r="C1935" s="34" t="n">
        <v>45630</v>
      </c>
      <c r="D1935" s="33" t="n">
        <v>0</v>
      </c>
      <c r="E1935" s="33" t="s">
        <v>139</v>
      </c>
      <c r="F1935" s="33" t="s">
        <v>155</v>
      </c>
      <c r="G1935" s="33" t="s">
        <v>156</v>
      </c>
      <c r="H1935" s="33" t="s">
        <v>222</v>
      </c>
      <c r="I1935" s="33" t="s">
        <v>158</v>
      </c>
      <c r="J1935" s="33" t="s">
        <v>159</v>
      </c>
      <c r="K1935" s="33" t="s">
        <v>184</v>
      </c>
      <c r="L1935" s="35" t="n">
        <v>1021.59</v>
      </c>
      <c r="M1935" s="33" t="n">
        <v>4</v>
      </c>
      <c r="N1935" s="33" t="s">
        <v>146</v>
      </c>
      <c r="O1935" s="33" t="s">
        <v>147</v>
      </c>
      <c r="P1935" s="39" t="n">
        <f aca="false">C1935-B1935</f>
        <v>1</v>
      </c>
      <c r="Q1935" s="40" t="str">
        <f aca="false">CHOOSE(MONTH(B1935),"يناير","فبراير","مارس","أبريل","مايو","يونيو","يوليو","أغسطس","سبتمبر","أكتوبر","نوفمبر","ديسمبر")</f>
        <v>ديسمبر</v>
      </c>
      <c r="R1935" s="40" t="str">
        <f aca="false">"الربع "&amp;ROUNDUP(MONTH(B1935)/3,0)</f>
        <v>الربع 4</v>
      </c>
      <c r="S1935" s="40" t="str">
        <f aca="false">IF(D1935&lt;=12,"أطفال (0-12)",IF(D1935&lt;=24,"شباب (13-24)",IF(D1935&lt;=44,"بالغون (25-44)",IF(D1935&lt;=64,"متوسطو العمر (45-64)","كبار السن (+65)"))))</f>
        <v>أطفال (0-12)</v>
      </c>
      <c r="T1935" s="41" t="n">
        <f aca="false">IFERROR(L1935/P1935,0)</f>
        <v>1021.59</v>
      </c>
    </row>
    <row r="1936" customFormat="false" ht="15" hidden="false" customHeight="false" outlineLevel="0" collapsed="false">
      <c r="A1936" s="42" t="s">
        <v>2154</v>
      </c>
      <c r="B1936" s="43" t="n">
        <v>45629</v>
      </c>
      <c r="C1936" s="43" t="n">
        <v>45634</v>
      </c>
      <c r="D1936" s="42" t="n">
        <v>38</v>
      </c>
      <c r="E1936" s="42" t="s">
        <v>139</v>
      </c>
      <c r="F1936" s="42" t="s">
        <v>149</v>
      </c>
      <c r="G1936" s="42" t="s">
        <v>150</v>
      </c>
      <c r="H1936" s="42" t="s">
        <v>151</v>
      </c>
      <c r="I1936" s="42" t="s">
        <v>143</v>
      </c>
      <c r="J1936" s="42" t="s">
        <v>144</v>
      </c>
      <c r="K1936" s="42" t="s">
        <v>184</v>
      </c>
      <c r="L1936" s="44" t="n">
        <v>12072.48</v>
      </c>
      <c r="M1936" s="42" t="n">
        <v>3</v>
      </c>
      <c r="N1936" s="42" t="s">
        <v>146</v>
      </c>
      <c r="O1936" s="42" t="s">
        <v>247</v>
      </c>
      <c r="P1936" s="39" t="n">
        <f aca="false">C1936-B1936</f>
        <v>5</v>
      </c>
      <c r="Q1936" s="40" t="str">
        <f aca="false">CHOOSE(MONTH(B1936),"يناير","فبراير","مارس","أبريل","مايو","يونيو","يوليو","أغسطس","سبتمبر","أكتوبر","نوفمبر","ديسمبر")</f>
        <v>ديسمبر</v>
      </c>
      <c r="R1936" s="40" t="str">
        <f aca="false">"الربع "&amp;ROUNDUP(MONTH(B1936)/3,0)</f>
        <v>الربع 4</v>
      </c>
      <c r="S1936" s="40" t="str">
        <f aca="false">IF(D1936&lt;=12,"أطفال (0-12)",IF(D1936&lt;=24,"شباب (13-24)",IF(D1936&lt;=44,"بالغون (25-44)",IF(D1936&lt;=64,"متوسطو العمر (45-64)","كبار السن (+65)"))))</f>
        <v>بالغون (25-44)</v>
      </c>
      <c r="T1936" s="41" t="n">
        <f aca="false">IFERROR(L1936/P1936,0)</f>
        <v>2414.496</v>
      </c>
    </row>
    <row r="1937" customFormat="false" ht="15" hidden="false" customHeight="false" outlineLevel="0" collapsed="false">
      <c r="A1937" s="33" t="s">
        <v>748</v>
      </c>
      <c r="B1937" s="34" t="n">
        <v>45629</v>
      </c>
      <c r="C1937" s="34" t="n">
        <v>45630</v>
      </c>
      <c r="D1937" s="33" t="n">
        <v>0</v>
      </c>
      <c r="E1937" s="33" t="s">
        <v>139</v>
      </c>
      <c r="F1937" s="33" t="s">
        <v>155</v>
      </c>
      <c r="G1937" s="33" t="s">
        <v>156</v>
      </c>
      <c r="H1937" s="33" t="s">
        <v>222</v>
      </c>
      <c r="I1937" s="33" t="s">
        <v>152</v>
      </c>
      <c r="J1937" s="33" t="s">
        <v>176</v>
      </c>
      <c r="K1937" s="33" t="s">
        <v>145</v>
      </c>
      <c r="L1937" s="35" t="n">
        <v>2785.82</v>
      </c>
      <c r="M1937" s="33" t="n">
        <v>5</v>
      </c>
      <c r="N1937" s="33" t="s">
        <v>146</v>
      </c>
      <c r="O1937" s="33" t="s">
        <v>147</v>
      </c>
      <c r="P1937" s="39" t="n">
        <f aca="false">C1937-B1937</f>
        <v>1</v>
      </c>
      <c r="Q1937" s="40" t="str">
        <f aca="false">CHOOSE(MONTH(B1937),"يناير","فبراير","مارس","أبريل","مايو","يونيو","يوليو","أغسطس","سبتمبر","أكتوبر","نوفمبر","ديسمبر")</f>
        <v>ديسمبر</v>
      </c>
      <c r="R1937" s="40" t="str">
        <f aca="false">"الربع "&amp;ROUNDUP(MONTH(B1937)/3,0)</f>
        <v>الربع 4</v>
      </c>
      <c r="S1937" s="40" t="str">
        <f aca="false">IF(D1937&lt;=12,"أطفال (0-12)",IF(D1937&lt;=24,"شباب (13-24)",IF(D1937&lt;=44,"بالغون (25-44)",IF(D1937&lt;=64,"متوسطو العمر (45-64)","كبار السن (+65)"))))</f>
        <v>أطفال (0-12)</v>
      </c>
      <c r="T1937" s="41" t="n">
        <f aca="false">IFERROR(L1937/P1937,0)</f>
        <v>2785.82</v>
      </c>
    </row>
    <row r="1938" customFormat="false" ht="15" hidden="false" customHeight="false" outlineLevel="0" collapsed="false">
      <c r="A1938" s="42" t="s">
        <v>846</v>
      </c>
      <c r="B1938" s="43" t="n">
        <v>45630</v>
      </c>
      <c r="C1938" s="43" t="n">
        <v>45632</v>
      </c>
      <c r="D1938" s="42" t="n">
        <v>6</v>
      </c>
      <c r="E1938" s="42" t="s">
        <v>139</v>
      </c>
      <c r="F1938" s="42" t="s">
        <v>155</v>
      </c>
      <c r="G1938" s="42" t="s">
        <v>220</v>
      </c>
      <c r="H1938" s="42" t="s">
        <v>157</v>
      </c>
      <c r="I1938" s="42" t="s">
        <v>152</v>
      </c>
      <c r="J1938" s="42" t="s">
        <v>144</v>
      </c>
      <c r="K1938" s="42" t="s">
        <v>145</v>
      </c>
      <c r="L1938" s="44" t="n">
        <v>3091.13</v>
      </c>
      <c r="M1938" s="42" t="n">
        <v>4</v>
      </c>
      <c r="N1938" s="42" t="s">
        <v>210</v>
      </c>
      <c r="O1938" s="42" t="s">
        <v>147</v>
      </c>
      <c r="P1938" s="39" t="n">
        <f aca="false">C1938-B1938</f>
        <v>2</v>
      </c>
      <c r="Q1938" s="40" t="str">
        <f aca="false">CHOOSE(MONTH(B1938),"يناير","فبراير","مارس","أبريل","مايو","يونيو","يوليو","أغسطس","سبتمبر","أكتوبر","نوفمبر","ديسمبر")</f>
        <v>ديسمبر</v>
      </c>
      <c r="R1938" s="40" t="str">
        <f aca="false">"الربع "&amp;ROUNDUP(MONTH(B1938)/3,0)</f>
        <v>الربع 4</v>
      </c>
      <c r="S1938" s="40" t="str">
        <f aca="false">IF(D1938&lt;=12,"أطفال (0-12)",IF(D1938&lt;=24,"شباب (13-24)",IF(D1938&lt;=44,"بالغون (25-44)",IF(D1938&lt;=64,"متوسطو العمر (45-64)","كبار السن (+65)"))))</f>
        <v>أطفال (0-12)</v>
      </c>
      <c r="T1938" s="41" t="n">
        <f aca="false">IFERROR(L1938/P1938,0)</f>
        <v>1545.565</v>
      </c>
    </row>
    <row r="1939" customFormat="false" ht="15" hidden="false" customHeight="false" outlineLevel="0" collapsed="false">
      <c r="A1939" s="33" t="s">
        <v>352</v>
      </c>
      <c r="B1939" s="34" t="n">
        <v>45630</v>
      </c>
      <c r="C1939" s="34" t="n">
        <v>45640</v>
      </c>
      <c r="D1939" s="33" t="n">
        <v>42</v>
      </c>
      <c r="E1939" s="33" t="s">
        <v>154</v>
      </c>
      <c r="F1939" s="33" t="s">
        <v>169</v>
      </c>
      <c r="G1939" s="33" t="s">
        <v>170</v>
      </c>
      <c r="H1939" s="33" t="s">
        <v>164</v>
      </c>
      <c r="I1939" s="33" t="s">
        <v>143</v>
      </c>
      <c r="J1939" s="33" t="s">
        <v>144</v>
      </c>
      <c r="K1939" s="33" t="s">
        <v>145</v>
      </c>
      <c r="L1939" s="35" t="n">
        <v>23481.97</v>
      </c>
      <c r="M1939" s="33" t="n">
        <v>4</v>
      </c>
      <c r="N1939" s="33" t="s">
        <v>146</v>
      </c>
      <c r="O1939" s="33" t="s">
        <v>247</v>
      </c>
      <c r="P1939" s="39" t="n">
        <f aca="false">C1939-B1939</f>
        <v>10</v>
      </c>
      <c r="Q1939" s="40" t="str">
        <f aca="false">CHOOSE(MONTH(B1939),"يناير","فبراير","مارس","أبريل","مايو","يونيو","يوليو","أغسطس","سبتمبر","أكتوبر","نوفمبر","ديسمبر")</f>
        <v>ديسمبر</v>
      </c>
      <c r="R1939" s="40" t="str">
        <f aca="false">"الربع "&amp;ROUNDUP(MONTH(B1939)/3,0)</f>
        <v>الربع 4</v>
      </c>
      <c r="S1939" s="40" t="str">
        <f aca="false">IF(D1939&lt;=12,"أطفال (0-12)",IF(D1939&lt;=24,"شباب (13-24)",IF(D1939&lt;=44,"بالغون (25-44)",IF(D1939&lt;=64,"متوسطو العمر (45-64)","كبار السن (+65)"))))</f>
        <v>بالغون (25-44)</v>
      </c>
      <c r="T1939" s="41" t="n">
        <f aca="false">IFERROR(L1939/P1939,0)</f>
        <v>2348.197</v>
      </c>
    </row>
    <row r="1940" customFormat="false" ht="15" hidden="false" customHeight="false" outlineLevel="0" collapsed="false">
      <c r="A1940" s="42" t="s">
        <v>1687</v>
      </c>
      <c r="B1940" s="43" t="n">
        <v>45630</v>
      </c>
      <c r="C1940" s="43" t="n">
        <v>45635</v>
      </c>
      <c r="D1940" s="42" t="n">
        <v>24</v>
      </c>
      <c r="E1940" s="42" t="s">
        <v>139</v>
      </c>
      <c r="F1940" s="42" t="s">
        <v>173</v>
      </c>
      <c r="G1940" s="42" t="s">
        <v>198</v>
      </c>
      <c r="H1940" s="42" t="s">
        <v>199</v>
      </c>
      <c r="I1940" s="42" t="s">
        <v>152</v>
      </c>
      <c r="J1940" s="42" t="s">
        <v>176</v>
      </c>
      <c r="K1940" s="42" t="s">
        <v>145</v>
      </c>
      <c r="L1940" s="44" t="n">
        <v>42583.21</v>
      </c>
      <c r="M1940" s="42" t="n">
        <v>5</v>
      </c>
      <c r="N1940" s="42" t="s">
        <v>146</v>
      </c>
      <c r="O1940" s="42" t="s">
        <v>147</v>
      </c>
      <c r="P1940" s="39" t="n">
        <f aca="false">C1940-B1940</f>
        <v>5</v>
      </c>
      <c r="Q1940" s="40" t="str">
        <f aca="false">CHOOSE(MONTH(B1940),"يناير","فبراير","مارس","أبريل","مايو","يونيو","يوليو","أغسطس","سبتمبر","أكتوبر","نوفمبر","ديسمبر")</f>
        <v>ديسمبر</v>
      </c>
      <c r="R1940" s="40" t="str">
        <f aca="false">"الربع "&amp;ROUNDUP(MONTH(B1940)/3,0)</f>
        <v>الربع 4</v>
      </c>
      <c r="S1940" s="40" t="str">
        <f aca="false">IF(D1940&lt;=12,"أطفال (0-12)",IF(D1940&lt;=24,"شباب (13-24)",IF(D1940&lt;=44,"بالغون (25-44)",IF(D1940&lt;=64,"متوسطو العمر (45-64)","كبار السن (+65)"))))</f>
        <v>شباب (13-24)</v>
      </c>
      <c r="T1940" s="41" t="n">
        <f aca="false">IFERROR(L1940/P1940,0)</f>
        <v>8516.642</v>
      </c>
    </row>
    <row r="1941" customFormat="false" ht="15" hidden="false" customHeight="false" outlineLevel="0" collapsed="false">
      <c r="A1941" s="33" t="s">
        <v>2130</v>
      </c>
      <c r="B1941" s="34" t="n">
        <v>45630</v>
      </c>
      <c r="C1941" s="34" t="n">
        <v>45636</v>
      </c>
      <c r="D1941" s="33" t="n">
        <v>26</v>
      </c>
      <c r="E1941" s="33" t="s">
        <v>154</v>
      </c>
      <c r="F1941" s="33" t="s">
        <v>140</v>
      </c>
      <c r="G1941" s="33" t="s">
        <v>316</v>
      </c>
      <c r="H1941" s="33" t="s">
        <v>142</v>
      </c>
      <c r="I1941" s="33" t="s">
        <v>152</v>
      </c>
      <c r="J1941" s="33" t="s">
        <v>144</v>
      </c>
      <c r="K1941" s="33" t="s">
        <v>209</v>
      </c>
      <c r="L1941" s="35" t="n">
        <v>23723.63</v>
      </c>
      <c r="M1941" s="33" t="n">
        <v>3</v>
      </c>
      <c r="N1941" s="33" t="s">
        <v>146</v>
      </c>
      <c r="O1941" s="33" t="s">
        <v>247</v>
      </c>
      <c r="P1941" s="39" t="n">
        <f aca="false">C1941-B1941</f>
        <v>6</v>
      </c>
      <c r="Q1941" s="40" t="str">
        <f aca="false">CHOOSE(MONTH(B1941),"يناير","فبراير","مارس","أبريل","مايو","يونيو","يوليو","أغسطس","سبتمبر","أكتوبر","نوفمبر","ديسمبر")</f>
        <v>ديسمبر</v>
      </c>
      <c r="R1941" s="40" t="str">
        <f aca="false">"الربع "&amp;ROUNDUP(MONTH(B1941)/3,0)</f>
        <v>الربع 4</v>
      </c>
      <c r="S1941" s="40" t="str">
        <f aca="false">IF(D1941&lt;=12,"أطفال (0-12)",IF(D1941&lt;=24,"شباب (13-24)",IF(D1941&lt;=44,"بالغون (25-44)",IF(D1941&lt;=64,"متوسطو العمر (45-64)","كبار السن (+65)"))))</f>
        <v>بالغون (25-44)</v>
      </c>
      <c r="T1941" s="41" t="n">
        <f aca="false">IFERROR(L1941/P1941,0)</f>
        <v>3953.93833333333</v>
      </c>
    </row>
    <row r="1942" customFormat="false" ht="15" hidden="false" customHeight="false" outlineLevel="0" collapsed="false">
      <c r="A1942" s="42" t="s">
        <v>703</v>
      </c>
      <c r="B1942" s="43" t="n">
        <v>45630</v>
      </c>
      <c r="C1942" s="43" t="n">
        <v>45636</v>
      </c>
      <c r="D1942" s="42" t="n">
        <v>43</v>
      </c>
      <c r="E1942" s="42" t="s">
        <v>154</v>
      </c>
      <c r="F1942" s="42" t="s">
        <v>181</v>
      </c>
      <c r="G1942" s="42" t="s">
        <v>237</v>
      </c>
      <c r="H1942" s="42" t="s">
        <v>183</v>
      </c>
      <c r="I1942" s="42" t="s">
        <v>143</v>
      </c>
      <c r="J1942" s="42" t="s">
        <v>159</v>
      </c>
      <c r="K1942" s="42" t="s">
        <v>160</v>
      </c>
      <c r="L1942" s="44" t="n">
        <v>13742.61</v>
      </c>
      <c r="M1942" s="42" t="n">
        <v>5</v>
      </c>
      <c r="N1942" s="42" t="s">
        <v>146</v>
      </c>
      <c r="O1942" s="42" t="s">
        <v>147</v>
      </c>
      <c r="P1942" s="39" t="n">
        <f aca="false">C1942-B1942</f>
        <v>6</v>
      </c>
      <c r="Q1942" s="40" t="str">
        <f aca="false">CHOOSE(MONTH(B1942),"يناير","فبراير","مارس","أبريل","مايو","يونيو","يوليو","أغسطس","سبتمبر","أكتوبر","نوفمبر","ديسمبر")</f>
        <v>ديسمبر</v>
      </c>
      <c r="R1942" s="40" t="str">
        <f aca="false">"الربع "&amp;ROUNDUP(MONTH(B1942)/3,0)</f>
        <v>الربع 4</v>
      </c>
      <c r="S1942" s="40" t="str">
        <f aca="false">IF(D1942&lt;=12,"أطفال (0-12)",IF(D1942&lt;=24,"شباب (13-24)",IF(D1942&lt;=44,"بالغون (25-44)",IF(D1942&lt;=64,"متوسطو العمر (45-64)","كبار السن (+65)"))))</f>
        <v>بالغون (25-44)</v>
      </c>
      <c r="T1942" s="41" t="n">
        <f aca="false">IFERROR(L1942/P1942,0)</f>
        <v>2290.435</v>
      </c>
    </row>
    <row r="1943" customFormat="false" ht="15" hidden="false" customHeight="false" outlineLevel="0" collapsed="false">
      <c r="A1943" s="33" t="s">
        <v>941</v>
      </c>
      <c r="B1943" s="34" t="n">
        <v>45630</v>
      </c>
      <c r="C1943" s="34" t="n">
        <v>45631</v>
      </c>
      <c r="D1943" s="33" t="n">
        <v>86</v>
      </c>
      <c r="E1943" s="33" t="s">
        <v>139</v>
      </c>
      <c r="F1943" s="33" t="s">
        <v>173</v>
      </c>
      <c r="G1943" s="33" t="s">
        <v>174</v>
      </c>
      <c r="H1943" s="33" t="s">
        <v>175</v>
      </c>
      <c r="I1943" s="33" t="s">
        <v>152</v>
      </c>
      <c r="J1943" s="33" t="s">
        <v>159</v>
      </c>
      <c r="K1943" s="33" t="s">
        <v>184</v>
      </c>
      <c r="L1943" s="35" t="n">
        <v>2609.28</v>
      </c>
      <c r="M1943" s="33" t="n">
        <v>3</v>
      </c>
      <c r="N1943" s="33" t="s">
        <v>146</v>
      </c>
      <c r="O1943" s="33" t="s">
        <v>147</v>
      </c>
      <c r="P1943" s="39" t="n">
        <f aca="false">C1943-B1943</f>
        <v>1</v>
      </c>
      <c r="Q1943" s="40" t="str">
        <f aca="false">CHOOSE(MONTH(B1943),"يناير","فبراير","مارس","أبريل","مايو","يونيو","يوليو","أغسطس","سبتمبر","أكتوبر","نوفمبر","ديسمبر")</f>
        <v>ديسمبر</v>
      </c>
      <c r="R1943" s="40" t="str">
        <f aca="false">"الربع "&amp;ROUNDUP(MONTH(B1943)/3,0)</f>
        <v>الربع 4</v>
      </c>
      <c r="S1943" s="40" t="str">
        <f aca="false">IF(D1943&lt;=12,"أطفال (0-12)",IF(D1943&lt;=24,"شباب (13-24)",IF(D1943&lt;=44,"بالغون (25-44)",IF(D1943&lt;=64,"متوسطو العمر (45-64)","كبار السن (+65)"))))</f>
        <v>كبار السن (+65)</v>
      </c>
      <c r="T1943" s="41" t="n">
        <f aca="false">IFERROR(L1943/P1943,0)</f>
        <v>2609.28</v>
      </c>
    </row>
    <row r="1944" customFormat="false" ht="15" hidden="false" customHeight="false" outlineLevel="0" collapsed="false">
      <c r="A1944" s="42" t="s">
        <v>2150</v>
      </c>
      <c r="B1944" s="43" t="n">
        <v>45630</v>
      </c>
      <c r="C1944" s="43" t="n">
        <v>45633</v>
      </c>
      <c r="D1944" s="42" t="n">
        <v>0</v>
      </c>
      <c r="E1944" s="42" t="s">
        <v>139</v>
      </c>
      <c r="F1944" s="42" t="s">
        <v>155</v>
      </c>
      <c r="G1944" s="42" t="s">
        <v>220</v>
      </c>
      <c r="H1944" s="42" t="s">
        <v>222</v>
      </c>
      <c r="I1944" s="42" t="s">
        <v>152</v>
      </c>
      <c r="J1944" s="42" t="s">
        <v>159</v>
      </c>
      <c r="K1944" s="42" t="s">
        <v>184</v>
      </c>
      <c r="L1944" s="44" t="n">
        <v>2724.79</v>
      </c>
      <c r="M1944" s="42" t="n">
        <v>4</v>
      </c>
      <c r="N1944" s="42" t="s">
        <v>146</v>
      </c>
      <c r="O1944" s="42" t="s">
        <v>147</v>
      </c>
      <c r="P1944" s="39" t="n">
        <f aca="false">C1944-B1944</f>
        <v>3</v>
      </c>
      <c r="Q1944" s="40" t="str">
        <f aca="false">CHOOSE(MONTH(B1944),"يناير","فبراير","مارس","أبريل","مايو","يونيو","يوليو","أغسطس","سبتمبر","أكتوبر","نوفمبر","ديسمبر")</f>
        <v>ديسمبر</v>
      </c>
      <c r="R1944" s="40" t="str">
        <f aca="false">"الربع "&amp;ROUNDUP(MONTH(B1944)/3,0)</f>
        <v>الربع 4</v>
      </c>
      <c r="S1944" s="40" t="str">
        <f aca="false">IF(D1944&lt;=12,"أطفال (0-12)",IF(D1944&lt;=24,"شباب (13-24)",IF(D1944&lt;=44,"بالغون (25-44)",IF(D1944&lt;=64,"متوسطو العمر (45-64)","كبار السن (+65)"))))</f>
        <v>أطفال (0-12)</v>
      </c>
      <c r="T1944" s="41" t="n">
        <f aca="false">IFERROR(L1944/P1944,0)</f>
        <v>908.263333333333</v>
      </c>
    </row>
    <row r="1945" customFormat="false" ht="15" hidden="false" customHeight="false" outlineLevel="0" collapsed="false">
      <c r="A1945" s="33" t="s">
        <v>655</v>
      </c>
      <c r="B1945" s="34" t="n">
        <v>45630</v>
      </c>
      <c r="C1945" s="34" t="n">
        <v>45631</v>
      </c>
      <c r="D1945" s="33" t="n">
        <v>30</v>
      </c>
      <c r="E1945" s="33" t="s">
        <v>139</v>
      </c>
      <c r="F1945" s="33" t="s">
        <v>149</v>
      </c>
      <c r="G1945" s="33" t="s">
        <v>224</v>
      </c>
      <c r="H1945" s="33" t="s">
        <v>186</v>
      </c>
      <c r="I1945" s="33" t="s">
        <v>152</v>
      </c>
      <c r="J1945" s="33" t="s">
        <v>159</v>
      </c>
      <c r="K1945" s="33" t="s">
        <v>145</v>
      </c>
      <c r="L1945" s="35" t="n">
        <v>1520.58</v>
      </c>
      <c r="M1945" s="33" t="n">
        <v>4</v>
      </c>
      <c r="N1945" s="33" t="s">
        <v>146</v>
      </c>
      <c r="O1945" s="33" t="s">
        <v>147</v>
      </c>
      <c r="P1945" s="39" t="n">
        <f aca="false">C1945-B1945</f>
        <v>1</v>
      </c>
      <c r="Q1945" s="40" t="str">
        <f aca="false">CHOOSE(MONTH(B1945),"يناير","فبراير","مارس","أبريل","مايو","يونيو","يوليو","أغسطس","سبتمبر","أكتوبر","نوفمبر","ديسمبر")</f>
        <v>ديسمبر</v>
      </c>
      <c r="R1945" s="40" t="str">
        <f aca="false">"الربع "&amp;ROUNDUP(MONTH(B1945)/3,0)</f>
        <v>الربع 4</v>
      </c>
      <c r="S1945" s="40" t="str">
        <f aca="false">IF(D1945&lt;=12,"أطفال (0-12)",IF(D1945&lt;=24,"شباب (13-24)",IF(D1945&lt;=44,"بالغون (25-44)",IF(D1945&lt;=64,"متوسطو العمر (45-64)","كبار السن (+65)"))))</f>
        <v>بالغون (25-44)</v>
      </c>
      <c r="T1945" s="41" t="n">
        <f aca="false">IFERROR(L1945/P1945,0)</f>
        <v>1520.58</v>
      </c>
    </row>
    <row r="1946" customFormat="false" ht="15" hidden="false" customHeight="false" outlineLevel="0" collapsed="false">
      <c r="A1946" s="42" t="s">
        <v>588</v>
      </c>
      <c r="B1946" s="43" t="n">
        <v>45630</v>
      </c>
      <c r="C1946" s="43" t="n">
        <v>45631</v>
      </c>
      <c r="D1946" s="42" t="n">
        <v>32</v>
      </c>
      <c r="E1946" s="42" t="s">
        <v>139</v>
      </c>
      <c r="F1946" s="42" t="s">
        <v>203</v>
      </c>
      <c r="G1946" s="42" t="s">
        <v>217</v>
      </c>
      <c r="H1946" s="42" t="s">
        <v>205</v>
      </c>
      <c r="I1946" s="42" t="s">
        <v>143</v>
      </c>
      <c r="J1946" s="42" t="s">
        <v>159</v>
      </c>
      <c r="K1946" s="42" t="s">
        <v>145</v>
      </c>
      <c r="L1946" s="44" t="n">
        <v>976.34</v>
      </c>
      <c r="M1946" s="42" t="n">
        <v>2</v>
      </c>
      <c r="N1946" s="42" t="s">
        <v>146</v>
      </c>
      <c r="O1946" s="42" t="s">
        <v>147</v>
      </c>
      <c r="P1946" s="39" t="n">
        <f aca="false">C1946-B1946</f>
        <v>1</v>
      </c>
      <c r="Q1946" s="40" t="str">
        <f aca="false">CHOOSE(MONTH(B1946),"يناير","فبراير","مارس","أبريل","مايو","يونيو","يوليو","أغسطس","سبتمبر","أكتوبر","نوفمبر","ديسمبر")</f>
        <v>ديسمبر</v>
      </c>
      <c r="R1946" s="40" t="str">
        <f aca="false">"الربع "&amp;ROUNDUP(MONTH(B1946)/3,0)</f>
        <v>الربع 4</v>
      </c>
      <c r="S1946" s="40" t="str">
        <f aca="false">IF(D1946&lt;=12,"أطفال (0-12)",IF(D1946&lt;=24,"شباب (13-24)",IF(D1946&lt;=44,"بالغون (25-44)",IF(D1946&lt;=64,"متوسطو العمر (45-64)","كبار السن (+65)"))))</f>
        <v>بالغون (25-44)</v>
      </c>
      <c r="T1946" s="41" t="n">
        <f aca="false">IFERROR(L1946/P1946,0)</f>
        <v>976.34</v>
      </c>
    </row>
    <row r="1947" customFormat="false" ht="15" hidden="false" customHeight="false" outlineLevel="0" collapsed="false">
      <c r="A1947" s="33" t="s">
        <v>1005</v>
      </c>
      <c r="B1947" s="34" t="n">
        <v>45631</v>
      </c>
      <c r="C1947" s="34" t="n">
        <v>45639</v>
      </c>
      <c r="D1947" s="33" t="n">
        <v>32</v>
      </c>
      <c r="E1947" s="33" t="s">
        <v>154</v>
      </c>
      <c r="F1947" s="33" t="s">
        <v>173</v>
      </c>
      <c r="G1947" s="33" t="s">
        <v>178</v>
      </c>
      <c r="H1947" s="33" t="s">
        <v>199</v>
      </c>
      <c r="I1947" s="33" t="s">
        <v>143</v>
      </c>
      <c r="J1947" s="33" t="s">
        <v>176</v>
      </c>
      <c r="K1947" s="33" t="s">
        <v>145</v>
      </c>
      <c r="L1947" s="35" t="n">
        <v>66980.59</v>
      </c>
      <c r="M1947" s="33" t="n">
        <v>5</v>
      </c>
      <c r="N1947" s="33" t="s">
        <v>146</v>
      </c>
      <c r="O1947" s="33" t="s">
        <v>147</v>
      </c>
      <c r="P1947" s="39" t="n">
        <f aca="false">C1947-B1947</f>
        <v>8</v>
      </c>
      <c r="Q1947" s="40" t="str">
        <f aca="false">CHOOSE(MONTH(B1947),"يناير","فبراير","مارس","أبريل","مايو","يونيو","يوليو","أغسطس","سبتمبر","أكتوبر","نوفمبر","ديسمبر")</f>
        <v>ديسمبر</v>
      </c>
      <c r="R1947" s="40" t="str">
        <f aca="false">"الربع "&amp;ROUNDUP(MONTH(B1947)/3,0)</f>
        <v>الربع 4</v>
      </c>
      <c r="S1947" s="40" t="str">
        <f aca="false">IF(D1947&lt;=12,"أطفال (0-12)",IF(D1947&lt;=24,"شباب (13-24)",IF(D1947&lt;=44,"بالغون (25-44)",IF(D1947&lt;=64,"متوسطو العمر (45-64)","كبار السن (+65)"))))</f>
        <v>بالغون (25-44)</v>
      </c>
      <c r="T1947" s="41" t="n">
        <f aca="false">IFERROR(L1947/P1947,0)</f>
        <v>8372.57375</v>
      </c>
    </row>
    <row r="1948" customFormat="false" ht="15" hidden="false" customHeight="false" outlineLevel="0" collapsed="false">
      <c r="A1948" s="42" t="s">
        <v>985</v>
      </c>
      <c r="B1948" s="43" t="n">
        <v>45631</v>
      </c>
      <c r="C1948" s="43" t="n">
        <v>45637</v>
      </c>
      <c r="D1948" s="42" t="n">
        <v>58</v>
      </c>
      <c r="E1948" s="42" t="s">
        <v>154</v>
      </c>
      <c r="F1948" s="42" t="s">
        <v>181</v>
      </c>
      <c r="G1948" s="42" t="s">
        <v>182</v>
      </c>
      <c r="H1948" s="42" t="s">
        <v>245</v>
      </c>
      <c r="I1948" s="42" t="s">
        <v>158</v>
      </c>
      <c r="J1948" s="42" t="s">
        <v>159</v>
      </c>
      <c r="K1948" s="42" t="s">
        <v>160</v>
      </c>
      <c r="L1948" s="44" t="n">
        <v>15030.25</v>
      </c>
      <c r="M1948" s="42" t="n">
        <v>4</v>
      </c>
      <c r="N1948" s="42" t="s">
        <v>146</v>
      </c>
      <c r="O1948" s="42" t="s">
        <v>147</v>
      </c>
      <c r="P1948" s="39" t="n">
        <f aca="false">C1948-B1948</f>
        <v>6</v>
      </c>
      <c r="Q1948" s="40" t="str">
        <f aca="false">CHOOSE(MONTH(B1948),"يناير","فبراير","مارس","أبريل","مايو","يونيو","يوليو","أغسطس","سبتمبر","أكتوبر","نوفمبر","ديسمبر")</f>
        <v>ديسمبر</v>
      </c>
      <c r="R1948" s="40" t="str">
        <f aca="false">"الربع "&amp;ROUNDUP(MONTH(B1948)/3,0)</f>
        <v>الربع 4</v>
      </c>
      <c r="S1948" s="40" t="str">
        <f aca="false">IF(D1948&lt;=12,"أطفال (0-12)",IF(D1948&lt;=24,"شباب (13-24)",IF(D1948&lt;=44,"بالغون (25-44)",IF(D1948&lt;=64,"متوسطو العمر (45-64)","كبار السن (+65)"))))</f>
        <v>متوسطو العمر (45-64)</v>
      </c>
      <c r="T1948" s="41" t="n">
        <f aca="false">IFERROR(L1948/P1948,0)</f>
        <v>2505.04166666667</v>
      </c>
    </row>
    <row r="1949" customFormat="false" ht="15" hidden="false" customHeight="false" outlineLevel="0" collapsed="false">
      <c r="A1949" s="33" t="s">
        <v>1305</v>
      </c>
      <c r="B1949" s="34" t="n">
        <v>45631</v>
      </c>
      <c r="C1949" s="34" t="n">
        <v>45637</v>
      </c>
      <c r="D1949" s="33" t="n">
        <v>22</v>
      </c>
      <c r="E1949" s="33" t="s">
        <v>139</v>
      </c>
      <c r="F1949" s="33" t="s">
        <v>169</v>
      </c>
      <c r="G1949" s="33" t="s">
        <v>213</v>
      </c>
      <c r="H1949" s="33" t="s">
        <v>164</v>
      </c>
      <c r="I1949" s="33" t="s">
        <v>143</v>
      </c>
      <c r="J1949" s="33" t="s">
        <v>159</v>
      </c>
      <c r="K1949" s="33" t="s">
        <v>184</v>
      </c>
      <c r="L1949" s="35" t="n">
        <v>6700.01</v>
      </c>
      <c r="M1949" s="33" t="n">
        <v>4</v>
      </c>
      <c r="N1949" s="33" t="s">
        <v>146</v>
      </c>
      <c r="O1949" s="33" t="s">
        <v>206</v>
      </c>
      <c r="P1949" s="39" t="n">
        <f aca="false">C1949-B1949</f>
        <v>6</v>
      </c>
      <c r="Q1949" s="40" t="str">
        <f aca="false">CHOOSE(MONTH(B1949),"يناير","فبراير","مارس","أبريل","مايو","يونيو","يوليو","أغسطس","سبتمبر","أكتوبر","نوفمبر","ديسمبر")</f>
        <v>ديسمبر</v>
      </c>
      <c r="R1949" s="40" t="str">
        <f aca="false">"الربع "&amp;ROUNDUP(MONTH(B1949)/3,0)</f>
        <v>الربع 4</v>
      </c>
      <c r="S1949" s="40" t="str">
        <f aca="false">IF(D1949&lt;=12,"أطفال (0-12)",IF(D1949&lt;=24,"شباب (13-24)",IF(D1949&lt;=44,"بالغون (25-44)",IF(D1949&lt;=64,"متوسطو العمر (45-64)","كبار السن (+65)"))))</f>
        <v>شباب (13-24)</v>
      </c>
      <c r="T1949" s="41" t="n">
        <f aca="false">IFERROR(L1949/P1949,0)</f>
        <v>1116.66833333333</v>
      </c>
    </row>
    <row r="1950" customFormat="false" ht="15" hidden="false" customHeight="false" outlineLevel="0" collapsed="false">
      <c r="A1950" s="42" t="s">
        <v>2022</v>
      </c>
      <c r="B1950" s="43" t="n">
        <v>45631</v>
      </c>
      <c r="C1950" s="43" t="n">
        <v>45633</v>
      </c>
      <c r="D1950" s="42" t="n">
        <v>10</v>
      </c>
      <c r="E1950" s="42" t="s">
        <v>154</v>
      </c>
      <c r="F1950" s="42" t="s">
        <v>155</v>
      </c>
      <c r="G1950" s="42" t="s">
        <v>156</v>
      </c>
      <c r="H1950" s="42" t="s">
        <v>157</v>
      </c>
      <c r="I1950" s="42" t="s">
        <v>158</v>
      </c>
      <c r="J1950" s="42" t="s">
        <v>159</v>
      </c>
      <c r="K1950" s="42" t="s">
        <v>160</v>
      </c>
      <c r="L1950" s="44" t="n">
        <v>1620.71</v>
      </c>
      <c r="M1950" s="42" t="n">
        <v>4</v>
      </c>
      <c r="N1950" s="42" t="s">
        <v>146</v>
      </c>
      <c r="O1950" s="42" t="s">
        <v>147</v>
      </c>
      <c r="P1950" s="39" t="n">
        <f aca="false">C1950-B1950</f>
        <v>2</v>
      </c>
      <c r="Q1950" s="40" t="str">
        <f aca="false">CHOOSE(MONTH(B1950),"يناير","فبراير","مارس","أبريل","مايو","يونيو","يوليو","أغسطس","سبتمبر","أكتوبر","نوفمبر","ديسمبر")</f>
        <v>ديسمبر</v>
      </c>
      <c r="R1950" s="40" t="str">
        <f aca="false">"الربع "&amp;ROUNDUP(MONTH(B1950)/3,0)</f>
        <v>الربع 4</v>
      </c>
      <c r="S1950" s="40" t="str">
        <f aca="false">IF(D1950&lt;=12,"أطفال (0-12)",IF(D1950&lt;=24,"شباب (13-24)",IF(D1950&lt;=44,"بالغون (25-44)",IF(D1950&lt;=64,"متوسطو العمر (45-64)","كبار السن (+65)"))))</f>
        <v>أطفال (0-12)</v>
      </c>
      <c r="T1950" s="41" t="n">
        <f aca="false">IFERROR(L1950/P1950,0)</f>
        <v>810.355</v>
      </c>
    </row>
    <row r="1951" customFormat="false" ht="15" hidden="false" customHeight="false" outlineLevel="0" collapsed="false">
      <c r="A1951" s="33" t="s">
        <v>502</v>
      </c>
      <c r="B1951" s="34" t="n">
        <v>45631</v>
      </c>
      <c r="C1951" s="34" t="n">
        <v>45633</v>
      </c>
      <c r="D1951" s="33" t="n">
        <v>30</v>
      </c>
      <c r="E1951" s="33" t="s">
        <v>139</v>
      </c>
      <c r="F1951" s="33" t="s">
        <v>149</v>
      </c>
      <c r="G1951" s="33" t="s">
        <v>150</v>
      </c>
      <c r="H1951" s="33" t="s">
        <v>151</v>
      </c>
      <c r="I1951" s="33" t="s">
        <v>152</v>
      </c>
      <c r="J1951" s="33" t="s">
        <v>159</v>
      </c>
      <c r="K1951" s="33" t="s">
        <v>160</v>
      </c>
      <c r="L1951" s="35" t="n">
        <v>3283.08</v>
      </c>
      <c r="M1951" s="33" t="n">
        <v>4</v>
      </c>
      <c r="N1951" s="33" t="s">
        <v>146</v>
      </c>
      <c r="O1951" s="33" t="s">
        <v>147</v>
      </c>
      <c r="P1951" s="39" t="n">
        <f aca="false">C1951-B1951</f>
        <v>2</v>
      </c>
      <c r="Q1951" s="40" t="str">
        <f aca="false">CHOOSE(MONTH(B1951),"يناير","فبراير","مارس","أبريل","مايو","يونيو","يوليو","أغسطس","سبتمبر","أكتوبر","نوفمبر","ديسمبر")</f>
        <v>ديسمبر</v>
      </c>
      <c r="R1951" s="40" t="str">
        <f aca="false">"الربع "&amp;ROUNDUP(MONTH(B1951)/3,0)</f>
        <v>الربع 4</v>
      </c>
      <c r="S1951" s="40" t="str">
        <f aca="false">IF(D1951&lt;=12,"أطفال (0-12)",IF(D1951&lt;=24,"شباب (13-24)",IF(D1951&lt;=44,"بالغون (25-44)",IF(D1951&lt;=64,"متوسطو العمر (45-64)","كبار السن (+65)"))))</f>
        <v>بالغون (25-44)</v>
      </c>
      <c r="T1951" s="41" t="n">
        <f aca="false">IFERROR(L1951/P1951,0)</f>
        <v>1641.54</v>
      </c>
    </row>
    <row r="1952" customFormat="false" ht="15" hidden="false" customHeight="false" outlineLevel="0" collapsed="false">
      <c r="A1952" s="42" t="s">
        <v>871</v>
      </c>
      <c r="B1952" s="43" t="n">
        <v>45631</v>
      </c>
      <c r="C1952" s="43" t="n">
        <v>45633</v>
      </c>
      <c r="D1952" s="42" t="n">
        <v>44</v>
      </c>
      <c r="E1952" s="42" t="s">
        <v>154</v>
      </c>
      <c r="F1952" s="42" t="s">
        <v>169</v>
      </c>
      <c r="G1952" s="42" t="s">
        <v>170</v>
      </c>
      <c r="H1952" s="42" t="s">
        <v>195</v>
      </c>
      <c r="I1952" s="42" t="s">
        <v>152</v>
      </c>
      <c r="J1952" s="42" t="s">
        <v>159</v>
      </c>
      <c r="K1952" s="42" t="s">
        <v>145</v>
      </c>
      <c r="L1952" s="44" t="n">
        <v>2684.76</v>
      </c>
      <c r="M1952" s="42" t="n">
        <v>4</v>
      </c>
      <c r="N1952" s="42" t="s">
        <v>146</v>
      </c>
      <c r="O1952" s="42" t="s">
        <v>147</v>
      </c>
      <c r="P1952" s="39" t="n">
        <f aca="false">C1952-B1952</f>
        <v>2</v>
      </c>
      <c r="Q1952" s="40" t="str">
        <f aca="false">CHOOSE(MONTH(B1952),"يناير","فبراير","مارس","أبريل","مايو","يونيو","يوليو","أغسطس","سبتمبر","أكتوبر","نوفمبر","ديسمبر")</f>
        <v>ديسمبر</v>
      </c>
      <c r="R1952" s="40" t="str">
        <f aca="false">"الربع "&amp;ROUNDUP(MONTH(B1952)/3,0)</f>
        <v>الربع 4</v>
      </c>
      <c r="S1952" s="40" t="str">
        <f aca="false">IF(D1952&lt;=12,"أطفال (0-12)",IF(D1952&lt;=24,"شباب (13-24)",IF(D1952&lt;=44,"بالغون (25-44)",IF(D1952&lt;=64,"متوسطو العمر (45-64)","كبار السن (+65)"))))</f>
        <v>بالغون (25-44)</v>
      </c>
      <c r="T1952" s="41" t="n">
        <f aca="false">IFERROR(L1952/P1952,0)</f>
        <v>1342.38</v>
      </c>
    </row>
    <row r="1953" customFormat="false" ht="15" hidden="false" customHeight="false" outlineLevel="0" collapsed="false">
      <c r="A1953" s="33" t="s">
        <v>373</v>
      </c>
      <c r="B1953" s="34" t="n">
        <v>45632</v>
      </c>
      <c r="C1953" s="34" t="n">
        <v>45637</v>
      </c>
      <c r="D1953" s="33" t="n">
        <v>66</v>
      </c>
      <c r="E1953" s="33" t="s">
        <v>154</v>
      </c>
      <c r="F1953" s="33" t="s">
        <v>181</v>
      </c>
      <c r="G1953" s="33" t="s">
        <v>237</v>
      </c>
      <c r="H1953" s="33" t="s">
        <v>245</v>
      </c>
      <c r="I1953" s="33" t="s">
        <v>152</v>
      </c>
      <c r="J1953" s="33" t="s">
        <v>159</v>
      </c>
      <c r="K1953" s="33" t="s">
        <v>160</v>
      </c>
      <c r="L1953" s="35" t="n">
        <v>11527.97</v>
      </c>
      <c r="M1953" s="33" t="n">
        <v>4</v>
      </c>
      <c r="N1953" s="33" t="s">
        <v>146</v>
      </c>
      <c r="O1953" s="33" t="s">
        <v>147</v>
      </c>
      <c r="P1953" s="39" t="n">
        <f aca="false">C1953-B1953</f>
        <v>5</v>
      </c>
      <c r="Q1953" s="40" t="str">
        <f aca="false">CHOOSE(MONTH(B1953),"يناير","فبراير","مارس","أبريل","مايو","يونيو","يوليو","أغسطس","سبتمبر","أكتوبر","نوفمبر","ديسمبر")</f>
        <v>ديسمبر</v>
      </c>
      <c r="R1953" s="40" t="str">
        <f aca="false">"الربع "&amp;ROUNDUP(MONTH(B1953)/3,0)</f>
        <v>الربع 4</v>
      </c>
      <c r="S1953" s="40" t="str">
        <f aca="false">IF(D1953&lt;=12,"أطفال (0-12)",IF(D1953&lt;=24,"شباب (13-24)",IF(D1953&lt;=44,"بالغون (25-44)",IF(D1953&lt;=64,"متوسطو العمر (45-64)","كبار السن (+65)"))))</f>
        <v>كبار السن (+65)</v>
      </c>
      <c r="T1953" s="41" t="n">
        <f aca="false">IFERROR(L1953/P1953,0)</f>
        <v>2305.594</v>
      </c>
    </row>
    <row r="1954" customFormat="false" ht="15" hidden="false" customHeight="false" outlineLevel="0" collapsed="false">
      <c r="A1954" s="42" t="s">
        <v>1307</v>
      </c>
      <c r="B1954" s="43" t="n">
        <v>45632</v>
      </c>
      <c r="C1954" s="43" t="n">
        <v>45637</v>
      </c>
      <c r="D1954" s="42" t="n">
        <v>54</v>
      </c>
      <c r="E1954" s="42" t="s">
        <v>139</v>
      </c>
      <c r="F1954" s="42" t="s">
        <v>140</v>
      </c>
      <c r="G1954" s="42" t="s">
        <v>167</v>
      </c>
      <c r="H1954" s="42" t="s">
        <v>290</v>
      </c>
      <c r="I1954" s="42" t="s">
        <v>143</v>
      </c>
      <c r="J1954" s="42" t="s">
        <v>159</v>
      </c>
      <c r="K1954" s="42" t="s">
        <v>145</v>
      </c>
      <c r="L1954" s="44" t="n">
        <v>9932.08</v>
      </c>
      <c r="M1954" s="42" t="n">
        <v>4</v>
      </c>
      <c r="N1954" s="42" t="s">
        <v>146</v>
      </c>
      <c r="O1954" s="42" t="s">
        <v>147</v>
      </c>
      <c r="P1954" s="39" t="n">
        <f aca="false">C1954-B1954</f>
        <v>5</v>
      </c>
      <c r="Q1954" s="40" t="str">
        <f aca="false">CHOOSE(MONTH(B1954),"يناير","فبراير","مارس","أبريل","مايو","يونيو","يوليو","أغسطس","سبتمبر","أكتوبر","نوفمبر","ديسمبر")</f>
        <v>ديسمبر</v>
      </c>
      <c r="R1954" s="40" t="str">
        <f aca="false">"الربع "&amp;ROUNDUP(MONTH(B1954)/3,0)</f>
        <v>الربع 4</v>
      </c>
      <c r="S1954" s="40" t="str">
        <f aca="false">IF(D1954&lt;=12,"أطفال (0-12)",IF(D1954&lt;=24,"شباب (13-24)",IF(D1954&lt;=44,"بالغون (25-44)",IF(D1954&lt;=64,"متوسطو العمر (45-64)","كبار السن (+65)"))))</f>
        <v>متوسطو العمر (45-64)</v>
      </c>
      <c r="T1954" s="41" t="n">
        <f aca="false">IFERROR(L1954/P1954,0)</f>
        <v>1986.416</v>
      </c>
    </row>
    <row r="1955" customFormat="false" ht="15" hidden="false" customHeight="false" outlineLevel="0" collapsed="false">
      <c r="A1955" s="33" t="s">
        <v>1841</v>
      </c>
      <c r="B1955" s="34" t="n">
        <v>45632</v>
      </c>
      <c r="C1955" s="34" t="n">
        <v>45633</v>
      </c>
      <c r="D1955" s="33" t="n">
        <v>45</v>
      </c>
      <c r="E1955" s="33" t="s">
        <v>139</v>
      </c>
      <c r="F1955" s="33" t="s">
        <v>140</v>
      </c>
      <c r="G1955" s="33" t="s">
        <v>316</v>
      </c>
      <c r="H1955" s="33" t="s">
        <v>142</v>
      </c>
      <c r="I1955" s="33" t="s">
        <v>143</v>
      </c>
      <c r="J1955" s="33" t="s">
        <v>159</v>
      </c>
      <c r="K1955" s="33" t="s">
        <v>145</v>
      </c>
      <c r="L1955" s="35" t="n">
        <v>2316.27</v>
      </c>
      <c r="M1955" s="33" t="n">
        <v>4</v>
      </c>
      <c r="N1955" s="33" t="s">
        <v>146</v>
      </c>
      <c r="O1955" s="33" t="s">
        <v>147</v>
      </c>
      <c r="P1955" s="39" t="n">
        <f aca="false">C1955-B1955</f>
        <v>1</v>
      </c>
      <c r="Q1955" s="40" t="str">
        <f aca="false">CHOOSE(MONTH(B1955),"يناير","فبراير","مارس","أبريل","مايو","يونيو","يوليو","أغسطس","سبتمبر","أكتوبر","نوفمبر","ديسمبر")</f>
        <v>ديسمبر</v>
      </c>
      <c r="R1955" s="40" t="str">
        <f aca="false">"الربع "&amp;ROUNDUP(MONTH(B1955)/3,0)</f>
        <v>الربع 4</v>
      </c>
      <c r="S1955" s="40" t="str">
        <f aca="false">IF(D1955&lt;=12,"أطفال (0-12)",IF(D1955&lt;=24,"شباب (13-24)",IF(D1955&lt;=44,"بالغون (25-44)",IF(D1955&lt;=64,"متوسطو العمر (45-64)","كبار السن (+65)"))))</f>
        <v>متوسطو العمر (45-64)</v>
      </c>
      <c r="T1955" s="41" t="n">
        <f aca="false">IFERROR(L1955/P1955,0)</f>
        <v>2316.27</v>
      </c>
    </row>
    <row r="1956" customFormat="false" ht="15" hidden="false" customHeight="false" outlineLevel="0" collapsed="false">
      <c r="A1956" s="42" t="s">
        <v>1710</v>
      </c>
      <c r="B1956" s="43" t="n">
        <v>45632</v>
      </c>
      <c r="C1956" s="43" t="n">
        <v>45633</v>
      </c>
      <c r="D1956" s="42" t="n">
        <v>49</v>
      </c>
      <c r="E1956" s="42" t="s">
        <v>139</v>
      </c>
      <c r="F1956" s="42" t="s">
        <v>140</v>
      </c>
      <c r="G1956" s="42" t="s">
        <v>141</v>
      </c>
      <c r="H1956" s="42" t="s">
        <v>142</v>
      </c>
      <c r="I1956" s="42" t="s">
        <v>152</v>
      </c>
      <c r="J1956" s="42" t="s">
        <v>159</v>
      </c>
      <c r="K1956" s="42" t="s">
        <v>160</v>
      </c>
      <c r="L1956" s="44" t="n">
        <v>2158.44</v>
      </c>
      <c r="M1956" s="42" t="n">
        <v>5</v>
      </c>
      <c r="N1956" s="42" t="s">
        <v>146</v>
      </c>
      <c r="O1956" s="42" t="s">
        <v>147</v>
      </c>
      <c r="P1956" s="39" t="n">
        <f aca="false">C1956-B1956</f>
        <v>1</v>
      </c>
      <c r="Q1956" s="40" t="str">
        <f aca="false">CHOOSE(MONTH(B1956),"يناير","فبراير","مارس","أبريل","مايو","يونيو","يوليو","أغسطس","سبتمبر","أكتوبر","نوفمبر","ديسمبر")</f>
        <v>ديسمبر</v>
      </c>
      <c r="R1956" s="40" t="str">
        <f aca="false">"الربع "&amp;ROUNDUP(MONTH(B1956)/3,0)</f>
        <v>الربع 4</v>
      </c>
      <c r="S1956" s="40" t="str">
        <f aca="false">IF(D1956&lt;=12,"أطفال (0-12)",IF(D1956&lt;=24,"شباب (13-24)",IF(D1956&lt;=44,"بالغون (25-44)",IF(D1956&lt;=64,"متوسطو العمر (45-64)","كبار السن (+65)"))))</f>
        <v>متوسطو العمر (45-64)</v>
      </c>
      <c r="T1956" s="41" t="n">
        <f aca="false">IFERROR(L1956/P1956,0)</f>
        <v>2158.44</v>
      </c>
    </row>
    <row r="1957" customFormat="false" ht="15" hidden="false" customHeight="false" outlineLevel="0" collapsed="false">
      <c r="A1957" s="33" t="s">
        <v>1072</v>
      </c>
      <c r="B1957" s="34" t="n">
        <v>45632</v>
      </c>
      <c r="C1957" s="34" t="n">
        <v>45636</v>
      </c>
      <c r="D1957" s="33" t="n">
        <v>53</v>
      </c>
      <c r="E1957" s="33" t="s">
        <v>139</v>
      </c>
      <c r="F1957" s="33" t="s">
        <v>226</v>
      </c>
      <c r="G1957" s="33" t="s">
        <v>258</v>
      </c>
      <c r="H1957" s="33" t="s">
        <v>263</v>
      </c>
      <c r="I1957" s="33" t="s">
        <v>152</v>
      </c>
      <c r="J1957" s="33" t="s">
        <v>144</v>
      </c>
      <c r="K1957" s="33" t="s">
        <v>145</v>
      </c>
      <c r="L1957" s="35" t="n">
        <v>27041.97</v>
      </c>
      <c r="M1957" s="33" t="n">
        <v>4</v>
      </c>
      <c r="N1957" s="33" t="s">
        <v>146</v>
      </c>
      <c r="O1957" s="33" t="s">
        <v>147</v>
      </c>
      <c r="P1957" s="39" t="n">
        <f aca="false">C1957-B1957</f>
        <v>4</v>
      </c>
      <c r="Q1957" s="40" t="str">
        <f aca="false">CHOOSE(MONTH(B1957),"يناير","فبراير","مارس","أبريل","مايو","يونيو","يوليو","أغسطس","سبتمبر","أكتوبر","نوفمبر","ديسمبر")</f>
        <v>ديسمبر</v>
      </c>
      <c r="R1957" s="40" t="str">
        <f aca="false">"الربع "&amp;ROUNDUP(MONTH(B1957)/3,0)</f>
        <v>الربع 4</v>
      </c>
      <c r="S1957" s="40" t="str">
        <f aca="false">IF(D1957&lt;=12,"أطفال (0-12)",IF(D1957&lt;=24,"شباب (13-24)",IF(D1957&lt;=44,"بالغون (25-44)",IF(D1957&lt;=64,"متوسطو العمر (45-64)","كبار السن (+65)"))))</f>
        <v>متوسطو العمر (45-64)</v>
      </c>
      <c r="T1957" s="41" t="n">
        <f aca="false">IFERROR(L1957/P1957,0)</f>
        <v>6760.4925</v>
      </c>
    </row>
    <row r="1958" customFormat="false" ht="15" hidden="false" customHeight="false" outlineLevel="0" collapsed="false">
      <c r="A1958" s="42" t="s">
        <v>1100</v>
      </c>
      <c r="B1958" s="43" t="n">
        <v>45632</v>
      </c>
      <c r="C1958" s="43" t="n">
        <v>45640</v>
      </c>
      <c r="D1958" s="42" t="n">
        <v>50</v>
      </c>
      <c r="E1958" s="42" t="s">
        <v>154</v>
      </c>
      <c r="F1958" s="42" t="s">
        <v>226</v>
      </c>
      <c r="G1958" s="42" t="s">
        <v>258</v>
      </c>
      <c r="H1958" s="42" t="s">
        <v>263</v>
      </c>
      <c r="I1958" s="42" t="s">
        <v>152</v>
      </c>
      <c r="J1958" s="42" t="s">
        <v>144</v>
      </c>
      <c r="K1958" s="42" t="s">
        <v>145</v>
      </c>
      <c r="L1958" s="44" t="n">
        <v>48603.59</v>
      </c>
      <c r="M1958" s="42" t="n">
        <v>4</v>
      </c>
      <c r="N1958" s="42" t="s">
        <v>146</v>
      </c>
      <c r="O1958" s="42" t="s">
        <v>147</v>
      </c>
      <c r="P1958" s="39" t="n">
        <f aca="false">C1958-B1958</f>
        <v>8</v>
      </c>
      <c r="Q1958" s="40" t="str">
        <f aca="false">CHOOSE(MONTH(B1958),"يناير","فبراير","مارس","أبريل","مايو","يونيو","يوليو","أغسطس","سبتمبر","أكتوبر","نوفمبر","ديسمبر")</f>
        <v>ديسمبر</v>
      </c>
      <c r="R1958" s="40" t="str">
        <f aca="false">"الربع "&amp;ROUNDUP(MONTH(B1958)/3,0)</f>
        <v>الربع 4</v>
      </c>
      <c r="S1958" s="40" t="str">
        <f aca="false">IF(D1958&lt;=12,"أطفال (0-12)",IF(D1958&lt;=24,"شباب (13-24)",IF(D1958&lt;=44,"بالغون (25-44)",IF(D1958&lt;=64,"متوسطو العمر (45-64)","كبار السن (+65)"))))</f>
        <v>متوسطو العمر (45-64)</v>
      </c>
      <c r="T1958" s="41" t="n">
        <f aca="false">IFERROR(L1958/P1958,0)</f>
        <v>6075.44875</v>
      </c>
    </row>
    <row r="1959" customFormat="false" ht="15" hidden="false" customHeight="false" outlineLevel="0" collapsed="false">
      <c r="A1959" s="33" t="s">
        <v>2191</v>
      </c>
      <c r="B1959" s="34" t="n">
        <v>45633</v>
      </c>
      <c r="C1959" s="34" t="n">
        <v>45634</v>
      </c>
      <c r="D1959" s="33" t="n">
        <v>68</v>
      </c>
      <c r="E1959" s="33" t="s">
        <v>139</v>
      </c>
      <c r="F1959" s="33" t="s">
        <v>173</v>
      </c>
      <c r="G1959" s="33" t="s">
        <v>174</v>
      </c>
      <c r="H1959" s="33" t="s">
        <v>175</v>
      </c>
      <c r="I1959" s="33" t="s">
        <v>152</v>
      </c>
      <c r="J1959" s="33" t="s">
        <v>159</v>
      </c>
      <c r="K1959" s="33" t="s">
        <v>209</v>
      </c>
      <c r="L1959" s="35" t="n">
        <v>2144.25</v>
      </c>
      <c r="M1959" s="33" t="n">
        <v>3</v>
      </c>
      <c r="N1959" s="33" t="s">
        <v>146</v>
      </c>
      <c r="O1959" s="33" t="s">
        <v>147</v>
      </c>
      <c r="P1959" s="39" t="n">
        <f aca="false">C1959-B1959</f>
        <v>1</v>
      </c>
      <c r="Q1959" s="40" t="str">
        <f aca="false">CHOOSE(MONTH(B1959),"يناير","فبراير","مارس","أبريل","مايو","يونيو","يوليو","أغسطس","سبتمبر","أكتوبر","نوفمبر","ديسمبر")</f>
        <v>ديسمبر</v>
      </c>
      <c r="R1959" s="40" t="str">
        <f aca="false">"الربع "&amp;ROUNDUP(MONTH(B1959)/3,0)</f>
        <v>الربع 4</v>
      </c>
      <c r="S1959" s="40" t="str">
        <f aca="false">IF(D1959&lt;=12,"أطفال (0-12)",IF(D1959&lt;=24,"شباب (13-24)",IF(D1959&lt;=44,"بالغون (25-44)",IF(D1959&lt;=64,"متوسطو العمر (45-64)","كبار السن (+65)"))))</f>
        <v>كبار السن (+65)</v>
      </c>
      <c r="T1959" s="41" t="n">
        <f aca="false">IFERROR(L1959/P1959,0)</f>
        <v>2144.25</v>
      </c>
    </row>
    <row r="1960" customFormat="false" ht="15" hidden="false" customHeight="false" outlineLevel="0" collapsed="false">
      <c r="A1960" s="42" t="s">
        <v>1317</v>
      </c>
      <c r="B1960" s="43" t="n">
        <v>45633</v>
      </c>
      <c r="C1960" s="43" t="n">
        <v>45635</v>
      </c>
      <c r="D1960" s="42" t="n">
        <v>30</v>
      </c>
      <c r="E1960" s="42" t="s">
        <v>154</v>
      </c>
      <c r="F1960" s="42" t="s">
        <v>169</v>
      </c>
      <c r="G1960" s="42" t="s">
        <v>163</v>
      </c>
      <c r="H1960" s="42" t="s">
        <v>171</v>
      </c>
      <c r="I1960" s="42" t="s">
        <v>143</v>
      </c>
      <c r="J1960" s="42" t="s">
        <v>159</v>
      </c>
      <c r="K1960" s="42" t="s">
        <v>145</v>
      </c>
      <c r="L1960" s="44" t="n">
        <v>2205.41</v>
      </c>
      <c r="M1960" s="42" t="n">
        <v>4</v>
      </c>
      <c r="N1960" s="42" t="s">
        <v>146</v>
      </c>
      <c r="O1960" s="42" t="s">
        <v>147</v>
      </c>
      <c r="P1960" s="39" t="n">
        <f aca="false">C1960-B1960</f>
        <v>2</v>
      </c>
      <c r="Q1960" s="40" t="str">
        <f aca="false">CHOOSE(MONTH(B1960),"يناير","فبراير","مارس","أبريل","مايو","يونيو","يوليو","أغسطس","سبتمبر","أكتوبر","نوفمبر","ديسمبر")</f>
        <v>ديسمبر</v>
      </c>
      <c r="R1960" s="40" t="str">
        <f aca="false">"الربع "&amp;ROUNDUP(MONTH(B1960)/3,0)</f>
        <v>الربع 4</v>
      </c>
      <c r="S1960" s="40" t="str">
        <f aca="false">IF(D1960&lt;=12,"أطفال (0-12)",IF(D1960&lt;=24,"شباب (13-24)",IF(D1960&lt;=44,"بالغون (25-44)",IF(D1960&lt;=64,"متوسطو العمر (45-64)","كبار السن (+65)"))))</f>
        <v>بالغون (25-44)</v>
      </c>
      <c r="T1960" s="41" t="n">
        <f aca="false">IFERROR(L1960/P1960,0)</f>
        <v>1102.705</v>
      </c>
    </row>
    <row r="1961" customFormat="false" ht="15" hidden="false" customHeight="false" outlineLevel="0" collapsed="false">
      <c r="A1961" s="33" t="s">
        <v>795</v>
      </c>
      <c r="B1961" s="34" t="n">
        <v>45633</v>
      </c>
      <c r="C1961" s="34" t="n">
        <v>45634</v>
      </c>
      <c r="D1961" s="33" t="n">
        <v>37</v>
      </c>
      <c r="E1961" s="33" t="s">
        <v>139</v>
      </c>
      <c r="F1961" s="33" t="s">
        <v>149</v>
      </c>
      <c r="G1961" s="33" t="s">
        <v>150</v>
      </c>
      <c r="H1961" s="33" t="s">
        <v>186</v>
      </c>
      <c r="I1961" s="33" t="s">
        <v>152</v>
      </c>
      <c r="J1961" s="33" t="s">
        <v>159</v>
      </c>
      <c r="K1961" s="33" t="s">
        <v>145</v>
      </c>
      <c r="L1961" s="35" t="n">
        <v>1459.87</v>
      </c>
      <c r="M1961" s="33" t="n">
        <v>4</v>
      </c>
      <c r="N1961" s="33" t="s">
        <v>146</v>
      </c>
      <c r="O1961" s="33" t="s">
        <v>147</v>
      </c>
      <c r="P1961" s="39" t="n">
        <f aca="false">C1961-B1961</f>
        <v>1</v>
      </c>
      <c r="Q1961" s="40" t="str">
        <f aca="false">CHOOSE(MONTH(B1961),"يناير","فبراير","مارس","أبريل","مايو","يونيو","يوليو","أغسطس","سبتمبر","أكتوبر","نوفمبر","ديسمبر")</f>
        <v>ديسمبر</v>
      </c>
      <c r="R1961" s="40" t="str">
        <f aca="false">"الربع "&amp;ROUNDUP(MONTH(B1961)/3,0)</f>
        <v>الربع 4</v>
      </c>
      <c r="S1961" s="40" t="str">
        <f aca="false">IF(D1961&lt;=12,"أطفال (0-12)",IF(D1961&lt;=24,"شباب (13-24)",IF(D1961&lt;=44,"بالغون (25-44)",IF(D1961&lt;=64,"متوسطو العمر (45-64)","كبار السن (+65)"))))</f>
        <v>بالغون (25-44)</v>
      </c>
      <c r="T1961" s="41" t="n">
        <f aca="false">IFERROR(L1961/P1961,0)</f>
        <v>1459.87</v>
      </c>
    </row>
    <row r="1962" customFormat="false" ht="15" hidden="false" customHeight="false" outlineLevel="0" collapsed="false">
      <c r="A1962" s="42" t="s">
        <v>1408</v>
      </c>
      <c r="B1962" s="43" t="n">
        <v>45633</v>
      </c>
      <c r="C1962" s="43" t="n">
        <v>45635</v>
      </c>
      <c r="D1962" s="42" t="n">
        <v>8</v>
      </c>
      <c r="E1962" s="42" t="s">
        <v>154</v>
      </c>
      <c r="F1962" s="42" t="s">
        <v>155</v>
      </c>
      <c r="G1962" s="42" t="s">
        <v>220</v>
      </c>
      <c r="H1962" s="42" t="s">
        <v>222</v>
      </c>
      <c r="I1962" s="42" t="s">
        <v>152</v>
      </c>
      <c r="J1962" s="42" t="s">
        <v>159</v>
      </c>
      <c r="K1962" s="42" t="s">
        <v>145</v>
      </c>
      <c r="L1962" s="44" t="n">
        <v>1533.84</v>
      </c>
      <c r="M1962" s="42" t="n">
        <v>5</v>
      </c>
      <c r="N1962" s="42" t="s">
        <v>146</v>
      </c>
      <c r="O1962" s="42" t="s">
        <v>147</v>
      </c>
      <c r="P1962" s="39" t="n">
        <f aca="false">C1962-B1962</f>
        <v>2</v>
      </c>
      <c r="Q1962" s="40" t="str">
        <f aca="false">CHOOSE(MONTH(B1962),"يناير","فبراير","مارس","أبريل","مايو","يونيو","يوليو","أغسطس","سبتمبر","أكتوبر","نوفمبر","ديسمبر")</f>
        <v>ديسمبر</v>
      </c>
      <c r="R1962" s="40" t="str">
        <f aca="false">"الربع "&amp;ROUNDUP(MONTH(B1962)/3,0)</f>
        <v>الربع 4</v>
      </c>
      <c r="S1962" s="40" t="str">
        <f aca="false">IF(D1962&lt;=12,"أطفال (0-12)",IF(D1962&lt;=24,"شباب (13-24)",IF(D1962&lt;=44,"بالغون (25-44)",IF(D1962&lt;=64,"متوسطو العمر (45-64)","كبار السن (+65)"))))</f>
        <v>أطفال (0-12)</v>
      </c>
      <c r="T1962" s="41" t="n">
        <f aca="false">IFERROR(L1962/P1962,0)</f>
        <v>766.92</v>
      </c>
    </row>
    <row r="1963" customFormat="false" ht="15" hidden="false" customHeight="false" outlineLevel="0" collapsed="false">
      <c r="A1963" s="33" t="s">
        <v>2085</v>
      </c>
      <c r="B1963" s="34" t="n">
        <v>45633</v>
      </c>
      <c r="C1963" s="34" t="n">
        <v>45641</v>
      </c>
      <c r="D1963" s="33" t="n">
        <v>22</v>
      </c>
      <c r="E1963" s="33" t="s">
        <v>154</v>
      </c>
      <c r="F1963" s="33" t="s">
        <v>169</v>
      </c>
      <c r="G1963" s="33" t="s">
        <v>230</v>
      </c>
      <c r="H1963" s="33" t="s">
        <v>171</v>
      </c>
      <c r="I1963" s="33" t="s">
        <v>152</v>
      </c>
      <c r="J1963" s="33" t="s">
        <v>159</v>
      </c>
      <c r="K1963" s="33" t="s">
        <v>160</v>
      </c>
      <c r="L1963" s="35" t="n">
        <v>9244.77</v>
      </c>
      <c r="M1963" s="33" t="n">
        <v>5</v>
      </c>
      <c r="N1963" s="33" t="s">
        <v>146</v>
      </c>
      <c r="O1963" s="33" t="s">
        <v>147</v>
      </c>
      <c r="P1963" s="39" t="n">
        <f aca="false">C1963-B1963</f>
        <v>8</v>
      </c>
      <c r="Q1963" s="40" t="str">
        <f aca="false">CHOOSE(MONTH(B1963),"يناير","فبراير","مارس","أبريل","مايو","يونيو","يوليو","أغسطس","سبتمبر","أكتوبر","نوفمبر","ديسمبر")</f>
        <v>ديسمبر</v>
      </c>
      <c r="R1963" s="40" t="str">
        <f aca="false">"الربع "&amp;ROUNDUP(MONTH(B1963)/3,0)</f>
        <v>الربع 4</v>
      </c>
      <c r="S1963" s="40" t="str">
        <f aca="false">IF(D1963&lt;=12,"أطفال (0-12)",IF(D1963&lt;=24,"شباب (13-24)",IF(D1963&lt;=44,"بالغون (25-44)",IF(D1963&lt;=64,"متوسطو العمر (45-64)","كبار السن (+65)"))))</f>
        <v>شباب (13-24)</v>
      </c>
      <c r="T1963" s="41" t="n">
        <f aca="false">IFERROR(L1963/P1963,0)</f>
        <v>1155.59625</v>
      </c>
    </row>
    <row r="1964" customFormat="false" ht="15" hidden="false" customHeight="false" outlineLevel="0" collapsed="false">
      <c r="A1964" s="42" t="s">
        <v>584</v>
      </c>
      <c r="B1964" s="43" t="n">
        <v>45634</v>
      </c>
      <c r="C1964" s="43" t="n">
        <v>45635</v>
      </c>
      <c r="D1964" s="42" t="n">
        <v>70</v>
      </c>
      <c r="E1964" s="42" t="s">
        <v>154</v>
      </c>
      <c r="F1964" s="42" t="s">
        <v>203</v>
      </c>
      <c r="G1964" s="42" t="s">
        <v>241</v>
      </c>
      <c r="H1964" s="42" t="s">
        <v>233</v>
      </c>
      <c r="I1964" s="42" t="s">
        <v>143</v>
      </c>
      <c r="J1964" s="42" t="s">
        <v>144</v>
      </c>
      <c r="K1964" s="42" t="s">
        <v>145</v>
      </c>
      <c r="L1964" s="44" t="n">
        <v>1651.29</v>
      </c>
      <c r="M1964" s="42" t="n">
        <v>3</v>
      </c>
      <c r="N1964" s="42" t="s">
        <v>146</v>
      </c>
      <c r="O1964" s="42" t="s">
        <v>247</v>
      </c>
      <c r="P1964" s="39" t="n">
        <f aca="false">C1964-B1964</f>
        <v>1</v>
      </c>
      <c r="Q1964" s="40" t="str">
        <f aca="false">CHOOSE(MONTH(B1964),"يناير","فبراير","مارس","أبريل","مايو","يونيو","يوليو","أغسطس","سبتمبر","أكتوبر","نوفمبر","ديسمبر")</f>
        <v>ديسمبر</v>
      </c>
      <c r="R1964" s="40" t="str">
        <f aca="false">"الربع "&amp;ROUNDUP(MONTH(B1964)/3,0)</f>
        <v>الربع 4</v>
      </c>
      <c r="S1964" s="40" t="str">
        <f aca="false">IF(D1964&lt;=12,"أطفال (0-12)",IF(D1964&lt;=24,"شباب (13-24)",IF(D1964&lt;=44,"بالغون (25-44)",IF(D1964&lt;=64,"متوسطو العمر (45-64)","كبار السن (+65)"))))</f>
        <v>كبار السن (+65)</v>
      </c>
      <c r="T1964" s="41" t="n">
        <f aca="false">IFERROR(L1964/P1964,0)</f>
        <v>1651.29</v>
      </c>
    </row>
    <row r="1965" customFormat="false" ht="15" hidden="false" customHeight="false" outlineLevel="0" collapsed="false">
      <c r="A1965" s="33" t="s">
        <v>523</v>
      </c>
      <c r="B1965" s="34" t="n">
        <v>45634</v>
      </c>
      <c r="C1965" s="34" t="n">
        <v>45636</v>
      </c>
      <c r="D1965" s="33" t="n">
        <v>38</v>
      </c>
      <c r="E1965" s="33" t="s">
        <v>139</v>
      </c>
      <c r="F1965" s="33" t="s">
        <v>203</v>
      </c>
      <c r="G1965" s="33" t="s">
        <v>232</v>
      </c>
      <c r="H1965" s="33" t="s">
        <v>205</v>
      </c>
      <c r="I1965" s="33" t="s">
        <v>143</v>
      </c>
      <c r="J1965" s="33" t="s">
        <v>159</v>
      </c>
      <c r="K1965" s="33" t="s">
        <v>160</v>
      </c>
      <c r="L1965" s="35" t="n">
        <v>2013.52</v>
      </c>
      <c r="M1965" s="33" t="n">
        <v>3</v>
      </c>
      <c r="N1965" s="33" t="s">
        <v>146</v>
      </c>
      <c r="O1965" s="33" t="s">
        <v>147</v>
      </c>
      <c r="P1965" s="39" t="n">
        <f aca="false">C1965-B1965</f>
        <v>2</v>
      </c>
      <c r="Q1965" s="40" t="str">
        <f aca="false">CHOOSE(MONTH(B1965),"يناير","فبراير","مارس","أبريل","مايو","يونيو","يوليو","أغسطس","سبتمبر","أكتوبر","نوفمبر","ديسمبر")</f>
        <v>ديسمبر</v>
      </c>
      <c r="R1965" s="40" t="str">
        <f aca="false">"الربع "&amp;ROUNDUP(MONTH(B1965)/3,0)</f>
        <v>الربع 4</v>
      </c>
      <c r="S1965" s="40" t="str">
        <f aca="false">IF(D1965&lt;=12,"أطفال (0-12)",IF(D1965&lt;=24,"شباب (13-24)",IF(D1965&lt;=44,"بالغون (25-44)",IF(D1965&lt;=64,"متوسطو العمر (45-64)","كبار السن (+65)"))))</f>
        <v>بالغون (25-44)</v>
      </c>
      <c r="T1965" s="41" t="n">
        <f aca="false">IFERROR(L1965/P1965,0)</f>
        <v>1006.76</v>
      </c>
    </row>
    <row r="1966" customFormat="false" ht="15" hidden="false" customHeight="false" outlineLevel="0" collapsed="false">
      <c r="A1966" s="42" t="s">
        <v>1673</v>
      </c>
      <c r="B1966" s="43" t="n">
        <v>45634</v>
      </c>
      <c r="C1966" s="43" t="n">
        <v>45638</v>
      </c>
      <c r="D1966" s="42" t="n">
        <v>63</v>
      </c>
      <c r="E1966" s="42" t="s">
        <v>154</v>
      </c>
      <c r="F1966" s="42" t="s">
        <v>181</v>
      </c>
      <c r="G1966" s="42" t="s">
        <v>182</v>
      </c>
      <c r="H1966" s="42" t="s">
        <v>183</v>
      </c>
      <c r="I1966" s="42" t="s">
        <v>143</v>
      </c>
      <c r="J1966" s="42" t="s">
        <v>144</v>
      </c>
      <c r="K1966" s="42" t="s">
        <v>160</v>
      </c>
      <c r="L1966" s="44" t="n">
        <v>20670.65</v>
      </c>
      <c r="M1966" s="42" t="n">
        <v>5</v>
      </c>
      <c r="N1966" s="42" t="s">
        <v>146</v>
      </c>
      <c r="O1966" s="42" t="s">
        <v>147</v>
      </c>
      <c r="P1966" s="39" t="n">
        <f aca="false">C1966-B1966</f>
        <v>4</v>
      </c>
      <c r="Q1966" s="40" t="str">
        <f aca="false">CHOOSE(MONTH(B1966),"يناير","فبراير","مارس","أبريل","مايو","يونيو","يوليو","أغسطس","سبتمبر","أكتوبر","نوفمبر","ديسمبر")</f>
        <v>ديسمبر</v>
      </c>
      <c r="R1966" s="40" t="str">
        <f aca="false">"الربع "&amp;ROUNDUP(MONTH(B1966)/3,0)</f>
        <v>الربع 4</v>
      </c>
      <c r="S1966" s="40" t="str">
        <f aca="false">IF(D1966&lt;=12,"أطفال (0-12)",IF(D1966&lt;=24,"شباب (13-24)",IF(D1966&lt;=44,"بالغون (25-44)",IF(D1966&lt;=64,"متوسطو العمر (45-64)","كبار السن (+65)"))))</f>
        <v>متوسطو العمر (45-64)</v>
      </c>
      <c r="T1966" s="41" t="n">
        <f aca="false">IFERROR(L1966/P1966,0)</f>
        <v>5167.6625</v>
      </c>
    </row>
    <row r="1967" customFormat="false" ht="15" hidden="false" customHeight="false" outlineLevel="0" collapsed="false">
      <c r="A1967" s="33" t="s">
        <v>1743</v>
      </c>
      <c r="B1967" s="34" t="n">
        <v>45634</v>
      </c>
      <c r="C1967" s="34" t="n">
        <v>45643</v>
      </c>
      <c r="D1967" s="33" t="n">
        <v>52</v>
      </c>
      <c r="E1967" s="33" t="s">
        <v>139</v>
      </c>
      <c r="F1967" s="33" t="s">
        <v>226</v>
      </c>
      <c r="G1967" s="33" t="s">
        <v>386</v>
      </c>
      <c r="H1967" s="33" t="s">
        <v>263</v>
      </c>
      <c r="I1967" s="33" t="s">
        <v>152</v>
      </c>
      <c r="J1967" s="33" t="s">
        <v>159</v>
      </c>
      <c r="K1967" s="33" t="s">
        <v>209</v>
      </c>
      <c r="L1967" s="35" t="n">
        <v>35625.22</v>
      </c>
      <c r="M1967" s="33" t="n">
        <v>4</v>
      </c>
      <c r="N1967" s="33" t="s">
        <v>146</v>
      </c>
      <c r="O1967" s="33" t="s">
        <v>147</v>
      </c>
      <c r="P1967" s="39" t="n">
        <f aca="false">C1967-B1967</f>
        <v>9</v>
      </c>
      <c r="Q1967" s="40" t="str">
        <f aca="false">CHOOSE(MONTH(B1967),"يناير","فبراير","مارس","أبريل","مايو","يونيو","يوليو","أغسطس","سبتمبر","أكتوبر","نوفمبر","ديسمبر")</f>
        <v>ديسمبر</v>
      </c>
      <c r="R1967" s="40" t="str">
        <f aca="false">"الربع "&amp;ROUNDUP(MONTH(B1967)/3,0)</f>
        <v>الربع 4</v>
      </c>
      <c r="S1967" s="40" t="str">
        <f aca="false">IF(D1967&lt;=12,"أطفال (0-12)",IF(D1967&lt;=24,"شباب (13-24)",IF(D1967&lt;=44,"بالغون (25-44)",IF(D1967&lt;=64,"متوسطو العمر (45-64)","كبار السن (+65)"))))</f>
        <v>متوسطو العمر (45-64)</v>
      </c>
      <c r="T1967" s="41" t="n">
        <f aca="false">IFERROR(L1967/P1967,0)</f>
        <v>3958.35777777778</v>
      </c>
    </row>
    <row r="1968" customFormat="false" ht="15" hidden="false" customHeight="false" outlineLevel="0" collapsed="false">
      <c r="A1968" s="42" t="s">
        <v>772</v>
      </c>
      <c r="B1968" s="43" t="n">
        <v>45634</v>
      </c>
      <c r="C1968" s="43" t="n">
        <v>45636</v>
      </c>
      <c r="D1968" s="42" t="n">
        <v>0</v>
      </c>
      <c r="E1968" s="42" t="s">
        <v>154</v>
      </c>
      <c r="F1968" s="42" t="s">
        <v>155</v>
      </c>
      <c r="G1968" s="42" t="s">
        <v>220</v>
      </c>
      <c r="H1968" s="42" t="s">
        <v>157</v>
      </c>
      <c r="I1968" s="42" t="s">
        <v>152</v>
      </c>
      <c r="J1968" s="42" t="s">
        <v>159</v>
      </c>
      <c r="K1968" s="42" t="s">
        <v>184</v>
      </c>
      <c r="L1968" s="44" t="n">
        <v>2061.51</v>
      </c>
      <c r="M1968" s="42" t="n">
        <v>5</v>
      </c>
      <c r="N1968" s="42" t="s">
        <v>146</v>
      </c>
      <c r="O1968" s="42" t="s">
        <v>247</v>
      </c>
      <c r="P1968" s="39" t="n">
        <f aca="false">C1968-B1968</f>
        <v>2</v>
      </c>
      <c r="Q1968" s="40" t="str">
        <f aca="false">CHOOSE(MONTH(B1968),"يناير","فبراير","مارس","أبريل","مايو","يونيو","يوليو","أغسطس","سبتمبر","أكتوبر","نوفمبر","ديسمبر")</f>
        <v>ديسمبر</v>
      </c>
      <c r="R1968" s="40" t="str">
        <f aca="false">"الربع "&amp;ROUNDUP(MONTH(B1968)/3,0)</f>
        <v>الربع 4</v>
      </c>
      <c r="S1968" s="40" t="str">
        <f aca="false">IF(D1968&lt;=12,"أطفال (0-12)",IF(D1968&lt;=24,"شباب (13-24)",IF(D1968&lt;=44,"بالغون (25-44)",IF(D1968&lt;=64,"متوسطو العمر (45-64)","كبار السن (+65)"))))</f>
        <v>أطفال (0-12)</v>
      </c>
      <c r="T1968" s="41" t="n">
        <f aca="false">IFERROR(L1968/P1968,0)</f>
        <v>1030.755</v>
      </c>
    </row>
    <row r="1969" customFormat="false" ht="15" hidden="false" customHeight="false" outlineLevel="0" collapsed="false">
      <c r="A1969" s="33" t="s">
        <v>1495</v>
      </c>
      <c r="B1969" s="34" t="n">
        <v>45634</v>
      </c>
      <c r="C1969" s="34" t="n">
        <v>45642</v>
      </c>
      <c r="D1969" s="33" t="n">
        <v>52</v>
      </c>
      <c r="E1969" s="33" t="s">
        <v>154</v>
      </c>
      <c r="F1969" s="33" t="s">
        <v>169</v>
      </c>
      <c r="G1969" s="33" t="s">
        <v>170</v>
      </c>
      <c r="H1969" s="33" t="s">
        <v>164</v>
      </c>
      <c r="I1969" s="33" t="s">
        <v>152</v>
      </c>
      <c r="J1969" s="33" t="s">
        <v>159</v>
      </c>
      <c r="K1969" s="33" t="s">
        <v>145</v>
      </c>
      <c r="L1969" s="35" t="n">
        <v>9455.09</v>
      </c>
      <c r="M1969" s="33" t="n">
        <v>4</v>
      </c>
      <c r="N1969" s="33" t="s">
        <v>146</v>
      </c>
      <c r="O1969" s="33" t="s">
        <v>147</v>
      </c>
      <c r="P1969" s="39" t="n">
        <f aca="false">C1969-B1969</f>
        <v>8</v>
      </c>
      <c r="Q1969" s="40" t="str">
        <f aca="false">CHOOSE(MONTH(B1969),"يناير","فبراير","مارس","أبريل","مايو","يونيو","يوليو","أغسطس","سبتمبر","أكتوبر","نوفمبر","ديسمبر")</f>
        <v>ديسمبر</v>
      </c>
      <c r="R1969" s="40" t="str">
        <f aca="false">"الربع "&amp;ROUNDUP(MONTH(B1969)/3,0)</f>
        <v>الربع 4</v>
      </c>
      <c r="S1969" s="40" t="str">
        <f aca="false">IF(D1969&lt;=12,"أطفال (0-12)",IF(D1969&lt;=24,"شباب (13-24)",IF(D1969&lt;=44,"بالغون (25-44)",IF(D1969&lt;=64,"متوسطو العمر (45-64)","كبار السن (+65)"))))</f>
        <v>متوسطو العمر (45-64)</v>
      </c>
      <c r="T1969" s="41" t="n">
        <f aca="false">IFERROR(L1969/P1969,0)</f>
        <v>1181.88625</v>
      </c>
    </row>
    <row r="1970" customFormat="false" ht="15" hidden="false" customHeight="false" outlineLevel="0" collapsed="false">
      <c r="A1970" s="42" t="s">
        <v>2300</v>
      </c>
      <c r="B1970" s="43" t="n">
        <v>45634</v>
      </c>
      <c r="C1970" s="43" t="n">
        <v>45639</v>
      </c>
      <c r="D1970" s="42" t="n">
        <v>46</v>
      </c>
      <c r="E1970" s="42" t="s">
        <v>139</v>
      </c>
      <c r="F1970" s="42" t="s">
        <v>173</v>
      </c>
      <c r="G1970" s="42" t="s">
        <v>174</v>
      </c>
      <c r="H1970" s="42" t="s">
        <v>175</v>
      </c>
      <c r="I1970" s="42" t="s">
        <v>143</v>
      </c>
      <c r="J1970" s="42" t="s">
        <v>176</v>
      </c>
      <c r="K1970" s="42" t="s">
        <v>184</v>
      </c>
      <c r="L1970" s="44" t="n">
        <v>41621.39</v>
      </c>
      <c r="M1970" s="42" t="n">
        <v>5</v>
      </c>
      <c r="N1970" s="42" t="s">
        <v>146</v>
      </c>
      <c r="O1970" s="42" t="s">
        <v>147</v>
      </c>
      <c r="P1970" s="39" t="n">
        <f aca="false">C1970-B1970</f>
        <v>5</v>
      </c>
      <c r="Q1970" s="40" t="str">
        <f aca="false">CHOOSE(MONTH(B1970),"يناير","فبراير","مارس","أبريل","مايو","يونيو","يوليو","أغسطس","سبتمبر","أكتوبر","نوفمبر","ديسمبر")</f>
        <v>ديسمبر</v>
      </c>
      <c r="R1970" s="40" t="str">
        <f aca="false">"الربع "&amp;ROUNDUP(MONTH(B1970)/3,0)</f>
        <v>الربع 4</v>
      </c>
      <c r="S1970" s="40" t="str">
        <f aca="false">IF(D1970&lt;=12,"أطفال (0-12)",IF(D1970&lt;=24,"شباب (13-24)",IF(D1970&lt;=44,"بالغون (25-44)",IF(D1970&lt;=64,"متوسطو العمر (45-64)","كبار السن (+65)"))))</f>
        <v>متوسطو العمر (45-64)</v>
      </c>
      <c r="T1970" s="41" t="n">
        <f aca="false">IFERROR(L1970/P1970,0)</f>
        <v>8324.278</v>
      </c>
    </row>
    <row r="1971" customFormat="false" ht="15" hidden="false" customHeight="false" outlineLevel="0" collapsed="false">
      <c r="A1971" s="33" t="s">
        <v>1148</v>
      </c>
      <c r="B1971" s="34" t="n">
        <v>45635</v>
      </c>
      <c r="C1971" s="34" t="n">
        <v>45642</v>
      </c>
      <c r="D1971" s="33" t="n">
        <v>54</v>
      </c>
      <c r="E1971" s="33" t="s">
        <v>154</v>
      </c>
      <c r="F1971" s="33" t="s">
        <v>169</v>
      </c>
      <c r="G1971" s="33" t="s">
        <v>170</v>
      </c>
      <c r="H1971" s="33" t="s">
        <v>171</v>
      </c>
      <c r="I1971" s="33" t="s">
        <v>143</v>
      </c>
      <c r="J1971" s="33" t="s">
        <v>159</v>
      </c>
      <c r="K1971" s="33" t="s">
        <v>145</v>
      </c>
      <c r="L1971" s="35" t="n">
        <v>7109.96</v>
      </c>
      <c r="M1971" s="33" t="n">
        <v>4</v>
      </c>
      <c r="N1971" s="33" t="s">
        <v>146</v>
      </c>
      <c r="O1971" s="33" t="s">
        <v>147</v>
      </c>
      <c r="P1971" s="39" t="n">
        <f aca="false">C1971-B1971</f>
        <v>7</v>
      </c>
      <c r="Q1971" s="40" t="str">
        <f aca="false">CHOOSE(MONTH(B1971),"يناير","فبراير","مارس","أبريل","مايو","يونيو","يوليو","أغسطس","سبتمبر","أكتوبر","نوفمبر","ديسمبر")</f>
        <v>ديسمبر</v>
      </c>
      <c r="R1971" s="40" t="str">
        <f aca="false">"الربع "&amp;ROUNDUP(MONTH(B1971)/3,0)</f>
        <v>الربع 4</v>
      </c>
      <c r="S1971" s="40" t="str">
        <f aca="false">IF(D1971&lt;=12,"أطفال (0-12)",IF(D1971&lt;=24,"شباب (13-24)",IF(D1971&lt;=44,"بالغون (25-44)",IF(D1971&lt;=64,"متوسطو العمر (45-64)","كبار السن (+65)"))))</f>
        <v>متوسطو العمر (45-64)</v>
      </c>
      <c r="T1971" s="41" t="n">
        <f aca="false">IFERROR(L1971/P1971,0)</f>
        <v>1015.70857142857</v>
      </c>
    </row>
    <row r="1972" customFormat="false" ht="15" hidden="false" customHeight="false" outlineLevel="0" collapsed="false">
      <c r="A1972" s="42" t="s">
        <v>1421</v>
      </c>
      <c r="B1972" s="43" t="n">
        <v>45635</v>
      </c>
      <c r="C1972" s="43" t="n">
        <v>45638</v>
      </c>
      <c r="D1972" s="42" t="n">
        <v>2</v>
      </c>
      <c r="E1972" s="42" t="s">
        <v>154</v>
      </c>
      <c r="F1972" s="42" t="s">
        <v>155</v>
      </c>
      <c r="G1972" s="42" t="s">
        <v>220</v>
      </c>
      <c r="H1972" s="42" t="s">
        <v>157</v>
      </c>
      <c r="I1972" s="42" t="s">
        <v>143</v>
      </c>
      <c r="J1972" s="42" t="s">
        <v>144</v>
      </c>
      <c r="K1972" s="42" t="s">
        <v>184</v>
      </c>
      <c r="L1972" s="44" t="n">
        <v>4421.07</v>
      </c>
      <c r="M1972" s="42" t="n">
        <v>4</v>
      </c>
      <c r="N1972" s="42" t="s">
        <v>146</v>
      </c>
      <c r="O1972" s="42" t="s">
        <v>147</v>
      </c>
      <c r="P1972" s="39" t="n">
        <f aca="false">C1972-B1972</f>
        <v>3</v>
      </c>
      <c r="Q1972" s="40" t="str">
        <f aca="false">CHOOSE(MONTH(B1972),"يناير","فبراير","مارس","أبريل","مايو","يونيو","يوليو","أغسطس","سبتمبر","أكتوبر","نوفمبر","ديسمبر")</f>
        <v>ديسمبر</v>
      </c>
      <c r="R1972" s="40" t="str">
        <f aca="false">"الربع "&amp;ROUNDUP(MONTH(B1972)/3,0)</f>
        <v>الربع 4</v>
      </c>
      <c r="S1972" s="40" t="str">
        <f aca="false">IF(D1972&lt;=12,"أطفال (0-12)",IF(D1972&lt;=24,"شباب (13-24)",IF(D1972&lt;=44,"بالغون (25-44)",IF(D1972&lt;=64,"متوسطو العمر (45-64)","كبار السن (+65)"))))</f>
        <v>أطفال (0-12)</v>
      </c>
      <c r="T1972" s="41" t="n">
        <f aca="false">IFERROR(L1972/P1972,0)</f>
        <v>1473.69</v>
      </c>
    </row>
    <row r="1973" customFormat="false" ht="15" hidden="false" customHeight="false" outlineLevel="0" collapsed="false">
      <c r="A1973" s="33" t="s">
        <v>865</v>
      </c>
      <c r="B1973" s="34" t="n">
        <v>45635</v>
      </c>
      <c r="C1973" s="34" t="n">
        <v>45637</v>
      </c>
      <c r="D1973" s="33" t="n">
        <v>0</v>
      </c>
      <c r="E1973" s="33" t="s">
        <v>154</v>
      </c>
      <c r="F1973" s="33" t="s">
        <v>155</v>
      </c>
      <c r="G1973" s="33" t="s">
        <v>156</v>
      </c>
      <c r="H1973" s="33" t="s">
        <v>222</v>
      </c>
      <c r="I1973" s="33" t="s">
        <v>152</v>
      </c>
      <c r="J1973" s="33" t="s">
        <v>144</v>
      </c>
      <c r="K1973" s="33" t="s">
        <v>209</v>
      </c>
      <c r="L1973" s="35" t="n">
        <v>3164.25</v>
      </c>
      <c r="M1973" s="33" t="n">
        <v>4</v>
      </c>
      <c r="N1973" s="33" t="s">
        <v>146</v>
      </c>
      <c r="O1973" s="33" t="s">
        <v>147</v>
      </c>
      <c r="P1973" s="39" t="n">
        <f aca="false">C1973-B1973</f>
        <v>2</v>
      </c>
      <c r="Q1973" s="40" t="str">
        <f aca="false">CHOOSE(MONTH(B1973),"يناير","فبراير","مارس","أبريل","مايو","يونيو","يوليو","أغسطس","سبتمبر","أكتوبر","نوفمبر","ديسمبر")</f>
        <v>ديسمبر</v>
      </c>
      <c r="R1973" s="40" t="str">
        <f aca="false">"الربع "&amp;ROUNDUP(MONTH(B1973)/3,0)</f>
        <v>الربع 4</v>
      </c>
      <c r="S1973" s="40" t="str">
        <f aca="false">IF(D1973&lt;=12,"أطفال (0-12)",IF(D1973&lt;=24,"شباب (13-24)",IF(D1973&lt;=44,"بالغون (25-44)",IF(D1973&lt;=64,"متوسطو العمر (45-64)","كبار السن (+65)"))))</f>
        <v>أطفال (0-12)</v>
      </c>
      <c r="T1973" s="41" t="n">
        <f aca="false">IFERROR(L1973/P1973,0)</f>
        <v>1582.125</v>
      </c>
    </row>
    <row r="1974" customFormat="false" ht="15" hidden="false" customHeight="false" outlineLevel="0" collapsed="false">
      <c r="A1974" s="42" t="s">
        <v>1420</v>
      </c>
      <c r="B1974" s="43" t="n">
        <v>45635</v>
      </c>
      <c r="C1974" s="43" t="n">
        <v>45636</v>
      </c>
      <c r="D1974" s="42" t="n">
        <v>28</v>
      </c>
      <c r="E1974" s="42" t="s">
        <v>139</v>
      </c>
      <c r="F1974" s="42" t="s">
        <v>149</v>
      </c>
      <c r="G1974" s="42" t="s">
        <v>224</v>
      </c>
      <c r="H1974" s="42" t="s">
        <v>186</v>
      </c>
      <c r="I1974" s="42" t="s">
        <v>143</v>
      </c>
      <c r="J1974" s="42" t="s">
        <v>159</v>
      </c>
      <c r="K1974" s="42" t="s">
        <v>145</v>
      </c>
      <c r="L1974" s="44" t="n">
        <v>1415.02</v>
      </c>
      <c r="M1974" s="42" t="n">
        <v>4</v>
      </c>
      <c r="N1974" s="42" t="s">
        <v>146</v>
      </c>
      <c r="O1974" s="42" t="s">
        <v>147</v>
      </c>
      <c r="P1974" s="39" t="n">
        <f aca="false">C1974-B1974</f>
        <v>1</v>
      </c>
      <c r="Q1974" s="40" t="str">
        <f aca="false">CHOOSE(MONTH(B1974),"يناير","فبراير","مارس","أبريل","مايو","يونيو","يوليو","أغسطس","سبتمبر","أكتوبر","نوفمبر","ديسمبر")</f>
        <v>ديسمبر</v>
      </c>
      <c r="R1974" s="40" t="str">
        <f aca="false">"الربع "&amp;ROUNDUP(MONTH(B1974)/3,0)</f>
        <v>الربع 4</v>
      </c>
      <c r="S1974" s="40" t="str">
        <f aca="false">IF(D1974&lt;=12,"أطفال (0-12)",IF(D1974&lt;=24,"شباب (13-24)",IF(D1974&lt;=44,"بالغون (25-44)",IF(D1974&lt;=64,"متوسطو العمر (45-64)","كبار السن (+65)"))))</f>
        <v>بالغون (25-44)</v>
      </c>
      <c r="T1974" s="41" t="n">
        <f aca="false">IFERROR(L1974/P1974,0)</f>
        <v>1415.02</v>
      </c>
    </row>
    <row r="1975" customFormat="false" ht="15" hidden="false" customHeight="false" outlineLevel="0" collapsed="false">
      <c r="A1975" s="33" t="s">
        <v>956</v>
      </c>
      <c r="B1975" s="34" t="n">
        <v>45635</v>
      </c>
      <c r="C1975" s="34" t="n">
        <v>45638</v>
      </c>
      <c r="D1975" s="33" t="n">
        <v>59</v>
      </c>
      <c r="E1975" s="33" t="s">
        <v>154</v>
      </c>
      <c r="F1975" s="33" t="s">
        <v>181</v>
      </c>
      <c r="G1975" s="33" t="s">
        <v>237</v>
      </c>
      <c r="H1975" s="33" t="s">
        <v>245</v>
      </c>
      <c r="I1975" s="33" t="s">
        <v>143</v>
      </c>
      <c r="J1975" s="33" t="s">
        <v>159</v>
      </c>
      <c r="K1975" s="33" t="s">
        <v>160</v>
      </c>
      <c r="L1975" s="35" t="n">
        <v>6890.16</v>
      </c>
      <c r="M1975" s="33" t="n">
        <v>4</v>
      </c>
      <c r="N1975" s="33" t="s">
        <v>146</v>
      </c>
      <c r="O1975" s="33" t="s">
        <v>206</v>
      </c>
      <c r="P1975" s="39" t="n">
        <f aca="false">C1975-B1975</f>
        <v>3</v>
      </c>
      <c r="Q1975" s="40" t="str">
        <f aca="false">CHOOSE(MONTH(B1975),"يناير","فبراير","مارس","أبريل","مايو","يونيو","يوليو","أغسطس","سبتمبر","أكتوبر","نوفمبر","ديسمبر")</f>
        <v>ديسمبر</v>
      </c>
      <c r="R1975" s="40" t="str">
        <f aca="false">"الربع "&amp;ROUNDUP(MONTH(B1975)/3,0)</f>
        <v>الربع 4</v>
      </c>
      <c r="S1975" s="40" t="str">
        <f aca="false">IF(D1975&lt;=12,"أطفال (0-12)",IF(D1975&lt;=24,"شباب (13-24)",IF(D1975&lt;=44,"بالغون (25-44)",IF(D1975&lt;=64,"متوسطو العمر (45-64)","كبار السن (+65)"))))</f>
        <v>متوسطو العمر (45-64)</v>
      </c>
      <c r="T1975" s="41" t="n">
        <f aca="false">IFERROR(L1975/P1975,0)</f>
        <v>2296.72</v>
      </c>
    </row>
    <row r="1976" customFormat="false" ht="15" hidden="false" customHeight="false" outlineLevel="0" collapsed="false">
      <c r="A1976" s="42" t="s">
        <v>1629</v>
      </c>
      <c r="B1976" s="43" t="n">
        <v>45635</v>
      </c>
      <c r="C1976" s="43" t="n">
        <v>45643</v>
      </c>
      <c r="D1976" s="42" t="n">
        <v>61</v>
      </c>
      <c r="E1976" s="42" t="s">
        <v>139</v>
      </c>
      <c r="F1976" s="42" t="s">
        <v>173</v>
      </c>
      <c r="G1976" s="42" t="s">
        <v>178</v>
      </c>
      <c r="H1976" s="42" t="s">
        <v>199</v>
      </c>
      <c r="I1976" s="42" t="s">
        <v>143</v>
      </c>
      <c r="J1976" s="42" t="s">
        <v>159</v>
      </c>
      <c r="K1976" s="42" t="s">
        <v>145</v>
      </c>
      <c r="L1976" s="44" t="n">
        <v>22856.69</v>
      </c>
      <c r="M1976" s="42" t="n">
        <v>4</v>
      </c>
      <c r="N1976" s="42" t="s">
        <v>146</v>
      </c>
      <c r="O1976" s="42" t="s">
        <v>147</v>
      </c>
      <c r="P1976" s="39" t="n">
        <f aca="false">C1976-B1976</f>
        <v>8</v>
      </c>
      <c r="Q1976" s="40" t="str">
        <f aca="false">CHOOSE(MONTH(B1976),"يناير","فبراير","مارس","أبريل","مايو","يونيو","يوليو","أغسطس","سبتمبر","أكتوبر","نوفمبر","ديسمبر")</f>
        <v>ديسمبر</v>
      </c>
      <c r="R1976" s="40" t="str">
        <f aca="false">"الربع "&amp;ROUNDUP(MONTH(B1976)/3,0)</f>
        <v>الربع 4</v>
      </c>
      <c r="S1976" s="40" t="str">
        <f aca="false">IF(D1976&lt;=12,"أطفال (0-12)",IF(D1976&lt;=24,"شباب (13-24)",IF(D1976&lt;=44,"بالغون (25-44)",IF(D1976&lt;=64,"متوسطو العمر (45-64)","كبار السن (+65)"))))</f>
        <v>متوسطو العمر (45-64)</v>
      </c>
      <c r="T1976" s="41" t="n">
        <f aca="false">IFERROR(L1976/P1976,0)</f>
        <v>2857.08625</v>
      </c>
    </row>
    <row r="1977" customFormat="false" ht="15" hidden="false" customHeight="false" outlineLevel="0" collapsed="false">
      <c r="A1977" s="33" t="s">
        <v>1748</v>
      </c>
      <c r="B1977" s="34" t="n">
        <v>45636</v>
      </c>
      <c r="C1977" s="34" t="n">
        <v>45638</v>
      </c>
      <c r="D1977" s="33" t="n">
        <v>61</v>
      </c>
      <c r="E1977" s="33" t="s">
        <v>139</v>
      </c>
      <c r="F1977" s="33" t="s">
        <v>169</v>
      </c>
      <c r="G1977" s="33" t="s">
        <v>170</v>
      </c>
      <c r="H1977" s="33" t="s">
        <v>195</v>
      </c>
      <c r="I1977" s="33" t="s">
        <v>152</v>
      </c>
      <c r="J1977" s="33" t="s">
        <v>159</v>
      </c>
      <c r="K1977" s="33" t="s">
        <v>209</v>
      </c>
      <c r="L1977" s="35" t="n">
        <v>2385.31</v>
      </c>
      <c r="M1977" s="33" t="n">
        <v>3</v>
      </c>
      <c r="N1977" s="33" t="s">
        <v>146</v>
      </c>
      <c r="O1977" s="33" t="s">
        <v>147</v>
      </c>
      <c r="P1977" s="39" t="n">
        <f aca="false">C1977-B1977</f>
        <v>2</v>
      </c>
      <c r="Q1977" s="40" t="str">
        <f aca="false">CHOOSE(MONTH(B1977),"يناير","فبراير","مارس","أبريل","مايو","يونيو","يوليو","أغسطس","سبتمبر","أكتوبر","نوفمبر","ديسمبر")</f>
        <v>ديسمبر</v>
      </c>
      <c r="R1977" s="40" t="str">
        <f aca="false">"الربع "&amp;ROUNDUP(MONTH(B1977)/3,0)</f>
        <v>الربع 4</v>
      </c>
      <c r="S1977" s="40" t="str">
        <f aca="false">IF(D1977&lt;=12,"أطفال (0-12)",IF(D1977&lt;=24,"شباب (13-24)",IF(D1977&lt;=44,"بالغون (25-44)",IF(D1977&lt;=64,"متوسطو العمر (45-64)","كبار السن (+65)"))))</f>
        <v>متوسطو العمر (45-64)</v>
      </c>
      <c r="T1977" s="41" t="n">
        <f aca="false">IFERROR(L1977/P1977,0)</f>
        <v>1192.655</v>
      </c>
    </row>
    <row r="1978" customFormat="false" ht="15" hidden="false" customHeight="false" outlineLevel="0" collapsed="false">
      <c r="A1978" s="42" t="s">
        <v>1497</v>
      </c>
      <c r="B1978" s="43" t="n">
        <v>45636</v>
      </c>
      <c r="C1978" s="43" t="n">
        <v>45638</v>
      </c>
      <c r="D1978" s="42" t="n">
        <v>87</v>
      </c>
      <c r="E1978" s="42" t="s">
        <v>154</v>
      </c>
      <c r="F1978" s="42" t="s">
        <v>169</v>
      </c>
      <c r="G1978" s="42" t="s">
        <v>163</v>
      </c>
      <c r="H1978" s="42" t="s">
        <v>195</v>
      </c>
      <c r="I1978" s="42" t="s">
        <v>143</v>
      </c>
      <c r="J1978" s="42" t="s">
        <v>159</v>
      </c>
      <c r="K1978" s="42" t="s">
        <v>145</v>
      </c>
      <c r="L1978" s="44" t="n">
        <v>2227</v>
      </c>
      <c r="M1978" s="42" t="n">
        <v>5</v>
      </c>
      <c r="N1978" s="42" t="s">
        <v>146</v>
      </c>
      <c r="O1978" s="42" t="s">
        <v>147</v>
      </c>
      <c r="P1978" s="39" t="n">
        <f aca="false">C1978-B1978</f>
        <v>2</v>
      </c>
      <c r="Q1978" s="40" t="str">
        <f aca="false">CHOOSE(MONTH(B1978),"يناير","فبراير","مارس","أبريل","مايو","يونيو","يوليو","أغسطس","سبتمبر","أكتوبر","نوفمبر","ديسمبر")</f>
        <v>ديسمبر</v>
      </c>
      <c r="R1978" s="40" t="str">
        <f aca="false">"الربع "&amp;ROUNDUP(MONTH(B1978)/3,0)</f>
        <v>الربع 4</v>
      </c>
      <c r="S1978" s="40" t="str">
        <f aca="false">IF(D1978&lt;=12,"أطفال (0-12)",IF(D1978&lt;=24,"شباب (13-24)",IF(D1978&lt;=44,"بالغون (25-44)",IF(D1978&lt;=64,"متوسطو العمر (45-64)","كبار السن (+65)"))))</f>
        <v>كبار السن (+65)</v>
      </c>
      <c r="T1978" s="41" t="n">
        <f aca="false">IFERROR(L1978/P1978,0)</f>
        <v>1113.5</v>
      </c>
    </row>
    <row r="1979" customFormat="false" ht="15" hidden="false" customHeight="false" outlineLevel="0" collapsed="false">
      <c r="A1979" s="33" t="s">
        <v>1334</v>
      </c>
      <c r="B1979" s="34" t="n">
        <v>45636</v>
      </c>
      <c r="C1979" s="34" t="n">
        <v>45637</v>
      </c>
      <c r="D1979" s="33" t="n">
        <v>24</v>
      </c>
      <c r="E1979" s="33" t="s">
        <v>139</v>
      </c>
      <c r="F1979" s="33" t="s">
        <v>149</v>
      </c>
      <c r="G1979" s="33" t="s">
        <v>150</v>
      </c>
      <c r="H1979" s="33" t="s">
        <v>186</v>
      </c>
      <c r="I1979" s="33" t="s">
        <v>152</v>
      </c>
      <c r="J1979" s="33" t="s">
        <v>159</v>
      </c>
      <c r="K1979" s="33" t="s">
        <v>209</v>
      </c>
      <c r="L1979" s="35" t="n">
        <v>1556.45</v>
      </c>
      <c r="M1979" s="33" t="n">
        <v>4</v>
      </c>
      <c r="N1979" s="33" t="s">
        <v>146</v>
      </c>
      <c r="O1979" s="33" t="s">
        <v>147</v>
      </c>
      <c r="P1979" s="39" t="n">
        <f aca="false">C1979-B1979</f>
        <v>1</v>
      </c>
      <c r="Q1979" s="40" t="str">
        <f aca="false">CHOOSE(MONTH(B1979),"يناير","فبراير","مارس","أبريل","مايو","يونيو","يوليو","أغسطس","سبتمبر","أكتوبر","نوفمبر","ديسمبر")</f>
        <v>ديسمبر</v>
      </c>
      <c r="R1979" s="40" t="str">
        <f aca="false">"الربع "&amp;ROUNDUP(MONTH(B1979)/3,0)</f>
        <v>الربع 4</v>
      </c>
      <c r="S1979" s="40" t="str">
        <f aca="false">IF(D1979&lt;=12,"أطفال (0-12)",IF(D1979&lt;=24,"شباب (13-24)",IF(D1979&lt;=44,"بالغون (25-44)",IF(D1979&lt;=64,"متوسطو العمر (45-64)","كبار السن (+65)"))))</f>
        <v>شباب (13-24)</v>
      </c>
      <c r="T1979" s="41" t="n">
        <f aca="false">IFERROR(L1979/P1979,0)</f>
        <v>1556.45</v>
      </c>
    </row>
    <row r="1980" customFormat="false" ht="15" hidden="false" customHeight="false" outlineLevel="0" collapsed="false">
      <c r="A1980" s="42" t="s">
        <v>1926</v>
      </c>
      <c r="B1980" s="43" t="n">
        <v>45636</v>
      </c>
      <c r="C1980" s="43" t="n">
        <v>45637</v>
      </c>
      <c r="D1980" s="42" t="n">
        <v>50</v>
      </c>
      <c r="E1980" s="42" t="s">
        <v>139</v>
      </c>
      <c r="F1980" s="42" t="s">
        <v>203</v>
      </c>
      <c r="G1980" s="42" t="s">
        <v>217</v>
      </c>
      <c r="H1980" s="42" t="s">
        <v>233</v>
      </c>
      <c r="I1980" s="42" t="s">
        <v>143</v>
      </c>
      <c r="J1980" s="42" t="s">
        <v>159</v>
      </c>
      <c r="K1980" s="42" t="s">
        <v>160</v>
      </c>
      <c r="L1980" s="44" t="n">
        <v>845.34</v>
      </c>
      <c r="M1980" s="42" t="n">
        <v>3</v>
      </c>
      <c r="N1980" s="42" t="s">
        <v>146</v>
      </c>
      <c r="O1980" s="42" t="s">
        <v>147</v>
      </c>
      <c r="P1980" s="39" t="n">
        <f aca="false">C1980-B1980</f>
        <v>1</v>
      </c>
      <c r="Q1980" s="40" t="str">
        <f aca="false">CHOOSE(MONTH(B1980),"يناير","فبراير","مارس","أبريل","مايو","يونيو","يوليو","أغسطس","سبتمبر","أكتوبر","نوفمبر","ديسمبر")</f>
        <v>ديسمبر</v>
      </c>
      <c r="R1980" s="40" t="str">
        <f aca="false">"الربع "&amp;ROUNDUP(MONTH(B1980)/3,0)</f>
        <v>الربع 4</v>
      </c>
      <c r="S1980" s="40" t="str">
        <f aca="false">IF(D1980&lt;=12,"أطفال (0-12)",IF(D1980&lt;=24,"شباب (13-24)",IF(D1980&lt;=44,"بالغون (25-44)",IF(D1980&lt;=64,"متوسطو العمر (45-64)","كبار السن (+65)"))))</f>
        <v>متوسطو العمر (45-64)</v>
      </c>
      <c r="T1980" s="41" t="n">
        <f aca="false">IFERROR(L1980/P1980,0)</f>
        <v>845.34</v>
      </c>
    </row>
    <row r="1981" customFormat="false" ht="15" hidden="false" customHeight="false" outlineLevel="0" collapsed="false">
      <c r="A1981" s="33" t="s">
        <v>1129</v>
      </c>
      <c r="B1981" s="34" t="n">
        <v>45636</v>
      </c>
      <c r="C1981" s="34" t="n">
        <v>45641</v>
      </c>
      <c r="D1981" s="33" t="n">
        <v>58</v>
      </c>
      <c r="E1981" s="33" t="s">
        <v>139</v>
      </c>
      <c r="F1981" s="33" t="s">
        <v>226</v>
      </c>
      <c r="G1981" s="33" t="s">
        <v>386</v>
      </c>
      <c r="H1981" s="33" t="s">
        <v>263</v>
      </c>
      <c r="I1981" s="33" t="s">
        <v>143</v>
      </c>
      <c r="J1981" s="33" t="s">
        <v>159</v>
      </c>
      <c r="K1981" s="33" t="s">
        <v>184</v>
      </c>
      <c r="L1981" s="35" t="n">
        <v>10205.84</v>
      </c>
      <c r="M1981" s="33" t="n">
        <v>4</v>
      </c>
      <c r="N1981" s="33" t="s">
        <v>146</v>
      </c>
      <c r="O1981" s="33" t="s">
        <v>147</v>
      </c>
      <c r="P1981" s="39" t="n">
        <f aca="false">C1981-B1981</f>
        <v>5</v>
      </c>
      <c r="Q1981" s="40" t="str">
        <f aca="false">CHOOSE(MONTH(B1981),"يناير","فبراير","مارس","أبريل","مايو","يونيو","يوليو","أغسطس","سبتمبر","أكتوبر","نوفمبر","ديسمبر")</f>
        <v>ديسمبر</v>
      </c>
      <c r="R1981" s="40" t="str">
        <f aca="false">"الربع "&amp;ROUNDUP(MONTH(B1981)/3,0)</f>
        <v>الربع 4</v>
      </c>
      <c r="S1981" s="40" t="str">
        <f aca="false">IF(D1981&lt;=12,"أطفال (0-12)",IF(D1981&lt;=24,"شباب (13-24)",IF(D1981&lt;=44,"بالغون (25-44)",IF(D1981&lt;=64,"متوسطو العمر (45-64)","كبار السن (+65)"))))</f>
        <v>متوسطو العمر (45-64)</v>
      </c>
      <c r="T1981" s="41" t="n">
        <f aca="false">IFERROR(L1981/P1981,0)</f>
        <v>2041.168</v>
      </c>
    </row>
    <row r="1982" customFormat="false" ht="15" hidden="false" customHeight="false" outlineLevel="0" collapsed="false">
      <c r="A1982" s="42" t="s">
        <v>746</v>
      </c>
      <c r="B1982" s="43" t="n">
        <v>45636</v>
      </c>
      <c r="C1982" s="43" t="n">
        <v>45648</v>
      </c>
      <c r="D1982" s="42" t="n">
        <v>0</v>
      </c>
      <c r="E1982" s="42" t="s">
        <v>154</v>
      </c>
      <c r="F1982" s="42" t="s">
        <v>173</v>
      </c>
      <c r="G1982" s="42" t="s">
        <v>174</v>
      </c>
      <c r="H1982" s="42" t="s">
        <v>199</v>
      </c>
      <c r="I1982" s="42" t="s">
        <v>152</v>
      </c>
      <c r="J1982" s="42" t="s">
        <v>159</v>
      </c>
      <c r="K1982" s="42" t="s">
        <v>145</v>
      </c>
      <c r="L1982" s="44" t="n">
        <v>32796.24</v>
      </c>
      <c r="M1982" s="42" t="n">
        <v>3</v>
      </c>
      <c r="N1982" s="42" t="s">
        <v>146</v>
      </c>
      <c r="O1982" s="42" t="s">
        <v>147</v>
      </c>
      <c r="P1982" s="39" t="n">
        <f aca="false">C1982-B1982</f>
        <v>12</v>
      </c>
      <c r="Q1982" s="40" t="str">
        <f aca="false">CHOOSE(MONTH(B1982),"يناير","فبراير","مارس","أبريل","مايو","يونيو","يوليو","أغسطس","سبتمبر","أكتوبر","نوفمبر","ديسمبر")</f>
        <v>ديسمبر</v>
      </c>
      <c r="R1982" s="40" t="str">
        <f aca="false">"الربع "&amp;ROUNDUP(MONTH(B1982)/3,0)</f>
        <v>الربع 4</v>
      </c>
      <c r="S1982" s="40" t="str">
        <f aca="false">IF(D1982&lt;=12,"أطفال (0-12)",IF(D1982&lt;=24,"شباب (13-24)",IF(D1982&lt;=44,"بالغون (25-44)",IF(D1982&lt;=64,"متوسطو العمر (45-64)","كبار السن (+65)"))))</f>
        <v>أطفال (0-12)</v>
      </c>
      <c r="T1982" s="41" t="n">
        <f aca="false">IFERROR(L1982/P1982,0)</f>
        <v>2733.02</v>
      </c>
    </row>
    <row r="1983" customFormat="false" ht="15" hidden="false" customHeight="false" outlineLevel="0" collapsed="false">
      <c r="A1983" s="33" t="s">
        <v>1111</v>
      </c>
      <c r="B1983" s="34" t="n">
        <v>45636</v>
      </c>
      <c r="C1983" s="34" t="n">
        <v>45637</v>
      </c>
      <c r="D1983" s="33" t="n">
        <v>38</v>
      </c>
      <c r="E1983" s="33" t="s">
        <v>154</v>
      </c>
      <c r="F1983" s="33" t="s">
        <v>203</v>
      </c>
      <c r="G1983" s="33" t="s">
        <v>241</v>
      </c>
      <c r="H1983" s="33" t="s">
        <v>193</v>
      </c>
      <c r="I1983" s="33" t="s">
        <v>143</v>
      </c>
      <c r="J1983" s="33" t="s">
        <v>176</v>
      </c>
      <c r="K1983" s="33" t="s">
        <v>145</v>
      </c>
      <c r="L1983" s="35" t="n">
        <v>3086.89</v>
      </c>
      <c r="M1983" s="33" t="n">
        <v>4</v>
      </c>
      <c r="N1983" s="33" t="s">
        <v>146</v>
      </c>
      <c r="O1983" s="33" t="s">
        <v>147</v>
      </c>
      <c r="P1983" s="39" t="n">
        <f aca="false">C1983-B1983</f>
        <v>1</v>
      </c>
      <c r="Q1983" s="40" t="str">
        <f aca="false">CHOOSE(MONTH(B1983),"يناير","فبراير","مارس","أبريل","مايو","يونيو","يوليو","أغسطس","سبتمبر","أكتوبر","نوفمبر","ديسمبر")</f>
        <v>ديسمبر</v>
      </c>
      <c r="R1983" s="40" t="str">
        <f aca="false">"الربع "&amp;ROUNDUP(MONTH(B1983)/3,0)</f>
        <v>الربع 4</v>
      </c>
      <c r="S1983" s="40" t="str">
        <f aca="false">IF(D1983&lt;=12,"أطفال (0-12)",IF(D1983&lt;=24,"شباب (13-24)",IF(D1983&lt;=44,"بالغون (25-44)",IF(D1983&lt;=64,"متوسطو العمر (45-64)","كبار السن (+65)"))))</f>
        <v>بالغون (25-44)</v>
      </c>
      <c r="T1983" s="41" t="n">
        <f aca="false">IFERROR(L1983/P1983,0)</f>
        <v>3086.89</v>
      </c>
    </row>
    <row r="1984" customFormat="false" ht="15" hidden="false" customHeight="false" outlineLevel="0" collapsed="false">
      <c r="A1984" s="42" t="s">
        <v>1295</v>
      </c>
      <c r="B1984" s="43" t="n">
        <v>45638</v>
      </c>
      <c r="C1984" s="43" t="n">
        <v>45639</v>
      </c>
      <c r="D1984" s="42" t="n">
        <v>71</v>
      </c>
      <c r="E1984" s="42" t="s">
        <v>154</v>
      </c>
      <c r="F1984" s="42" t="s">
        <v>203</v>
      </c>
      <c r="G1984" s="42" t="s">
        <v>241</v>
      </c>
      <c r="H1984" s="42" t="s">
        <v>193</v>
      </c>
      <c r="I1984" s="42" t="s">
        <v>143</v>
      </c>
      <c r="J1984" s="42" t="s">
        <v>159</v>
      </c>
      <c r="K1984" s="42" t="s">
        <v>160</v>
      </c>
      <c r="L1984" s="44" t="n">
        <v>946.85</v>
      </c>
      <c r="M1984" s="42" t="n">
        <v>3</v>
      </c>
      <c r="N1984" s="42" t="s">
        <v>146</v>
      </c>
      <c r="O1984" s="42" t="s">
        <v>295</v>
      </c>
      <c r="P1984" s="39" t="n">
        <f aca="false">C1984-B1984</f>
        <v>1</v>
      </c>
      <c r="Q1984" s="40" t="str">
        <f aca="false">CHOOSE(MONTH(B1984),"يناير","فبراير","مارس","أبريل","مايو","يونيو","يوليو","أغسطس","سبتمبر","أكتوبر","نوفمبر","ديسمبر")</f>
        <v>ديسمبر</v>
      </c>
      <c r="R1984" s="40" t="str">
        <f aca="false">"الربع "&amp;ROUNDUP(MONTH(B1984)/3,0)</f>
        <v>الربع 4</v>
      </c>
      <c r="S1984" s="40" t="str">
        <f aca="false">IF(D1984&lt;=12,"أطفال (0-12)",IF(D1984&lt;=24,"شباب (13-24)",IF(D1984&lt;=44,"بالغون (25-44)",IF(D1984&lt;=64,"متوسطو العمر (45-64)","كبار السن (+65)"))))</f>
        <v>كبار السن (+65)</v>
      </c>
      <c r="T1984" s="41" t="n">
        <f aca="false">IFERROR(L1984/P1984,0)</f>
        <v>946.85</v>
      </c>
    </row>
    <row r="1985" customFormat="false" ht="15" hidden="false" customHeight="false" outlineLevel="0" collapsed="false">
      <c r="A1985" s="33" t="s">
        <v>1250</v>
      </c>
      <c r="B1985" s="34" t="n">
        <v>45638</v>
      </c>
      <c r="C1985" s="34" t="n">
        <v>45640</v>
      </c>
      <c r="D1985" s="33" t="n">
        <v>59</v>
      </c>
      <c r="E1985" s="33" t="s">
        <v>139</v>
      </c>
      <c r="F1985" s="33" t="s">
        <v>203</v>
      </c>
      <c r="G1985" s="33" t="s">
        <v>241</v>
      </c>
      <c r="H1985" s="33" t="s">
        <v>233</v>
      </c>
      <c r="I1985" s="33" t="s">
        <v>143</v>
      </c>
      <c r="J1985" s="33" t="s">
        <v>176</v>
      </c>
      <c r="K1985" s="33" t="s">
        <v>160</v>
      </c>
      <c r="L1985" s="35" t="n">
        <v>5541.47</v>
      </c>
      <c r="M1985" s="33" t="n">
        <v>4</v>
      </c>
      <c r="N1985" s="33" t="s">
        <v>146</v>
      </c>
      <c r="O1985" s="33" t="s">
        <v>247</v>
      </c>
      <c r="P1985" s="39" t="n">
        <f aca="false">C1985-B1985</f>
        <v>2</v>
      </c>
      <c r="Q1985" s="40" t="str">
        <f aca="false">CHOOSE(MONTH(B1985),"يناير","فبراير","مارس","أبريل","مايو","يونيو","يوليو","أغسطس","سبتمبر","أكتوبر","نوفمبر","ديسمبر")</f>
        <v>ديسمبر</v>
      </c>
      <c r="R1985" s="40" t="str">
        <f aca="false">"الربع "&amp;ROUNDUP(MONTH(B1985)/3,0)</f>
        <v>الربع 4</v>
      </c>
      <c r="S1985" s="40" t="str">
        <f aca="false">IF(D1985&lt;=12,"أطفال (0-12)",IF(D1985&lt;=24,"شباب (13-24)",IF(D1985&lt;=44,"بالغون (25-44)",IF(D1985&lt;=64,"متوسطو العمر (45-64)","كبار السن (+65)"))))</f>
        <v>متوسطو العمر (45-64)</v>
      </c>
      <c r="T1985" s="41" t="n">
        <f aca="false">IFERROR(L1985/P1985,0)</f>
        <v>2770.735</v>
      </c>
    </row>
    <row r="1986" customFormat="false" ht="15" hidden="false" customHeight="false" outlineLevel="0" collapsed="false">
      <c r="A1986" s="42" t="s">
        <v>2087</v>
      </c>
      <c r="B1986" s="43" t="n">
        <v>45638</v>
      </c>
      <c r="C1986" s="43" t="n">
        <v>45641</v>
      </c>
      <c r="D1986" s="42" t="n">
        <v>28</v>
      </c>
      <c r="E1986" s="42" t="s">
        <v>139</v>
      </c>
      <c r="F1986" s="42" t="s">
        <v>149</v>
      </c>
      <c r="G1986" s="42" t="s">
        <v>150</v>
      </c>
      <c r="H1986" s="42" t="s">
        <v>151</v>
      </c>
      <c r="I1986" s="42" t="s">
        <v>152</v>
      </c>
      <c r="J1986" s="42" t="s">
        <v>176</v>
      </c>
      <c r="K1986" s="42" t="s">
        <v>145</v>
      </c>
      <c r="L1986" s="44" t="n">
        <v>17301.79</v>
      </c>
      <c r="M1986" s="42" t="n">
        <v>4</v>
      </c>
      <c r="N1986" s="42" t="s">
        <v>146</v>
      </c>
      <c r="O1986" s="42" t="s">
        <v>147</v>
      </c>
      <c r="P1986" s="39" t="n">
        <f aca="false">C1986-B1986</f>
        <v>3</v>
      </c>
      <c r="Q1986" s="40" t="str">
        <f aca="false">CHOOSE(MONTH(B1986),"يناير","فبراير","مارس","أبريل","مايو","يونيو","يوليو","أغسطس","سبتمبر","أكتوبر","نوفمبر","ديسمبر")</f>
        <v>ديسمبر</v>
      </c>
      <c r="R1986" s="40" t="str">
        <f aca="false">"الربع "&amp;ROUNDUP(MONTH(B1986)/3,0)</f>
        <v>الربع 4</v>
      </c>
      <c r="S1986" s="40" t="str">
        <f aca="false">IF(D1986&lt;=12,"أطفال (0-12)",IF(D1986&lt;=24,"شباب (13-24)",IF(D1986&lt;=44,"بالغون (25-44)",IF(D1986&lt;=64,"متوسطو العمر (45-64)","كبار السن (+65)"))))</f>
        <v>بالغون (25-44)</v>
      </c>
      <c r="T1986" s="41" t="n">
        <f aca="false">IFERROR(L1986/P1986,0)</f>
        <v>5767.26333333333</v>
      </c>
    </row>
    <row r="1987" customFormat="false" ht="15" hidden="false" customHeight="false" outlineLevel="0" collapsed="false">
      <c r="A1987" s="33" t="s">
        <v>611</v>
      </c>
      <c r="B1987" s="34" t="n">
        <v>45638</v>
      </c>
      <c r="C1987" s="34" t="n">
        <v>45642</v>
      </c>
      <c r="D1987" s="33" t="n">
        <v>2</v>
      </c>
      <c r="E1987" s="33" t="s">
        <v>154</v>
      </c>
      <c r="F1987" s="33" t="s">
        <v>155</v>
      </c>
      <c r="G1987" s="33" t="s">
        <v>302</v>
      </c>
      <c r="H1987" s="33" t="s">
        <v>157</v>
      </c>
      <c r="I1987" s="33" t="s">
        <v>143</v>
      </c>
      <c r="J1987" s="33" t="s">
        <v>159</v>
      </c>
      <c r="K1987" s="33" t="s">
        <v>209</v>
      </c>
      <c r="L1987" s="35" t="n">
        <v>3970.15</v>
      </c>
      <c r="M1987" s="33" t="n">
        <v>4</v>
      </c>
      <c r="N1987" s="33" t="s">
        <v>146</v>
      </c>
      <c r="O1987" s="33" t="s">
        <v>147</v>
      </c>
      <c r="P1987" s="39" t="n">
        <f aca="false">C1987-B1987</f>
        <v>4</v>
      </c>
      <c r="Q1987" s="40" t="str">
        <f aca="false">CHOOSE(MONTH(B1987),"يناير","فبراير","مارس","أبريل","مايو","يونيو","يوليو","أغسطس","سبتمبر","أكتوبر","نوفمبر","ديسمبر")</f>
        <v>ديسمبر</v>
      </c>
      <c r="R1987" s="40" t="str">
        <f aca="false">"الربع "&amp;ROUNDUP(MONTH(B1987)/3,0)</f>
        <v>الربع 4</v>
      </c>
      <c r="S1987" s="40" t="str">
        <f aca="false">IF(D1987&lt;=12,"أطفال (0-12)",IF(D1987&lt;=24,"شباب (13-24)",IF(D1987&lt;=44,"بالغون (25-44)",IF(D1987&lt;=64,"متوسطو العمر (45-64)","كبار السن (+65)"))))</f>
        <v>أطفال (0-12)</v>
      </c>
      <c r="T1987" s="41" t="n">
        <f aca="false">IFERROR(L1987/P1987,0)</f>
        <v>992.5375</v>
      </c>
    </row>
    <row r="1988" customFormat="false" ht="15" hidden="false" customHeight="false" outlineLevel="0" collapsed="false">
      <c r="A1988" s="42" t="s">
        <v>803</v>
      </c>
      <c r="B1988" s="43" t="n">
        <v>45638</v>
      </c>
      <c r="C1988" s="43" t="n">
        <v>45642</v>
      </c>
      <c r="D1988" s="42" t="n">
        <v>46</v>
      </c>
      <c r="E1988" s="42" t="s">
        <v>139</v>
      </c>
      <c r="F1988" s="42" t="s">
        <v>173</v>
      </c>
      <c r="G1988" s="42" t="s">
        <v>198</v>
      </c>
      <c r="H1988" s="42" t="s">
        <v>175</v>
      </c>
      <c r="I1988" s="42" t="s">
        <v>143</v>
      </c>
      <c r="J1988" s="42" t="s">
        <v>176</v>
      </c>
      <c r="K1988" s="42" t="s">
        <v>160</v>
      </c>
      <c r="L1988" s="44" t="n">
        <v>30549.7</v>
      </c>
      <c r="M1988" s="42" t="n">
        <v>4</v>
      </c>
      <c r="N1988" s="42" t="s">
        <v>146</v>
      </c>
      <c r="O1988" s="42" t="s">
        <v>147</v>
      </c>
      <c r="P1988" s="39" t="n">
        <f aca="false">C1988-B1988</f>
        <v>4</v>
      </c>
      <c r="Q1988" s="40" t="str">
        <f aca="false">CHOOSE(MONTH(B1988),"يناير","فبراير","مارس","أبريل","مايو","يونيو","يوليو","أغسطس","سبتمبر","أكتوبر","نوفمبر","ديسمبر")</f>
        <v>ديسمبر</v>
      </c>
      <c r="R1988" s="40" t="str">
        <f aca="false">"الربع "&amp;ROUNDUP(MONTH(B1988)/3,0)</f>
        <v>الربع 4</v>
      </c>
      <c r="S1988" s="40" t="str">
        <f aca="false">IF(D1988&lt;=12,"أطفال (0-12)",IF(D1988&lt;=24,"شباب (13-24)",IF(D1988&lt;=44,"بالغون (25-44)",IF(D1988&lt;=64,"متوسطو العمر (45-64)","كبار السن (+65)"))))</f>
        <v>متوسطو العمر (45-64)</v>
      </c>
      <c r="T1988" s="41" t="n">
        <f aca="false">IFERROR(L1988/P1988,0)</f>
        <v>7637.425</v>
      </c>
    </row>
    <row r="1989" customFormat="false" ht="15" hidden="false" customHeight="false" outlineLevel="0" collapsed="false">
      <c r="A1989" s="33" t="s">
        <v>271</v>
      </c>
      <c r="B1989" s="34" t="n">
        <v>45639</v>
      </c>
      <c r="C1989" s="34" t="n">
        <v>45642</v>
      </c>
      <c r="D1989" s="33" t="n">
        <v>20</v>
      </c>
      <c r="E1989" s="33" t="s">
        <v>139</v>
      </c>
      <c r="F1989" s="33" t="s">
        <v>149</v>
      </c>
      <c r="G1989" s="33" t="s">
        <v>150</v>
      </c>
      <c r="H1989" s="33" t="s">
        <v>151</v>
      </c>
      <c r="I1989" s="33" t="s">
        <v>143</v>
      </c>
      <c r="J1989" s="33" t="s">
        <v>159</v>
      </c>
      <c r="K1989" s="33" t="s">
        <v>160</v>
      </c>
      <c r="L1989" s="35" t="n">
        <v>4465.93</v>
      </c>
      <c r="M1989" s="33" t="n">
        <v>5</v>
      </c>
      <c r="N1989" s="33" t="s">
        <v>146</v>
      </c>
      <c r="O1989" s="33" t="s">
        <v>147</v>
      </c>
      <c r="P1989" s="39" t="n">
        <f aca="false">C1989-B1989</f>
        <v>3</v>
      </c>
      <c r="Q1989" s="40" t="str">
        <f aca="false">CHOOSE(MONTH(B1989),"يناير","فبراير","مارس","أبريل","مايو","يونيو","يوليو","أغسطس","سبتمبر","أكتوبر","نوفمبر","ديسمبر")</f>
        <v>ديسمبر</v>
      </c>
      <c r="R1989" s="40" t="str">
        <f aca="false">"الربع "&amp;ROUNDUP(MONTH(B1989)/3,0)</f>
        <v>الربع 4</v>
      </c>
      <c r="S1989" s="40" t="str">
        <f aca="false">IF(D1989&lt;=12,"أطفال (0-12)",IF(D1989&lt;=24,"شباب (13-24)",IF(D1989&lt;=44,"بالغون (25-44)",IF(D1989&lt;=64,"متوسطو العمر (45-64)","كبار السن (+65)"))))</f>
        <v>شباب (13-24)</v>
      </c>
      <c r="T1989" s="41" t="n">
        <f aca="false">IFERROR(L1989/P1989,0)</f>
        <v>1488.64333333333</v>
      </c>
    </row>
    <row r="1990" customFormat="false" ht="15" hidden="false" customHeight="false" outlineLevel="0" collapsed="false">
      <c r="A1990" s="42" t="s">
        <v>786</v>
      </c>
      <c r="B1990" s="43" t="n">
        <v>45639</v>
      </c>
      <c r="C1990" s="43" t="n">
        <v>45640</v>
      </c>
      <c r="D1990" s="42" t="n">
        <v>92</v>
      </c>
      <c r="E1990" s="42" t="s">
        <v>154</v>
      </c>
      <c r="F1990" s="42" t="s">
        <v>203</v>
      </c>
      <c r="G1990" s="42" t="s">
        <v>217</v>
      </c>
      <c r="H1990" s="42" t="s">
        <v>193</v>
      </c>
      <c r="I1990" s="42" t="s">
        <v>143</v>
      </c>
      <c r="J1990" s="42" t="s">
        <v>144</v>
      </c>
      <c r="K1990" s="42" t="s">
        <v>145</v>
      </c>
      <c r="L1990" s="44" t="n">
        <v>1863.16</v>
      </c>
      <c r="M1990" s="42" t="n">
        <v>4</v>
      </c>
      <c r="N1990" s="42" t="s">
        <v>146</v>
      </c>
      <c r="O1990" s="42" t="s">
        <v>147</v>
      </c>
      <c r="P1990" s="39" t="n">
        <f aca="false">C1990-B1990</f>
        <v>1</v>
      </c>
      <c r="Q1990" s="40" t="str">
        <f aca="false">CHOOSE(MONTH(B1990),"يناير","فبراير","مارس","أبريل","مايو","يونيو","يوليو","أغسطس","سبتمبر","أكتوبر","نوفمبر","ديسمبر")</f>
        <v>ديسمبر</v>
      </c>
      <c r="R1990" s="40" t="str">
        <f aca="false">"الربع "&amp;ROUNDUP(MONTH(B1990)/3,0)</f>
        <v>الربع 4</v>
      </c>
      <c r="S1990" s="40" t="str">
        <f aca="false">IF(D1990&lt;=12,"أطفال (0-12)",IF(D1990&lt;=24,"شباب (13-24)",IF(D1990&lt;=44,"بالغون (25-44)",IF(D1990&lt;=64,"متوسطو العمر (45-64)","كبار السن (+65)"))))</f>
        <v>كبار السن (+65)</v>
      </c>
      <c r="T1990" s="41" t="n">
        <f aca="false">IFERROR(L1990/P1990,0)</f>
        <v>1863.16</v>
      </c>
    </row>
    <row r="1991" customFormat="false" ht="15" hidden="false" customHeight="false" outlineLevel="0" collapsed="false">
      <c r="A1991" s="33" t="s">
        <v>933</v>
      </c>
      <c r="B1991" s="34" t="n">
        <v>45639</v>
      </c>
      <c r="C1991" s="34" t="n">
        <v>45651</v>
      </c>
      <c r="D1991" s="33" t="n">
        <v>69</v>
      </c>
      <c r="E1991" s="33" t="s">
        <v>154</v>
      </c>
      <c r="F1991" s="33" t="s">
        <v>140</v>
      </c>
      <c r="G1991" s="33" t="s">
        <v>316</v>
      </c>
      <c r="H1991" s="33" t="s">
        <v>142</v>
      </c>
      <c r="I1991" s="33" t="s">
        <v>152</v>
      </c>
      <c r="J1991" s="33" t="s">
        <v>159</v>
      </c>
      <c r="K1991" s="33" t="s">
        <v>160</v>
      </c>
      <c r="L1991" s="35" t="n">
        <v>32290.74</v>
      </c>
      <c r="M1991" s="33" t="n">
        <v>4</v>
      </c>
      <c r="N1991" s="33" t="s">
        <v>146</v>
      </c>
      <c r="O1991" s="33" t="s">
        <v>147</v>
      </c>
      <c r="P1991" s="39" t="n">
        <f aca="false">C1991-B1991</f>
        <v>12</v>
      </c>
      <c r="Q1991" s="40" t="str">
        <f aca="false">CHOOSE(MONTH(B1991),"يناير","فبراير","مارس","أبريل","مايو","يونيو","يوليو","أغسطس","سبتمبر","أكتوبر","نوفمبر","ديسمبر")</f>
        <v>ديسمبر</v>
      </c>
      <c r="R1991" s="40" t="str">
        <f aca="false">"الربع "&amp;ROUNDUP(MONTH(B1991)/3,0)</f>
        <v>الربع 4</v>
      </c>
      <c r="S1991" s="40" t="str">
        <f aca="false">IF(D1991&lt;=12,"أطفال (0-12)",IF(D1991&lt;=24,"شباب (13-24)",IF(D1991&lt;=44,"بالغون (25-44)",IF(D1991&lt;=64,"متوسطو العمر (45-64)","كبار السن (+65)"))))</f>
        <v>كبار السن (+65)</v>
      </c>
      <c r="T1991" s="41" t="n">
        <f aca="false">IFERROR(L1991/P1991,0)</f>
        <v>2690.895</v>
      </c>
    </row>
    <row r="1992" customFormat="false" ht="15" hidden="false" customHeight="false" outlineLevel="0" collapsed="false">
      <c r="A1992" s="42" t="s">
        <v>1339</v>
      </c>
      <c r="B1992" s="43" t="n">
        <v>45639</v>
      </c>
      <c r="C1992" s="43" t="n">
        <v>45641</v>
      </c>
      <c r="D1992" s="42" t="n">
        <v>6</v>
      </c>
      <c r="E1992" s="42" t="s">
        <v>154</v>
      </c>
      <c r="F1992" s="42" t="s">
        <v>155</v>
      </c>
      <c r="G1992" s="42" t="s">
        <v>302</v>
      </c>
      <c r="H1992" s="42" t="s">
        <v>157</v>
      </c>
      <c r="I1992" s="42" t="s">
        <v>152</v>
      </c>
      <c r="J1992" s="42" t="s">
        <v>144</v>
      </c>
      <c r="K1992" s="42" t="s">
        <v>145</v>
      </c>
      <c r="L1992" s="44" t="n">
        <v>2937.72</v>
      </c>
      <c r="M1992" s="42" t="n">
        <v>5</v>
      </c>
      <c r="N1992" s="42" t="s">
        <v>146</v>
      </c>
      <c r="O1992" s="42" t="s">
        <v>147</v>
      </c>
      <c r="P1992" s="39" t="n">
        <f aca="false">C1992-B1992</f>
        <v>2</v>
      </c>
      <c r="Q1992" s="40" t="str">
        <f aca="false">CHOOSE(MONTH(B1992),"يناير","فبراير","مارس","أبريل","مايو","يونيو","يوليو","أغسطس","سبتمبر","أكتوبر","نوفمبر","ديسمبر")</f>
        <v>ديسمبر</v>
      </c>
      <c r="R1992" s="40" t="str">
        <f aca="false">"الربع "&amp;ROUNDUP(MONTH(B1992)/3,0)</f>
        <v>الربع 4</v>
      </c>
      <c r="S1992" s="40" t="str">
        <f aca="false">IF(D1992&lt;=12,"أطفال (0-12)",IF(D1992&lt;=24,"شباب (13-24)",IF(D1992&lt;=44,"بالغون (25-44)",IF(D1992&lt;=64,"متوسطو العمر (45-64)","كبار السن (+65)"))))</f>
        <v>أطفال (0-12)</v>
      </c>
      <c r="T1992" s="41" t="n">
        <f aca="false">IFERROR(L1992/P1992,0)</f>
        <v>1468.86</v>
      </c>
    </row>
    <row r="1993" customFormat="false" ht="15" hidden="false" customHeight="false" outlineLevel="0" collapsed="false">
      <c r="A1993" s="33" t="s">
        <v>2100</v>
      </c>
      <c r="B1993" s="34" t="n">
        <v>45639</v>
      </c>
      <c r="C1993" s="34" t="n">
        <v>45640</v>
      </c>
      <c r="D1993" s="33" t="n">
        <v>28</v>
      </c>
      <c r="E1993" s="33" t="s">
        <v>139</v>
      </c>
      <c r="F1993" s="33" t="s">
        <v>149</v>
      </c>
      <c r="G1993" s="33" t="s">
        <v>150</v>
      </c>
      <c r="H1993" s="33" t="s">
        <v>186</v>
      </c>
      <c r="I1993" s="33" t="s">
        <v>152</v>
      </c>
      <c r="J1993" s="33" t="s">
        <v>159</v>
      </c>
      <c r="K1993" s="33" t="s">
        <v>184</v>
      </c>
      <c r="L1993" s="35" t="n">
        <v>1488.87</v>
      </c>
      <c r="M1993" s="33" t="n">
        <v>4</v>
      </c>
      <c r="N1993" s="33" t="s">
        <v>146</v>
      </c>
      <c r="O1993" s="33" t="s">
        <v>147</v>
      </c>
      <c r="P1993" s="39" t="n">
        <f aca="false">C1993-B1993</f>
        <v>1</v>
      </c>
      <c r="Q1993" s="40" t="str">
        <f aca="false">CHOOSE(MONTH(B1993),"يناير","فبراير","مارس","أبريل","مايو","يونيو","يوليو","أغسطس","سبتمبر","أكتوبر","نوفمبر","ديسمبر")</f>
        <v>ديسمبر</v>
      </c>
      <c r="R1993" s="40" t="str">
        <f aca="false">"الربع "&amp;ROUNDUP(MONTH(B1993)/3,0)</f>
        <v>الربع 4</v>
      </c>
      <c r="S1993" s="40" t="str">
        <f aca="false">IF(D1993&lt;=12,"أطفال (0-12)",IF(D1993&lt;=24,"شباب (13-24)",IF(D1993&lt;=44,"بالغون (25-44)",IF(D1993&lt;=64,"متوسطو العمر (45-64)","كبار السن (+65)"))))</f>
        <v>بالغون (25-44)</v>
      </c>
      <c r="T1993" s="41" t="n">
        <f aca="false">IFERROR(L1993/P1993,0)</f>
        <v>1488.87</v>
      </c>
    </row>
    <row r="1994" customFormat="false" ht="15" hidden="false" customHeight="false" outlineLevel="0" collapsed="false">
      <c r="A1994" s="42" t="s">
        <v>1344</v>
      </c>
      <c r="B1994" s="43" t="n">
        <v>45639</v>
      </c>
      <c r="C1994" s="43" t="n">
        <v>45643</v>
      </c>
      <c r="D1994" s="42" t="n">
        <v>9</v>
      </c>
      <c r="E1994" s="42" t="s">
        <v>139</v>
      </c>
      <c r="F1994" s="42" t="s">
        <v>155</v>
      </c>
      <c r="G1994" s="42" t="s">
        <v>220</v>
      </c>
      <c r="H1994" s="42" t="s">
        <v>222</v>
      </c>
      <c r="I1994" s="42" t="s">
        <v>152</v>
      </c>
      <c r="J1994" s="42" t="s">
        <v>159</v>
      </c>
      <c r="K1994" s="42" t="s">
        <v>160</v>
      </c>
      <c r="L1994" s="44" t="n">
        <v>3321.68</v>
      </c>
      <c r="M1994" s="42" t="n">
        <v>4</v>
      </c>
      <c r="N1994" s="42" t="s">
        <v>146</v>
      </c>
      <c r="O1994" s="42" t="s">
        <v>147</v>
      </c>
      <c r="P1994" s="39" t="n">
        <f aca="false">C1994-B1994</f>
        <v>4</v>
      </c>
      <c r="Q1994" s="40" t="str">
        <f aca="false">CHOOSE(MONTH(B1994),"يناير","فبراير","مارس","أبريل","مايو","يونيو","يوليو","أغسطس","سبتمبر","أكتوبر","نوفمبر","ديسمبر")</f>
        <v>ديسمبر</v>
      </c>
      <c r="R1994" s="40" t="str">
        <f aca="false">"الربع "&amp;ROUNDUP(MONTH(B1994)/3,0)</f>
        <v>الربع 4</v>
      </c>
      <c r="S1994" s="40" t="str">
        <f aca="false">IF(D1994&lt;=12,"أطفال (0-12)",IF(D1994&lt;=24,"شباب (13-24)",IF(D1994&lt;=44,"بالغون (25-44)",IF(D1994&lt;=64,"متوسطو العمر (45-64)","كبار السن (+65)"))))</f>
        <v>أطفال (0-12)</v>
      </c>
      <c r="T1994" s="41" t="n">
        <f aca="false">IFERROR(L1994/P1994,0)</f>
        <v>830.42</v>
      </c>
    </row>
    <row r="1995" customFormat="false" ht="15" hidden="false" customHeight="false" outlineLevel="0" collapsed="false">
      <c r="A1995" s="33" t="s">
        <v>319</v>
      </c>
      <c r="B1995" s="34" t="n">
        <v>45639</v>
      </c>
      <c r="C1995" s="34" t="n">
        <v>45648</v>
      </c>
      <c r="D1995" s="33" t="n">
        <v>47</v>
      </c>
      <c r="E1995" s="33" t="s">
        <v>154</v>
      </c>
      <c r="F1995" s="33" t="s">
        <v>169</v>
      </c>
      <c r="G1995" s="33" t="s">
        <v>213</v>
      </c>
      <c r="H1995" s="33" t="s">
        <v>195</v>
      </c>
      <c r="I1995" s="33" t="s">
        <v>143</v>
      </c>
      <c r="J1995" s="33" t="s">
        <v>159</v>
      </c>
      <c r="K1995" s="33" t="s">
        <v>145</v>
      </c>
      <c r="L1995" s="35" t="n">
        <v>8831.98</v>
      </c>
      <c r="M1995" s="33" t="n">
        <v>3</v>
      </c>
      <c r="N1995" s="33" t="s">
        <v>146</v>
      </c>
      <c r="O1995" s="33" t="s">
        <v>147</v>
      </c>
      <c r="P1995" s="39" t="n">
        <f aca="false">C1995-B1995</f>
        <v>9</v>
      </c>
      <c r="Q1995" s="40" t="str">
        <f aca="false">CHOOSE(MONTH(B1995),"يناير","فبراير","مارس","أبريل","مايو","يونيو","يوليو","أغسطس","سبتمبر","أكتوبر","نوفمبر","ديسمبر")</f>
        <v>ديسمبر</v>
      </c>
      <c r="R1995" s="40" t="str">
        <f aca="false">"الربع "&amp;ROUNDUP(MONTH(B1995)/3,0)</f>
        <v>الربع 4</v>
      </c>
      <c r="S1995" s="40" t="str">
        <f aca="false">IF(D1995&lt;=12,"أطفال (0-12)",IF(D1995&lt;=24,"شباب (13-24)",IF(D1995&lt;=44,"بالغون (25-44)",IF(D1995&lt;=64,"متوسطو العمر (45-64)","كبار السن (+65)"))))</f>
        <v>متوسطو العمر (45-64)</v>
      </c>
      <c r="T1995" s="41" t="n">
        <f aca="false">IFERROR(L1995/P1995,0)</f>
        <v>981.331111111111</v>
      </c>
    </row>
    <row r="1996" customFormat="false" ht="15" hidden="false" customHeight="false" outlineLevel="0" collapsed="false">
      <c r="A1996" s="42" t="s">
        <v>885</v>
      </c>
      <c r="B1996" s="43" t="n">
        <v>45640</v>
      </c>
      <c r="C1996" s="43" t="n">
        <v>45648</v>
      </c>
      <c r="D1996" s="42" t="n">
        <v>62</v>
      </c>
      <c r="E1996" s="42" t="s">
        <v>154</v>
      </c>
      <c r="F1996" s="42" t="s">
        <v>169</v>
      </c>
      <c r="G1996" s="42" t="s">
        <v>163</v>
      </c>
      <c r="H1996" s="42" t="s">
        <v>164</v>
      </c>
      <c r="I1996" s="42" t="s">
        <v>143</v>
      </c>
      <c r="J1996" s="42" t="s">
        <v>176</v>
      </c>
      <c r="K1996" s="42" t="s">
        <v>145</v>
      </c>
      <c r="L1996" s="44" t="n">
        <v>36039.41</v>
      </c>
      <c r="M1996" s="42" t="n">
        <v>4</v>
      </c>
      <c r="N1996" s="42" t="s">
        <v>146</v>
      </c>
      <c r="O1996" s="42" t="s">
        <v>147</v>
      </c>
      <c r="P1996" s="39" t="n">
        <f aca="false">C1996-B1996</f>
        <v>8</v>
      </c>
      <c r="Q1996" s="40" t="str">
        <f aca="false">CHOOSE(MONTH(B1996),"يناير","فبراير","مارس","أبريل","مايو","يونيو","يوليو","أغسطس","سبتمبر","أكتوبر","نوفمبر","ديسمبر")</f>
        <v>ديسمبر</v>
      </c>
      <c r="R1996" s="40" t="str">
        <f aca="false">"الربع "&amp;ROUNDUP(MONTH(B1996)/3,0)</f>
        <v>الربع 4</v>
      </c>
      <c r="S1996" s="40" t="str">
        <f aca="false">IF(D1996&lt;=12,"أطفال (0-12)",IF(D1996&lt;=24,"شباب (13-24)",IF(D1996&lt;=44,"بالغون (25-44)",IF(D1996&lt;=64,"متوسطو العمر (45-64)","كبار السن (+65)"))))</f>
        <v>متوسطو العمر (45-64)</v>
      </c>
      <c r="T1996" s="41" t="n">
        <f aca="false">IFERROR(L1996/P1996,0)</f>
        <v>4504.92625</v>
      </c>
    </row>
    <row r="1997" customFormat="false" ht="15" hidden="false" customHeight="false" outlineLevel="0" collapsed="false">
      <c r="A1997" s="33" t="s">
        <v>533</v>
      </c>
      <c r="B1997" s="34" t="n">
        <v>45640</v>
      </c>
      <c r="C1997" s="34" t="n">
        <v>45645</v>
      </c>
      <c r="D1997" s="33" t="n">
        <v>45</v>
      </c>
      <c r="E1997" s="33" t="s">
        <v>139</v>
      </c>
      <c r="F1997" s="33" t="s">
        <v>181</v>
      </c>
      <c r="G1997" s="33" t="s">
        <v>188</v>
      </c>
      <c r="H1997" s="33" t="s">
        <v>245</v>
      </c>
      <c r="I1997" s="33" t="s">
        <v>152</v>
      </c>
      <c r="J1997" s="33" t="s">
        <v>159</v>
      </c>
      <c r="K1997" s="33" t="s">
        <v>209</v>
      </c>
      <c r="L1997" s="35" t="n">
        <v>13427.67</v>
      </c>
      <c r="M1997" s="33" t="n">
        <v>3</v>
      </c>
      <c r="N1997" s="33" t="s">
        <v>210</v>
      </c>
      <c r="O1997" s="33" t="s">
        <v>147</v>
      </c>
      <c r="P1997" s="39" t="n">
        <f aca="false">C1997-B1997</f>
        <v>5</v>
      </c>
      <c r="Q1997" s="40" t="str">
        <f aca="false">CHOOSE(MONTH(B1997),"يناير","فبراير","مارس","أبريل","مايو","يونيو","يوليو","أغسطس","سبتمبر","أكتوبر","نوفمبر","ديسمبر")</f>
        <v>ديسمبر</v>
      </c>
      <c r="R1997" s="40" t="str">
        <f aca="false">"الربع "&amp;ROUNDUP(MONTH(B1997)/3,0)</f>
        <v>الربع 4</v>
      </c>
      <c r="S1997" s="40" t="str">
        <f aca="false">IF(D1997&lt;=12,"أطفال (0-12)",IF(D1997&lt;=24,"شباب (13-24)",IF(D1997&lt;=44,"بالغون (25-44)",IF(D1997&lt;=64,"متوسطو العمر (45-64)","كبار السن (+65)"))))</f>
        <v>متوسطو العمر (45-64)</v>
      </c>
      <c r="T1997" s="41" t="n">
        <f aca="false">IFERROR(L1997/P1997,0)</f>
        <v>2685.534</v>
      </c>
    </row>
    <row r="1998" customFormat="false" ht="15" hidden="false" customHeight="false" outlineLevel="0" collapsed="false">
      <c r="A1998" s="42" t="s">
        <v>229</v>
      </c>
      <c r="B1998" s="43" t="n">
        <v>45640</v>
      </c>
      <c r="C1998" s="43" t="n">
        <v>45642</v>
      </c>
      <c r="D1998" s="42" t="n">
        <v>22</v>
      </c>
      <c r="E1998" s="42" t="s">
        <v>139</v>
      </c>
      <c r="F1998" s="42" t="s">
        <v>169</v>
      </c>
      <c r="G1998" s="42" t="s">
        <v>230</v>
      </c>
      <c r="H1998" s="42" t="s">
        <v>195</v>
      </c>
      <c r="I1998" s="42" t="s">
        <v>158</v>
      </c>
      <c r="J1998" s="42" t="s">
        <v>144</v>
      </c>
      <c r="K1998" s="42" t="s">
        <v>184</v>
      </c>
      <c r="L1998" s="44" t="n">
        <v>3701.94</v>
      </c>
      <c r="M1998" s="42" t="n">
        <v>4</v>
      </c>
      <c r="N1998" s="42" t="s">
        <v>146</v>
      </c>
      <c r="O1998" s="42" t="s">
        <v>147</v>
      </c>
      <c r="P1998" s="39" t="n">
        <f aca="false">C1998-B1998</f>
        <v>2</v>
      </c>
      <c r="Q1998" s="40" t="str">
        <f aca="false">CHOOSE(MONTH(B1998),"يناير","فبراير","مارس","أبريل","مايو","يونيو","يوليو","أغسطس","سبتمبر","أكتوبر","نوفمبر","ديسمبر")</f>
        <v>ديسمبر</v>
      </c>
      <c r="R1998" s="40" t="str">
        <f aca="false">"الربع "&amp;ROUNDUP(MONTH(B1998)/3,0)</f>
        <v>الربع 4</v>
      </c>
      <c r="S1998" s="40" t="str">
        <f aca="false">IF(D1998&lt;=12,"أطفال (0-12)",IF(D1998&lt;=24,"شباب (13-24)",IF(D1998&lt;=44,"بالغون (25-44)",IF(D1998&lt;=64,"متوسطو العمر (45-64)","كبار السن (+65)"))))</f>
        <v>شباب (13-24)</v>
      </c>
      <c r="T1998" s="41" t="n">
        <f aca="false">IFERROR(L1998/P1998,0)</f>
        <v>1850.97</v>
      </c>
    </row>
    <row r="1999" customFormat="false" ht="15" hidden="false" customHeight="false" outlineLevel="0" collapsed="false">
      <c r="A1999" s="33" t="s">
        <v>1968</v>
      </c>
      <c r="B1999" s="34" t="n">
        <v>45640</v>
      </c>
      <c r="C1999" s="34" t="n">
        <v>45650</v>
      </c>
      <c r="D1999" s="33" t="n">
        <v>75</v>
      </c>
      <c r="E1999" s="33" t="s">
        <v>139</v>
      </c>
      <c r="F1999" s="33" t="s">
        <v>181</v>
      </c>
      <c r="G1999" s="33" t="s">
        <v>182</v>
      </c>
      <c r="H1999" s="33" t="s">
        <v>183</v>
      </c>
      <c r="I1999" s="33" t="s">
        <v>143</v>
      </c>
      <c r="J1999" s="33" t="s">
        <v>176</v>
      </c>
      <c r="K1999" s="33" t="s">
        <v>145</v>
      </c>
      <c r="L1999" s="35" t="n">
        <v>88780.65</v>
      </c>
      <c r="M1999" s="33" t="n">
        <v>4</v>
      </c>
      <c r="N1999" s="33" t="s">
        <v>146</v>
      </c>
      <c r="O1999" s="33" t="s">
        <v>147</v>
      </c>
      <c r="P1999" s="39" t="n">
        <f aca="false">C1999-B1999</f>
        <v>10</v>
      </c>
      <c r="Q1999" s="40" t="str">
        <f aca="false">CHOOSE(MONTH(B1999),"يناير","فبراير","مارس","أبريل","مايو","يونيو","يوليو","أغسطس","سبتمبر","أكتوبر","نوفمبر","ديسمبر")</f>
        <v>ديسمبر</v>
      </c>
      <c r="R1999" s="40" t="str">
        <f aca="false">"الربع "&amp;ROUNDUP(MONTH(B1999)/3,0)</f>
        <v>الربع 4</v>
      </c>
      <c r="S1999" s="40" t="str">
        <f aca="false">IF(D1999&lt;=12,"أطفال (0-12)",IF(D1999&lt;=24,"شباب (13-24)",IF(D1999&lt;=44,"بالغون (25-44)",IF(D1999&lt;=64,"متوسطو العمر (45-64)","كبار السن (+65)"))))</f>
        <v>كبار السن (+65)</v>
      </c>
      <c r="T1999" s="41" t="n">
        <f aca="false">IFERROR(L1999/P1999,0)</f>
        <v>8878.065</v>
      </c>
    </row>
    <row r="2000" customFormat="false" ht="15" hidden="false" customHeight="false" outlineLevel="0" collapsed="false">
      <c r="A2000" s="42" t="s">
        <v>318</v>
      </c>
      <c r="B2000" s="43" t="n">
        <v>45640</v>
      </c>
      <c r="C2000" s="43" t="n">
        <v>45645</v>
      </c>
      <c r="D2000" s="42" t="n">
        <v>42</v>
      </c>
      <c r="E2000" s="42" t="s">
        <v>139</v>
      </c>
      <c r="F2000" s="42" t="s">
        <v>140</v>
      </c>
      <c r="G2000" s="42" t="s">
        <v>167</v>
      </c>
      <c r="H2000" s="42" t="s">
        <v>290</v>
      </c>
      <c r="I2000" s="42" t="s">
        <v>158</v>
      </c>
      <c r="J2000" s="42" t="s">
        <v>159</v>
      </c>
      <c r="K2000" s="42" t="s">
        <v>160</v>
      </c>
      <c r="L2000" s="44" t="n">
        <v>9874.03</v>
      </c>
      <c r="M2000" s="42" t="n">
        <v>4</v>
      </c>
      <c r="N2000" s="42" t="s">
        <v>146</v>
      </c>
      <c r="O2000" s="42" t="s">
        <v>147</v>
      </c>
      <c r="P2000" s="39" t="n">
        <f aca="false">C2000-B2000</f>
        <v>5</v>
      </c>
      <c r="Q2000" s="40" t="str">
        <f aca="false">CHOOSE(MONTH(B2000),"يناير","فبراير","مارس","أبريل","مايو","يونيو","يوليو","أغسطس","سبتمبر","أكتوبر","نوفمبر","ديسمبر")</f>
        <v>ديسمبر</v>
      </c>
      <c r="R2000" s="40" t="str">
        <f aca="false">"الربع "&amp;ROUNDUP(MONTH(B2000)/3,0)</f>
        <v>الربع 4</v>
      </c>
      <c r="S2000" s="40" t="str">
        <f aca="false">IF(D2000&lt;=12,"أطفال (0-12)",IF(D2000&lt;=24,"شباب (13-24)",IF(D2000&lt;=44,"بالغون (25-44)",IF(D2000&lt;=64,"متوسطو العمر (45-64)","كبار السن (+65)"))))</f>
        <v>بالغون (25-44)</v>
      </c>
      <c r="T2000" s="41" t="n">
        <f aca="false">IFERROR(L2000/P2000,0)</f>
        <v>1974.806</v>
      </c>
    </row>
    <row r="2001" customFormat="false" ht="15" hidden="false" customHeight="false" outlineLevel="0" collapsed="false">
      <c r="A2001" s="33" t="s">
        <v>1853</v>
      </c>
      <c r="B2001" s="34" t="n">
        <v>45640</v>
      </c>
      <c r="C2001" s="34" t="n">
        <v>45641</v>
      </c>
      <c r="D2001" s="33" t="n">
        <v>1</v>
      </c>
      <c r="E2001" s="33" t="s">
        <v>154</v>
      </c>
      <c r="F2001" s="33" t="s">
        <v>203</v>
      </c>
      <c r="G2001" s="33" t="s">
        <v>217</v>
      </c>
      <c r="H2001" s="33" t="s">
        <v>233</v>
      </c>
      <c r="I2001" s="33" t="s">
        <v>143</v>
      </c>
      <c r="J2001" s="33" t="s">
        <v>159</v>
      </c>
      <c r="K2001" s="33" t="s">
        <v>160</v>
      </c>
      <c r="L2001" s="35" t="n">
        <v>969.36</v>
      </c>
      <c r="M2001" s="33" t="n">
        <v>3</v>
      </c>
      <c r="N2001" s="33" t="s">
        <v>146</v>
      </c>
      <c r="O2001" s="33" t="s">
        <v>147</v>
      </c>
      <c r="P2001" s="39" t="n">
        <f aca="false">C2001-B2001</f>
        <v>1</v>
      </c>
      <c r="Q2001" s="40" t="str">
        <f aca="false">CHOOSE(MONTH(B2001),"يناير","فبراير","مارس","أبريل","مايو","يونيو","يوليو","أغسطس","سبتمبر","أكتوبر","نوفمبر","ديسمبر")</f>
        <v>ديسمبر</v>
      </c>
      <c r="R2001" s="40" t="str">
        <f aca="false">"الربع "&amp;ROUNDUP(MONTH(B2001)/3,0)</f>
        <v>الربع 4</v>
      </c>
      <c r="S2001" s="40" t="str">
        <f aca="false">IF(D2001&lt;=12,"أطفال (0-12)",IF(D2001&lt;=24,"شباب (13-24)",IF(D2001&lt;=44,"بالغون (25-44)",IF(D2001&lt;=64,"متوسطو العمر (45-64)","كبار السن (+65)"))))</f>
        <v>أطفال (0-12)</v>
      </c>
      <c r="T2001" s="41" t="n">
        <f aca="false">IFERROR(L2001/P2001,0)</f>
        <v>969.36</v>
      </c>
    </row>
    <row r="2002" customFormat="false" ht="15" hidden="false" customHeight="false" outlineLevel="0" collapsed="false">
      <c r="A2002" s="42" t="s">
        <v>1428</v>
      </c>
      <c r="B2002" s="43" t="n">
        <v>45640</v>
      </c>
      <c r="C2002" s="43" t="n">
        <v>45641</v>
      </c>
      <c r="D2002" s="42" t="n">
        <v>35</v>
      </c>
      <c r="E2002" s="42" t="s">
        <v>139</v>
      </c>
      <c r="F2002" s="42" t="s">
        <v>203</v>
      </c>
      <c r="G2002" s="42" t="s">
        <v>192</v>
      </c>
      <c r="H2002" s="42" t="s">
        <v>205</v>
      </c>
      <c r="I2002" s="42" t="s">
        <v>143</v>
      </c>
      <c r="J2002" s="42" t="s">
        <v>144</v>
      </c>
      <c r="K2002" s="42" t="s">
        <v>209</v>
      </c>
      <c r="L2002" s="44" t="n">
        <v>1732.76</v>
      </c>
      <c r="M2002" s="42" t="n">
        <v>2</v>
      </c>
      <c r="N2002" s="42" t="s">
        <v>210</v>
      </c>
      <c r="O2002" s="42" t="s">
        <v>147</v>
      </c>
      <c r="P2002" s="39" t="n">
        <f aca="false">C2002-B2002</f>
        <v>1</v>
      </c>
      <c r="Q2002" s="40" t="str">
        <f aca="false">CHOOSE(MONTH(B2002),"يناير","فبراير","مارس","أبريل","مايو","يونيو","يوليو","أغسطس","سبتمبر","أكتوبر","نوفمبر","ديسمبر")</f>
        <v>ديسمبر</v>
      </c>
      <c r="R2002" s="40" t="str">
        <f aca="false">"الربع "&amp;ROUNDUP(MONTH(B2002)/3,0)</f>
        <v>الربع 4</v>
      </c>
      <c r="S2002" s="40" t="str">
        <f aca="false">IF(D2002&lt;=12,"أطفال (0-12)",IF(D2002&lt;=24,"شباب (13-24)",IF(D2002&lt;=44,"بالغون (25-44)",IF(D2002&lt;=64,"متوسطو العمر (45-64)","كبار السن (+65)"))))</f>
        <v>بالغون (25-44)</v>
      </c>
      <c r="T2002" s="41" t="n">
        <f aca="false">IFERROR(L2002/P2002,0)</f>
        <v>1732.76</v>
      </c>
    </row>
    <row r="2003" customFormat="false" ht="15" hidden="false" customHeight="false" outlineLevel="0" collapsed="false">
      <c r="A2003" s="33" t="s">
        <v>201</v>
      </c>
      <c r="B2003" s="34" t="n">
        <v>45640</v>
      </c>
      <c r="C2003" s="34" t="n">
        <v>45650</v>
      </c>
      <c r="D2003" s="33" t="n">
        <v>60</v>
      </c>
      <c r="E2003" s="33" t="s">
        <v>154</v>
      </c>
      <c r="F2003" s="33" t="s">
        <v>140</v>
      </c>
      <c r="G2003" s="33" t="s">
        <v>141</v>
      </c>
      <c r="H2003" s="33" t="s">
        <v>142</v>
      </c>
      <c r="I2003" s="33" t="s">
        <v>158</v>
      </c>
      <c r="J2003" s="33" t="s">
        <v>144</v>
      </c>
      <c r="K2003" s="33" t="s">
        <v>160</v>
      </c>
      <c r="L2003" s="35" t="n">
        <v>41917</v>
      </c>
      <c r="M2003" s="33" t="n">
        <v>3</v>
      </c>
      <c r="N2003" s="33" t="s">
        <v>146</v>
      </c>
      <c r="O2003" s="33" t="s">
        <v>147</v>
      </c>
      <c r="P2003" s="39" t="n">
        <f aca="false">C2003-B2003</f>
        <v>10</v>
      </c>
      <c r="Q2003" s="40" t="str">
        <f aca="false">CHOOSE(MONTH(B2003),"يناير","فبراير","مارس","أبريل","مايو","يونيو","يوليو","أغسطس","سبتمبر","أكتوبر","نوفمبر","ديسمبر")</f>
        <v>ديسمبر</v>
      </c>
      <c r="R2003" s="40" t="str">
        <f aca="false">"الربع "&amp;ROUNDUP(MONTH(B2003)/3,0)</f>
        <v>الربع 4</v>
      </c>
      <c r="S2003" s="40" t="str">
        <f aca="false">IF(D2003&lt;=12,"أطفال (0-12)",IF(D2003&lt;=24,"شباب (13-24)",IF(D2003&lt;=44,"بالغون (25-44)",IF(D2003&lt;=64,"متوسطو العمر (45-64)","كبار السن (+65)"))))</f>
        <v>متوسطو العمر (45-64)</v>
      </c>
      <c r="T2003" s="41" t="n">
        <f aca="false">IFERROR(L2003/P2003,0)</f>
        <v>4191.7</v>
      </c>
    </row>
    <row r="2004" customFormat="false" ht="15" hidden="false" customHeight="false" outlineLevel="0" collapsed="false">
      <c r="A2004" s="42" t="s">
        <v>2268</v>
      </c>
      <c r="B2004" s="43" t="n">
        <v>45641</v>
      </c>
      <c r="C2004" s="43" t="n">
        <v>45648</v>
      </c>
      <c r="D2004" s="42" t="n">
        <v>50</v>
      </c>
      <c r="E2004" s="42" t="s">
        <v>154</v>
      </c>
      <c r="F2004" s="42" t="s">
        <v>226</v>
      </c>
      <c r="G2004" s="42" t="s">
        <v>258</v>
      </c>
      <c r="H2004" s="42" t="s">
        <v>228</v>
      </c>
      <c r="I2004" s="42" t="s">
        <v>143</v>
      </c>
      <c r="J2004" s="42" t="s">
        <v>144</v>
      </c>
      <c r="K2004" s="42" t="s">
        <v>160</v>
      </c>
      <c r="L2004" s="44" t="n">
        <v>34019.11</v>
      </c>
      <c r="M2004" s="42" t="n">
        <v>4</v>
      </c>
      <c r="N2004" s="42" t="s">
        <v>146</v>
      </c>
      <c r="O2004" s="42" t="s">
        <v>147</v>
      </c>
      <c r="P2004" s="39" t="n">
        <f aca="false">C2004-B2004</f>
        <v>7</v>
      </c>
      <c r="Q2004" s="40" t="str">
        <f aca="false">CHOOSE(MONTH(B2004),"يناير","فبراير","مارس","أبريل","مايو","يونيو","يوليو","أغسطس","سبتمبر","أكتوبر","نوفمبر","ديسمبر")</f>
        <v>ديسمبر</v>
      </c>
      <c r="R2004" s="40" t="str">
        <f aca="false">"الربع "&amp;ROUNDUP(MONTH(B2004)/3,0)</f>
        <v>الربع 4</v>
      </c>
      <c r="S2004" s="40" t="str">
        <f aca="false">IF(D2004&lt;=12,"أطفال (0-12)",IF(D2004&lt;=24,"شباب (13-24)",IF(D2004&lt;=44,"بالغون (25-44)",IF(D2004&lt;=64,"متوسطو العمر (45-64)","كبار السن (+65)"))))</f>
        <v>متوسطو العمر (45-64)</v>
      </c>
      <c r="T2004" s="41" t="n">
        <f aca="false">IFERROR(L2004/P2004,0)</f>
        <v>4859.87285714286</v>
      </c>
    </row>
    <row r="2005" customFormat="false" ht="15" hidden="false" customHeight="false" outlineLevel="0" collapsed="false">
      <c r="A2005" s="33" t="s">
        <v>1907</v>
      </c>
      <c r="B2005" s="34" t="n">
        <v>45641</v>
      </c>
      <c r="C2005" s="34" t="n">
        <v>45642</v>
      </c>
      <c r="D2005" s="33" t="n">
        <v>30</v>
      </c>
      <c r="E2005" s="33" t="s">
        <v>139</v>
      </c>
      <c r="F2005" s="33" t="s">
        <v>149</v>
      </c>
      <c r="G2005" s="33" t="s">
        <v>224</v>
      </c>
      <c r="H2005" s="33" t="s">
        <v>151</v>
      </c>
      <c r="I2005" s="33" t="s">
        <v>152</v>
      </c>
      <c r="J2005" s="33" t="s">
        <v>159</v>
      </c>
      <c r="K2005" s="33" t="s">
        <v>160</v>
      </c>
      <c r="L2005" s="35" t="n">
        <v>1655.95</v>
      </c>
      <c r="M2005" s="33" t="n">
        <v>5</v>
      </c>
      <c r="N2005" s="33" t="s">
        <v>146</v>
      </c>
      <c r="O2005" s="33" t="s">
        <v>147</v>
      </c>
      <c r="P2005" s="39" t="n">
        <f aca="false">C2005-B2005</f>
        <v>1</v>
      </c>
      <c r="Q2005" s="40" t="str">
        <f aca="false">CHOOSE(MONTH(B2005),"يناير","فبراير","مارس","أبريل","مايو","يونيو","يوليو","أغسطس","سبتمبر","أكتوبر","نوفمبر","ديسمبر")</f>
        <v>ديسمبر</v>
      </c>
      <c r="R2005" s="40" t="str">
        <f aca="false">"الربع "&amp;ROUNDUP(MONTH(B2005)/3,0)</f>
        <v>الربع 4</v>
      </c>
      <c r="S2005" s="40" t="str">
        <f aca="false">IF(D2005&lt;=12,"أطفال (0-12)",IF(D2005&lt;=24,"شباب (13-24)",IF(D2005&lt;=44,"بالغون (25-44)",IF(D2005&lt;=64,"متوسطو العمر (45-64)","كبار السن (+65)"))))</f>
        <v>بالغون (25-44)</v>
      </c>
      <c r="T2005" s="41" t="n">
        <f aca="false">IFERROR(L2005/P2005,0)</f>
        <v>1655.95</v>
      </c>
    </row>
    <row r="2006" customFormat="false" ht="15" hidden="false" customHeight="false" outlineLevel="0" collapsed="false">
      <c r="A2006" s="42" t="s">
        <v>2121</v>
      </c>
      <c r="B2006" s="43" t="n">
        <v>45641</v>
      </c>
      <c r="C2006" s="43" t="n">
        <v>45643</v>
      </c>
      <c r="D2006" s="42" t="n">
        <v>25</v>
      </c>
      <c r="E2006" s="42" t="s">
        <v>154</v>
      </c>
      <c r="F2006" s="42" t="s">
        <v>173</v>
      </c>
      <c r="G2006" s="42" t="s">
        <v>174</v>
      </c>
      <c r="H2006" s="42" t="s">
        <v>175</v>
      </c>
      <c r="I2006" s="42" t="s">
        <v>143</v>
      </c>
      <c r="J2006" s="42" t="s">
        <v>159</v>
      </c>
      <c r="K2006" s="42" t="s">
        <v>160</v>
      </c>
      <c r="L2006" s="44" t="n">
        <v>6589.17</v>
      </c>
      <c r="M2006" s="42" t="n">
        <v>5</v>
      </c>
      <c r="N2006" s="42" t="s">
        <v>146</v>
      </c>
      <c r="O2006" s="42" t="s">
        <v>247</v>
      </c>
      <c r="P2006" s="39" t="n">
        <f aca="false">C2006-B2006</f>
        <v>2</v>
      </c>
      <c r="Q2006" s="40" t="str">
        <f aca="false">CHOOSE(MONTH(B2006),"يناير","فبراير","مارس","أبريل","مايو","يونيو","يوليو","أغسطس","سبتمبر","أكتوبر","نوفمبر","ديسمبر")</f>
        <v>ديسمبر</v>
      </c>
      <c r="R2006" s="40" t="str">
        <f aca="false">"الربع "&amp;ROUNDUP(MONTH(B2006)/3,0)</f>
        <v>الربع 4</v>
      </c>
      <c r="S2006" s="40" t="str">
        <f aca="false">IF(D2006&lt;=12,"أطفال (0-12)",IF(D2006&lt;=24,"شباب (13-24)",IF(D2006&lt;=44,"بالغون (25-44)",IF(D2006&lt;=64,"متوسطو العمر (45-64)","كبار السن (+65)"))))</f>
        <v>بالغون (25-44)</v>
      </c>
      <c r="T2006" s="41" t="n">
        <f aca="false">IFERROR(L2006/P2006,0)</f>
        <v>3294.585</v>
      </c>
    </row>
    <row r="2007" customFormat="false" ht="15" hidden="false" customHeight="false" outlineLevel="0" collapsed="false">
      <c r="A2007" s="33" t="s">
        <v>540</v>
      </c>
      <c r="B2007" s="34" t="n">
        <v>45641</v>
      </c>
      <c r="C2007" s="34" t="n">
        <v>45643</v>
      </c>
      <c r="D2007" s="33" t="n">
        <v>4</v>
      </c>
      <c r="E2007" s="33" t="s">
        <v>139</v>
      </c>
      <c r="F2007" s="33" t="s">
        <v>155</v>
      </c>
      <c r="G2007" s="33" t="s">
        <v>220</v>
      </c>
      <c r="H2007" s="33" t="s">
        <v>222</v>
      </c>
      <c r="I2007" s="33" t="s">
        <v>152</v>
      </c>
      <c r="J2007" s="33" t="s">
        <v>159</v>
      </c>
      <c r="K2007" s="33" t="s">
        <v>145</v>
      </c>
      <c r="L2007" s="35" t="n">
        <v>1580.62</v>
      </c>
      <c r="M2007" s="33" t="n">
        <v>4</v>
      </c>
      <c r="N2007" s="33" t="s">
        <v>146</v>
      </c>
      <c r="O2007" s="33" t="s">
        <v>206</v>
      </c>
      <c r="P2007" s="39" t="n">
        <f aca="false">C2007-B2007</f>
        <v>2</v>
      </c>
      <c r="Q2007" s="40" t="str">
        <f aca="false">CHOOSE(MONTH(B2007),"يناير","فبراير","مارس","أبريل","مايو","يونيو","يوليو","أغسطس","سبتمبر","أكتوبر","نوفمبر","ديسمبر")</f>
        <v>ديسمبر</v>
      </c>
      <c r="R2007" s="40" t="str">
        <f aca="false">"الربع "&amp;ROUNDUP(MONTH(B2007)/3,0)</f>
        <v>الربع 4</v>
      </c>
      <c r="S2007" s="40" t="str">
        <f aca="false">IF(D2007&lt;=12,"أطفال (0-12)",IF(D2007&lt;=24,"شباب (13-24)",IF(D2007&lt;=44,"بالغون (25-44)",IF(D2007&lt;=64,"متوسطو العمر (45-64)","كبار السن (+65)"))))</f>
        <v>أطفال (0-12)</v>
      </c>
      <c r="T2007" s="41" t="n">
        <f aca="false">IFERROR(L2007/P2007,0)</f>
        <v>790.31</v>
      </c>
    </row>
    <row r="2008" customFormat="false" ht="15" hidden="false" customHeight="false" outlineLevel="0" collapsed="false">
      <c r="A2008" s="42" t="s">
        <v>260</v>
      </c>
      <c r="B2008" s="43" t="n">
        <v>45642</v>
      </c>
      <c r="C2008" s="43" t="n">
        <v>45651</v>
      </c>
      <c r="D2008" s="42" t="n">
        <v>19</v>
      </c>
      <c r="E2008" s="42" t="s">
        <v>154</v>
      </c>
      <c r="F2008" s="42" t="s">
        <v>173</v>
      </c>
      <c r="G2008" s="42" t="s">
        <v>198</v>
      </c>
      <c r="H2008" s="42" t="s">
        <v>199</v>
      </c>
      <c r="I2008" s="42" t="s">
        <v>143</v>
      </c>
      <c r="J2008" s="42" t="s">
        <v>159</v>
      </c>
      <c r="K2008" s="42" t="s">
        <v>145</v>
      </c>
      <c r="L2008" s="44" t="n">
        <v>20813</v>
      </c>
      <c r="M2008" s="42" t="n">
        <v>4</v>
      </c>
      <c r="N2008" s="42" t="s">
        <v>146</v>
      </c>
      <c r="O2008" s="42" t="s">
        <v>147</v>
      </c>
      <c r="P2008" s="39" t="n">
        <f aca="false">C2008-B2008</f>
        <v>9</v>
      </c>
      <c r="Q2008" s="40" t="str">
        <f aca="false">CHOOSE(MONTH(B2008),"يناير","فبراير","مارس","أبريل","مايو","يونيو","يوليو","أغسطس","سبتمبر","أكتوبر","نوفمبر","ديسمبر")</f>
        <v>ديسمبر</v>
      </c>
      <c r="R2008" s="40" t="str">
        <f aca="false">"الربع "&amp;ROUNDUP(MONTH(B2008)/3,0)</f>
        <v>الربع 4</v>
      </c>
      <c r="S2008" s="40" t="str">
        <f aca="false">IF(D2008&lt;=12,"أطفال (0-12)",IF(D2008&lt;=24,"شباب (13-24)",IF(D2008&lt;=44,"بالغون (25-44)",IF(D2008&lt;=64,"متوسطو العمر (45-64)","كبار السن (+65)"))))</f>
        <v>شباب (13-24)</v>
      </c>
      <c r="T2008" s="41" t="n">
        <f aca="false">IFERROR(L2008/P2008,0)</f>
        <v>2312.55555555556</v>
      </c>
    </row>
    <row r="2009" customFormat="false" ht="15" hidden="false" customHeight="false" outlineLevel="0" collapsed="false">
      <c r="A2009" s="33" t="s">
        <v>469</v>
      </c>
      <c r="B2009" s="34" t="n">
        <v>45642</v>
      </c>
      <c r="C2009" s="34" t="n">
        <v>45652</v>
      </c>
      <c r="D2009" s="33" t="n">
        <v>54</v>
      </c>
      <c r="E2009" s="33" t="s">
        <v>139</v>
      </c>
      <c r="F2009" s="33" t="s">
        <v>181</v>
      </c>
      <c r="G2009" s="33" t="s">
        <v>182</v>
      </c>
      <c r="H2009" s="33" t="s">
        <v>183</v>
      </c>
      <c r="I2009" s="33" t="s">
        <v>143</v>
      </c>
      <c r="J2009" s="33" t="s">
        <v>159</v>
      </c>
      <c r="K2009" s="33" t="s">
        <v>184</v>
      </c>
      <c r="L2009" s="35" t="n">
        <v>18581.65</v>
      </c>
      <c r="M2009" s="33" t="n">
        <v>3</v>
      </c>
      <c r="N2009" s="33" t="s">
        <v>210</v>
      </c>
      <c r="O2009" s="33" t="s">
        <v>147</v>
      </c>
      <c r="P2009" s="39" t="n">
        <f aca="false">C2009-B2009</f>
        <v>10</v>
      </c>
      <c r="Q2009" s="40" t="str">
        <f aca="false">CHOOSE(MONTH(B2009),"يناير","فبراير","مارس","أبريل","مايو","يونيو","يوليو","أغسطس","سبتمبر","أكتوبر","نوفمبر","ديسمبر")</f>
        <v>ديسمبر</v>
      </c>
      <c r="R2009" s="40" t="str">
        <f aca="false">"الربع "&amp;ROUNDUP(MONTH(B2009)/3,0)</f>
        <v>الربع 4</v>
      </c>
      <c r="S2009" s="40" t="str">
        <f aca="false">IF(D2009&lt;=12,"أطفال (0-12)",IF(D2009&lt;=24,"شباب (13-24)",IF(D2009&lt;=44,"بالغون (25-44)",IF(D2009&lt;=64,"متوسطو العمر (45-64)","كبار السن (+65)"))))</f>
        <v>متوسطو العمر (45-64)</v>
      </c>
      <c r="T2009" s="41" t="n">
        <f aca="false">IFERROR(L2009/P2009,0)</f>
        <v>1858.165</v>
      </c>
    </row>
    <row r="2010" customFormat="false" ht="15" hidden="false" customHeight="false" outlineLevel="0" collapsed="false">
      <c r="A2010" s="42" t="s">
        <v>1654</v>
      </c>
      <c r="B2010" s="43" t="n">
        <v>45642</v>
      </c>
      <c r="C2010" s="43" t="n">
        <v>45646</v>
      </c>
      <c r="D2010" s="42" t="n">
        <v>42</v>
      </c>
      <c r="E2010" s="42" t="s">
        <v>154</v>
      </c>
      <c r="F2010" s="42" t="s">
        <v>169</v>
      </c>
      <c r="G2010" s="42" t="s">
        <v>170</v>
      </c>
      <c r="H2010" s="42" t="s">
        <v>164</v>
      </c>
      <c r="I2010" s="42" t="s">
        <v>143</v>
      </c>
      <c r="J2010" s="42" t="s">
        <v>159</v>
      </c>
      <c r="K2010" s="42" t="s">
        <v>145</v>
      </c>
      <c r="L2010" s="44" t="n">
        <v>3544.9</v>
      </c>
      <c r="M2010" s="42" t="n">
        <v>3</v>
      </c>
      <c r="N2010" s="42" t="s">
        <v>146</v>
      </c>
      <c r="O2010" s="42" t="s">
        <v>147</v>
      </c>
      <c r="P2010" s="39" t="n">
        <f aca="false">C2010-B2010</f>
        <v>4</v>
      </c>
      <c r="Q2010" s="40" t="str">
        <f aca="false">CHOOSE(MONTH(B2010),"يناير","فبراير","مارس","أبريل","مايو","يونيو","يوليو","أغسطس","سبتمبر","أكتوبر","نوفمبر","ديسمبر")</f>
        <v>ديسمبر</v>
      </c>
      <c r="R2010" s="40" t="str">
        <f aca="false">"الربع "&amp;ROUNDUP(MONTH(B2010)/3,0)</f>
        <v>الربع 4</v>
      </c>
      <c r="S2010" s="40" t="str">
        <f aca="false">IF(D2010&lt;=12,"أطفال (0-12)",IF(D2010&lt;=24,"شباب (13-24)",IF(D2010&lt;=44,"بالغون (25-44)",IF(D2010&lt;=64,"متوسطو العمر (45-64)","كبار السن (+65)"))))</f>
        <v>بالغون (25-44)</v>
      </c>
      <c r="T2010" s="41" t="n">
        <f aca="false">IFERROR(L2010/P2010,0)</f>
        <v>886.225</v>
      </c>
    </row>
    <row r="2011" customFormat="false" ht="15" hidden="false" customHeight="false" outlineLevel="0" collapsed="false">
      <c r="A2011" s="33" t="s">
        <v>1604</v>
      </c>
      <c r="B2011" s="34" t="n">
        <v>45642</v>
      </c>
      <c r="C2011" s="34" t="n">
        <v>45649</v>
      </c>
      <c r="D2011" s="33" t="n">
        <v>58</v>
      </c>
      <c r="E2011" s="33" t="s">
        <v>139</v>
      </c>
      <c r="F2011" s="33" t="s">
        <v>140</v>
      </c>
      <c r="G2011" s="33" t="s">
        <v>316</v>
      </c>
      <c r="H2011" s="33" t="s">
        <v>142</v>
      </c>
      <c r="I2011" s="33" t="s">
        <v>143</v>
      </c>
      <c r="J2011" s="33" t="s">
        <v>159</v>
      </c>
      <c r="K2011" s="33" t="s">
        <v>209</v>
      </c>
      <c r="L2011" s="35" t="n">
        <v>17164.15</v>
      </c>
      <c r="M2011" s="33" t="n">
        <v>4</v>
      </c>
      <c r="N2011" s="33" t="s">
        <v>146</v>
      </c>
      <c r="O2011" s="33" t="s">
        <v>147</v>
      </c>
      <c r="P2011" s="39" t="n">
        <f aca="false">C2011-B2011</f>
        <v>7</v>
      </c>
      <c r="Q2011" s="40" t="str">
        <f aca="false">CHOOSE(MONTH(B2011),"يناير","فبراير","مارس","أبريل","مايو","يونيو","يوليو","أغسطس","سبتمبر","أكتوبر","نوفمبر","ديسمبر")</f>
        <v>ديسمبر</v>
      </c>
      <c r="R2011" s="40" t="str">
        <f aca="false">"الربع "&amp;ROUNDUP(MONTH(B2011)/3,0)</f>
        <v>الربع 4</v>
      </c>
      <c r="S2011" s="40" t="str">
        <f aca="false">IF(D2011&lt;=12,"أطفال (0-12)",IF(D2011&lt;=24,"شباب (13-24)",IF(D2011&lt;=44,"بالغون (25-44)",IF(D2011&lt;=64,"متوسطو العمر (45-64)","كبار السن (+65)"))))</f>
        <v>متوسطو العمر (45-64)</v>
      </c>
      <c r="T2011" s="41" t="n">
        <f aca="false">IFERROR(L2011/P2011,0)</f>
        <v>2452.02142857143</v>
      </c>
    </row>
    <row r="2012" customFormat="false" ht="15" hidden="false" customHeight="false" outlineLevel="0" collapsed="false">
      <c r="A2012" s="42" t="s">
        <v>1053</v>
      </c>
      <c r="B2012" s="43" t="n">
        <v>45643</v>
      </c>
      <c r="C2012" s="43" t="n">
        <v>45644</v>
      </c>
      <c r="D2012" s="42" t="n">
        <v>44</v>
      </c>
      <c r="E2012" s="42" t="s">
        <v>154</v>
      </c>
      <c r="F2012" s="42" t="s">
        <v>173</v>
      </c>
      <c r="G2012" s="42" t="s">
        <v>174</v>
      </c>
      <c r="H2012" s="42" t="s">
        <v>199</v>
      </c>
      <c r="I2012" s="42" t="s">
        <v>143</v>
      </c>
      <c r="J2012" s="42" t="s">
        <v>159</v>
      </c>
      <c r="K2012" s="42" t="s">
        <v>145</v>
      </c>
      <c r="L2012" s="44" t="n">
        <v>2709.05</v>
      </c>
      <c r="M2012" s="42" t="n">
        <v>5</v>
      </c>
      <c r="N2012" s="42" t="s">
        <v>146</v>
      </c>
      <c r="O2012" s="42" t="s">
        <v>206</v>
      </c>
      <c r="P2012" s="39" t="n">
        <f aca="false">C2012-B2012</f>
        <v>1</v>
      </c>
      <c r="Q2012" s="40" t="str">
        <f aca="false">CHOOSE(MONTH(B2012),"يناير","فبراير","مارس","أبريل","مايو","يونيو","يوليو","أغسطس","سبتمبر","أكتوبر","نوفمبر","ديسمبر")</f>
        <v>ديسمبر</v>
      </c>
      <c r="R2012" s="40" t="str">
        <f aca="false">"الربع "&amp;ROUNDUP(MONTH(B2012)/3,0)</f>
        <v>الربع 4</v>
      </c>
      <c r="S2012" s="40" t="str">
        <f aca="false">IF(D2012&lt;=12,"أطفال (0-12)",IF(D2012&lt;=24,"شباب (13-24)",IF(D2012&lt;=44,"بالغون (25-44)",IF(D2012&lt;=64,"متوسطو العمر (45-64)","كبار السن (+65)"))))</f>
        <v>بالغون (25-44)</v>
      </c>
      <c r="T2012" s="41" t="n">
        <f aca="false">IFERROR(L2012/P2012,0)</f>
        <v>2709.05</v>
      </c>
    </row>
    <row r="2013" customFormat="false" ht="15" hidden="false" customHeight="false" outlineLevel="0" collapsed="false">
      <c r="A2013" s="33" t="s">
        <v>1464</v>
      </c>
      <c r="B2013" s="34" t="n">
        <v>45643</v>
      </c>
      <c r="C2013" s="34" t="n">
        <v>45644</v>
      </c>
      <c r="D2013" s="33" t="n">
        <v>57</v>
      </c>
      <c r="E2013" s="33" t="s">
        <v>139</v>
      </c>
      <c r="F2013" s="33" t="s">
        <v>203</v>
      </c>
      <c r="G2013" s="33" t="s">
        <v>192</v>
      </c>
      <c r="H2013" s="33" t="s">
        <v>233</v>
      </c>
      <c r="I2013" s="33" t="s">
        <v>143</v>
      </c>
      <c r="J2013" s="33" t="s">
        <v>159</v>
      </c>
      <c r="K2013" s="33" t="s">
        <v>145</v>
      </c>
      <c r="L2013" s="35" t="n">
        <v>947.85</v>
      </c>
      <c r="M2013" s="33" t="n">
        <v>4</v>
      </c>
      <c r="N2013" s="33" t="s">
        <v>146</v>
      </c>
      <c r="O2013" s="33" t="s">
        <v>147</v>
      </c>
      <c r="P2013" s="39" t="n">
        <f aca="false">C2013-B2013</f>
        <v>1</v>
      </c>
      <c r="Q2013" s="40" t="str">
        <f aca="false">CHOOSE(MONTH(B2013),"يناير","فبراير","مارس","أبريل","مايو","يونيو","يوليو","أغسطس","سبتمبر","أكتوبر","نوفمبر","ديسمبر")</f>
        <v>ديسمبر</v>
      </c>
      <c r="R2013" s="40" t="str">
        <f aca="false">"الربع "&amp;ROUNDUP(MONTH(B2013)/3,0)</f>
        <v>الربع 4</v>
      </c>
      <c r="S2013" s="40" t="str">
        <f aca="false">IF(D2013&lt;=12,"أطفال (0-12)",IF(D2013&lt;=24,"شباب (13-24)",IF(D2013&lt;=44,"بالغون (25-44)",IF(D2013&lt;=64,"متوسطو العمر (45-64)","كبار السن (+65)"))))</f>
        <v>متوسطو العمر (45-64)</v>
      </c>
      <c r="T2013" s="41" t="n">
        <f aca="false">IFERROR(L2013/P2013,0)</f>
        <v>947.85</v>
      </c>
    </row>
    <row r="2014" customFormat="false" ht="15" hidden="false" customHeight="false" outlineLevel="0" collapsed="false">
      <c r="A2014" s="42" t="s">
        <v>1625</v>
      </c>
      <c r="B2014" s="43" t="n">
        <v>45643</v>
      </c>
      <c r="C2014" s="43" t="n">
        <v>45651</v>
      </c>
      <c r="D2014" s="42" t="n">
        <v>60</v>
      </c>
      <c r="E2014" s="42" t="s">
        <v>139</v>
      </c>
      <c r="F2014" s="42" t="s">
        <v>169</v>
      </c>
      <c r="G2014" s="42" t="s">
        <v>213</v>
      </c>
      <c r="H2014" s="42" t="s">
        <v>171</v>
      </c>
      <c r="I2014" s="42" t="s">
        <v>143</v>
      </c>
      <c r="J2014" s="42" t="s">
        <v>144</v>
      </c>
      <c r="K2014" s="42" t="s">
        <v>160</v>
      </c>
      <c r="L2014" s="44" t="n">
        <v>17466.4</v>
      </c>
      <c r="M2014" s="42" t="n">
        <v>3</v>
      </c>
      <c r="N2014" s="42" t="s">
        <v>146</v>
      </c>
      <c r="O2014" s="42" t="s">
        <v>247</v>
      </c>
      <c r="P2014" s="39" t="n">
        <f aca="false">C2014-B2014</f>
        <v>8</v>
      </c>
      <c r="Q2014" s="40" t="str">
        <f aca="false">CHOOSE(MONTH(B2014),"يناير","فبراير","مارس","أبريل","مايو","يونيو","يوليو","أغسطس","سبتمبر","أكتوبر","نوفمبر","ديسمبر")</f>
        <v>ديسمبر</v>
      </c>
      <c r="R2014" s="40" t="str">
        <f aca="false">"الربع "&amp;ROUNDUP(MONTH(B2014)/3,0)</f>
        <v>الربع 4</v>
      </c>
      <c r="S2014" s="40" t="str">
        <f aca="false">IF(D2014&lt;=12,"أطفال (0-12)",IF(D2014&lt;=24,"شباب (13-24)",IF(D2014&lt;=44,"بالغون (25-44)",IF(D2014&lt;=64,"متوسطو العمر (45-64)","كبار السن (+65)"))))</f>
        <v>متوسطو العمر (45-64)</v>
      </c>
      <c r="T2014" s="41" t="n">
        <f aca="false">IFERROR(L2014/P2014,0)</f>
        <v>2183.3</v>
      </c>
    </row>
    <row r="2015" customFormat="false" ht="15" hidden="false" customHeight="false" outlineLevel="0" collapsed="false">
      <c r="A2015" s="33" t="s">
        <v>728</v>
      </c>
      <c r="B2015" s="34" t="n">
        <v>45643</v>
      </c>
      <c r="C2015" s="34" t="n">
        <v>45646</v>
      </c>
      <c r="D2015" s="33" t="n">
        <v>43</v>
      </c>
      <c r="E2015" s="33" t="s">
        <v>139</v>
      </c>
      <c r="F2015" s="33" t="s">
        <v>169</v>
      </c>
      <c r="G2015" s="33" t="s">
        <v>163</v>
      </c>
      <c r="H2015" s="33" t="s">
        <v>164</v>
      </c>
      <c r="I2015" s="33" t="s">
        <v>158</v>
      </c>
      <c r="J2015" s="33" t="s">
        <v>159</v>
      </c>
      <c r="K2015" s="33" t="s">
        <v>160</v>
      </c>
      <c r="L2015" s="35" t="n">
        <v>3912.46</v>
      </c>
      <c r="M2015" s="33" t="n">
        <v>4</v>
      </c>
      <c r="N2015" s="33" t="s">
        <v>146</v>
      </c>
      <c r="O2015" s="33" t="s">
        <v>147</v>
      </c>
      <c r="P2015" s="39" t="n">
        <f aca="false">C2015-B2015</f>
        <v>3</v>
      </c>
      <c r="Q2015" s="40" t="str">
        <f aca="false">CHOOSE(MONTH(B2015),"يناير","فبراير","مارس","أبريل","مايو","يونيو","يوليو","أغسطس","سبتمبر","أكتوبر","نوفمبر","ديسمبر")</f>
        <v>ديسمبر</v>
      </c>
      <c r="R2015" s="40" t="str">
        <f aca="false">"الربع "&amp;ROUNDUP(MONTH(B2015)/3,0)</f>
        <v>الربع 4</v>
      </c>
      <c r="S2015" s="40" t="str">
        <f aca="false">IF(D2015&lt;=12,"أطفال (0-12)",IF(D2015&lt;=24,"شباب (13-24)",IF(D2015&lt;=44,"بالغون (25-44)",IF(D2015&lt;=64,"متوسطو العمر (45-64)","كبار السن (+65)"))))</f>
        <v>بالغون (25-44)</v>
      </c>
      <c r="T2015" s="41" t="n">
        <f aca="false">IFERROR(L2015/P2015,0)</f>
        <v>1304.15333333333</v>
      </c>
    </row>
    <row r="2016" customFormat="false" ht="15" hidden="false" customHeight="false" outlineLevel="0" collapsed="false">
      <c r="A2016" s="42" t="s">
        <v>609</v>
      </c>
      <c r="B2016" s="43" t="n">
        <v>45643</v>
      </c>
      <c r="C2016" s="43" t="n">
        <v>45646</v>
      </c>
      <c r="D2016" s="42" t="n">
        <v>10</v>
      </c>
      <c r="E2016" s="42" t="s">
        <v>154</v>
      </c>
      <c r="F2016" s="42" t="s">
        <v>155</v>
      </c>
      <c r="G2016" s="42" t="s">
        <v>156</v>
      </c>
      <c r="H2016" s="42" t="s">
        <v>222</v>
      </c>
      <c r="I2016" s="42" t="s">
        <v>152</v>
      </c>
      <c r="J2016" s="42" t="s">
        <v>144</v>
      </c>
      <c r="K2016" s="42" t="s">
        <v>184</v>
      </c>
      <c r="L2016" s="44" t="n">
        <v>4940.22</v>
      </c>
      <c r="M2016" s="42" t="n">
        <v>4</v>
      </c>
      <c r="N2016" s="42" t="s">
        <v>146</v>
      </c>
      <c r="O2016" s="42" t="s">
        <v>147</v>
      </c>
      <c r="P2016" s="39" t="n">
        <f aca="false">C2016-B2016</f>
        <v>3</v>
      </c>
      <c r="Q2016" s="40" t="str">
        <f aca="false">CHOOSE(MONTH(B2016),"يناير","فبراير","مارس","أبريل","مايو","يونيو","يوليو","أغسطس","سبتمبر","أكتوبر","نوفمبر","ديسمبر")</f>
        <v>ديسمبر</v>
      </c>
      <c r="R2016" s="40" t="str">
        <f aca="false">"الربع "&amp;ROUNDUP(MONTH(B2016)/3,0)</f>
        <v>الربع 4</v>
      </c>
      <c r="S2016" s="40" t="str">
        <f aca="false">IF(D2016&lt;=12,"أطفال (0-12)",IF(D2016&lt;=24,"شباب (13-24)",IF(D2016&lt;=44,"بالغون (25-44)",IF(D2016&lt;=64,"متوسطو العمر (45-64)","كبار السن (+65)"))))</f>
        <v>أطفال (0-12)</v>
      </c>
      <c r="T2016" s="41" t="n">
        <f aca="false">IFERROR(L2016/P2016,0)</f>
        <v>1646.74</v>
      </c>
    </row>
    <row r="2017" customFormat="false" ht="15" hidden="false" customHeight="false" outlineLevel="0" collapsed="false">
      <c r="A2017" s="33" t="s">
        <v>357</v>
      </c>
      <c r="B2017" s="34" t="n">
        <v>45643</v>
      </c>
      <c r="C2017" s="34" t="n">
        <v>45644</v>
      </c>
      <c r="D2017" s="33" t="n">
        <v>96</v>
      </c>
      <c r="E2017" s="33" t="s">
        <v>154</v>
      </c>
      <c r="F2017" s="33" t="s">
        <v>203</v>
      </c>
      <c r="G2017" s="33" t="s">
        <v>241</v>
      </c>
      <c r="H2017" s="33" t="s">
        <v>233</v>
      </c>
      <c r="I2017" s="33" t="s">
        <v>143</v>
      </c>
      <c r="J2017" s="33" t="s">
        <v>144</v>
      </c>
      <c r="K2017" s="33" t="s">
        <v>209</v>
      </c>
      <c r="L2017" s="35" t="n">
        <v>1557.07</v>
      </c>
      <c r="M2017" s="33" t="n">
        <v>2</v>
      </c>
      <c r="N2017" s="33" t="s">
        <v>146</v>
      </c>
      <c r="O2017" s="33" t="s">
        <v>147</v>
      </c>
      <c r="P2017" s="39" t="n">
        <f aca="false">C2017-B2017</f>
        <v>1</v>
      </c>
      <c r="Q2017" s="40" t="str">
        <f aca="false">CHOOSE(MONTH(B2017),"يناير","فبراير","مارس","أبريل","مايو","يونيو","يوليو","أغسطس","سبتمبر","أكتوبر","نوفمبر","ديسمبر")</f>
        <v>ديسمبر</v>
      </c>
      <c r="R2017" s="40" t="str">
        <f aca="false">"الربع "&amp;ROUNDUP(MONTH(B2017)/3,0)</f>
        <v>الربع 4</v>
      </c>
      <c r="S2017" s="40" t="str">
        <f aca="false">IF(D2017&lt;=12,"أطفال (0-12)",IF(D2017&lt;=24,"شباب (13-24)",IF(D2017&lt;=44,"بالغون (25-44)",IF(D2017&lt;=64,"متوسطو العمر (45-64)","كبار السن (+65)"))))</f>
        <v>كبار السن (+65)</v>
      </c>
      <c r="T2017" s="41" t="n">
        <f aca="false">IFERROR(L2017/P2017,0)</f>
        <v>1557.07</v>
      </c>
    </row>
    <row r="2018" customFormat="false" ht="15" hidden="false" customHeight="false" outlineLevel="0" collapsed="false">
      <c r="A2018" s="42" t="s">
        <v>1983</v>
      </c>
      <c r="B2018" s="43" t="n">
        <v>45643</v>
      </c>
      <c r="C2018" s="43" t="n">
        <v>45653</v>
      </c>
      <c r="D2018" s="42" t="n">
        <v>41</v>
      </c>
      <c r="E2018" s="42" t="s">
        <v>154</v>
      </c>
      <c r="F2018" s="42" t="s">
        <v>169</v>
      </c>
      <c r="G2018" s="42" t="s">
        <v>230</v>
      </c>
      <c r="H2018" s="42" t="s">
        <v>164</v>
      </c>
      <c r="I2018" s="42" t="s">
        <v>152</v>
      </c>
      <c r="J2018" s="42" t="s">
        <v>159</v>
      </c>
      <c r="K2018" s="42" t="s">
        <v>184</v>
      </c>
      <c r="L2018" s="44" t="n">
        <v>12829.93</v>
      </c>
      <c r="M2018" s="42" t="n">
        <v>4</v>
      </c>
      <c r="N2018" s="42" t="s">
        <v>146</v>
      </c>
      <c r="O2018" s="42" t="s">
        <v>147</v>
      </c>
      <c r="P2018" s="39" t="n">
        <f aca="false">C2018-B2018</f>
        <v>10</v>
      </c>
      <c r="Q2018" s="40" t="str">
        <f aca="false">CHOOSE(MONTH(B2018),"يناير","فبراير","مارس","أبريل","مايو","يونيو","يوليو","أغسطس","سبتمبر","أكتوبر","نوفمبر","ديسمبر")</f>
        <v>ديسمبر</v>
      </c>
      <c r="R2018" s="40" t="str">
        <f aca="false">"الربع "&amp;ROUNDUP(MONTH(B2018)/3,0)</f>
        <v>الربع 4</v>
      </c>
      <c r="S2018" s="40" t="str">
        <f aca="false">IF(D2018&lt;=12,"أطفال (0-12)",IF(D2018&lt;=24,"شباب (13-24)",IF(D2018&lt;=44,"بالغون (25-44)",IF(D2018&lt;=64,"متوسطو العمر (45-64)","كبار السن (+65)"))))</f>
        <v>بالغون (25-44)</v>
      </c>
      <c r="T2018" s="41" t="n">
        <f aca="false">IFERROR(L2018/P2018,0)</f>
        <v>1282.993</v>
      </c>
    </row>
    <row r="2019" customFormat="false" ht="15" hidden="false" customHeight="false" outlineLevel="0" collapsed="false">
      <c r="A2019" s="33" t="s">
        <v>679</v>
      </c>
      <c r="B2019" s="34" t="n">
        <v>45643</v>
      </c>
      <c r="C2019" s="34" t="n">
        <v>45649</v>
      </c>
      <c r="D2019" s="33" t="n">
        <v>33</v>
      </c>
      <c r="E2019" s="33" t="s">
        <v>139</v>
      </c>
      <c r="F2019" s="33" t="s">
        <v>140</v>
      </c>
      <c r="G2019" s="33" t="s">
        <v>167</v>
      </c>
      <c r="H2019" s="33" t="s">
        <v>290</v>
      </c>
      <c r="I2019" s="33" t="s">
        <v>152</v>
      </c>
      <c r="J2019" s="33" t="s">
        <v>159</v>
      </c>
      <c r="K2019" s="33" t="s">
        <v>145</v>
      </c>
      <c r="L2019" s="35" t="n">
        <v>13170.83</v>
      </c>
      <c r="M2019" s="33" t="n">
        <v>5</v>
      </c>
      <c r="N2019" s="33" t="s">
        <v>146</v>
      </c>
      <c r="O2019" s="33" t="s">
        <v>147</v>
      </c>
      <c r="P2019" s="39" t="n">
        <f aca="false">C2019-B2019</f>
        <v>6</v>
      </c>
      <c r="Q2019" s="40" t="str">
        <f aca="false">CHOOSE(MONTH(B2019),"يناير","فبراير","مارس","أبريل","مايو","يونيو","يوليو","أغسطس","سبتمبر","أكتوبر","نوفمبر","ديسمبر")</f>
        <v>ديسمبر</v>
      </c>
      <c r="R2019" s="40" t="str">
        <f aca="false">"الربع "&amp;ROUNDUP(MONTH(B2019)/3,0)</f>
        <v>الربع 4</v>
      </c>
      <c r="S2019" s="40" t="str">
        <f aca="false">IF(D2019&lt;=12,"أطفال (0-12)",IF(D2019&lt;=24,"شباب (13-24)",IF(D2019&lt;=44,"بالغون (25-44)",IF(D2019&lt;=64,"متوسطو العمر (45-64)","كبار السن (+65)"))))</f>
        <v>بالغون (25-44)</v>
      </c>
      <c r="T2019" s="41" t="n">
        <f aca="false">IFERROR(L2019/P2019,0)</f>
        <v>2195.13833333333</v>
      </c>
    </row>
    <row r="2020" customFormat="false" ht="15" hidden="false" customHeight="false" outlineLevel="0" collapsed="false">
      <c r="A2020" s="42" t="s">
        <v>976</v>
      </c>
      <c r="B2020" s="43" t="n">
        <v>45643</v>
      </c>
      <c r="C2020" s="43" t="n">
        <v>45646</v>
      </c>
      <c r="D2020" s="42" t="n">
        <v>31</v>
      </c>
      <c r="E2020" s="42" t="s">
        <v>139</v>
      </c>
      <c r="F2020" s="42" t="s">
        <v>203</v>
      </c>
      <c r="G2020" s="42" t="s">
        <v>192</v>
      </c>
      <c r="H2020" s="42" t="s">
        <v>233</v>
      </c>
      <c r="I2020" s="42" t="s">
        <v>143</v>
      </c>
      <c r="J2020" s="42" t="s">
        <v>159</v>
      </c>
      <c r="K2020" s="42" t="s">
        <v>160</v>
      </c>
      <c r="L2020" s="44" t="n">
        <v>2223.8</v>
      </c>
      <c r="M2020" s="42" t="n">
        <v>4</v>
      </c>
      <c r="N2020" s="42" t="s">
        <v>146</v>
      </c>
      <c r="O2020" s="42" t="s">
        <v>147</v>
      </c>
      <c r="P2020" s="39" t="n">
        <f aca="false">C2020-B2020</f>
        <v>3</v>
      </c>
      <c r="Q2020" s="40" t="str">
        <f aca="false">CHOOSE(MONTH(B2020),"يناير","فبراير","مارس","أبريل","مايو","يونيو","يوليو","أغسطس","سبتمبر","أكتوبر","نوفمبر","ديسمبر")</f>
        <v>ديسمبر</v>
      </c>
      <c r="R2020" s="40" t="str">
        <f aca="false">"الربع "&amp;ROUNDUP(MONTH(B2020)/3,0)</f>
        <v>الربع 4</v>
      </c>
      <c r="S2020" s="40" t="str">
        <f aca="false">IF(D2020&lt;=12,"أطفال (0-12)",IF(D2020&lt;=24,"شباب (13-24)",IF(D2020&lt;=44,"بالغون (25-44)",IF(D2020&lt;=64,"متوسطو العمر (45-64)","كبار السن (+65)"))))</f>
        <v>بالغون (25-44)</v>
      </c>
      <c r="T2020" s="41" t="n">
        <f aca="false">IFERROR(L2020/P2020,0)</f>
        <v>741.266666666667</v>
      </c>
    </row>
    <row r="2021" customFormat="false" ht="15" hidden="false" customHeight="false" outlineLevel="0" collapsed="false">
      <c r="A2021" s="33" t="s">
        <v>1823</v>
      </c>
      <c r="B2021" s="34" t="n">
        <v>45643</v>
      </c>
      <c r="C2021" s="34" t="n">
        <v>45650</v>
      </c>
      <c r="D2021" s="33" t="n">
        <v>6</v>
      </c>
      <c r="E2021" s="33" t="s">
        <v>139</v>
      </c>
      <c r="F2021" s="33" t="s">
        <v>140</v>
      </c>
      <c r="G2021" s="33" t="s">
        <v>316</v>
      </c>
      <c r="H2021" s="33" t="s">
        <v>142</v>
      </c>
      <c r="I2021" s="33" t="s">
        <v>143</v>
      </c>
      <c r="J2021" s="33" t="s">
        <v>159</v>
      </c>
      <c r="K2021" s="33" t="s">
        <v>145</v>
      </c>
      <c r="L2021" s="35" t="n">
        <v>13851.59</v>
      </c>
      <c r="M2021" s="33" t="n">
        <v>3</v>
      </c>
      <c r="N2021" s="33" t="s">
        <v>210</v>
      </c>
      <c r="O2021" s="33" t="s">
        <v>147</v>
      </c>
      <c r="P2021" s="39" t="n">
        <f aca="false">C2021-B2021</f>
        <v>7</v>
      </c>
      <c r="Q2021" s="40" t="str">
        <f aca="false">CHOOSE(MONTH(B2021),"يناير","فبراير","مارس","أبريل","مايو","يونيو","يوليو","أغسطس","سبتمبر","أكتوبر","نوفمبر","ديسمبر")</f>
        <v>ديسمبر</v>
      </c>
      <c r="R2021" s="40" t="str">
        <f aca="false">"الربع "&amp;ROUNDUP(MONTH(B2021)/3,0)</f>
        <v>الربع 4</v>
      </c>
      <c r="S2021" s="40" t="str">
        <f aca="false">IF(D2021&lt;=12,"أطفال (0-12)",IF(D2021&lt;=24,"شباب (13-24)",IF(D2021&lt;=44,"بالغون (25-44)",IF(D2021&lt;=64,"متوسطو العمر (45-64)","كبار السن (+65)"))))</f>
        <v>أطفال (0-12)</v>
      </c>
      <c r="T2021" s="41" t="n">
        <f aca="false">IFERROR(L2021/P2021,0)</f>
        <v>1978.79857142857</v>
      </c>
    </row>
    <row r="2022" customFormat="false" ht="15" hidden="false" customHeight="false" outlineLevel="0" collapsed="false">
      <c r="A2022" s="42" t="s">
        <v>1275</v>
      </c>
      <c r="B2022" s="43" t="n">
        <v>45643</v>
      </c>
      <c r="C2022" s="43" t="n">
        <v>45655</v>
      </c>
      <c r="D2022" s="42" t="n">
        <v>62</v>
      </c>
      <c r="E2022" s="42" t="s">
        <v>139</v>
      </c>
      <c r="F2022" s="42" t="s">
        <v>226</v>
      </c>
      <c r="G2022" s="42" t="s">
        <v>386</v>
      </c>
      <c r="H2022" s="42" t="s">
        <v>2322</v>
      </c>
      <c r="I2022" s="42" t="s">
        <v>143</v>
      </c>
      <c r="J2022" s="42" t="s">
        <v>176</v>
      </c>
      <c r="K2022" s="42" t="s">
        <v>209</v>
      </c>
      <c r="L2022" s="44" t="n">
        <v>134635.61</v>
      </c>
      <c r="M2022" s="42" t="n">
        <v>3</v>
      </c>
      <c r="N2022" s="42" t="s">
        <v>146</v>
      </c>
      <c r="O2022" s="42" t="s">
        <v>147</v>
      </c>
      <c r="P2022" s="39" t="n">
        <f aca="false">C2022-B2022</f>
        <v>12</v>
      </c>
      <c r="Q2022" s="40" t="str">
        <f aca="false">CHOOSE(MONTH(B2022),"يناير","فبراير","مارس","أبريل","مايو","يونيو","يوليو","أغسطس","سبتمبر","أكتوبر","نوفمبر","ديسمبر")</f>
        <v>ديسمبر</v>
      </c>
      <c r="R2022" s="40" t="str">
        <f aca="false">"الربع "&amp;ROUNDUP(MONTH(B2022)/3,0)</f>
        <v>الربع 4</v>
      </c>
      <c r="S2022" s="40" t="str">
        <f aca="false">IF(D2022&lt;=12,"أطفال (0-12)",IF(D2022&lt;=24,"شباب (13-24)",IF(D2022&lt;=44,"بالغون (25-44)",IF(D2022&lt;=64,"متوسطو العمر (45-64)","كبار السن (+65)"))))</f>
        <v>متوسطو العمر (45-64)</v>
      </c>
      <c r="T2022" s="41" t="n">
        <f aca="false">IFERROR(L2022/P2022,0)</f>
        <v>11219.6341666667</v>
      </c>
    </row>
    <row r="2023" customFormat="false" ht="15" hidden="false" customHeight="false" outlineLevel="0" collapsed="false">
      <c r="A2023" s="33" t="s">
        <v>616</v>
      </c>
      <c r="B2023" s="34" t="n">
        <v>45643</v>
      </c>
      <c r="C2023" s="34" t="n">
        <v>45647</v>
      </c>
      <c r="D2023" s="33" t="n">
        <v>25</v>
      </c>
      <c r="E2023" s="33" t="s">
        <v>139</v>
      </c>
      <c r="F2023" s="33" t="s">
        <v>149</v>
      </c>
      <c r="G2023" s="33" t="s">
        <v>243</v>
      </c>
      <c r="H2023" s="33" t="s">
        <v>186</v>
      </c>
      <c r="I2023" s="33" t="s">
        <v>158</v>
      </c>
      <c r="J2023" s="33" t="s">
        <v>159</v>
      </c>
      <c r="K2023" s="33" t="s">
        <v>145</v>
      </c>
      <c r="L2023" s="35" t="n">
        <v>6461.74</v>
      </c>
      <c r="M2023" s="33" t="n">
        <v>4</v>
      </c>
      <c r="N2023" s="33" t="s">
        <v>146</v>
      </c>
      <c r="O2023" s="33" t="s">
        <v>147</v>
      </c>
      <c r="P2023" s="39" t="n">
        <f aca="false">C2023-B2023</f>
        <v>4</v>
      </c>
      <c r="Q2023" s="40" t="str">
        <f aca="false">CHOOSE(MONTH(B2023),"يناير","فبراير","مارس","أبريل","مايو","يونيو","يوليو","أغسطس","سبتمبر","أكتوبر","نوفمبر","ديسمبر")</f>
        <v>ديسمبر</v>
      </c>
      <c r="R2023" s="40" t="str">
        <f aca="false">"الربع "&amp;ROUNDUP(MONTH(B2023)/3,0)</f>
        <v>الربع 4</v>
      </c>
      <c r="S2023" s="40" t="str">
        <f aca="false">IF(D2023&lt;=12,"أطفال (0-12)",IF(D2023&lt;=24,"شباب (13-24)",IF(D2023&lt;=44,"بالغون (25-44)",IF(D2023&lt;=64,"متوسطو العمر (45-64)","كبار السن (+65)"))))</f>
        <v>بالغون (25-44)</v>
      </c>
      <c r="T2023" s="41" t="n">
        <f aca="false">IFERROR(L2023/P2023,0)</f>
        <v>1615.435</v>
      </c>
    </row>
    <row r="2024" customFormat="false" ht="15" hidden="false" customHeight="false" outlineLevel="0" collapsed="false">
      <c r="A2024" s="42" t="s">
        <v>1134</v>
      </c>
      <c r="B2024" s="43" t="n">
        <v>45644</v>
      </c>
      <c r="C2024" s="43" t="n">
        <v>45645</v>
      </c>
      <c r="D2024" s="42" t="n">
        <v>74</v>
      </c>
      <c r="E2024" s="42" t="s">
        <v>139</v>
      </c>
      <c r="F2024" s="42" t="s">
        <v>140</v>
      </c>
      <c r="G2024" s="42" t="s">
        <v>167</v>
      </c>
      <c r="H2024" s="42" t="s">
        <v>142</v>
      </c>
      <c r="I2024" s="42" t="s">
        <v>143</v>
      </c>
      <c r="J2024" s="42" t="s">
        <v>176</v>
      </c>
      <c r="K2024" s="42" t="s">
        <v>145</v>
      </c>
      <c r="L2024" s="44" t="n">
        <v>7320.88</v>
      </c>
      <c r="M2024" s="42" t="n">
        <v>5</v>
      </c>
      <c r="N2024" s="42" t="s">
        <v>146</v>
      </c>
      <c r="O2024" s="42" t="s">
        <v>147</v>
      </c>
      <c r="P2024" s="39" t="n">
        <f aca="false">C2024-B2024</f>
        <v>1</v>
      </c>
      <c r="Q2024" s="40" t="str">
        <f aca="false">CHOOSE(MONTH(B2024),"يناير","فبراير","مارس","أبريل","مايو","يونيو","يوليو","أغسطس","سبتمبر","أكتوبر","نوفمبر","ديسمبر")</f>
        <v>ديسمبر</v>
      </c>
      <c r="R2024" s="40" t="str">
        <f aca="false">"الربع "&amp;ROUNDUP(MONTH(B2024)/3,0)</f>
        <v>الربع 4</v>
      </c>
      <c r="S2024" s="40" t="str">
        <f aca="false">IF(D2024&lt;=12,"أطفال (0-12)",IF(D2024&lt;=24,"شباب (13-24)",IF(D2024&lt;=44,"بالغون (25-44)",IF(D2024&lt;=64,"متوسطو العمر (45-64)","كبار السن (+65)"))))</f>
        <v>كبار السن (+65)</v>
      </c>
      <c r="T2024" s="41" t="n">
        <f aca="false">IFERROR(L2024/P2024,0)</f>
        <v>7320.88</v>
      </c>
    </row>
    <row r="2025" customFormat="false" ht="15" hidden="false" customHeight="false" outlineLevel="0" collapsed="false">
      <c r="A2025" s="33" t="s">
        <v>1096</v>
      </c>
      <c r="B2025" s="34" t="n">
        <v>45644</v>
      </c>
      <c r="C2025" s="34" t="n">
        <v>45646</v>
      </c>
      <c r="D2025" s="33" t="n">
        <v>34</v>
      </c>
      <c r="E2025" s="33" t="s">
        <v>154</v>
      </c>
      <c r="F2025" s="33" t="s">
        <v>203</v>
      </c>
      <c r="G2025" s="33" t="s">
        <v>217</v>
      </c>
      <c r="H2025" s="33" t="s">
        <v>193</v>
      </c>
      <c r="I2025" s="33" t="s">
        <v>143</v>
      </c>
      <c r="J2025" s="33" t="s">
        <v>159</v>
      </c>
      <c r="K2025" s="33" t="s">
        <v>145</v>
      </c>
      <c r="L2025" s="35" t="n">
        <v>1882.85</v>
      </c>
      <c r="M2025" s="33" t="n">
        <v>2</v>
      </c>
      <c r="N2025" s="33" t="s">
        <v>146</v>
      </c>
      <c r="O2025" s="33" t="s">
        <v>147</v>
      </c>
      <c r="P2025" s="39" t="n">
        <f aca="false">C2025-B2025</f>
        <v>2</v>
      </c>
      <c r="Q2025" s="40" t="str">
        <f aca="false">CHOOSE(MONTH(B2025),"يناير","فبراير","مارس","أبريل","مايو","يونيو","يوليو","أغسطس","سبتمبر","أكتوبر","نوفمبر","ديسمبر")</f>
        <v>ديسمبر</v>
      </c>
      <c r="R2025" s="40" t="str">
        <f aca="false">"الربع "&amp;ROUNDUP(MONTH(B2025)/3,0)</f>
        <v>الربع 4</v>
      </c>
      <c r="S2025" s="40" t="str">
        <f aca="false">IF(D2025&lt;=12,"أطفال (0-12)",IF(D2025&lt;=24,"شباب (13-24)",IF(D2025&lt;=44,"بالغون (25-44)",IF(D2025&lt;=64,"متوسطو العمر (45-64)","كبار السن (+65)"))))</f>
        <v>بالغون (25-44)</v>
      </c>
      <c r="T2025" s="41" t="n">
        <f aca="false">IFERROR(L2025/P2025,0)</f>
        <v>941.425</v>
      </c>
    </row>
    <row r="2026" customFormat="false" ht="15" hidden="false" customHeight="false" outlineLevel="0" collapsed="false">
      <c r="A2026" s="42" t="s">
        <v>1157</v>
      </c>
      <c r="B2026" s="43" t="n">
        <v>45644</v>
      </c>
      <c r="C2026" s="43" t="n">
        <v>45646</v>
      </c>
      <c r="D2026" s="42" t="n">
        <v>50</v>
      </c>
      <c r="E2026" s="42" t="s">
        <v>139</v>
      </c>
      <c r="F2026" s="42" t="s">
        <v>226</v>
      </c>
      <c r="G2026" s="42" t="s">
        <v>386</v>
      </c>
      <c r="H2026" s="42" t="s">
        <v>228</v>
      </c>
      <c r="I2026" s="42" t="s">
        <v>143</v>
      </c>
      <c r="J2026" s="42" t="s">
        <v>159</v>
      </c>
      <c r="K2026" s="42" t="s">
        <v>160</v>
      </c>
      <c r="L2026" s="44" t="n">
        <v>6619.42</v>
      </c>
      <c r="M2026" s="42" t="n">
        <v>4</v>
      </c>
      <c r="N2026" s="42" t="s">
        <v>146</v>
      </c>
      <c r="O2026" s="42" t="s">
        <v>147</v>
      </c>
      <c r="P2026" s="39" t="n">
        <f aca="false">C2026-B2026</f>
        <v>2</v>
      </c>
      <c r="Q2026" s="40" t="str">
        <f aca="false">CHOOSE(MONTH(B2026),"يناير","فبراير","مارس","أبريل","مايو","يونيو","يوليو","أغسطس","سبتمبر","أكتوبر","نوفمبر","ديسمبر")</f>
        <v>ديسمبر</v>
      </c>
      <c r="R2026" s="40" t="str">
        <f aca="false">"الربع "&amp;ROUNDUP(MONTH(B2026)/3,0)</f>
        <v>الربع 4</v>
      </c>
      <c r="S2026" s="40" t="str">
        <f aca="false">IF(D2026&lt;=12,"أطفال (0-12)",IF(D2026&lt;=24,"شباب (13-24)",IF(D2026&lt;=44,"بالغون (25-44)",IF(D2026&lt;=64,"متوسطو العمر (45-64)","كبار السن (+65)"))))</f>
        <v>متوسطو العمر (45-64)</v>
      </c>
      <c r="T2026" s="41" t="n">
        <f aca="false">IFERROR(L2026/P2026,0)</f>
        <v>3309.71</v>
      </c>
    </row>
    <row r="2027" customFormat="false" ht="15" hidden="false" customHeight="false" outlineLevel="0" collapsed="false">
      <c r="A2027" s="33" t="s">
        <v>1064</v>
      </c>
      <c r="B2027" s="34" t="n">
        <v>45644</v>
      </c>
      <c r="C2027" s="34" t="n">
        <v>45645</v>
      </c>
      <c r="D2027" s="33" t="n">
        <v>11</v>
      </c>
      <c r="E2027" s="33" t="s">
        <v>154</v>
      </c>
      <c r="F2027" s="33" t="s">
        <v>155</v>
      </c>
      <c r="G2027" s="33" t="s">
        <v>220</v>
      </c>
      <c r="H2027" s="33" t="s">
        <v>157</v>
      </c>
      <c r="I2027" s="33" t="s">
        <v>143</v>
      </c>
      <c r="J2027" s="33" t="s">
        <v>159</v>
      </c>
      <c r="K2027" s="33" t="s">
        <v>145</v>
      </c>
      <c r="L2027" s="35" t="n">
        <v>924.02</v>
      </c>
      <c r="M2027" s="33" t="n">
        <v>4</v>
      </c>
      <c r="N2027" s="33" t="s">
        <v>146</v>
      </c>
      <c r="O2027" s="33" t="s">
        <v>147</v>
      </c>
      <c r="P2027" s="39" t="n">
        <f aca="false">C2027-B2027</f>
        <v>1</v>
      </c>
      <c r="Q2027" s="40" t="str">
        <f aca="false">CHOOSE(MONTH(B2027),"يناير","فبراير","مارس","أبريل","مايو","يونيو","يوليو","أغسطس","سبتمبر","أكتوبر","نوفمبر","ديسمبر")</f>
        <v>ديسمبر</v>
      </c>
      <c r="R2027" s="40" t="str">
        <f aca="false">"الربع "&amp;ROUNDUP(MONTH(B2027)/3,0)</f>
        <v>الربع 4</v>
      </c>
      <c r="S2027" s="40" t="str">
        <f aca="false">IF(D2027&lt;=12,"أطفال (0-12)",IF(D2027&lt;=24,"شباب (13-24)",IF(D2027&lt;=44,"بالغون (25-44)",IF(D2027&lt;=64,"متوسطو العمر (45-64)","كبار السن (+65)"))))</f>
        <v>أطفال (0-12)</v>
      </c>
      <c r="T2027" s="41" t="n">
        <f aca="false">IFERROR(L2027/P2027,0)</f>
        <v>924.02</v>
      </c>
    </row>
    <row r="2028" customFormat="false" ht="15" hidden="false" customHeight="false" outlineLevel="0" collapsed="false">
      <c r="A2028" s="42" t="s">
        <v>1931</v>
      </c>
      <c r="B2028" s="43" t="n">
        <v>45644</v>
      </c>
      <c r="C2028" s="43" t="n">
        <v>45652</v>
      </c>
      <c r="D2028" s="42" t="n">
        <v>69</v>
      </c>
      <c r="E2028" s="42" t="s">
        <v>139</v>
      </c>
      <c r="F2028" s="42" t="s">
        <v>169</v>
      </c>
      <c r="G2028" s="42" t="s">
        <v>213</v>
      </c>
      <c r="H2028" s="42" t="s">
        <v>195</v>
      </c>
      <c r="I2028" s="42" t="s">
        <v>152</v>
      </c>
      <c r="J2028" s="42" t="s">
        <v>159</v>
      </c>
      <c r="K2028" s="42" t="s">
        <v>145</v>
      </c>
      <c r="L2028" s="44" t="n">
        <v>9136.69</v>
      </c>
      <c r="M2028" s="42" t="n">
        <v>5</v>
      </c>
      <c r="N2028" s="42" t="s">
        <v>146</v>
      </c>
      <c r="O2028" s="42" t="s">
        <v>147</v>
      </c>
      <c r="P2028" s="39" t="n">
        <f aca="false">C2028-B2028</f>
        <v>8</v>
      </c>
      <c r="Q2028" s="40" t="str">
        <f aca="false">CHOOSE(MONTH(B2028),"يناير","فبراير","مارس","أبريل","مايو","يونيو","يوليو","أغسطس","سبتمبر","أكتوبر","نوفمبر","ديسمبر")</f>
        <v>ديسمبر</v>
      </c>
      <c r="R2028" s="40" t="str">
        <f aca="false">"الربع "&amp;ROUNDUP(MONTH(B2028)/3,0)</f>
        <v>الربع 4</v>
      </c>
      <c r="S2028" s="40" t="str">
        <f aca="false">IF(D2028&lt;=12,"أطفال (0-12)",IF(D2028&lt;=24,"شباب (13-24)",IF(D2028&lt;=44,"بالغون (25-44)",IF(D2028&lt;=64,"متوسطو العمر (45-64)","كبار السن (+65)"))))</f>
        <v>كبار السن (+65)</v>
      </c>
      <c r="T2028" s="41" t="n">
        <f aca="false">IFERROR(L2028/P2028,0)</f>
        <v>1142.08625</v>
      </c>
    </row>
    <row r="2029" customFormat="false" ht="15" hidden="false" customHeight="false" outlineLevel="0" collapsed="false">
      <c r="A2029" s="33" t="s">
        <v>1510</v>
      </c>
      <c r="B2029" s="34" t="n">
        <v>45644</v>
      </c>
      <c r="C2029" s="34" t="n">
        <v>45645</v>
      </c>
      <c r="D2029" s="33" t="n">
        <v>34</v>
      </c>
      <c r="E2029" s="33" t="s">
        <v>154</v>
      </c>
      <c r="F2029" s="33" t="s">
        <v>169</v>
      </c>
      <c r="G2029" s="33" t="s">
        <v>163</v>
      </c>
      <c r="H2029" s="33" t="s">
        <v>195</v>
      </c>
      <c r="I2029" s="33" t="s">
        <v>158</v>
      </c>
      <c r="J2029" s="33" t="s">
        <v>159</v>
      </c>
      <c r="K2029" s="33" t="s">
        <v>209</v>
      </c>
      <c r="L2029" s="35" t="n">
        <v>1061.21</v>
      </c>
      <c r="M2029" s="33" t="n">
        <v>4</v>
      </c>
      <c r="N2029" s="33" t="s">
        <v>210</v>
      </c>
      <c r="O2029" s="33" t="s">
        <v>147</v>
      </c>
      <c r="P2029" s="39" t="n">
        <f aca="false">C2029-B2029</f>
        <v>1</v>
      </c>
      <c r="Q2029" s="40" t="str">
        <f aca="false">CHOOSE(MONTH(B2029),"يناير","فبراير","مارس","أبريل","مايو","يونيو","يوليو","أغسطس","سبتمبر","أكتوبر","نوفمبر","ديسمبر")</f>
        <v>ديسمبر</v>
      </c>
      <c r="R2029" s="40" t="str">
        <f aca="false">"الربع "&amp;ROUNDUP(MONTH(B2029)/3,0)</f>
        <v>الربع 4</v>
      </c>
      <c r="S2029" s="40" t="str">
        <f aca="false">IF(D2029&lt;=12,"أطفال (0-12)",IF(D2029&lt;=24,"شباب (13-24)",IF(D2029&lt;=44,"بالغون (25-44)",IF(D2029&lt;=64,"متوسطو العمر (45-64)","كبار السن (+65)"))))</f>
        <v>بالغون (25-44)</v>
      </c>
      <c r="T2029" s="41" t="n">
        <f aca="false">IFERROR(L2029/P2029,0)</f>
        <v>1061.21</v>
      </c>
    </row>
    <row r="2030" customFormat="false" ht="15" hidden="false" customHeight="false" outlineLevel="0" collapsed="false">
      <c r="A2030" s="42" t="s">
        <v>1838</v>
      </c>
      <c r="B2030" s="43" t="n">
        <v>45644</v>
      </c>
      <c r="C2030" s="43" t="n">
        <v>45652</v>
      </c>
      <c r="D2030" s="42" t="n">
        <v>75</v>
      </c>
      <c r="E2030" s="42" t="s">
        <v>139</v>
      </c>
      <c r="F2030" s="42" t="s">
        <v>169</v>
      </c>
      <c r="G2030" s="42" t="s">
        <v>230</v>
      </c>
      <c r="H2030" s="42" t="s">
        <v>164</v>
      </c>
      <c r="I2030" s="42" t="s">
        <v>143</v>
      </c>
      <c r="J2030" s="42" t="s">
        <v>159</v>
      </c>
      <c r="K2030" s="42" t="s">
        <v>160</v>
      </c>
      <c r="L2030" s="44" t="n">
        <v>8329.22</v>
      </c>
      <c r="M2030" s="42" t="n">
        <v>4</v>
      </c>
      <c r="N2030" s="42" t="s">
        <v>146</v>
      </c>
      <c r="O2030" s="42" t="s">
        <v>147</v>
      </c>
      <c r="P2030" s="39" t="n">
        <f aca="false">C2030-B2030</f>
        <v>8</v>
      </c>
      <c r="Q2030" s="40" t="str">
        <f aca="false">CHOOSE(MONTH(B2030),"يناير","فبراير","مارس","أبريل","مايو","يونيو","يوليو","أغسطس","سبتمبر","أكتوبر","نوفمبر","ديسمبر")</f>
        <v>ديسمبر</v>
      </c>
      <c r="R2030" s="40" t="str">
        <f aca="false">"الربع "&amp;ROUNDUP(MONTH(B2030)/3,0)</f>
        <v>الربع 4</v>
      </c>
      <c r="S2030" s="40" t="str">
        <f aca="false">IF(D2030&lt;=12,"أطفال (0-12)",IF(D2030&lt;=24,"شباب (13-24)",IF(D2030&lt;=44,"بالغون (25-44)",IF(D2030&lt;=64,"متوسطو العمر (45-64)","كبار السن (+65)"))))</f>
        <v>كبار السن (+65)</v>
      </c>
      <c r="T2030" s="41" t="n">
        <f aca="false">IFERROR(L2030/P2030,0)</f>
        <v>1041.1525</v>
      </c>
    </row>
    <row r="2031" customFormat="false" ht="15" hidden="false" customHeight="false" outlineLevel="0" collapsed="false">
      <c r="A2031" s="33" t="s">
        <v>635</v>
      </c>
      <c r="B2031" s="34" t="n">
        <v>45644</v>
      </c>
      <c r="C2031" s="34" t="n">
        <v>45650</v>
      </c>
      <c r="D2031" s="33" t="n">
        <v>54</v>
      </c>
      <c r="E2031" s="33" t="s">
        <v>139</v>
      </c>
      <c r="F2031" s="33" t="s">
        <v>140</v>
      </c>
      <c r="G2031" s="33" t="s">
        <v>141</v>
      </c>
      <c r="H2031" s="33" t="s">
        <v>142</v>
      </c>
      <c r="I2031" s="33" t="s">
        <v>158</v>
      </c>
      <c r="J2031" s="33" t="s">
        <v>159</v>
      </c>
      <c r="K2031" s="33" t="s">
        <v>160</v>
      </c>
      <c r="L2031" s="35" t="n">
        <v>14012.8</v>
      </c>
      <c r="M2031" s="33" t="n">
        <v>4</v>
      </c>
      <c r="N2031" s="33" t="s">
        <v>146</v>
      </c>
      <c r="O2031" s="33" t="s">
        <v>147</v>
      </c>
      <c r="P2031" s="39" t="n">
        <f aca="false">C2031-B2031</f>
        <v>6</v>
      </c>
      <c r="Q2031" s="40" t="str">
        <f aca="false">CHOOSE(MONTH(B2031),"يناير","فبراير","مارس","أبريل","مايو","يونيو","يوليو","أغسطس","سبتمبر","أكتوبر","نوفمبر","ديسمبر")</f>
        <v>ديسمبر</v>
      </c>
      <c r="R2031" s="40" t="str">
        <f aca="false">"الربع "&amp;ROUNDUP(MONTH(B2031)/3,0)</f>
        <v>الربع 4</v>
      </c>
      <c r="S2031" s="40" t="str">
        <f aca="false">IF(D2031&lt;=12,"أطفال (0-12)",IF(D2031&lt;=24,"شباب (13-24)",IF(D2031&lt;=44,"بالغون (25-44)",IF(D2031&lt;=64,"متوسطو العمر (45-64)","كبار السن (+65)"))))</f>
        <v>متوسطو العمر (45-64)</v>
      </c>
      <c r="T2031" s="41" t="n">
        <f aca="false">IFERROR(L2031/P2031,0)</f>
        <v>2335.46666666667</v>
      </c>
    </row>
    <row r="2032" customFormat="false" ht="15" hidden="false" customHeight="false" outlineLevel="0" collapsed="false">
      <c r="A2032" s="42" t="s">
        <v>1591</v>
      </c>
      <c r="B2032" s="43" t="n">
        <v>45644</v>
      </c>
      <c r="C2032" s="43" t="n">
        <v>45645</v>
      </c>
      <c r="D2032" s="42" t="n">
        <v>28</v>
      </c>
      <c r="E2032" s="42" t="s">
        <v>139</v>
      </c>
      <c r="F2032" s="42" t="s">
        <v>140</v>
      </c>
      <c r="G2032" s="42" t="s">
        <v>167</v>
      </c>
      <c r="H2032" s="42" t="s">
        <v>290</v>
      </c>
      <c r="I2032" s="42" t="s">
        <v>143</v>
      </c>
      <c r="J2032" s="42" t="s">
        <v>159</v>
      </c>
      <c r="K2032" s="42" t="s">
        <v>145</v>
      </c>
      <c r="L2032" s="44" t="n">
        <v>1837.46</v>
      </c>
      <c r="M2032" s="42" t="n">
        <v>5</v>
      </c>
      <c r="N2032" s="42" t="s">
        <v>146</v>
      </c>
      <c r="O2032" s="42" t="s">
        <v>147</v>
      </c>
      <c r="P2032" s="39" t="n">
        <f aca="false">C2032-B2032</f>
        <v>1</v>
      </c>
      <c r="Q2032" s="40" t="str">
        <f aca="false">CHOOSE(MONTH(B2032),"يناير","فبراير","مارس","أبريل","مايو","يونيو","يوليو","أغسطس","سبتمبر","أكتوبر","نوفمبر","ديسمبر")</f>
        <v>ديسمبر</v>
      </c>
      <c r="R2032" s="40" t="str">
        <f aca="false">"الربع "&amp;ROUNDUP(MONTH(B2032)/3,0)</f>
        <v>الربع 4</v>
      </c>
      <c r="S2032" s="40" t="str">
        <f aca="false">IF(D2032&lt;=12,"أطفال (0-12)",IF(D2032&lt;=24,"شباب (13-24)",IF(D2032&lt;=44,"بالغون (25-44)",IF(D2032&lt;=64,"متوسطو العمر (45-64)","كبار السن (+65)"))))</f>
        <v>بالغون (25-44)</v>
      </c>
      <c r="T2032" s="41" t="n">
        <f aca="false">IFERROR(L2032/P2032,0)</f>
        <v>1837.46</v>
      </c>
    </row>
    <row r="2033" customFormat="false" ht="15" hidden="false" customHeight="false" outlineLevel="0" collapsed="false">
      <c r="A2033" s="33" t="s">
        <v>676</v>
      </c>
      <c r="B2033" s="34" t="n">
        <v>45645</v>
      </c>
      <c r="C2033" s="34" t="n">
        <v>45655</v>
      </c>
      <c r="D2033" s="33" t="n">
        <v>47</v>
      </c>
      <c r="E2033" s="33" t="s">
        <v>139</v>
      </c>
      <c r="F2033" s="33" t="s">
        <v>140</v>
      </c>
      <c r="G2033" s="33" t="s">
        <v>316</v>
      </c>
      <c r="H2033" s="33" t="s">
        <v>142</v>
      </c>
      <c r="I2033" s="33" t="s">
        <v>158</v>
      </c>
      <c r="J2033" s="33" t="s">
        <v>176</v>
      </c>
      <c r="K2033" s="33" t="s">
        <v>160</v>
      </c>
      <c r="L2033" s="35" t="n">
        <v>81682.57</v>
      </c>
      <c r="M2033" s="33" t="n">
        <v>5</v>
      </c>
      <c r="N2033" s="33" t="s">
        <v>146</v>
      </c>
      <c r="O2033" s="33" t="s">
        <v>147</v>
      </c>
      <c r="P2033" s="39" t="n">
        <f aca="false">C2033-B2033</f>
        <v>10</v>
      </c>
      <c r="Q2033" s="40" t="str">
        <f aca="false">CHOOSE(MONTH(B2033),"يناير","فبراير","مارس","أبريل","مايو","يونيو","يوليو","أغسطس","سبتمبر","أكتوبر","نوفمبر","ديسمبر")</f>
        <v>ديسمبر</v>
      </c>
      <c r="R2033" s="40" t="str">
        <f aca="false">"الربع "&amp;ROUNDUP(MONTH(B2033)/3,0)</f>
        <v>الربع 4</v>
      </c>
      <c r="S2033" s="40" t="str">
        <f aca="false">IF(D2033&lt;=12,"أطفال (0-12)",IF(D2033&lt;=24,"شباب (13-24)",IF(D2033&lt;=44,"بالغون (25-44)",IF(D2033&lt;=64,"متوسطو العمر (45-64)","كبار السن (+65)"))))</f>
        <v>متوسطو العمر (45-64)</v>
      </c>
      <c r="T2033" s="41" t="n">
        <f aca="false">IFERROR(L2033/P2033,0)</f>
        <v>8168.257</v>
      </c>
    </row>
    <row r="2034" customFormat="false" ht="15" hidden="false" customHeight="false" outlineLevel="0" collapsed="false">
      <c r="A2034" s="42" t="s">
        <v>1944</v>
      </c>
      <c r="B2034" s="43" t="n">
        <v>45645</v>
      </c>
      <c r="C2034" s="43" t="n">
        <v>45647</v>
      </c>
      <c r="D2034" s="42" t="n">
        <v>8</v>
      </c>
      <c r="E2034" s="42" t="s">
        <v>139</v>
      </c>
      <c r="F2034" s="42" t="s">
        <v>155</v>
      </c>
      <c r="G2034" s="42" t="s">
        <v>156</v>
      </c>
      <c r="H2034" s="42" t="s">
        <v>157</v>
      </c>
      <c r="I2034" s="42" t="s">
        <v>143</v>
      </c>
      <c r="J2034" s="42" t="s">
        <v>159</v>
      </c>
      <c r="K2034" s="42" t="s">
        <v>145</v>
      </c>
      <c r="L2034" s="44" t="n">
        <v>1732.29</v>
      </c>
      <c r="M2034" s="42" t="n">
        <v>4</v>
      </c>
      <c r="N2034" s="42" t="s">
        <v>146</v>
      </c>
      <c r="O2034" s="42" t="s">
        <v>147</v>
      </c>
      <c r="P2034" s="39" t="n">
        <f aca="false">C2034-B2034</f>
        <v>2</v>
      </c>
      <c r="Q2034" s="40" t="str">
        <f aca="false">CHOOSE(MONTH(B2034),"يناير","فبراير","مارس","أبريل","مايو","يونيو","يوليو","أغسطس","سبتمبر","أكتوبر","نوفمبر","ديسمبر")</f>
        <v>ديسمبر</v>
      </c>
      <c r="R2034" s="40" t="str">
        <f aca="false">"الربع "&amp;ROUNDUP(MONTH(B2034)/3,0)</f>
        <v>الربع 4</v>
      </c>
      <c r="S2034" s="40" t="str">
        <f aca="false">IF(D2034&lt;=12,"أطفال (0-12)",IF(D2034&lt;=24,"شباب (13-24)",IF(D2034&lt;=44,"بالغون (25-44)",IF(D2034&lt;=64,"متوسطو العمر (45-64)","كبار السن (+65)"))))</f>
        <v>أطفال (0-12)</v>
      </c>
      <c r="T2034" s="41" t="n">
        <f aca="false">IFERROR(L2034/P2034,0)</f>
        <v>866.145</v>
      </c>
    </row>
    <row r="2035" customFormat="false" ht="15" hidden="false" customHeight="false" outlineLevel="0" collapsed="false">
      <c r="A2035" s="33" t="s">
        <v>900</v>
      </c>
      <c r="B2035" s="34" t="n">
        <v>45646</v>
      </c>
      <c r="C2035" s="34" t="n">
        <v>45647</v>
      </c>
      <c r="D2035" s="33" t="n">
        <v>51</v>
      </c>
      <c r="E2035" s="33" t="s">
        <v>154</v>
      </c>
      <c r="F2035" s="33" t="s">
        <v>203</v>
      </c>
      <c r="G2035" s="33" t="s">
        <v>217</v>
      </c>
      <c r="H2035" s="33" t="s">
        <v>233</v>
      </c>
      <c r="I2035" s="33" t="s">
        <v>143</v>
      </c>
      <c r="J2035" s="33" t="s">
        <v>159</v>
      </c>
      <c r="K2035" s="33" t="s">
        <v>145</v>
      </c>
      <c r="L2035" s="35" t="n">
        <v>712.69</v>
      </c>
      <c r="M2035" s="33" t="n">
        <v>3</v>
      </c>
      <c r="N2035" s="33" t="s">
        <v>146</v>
      </c>
      <c r="O2035" s="33" t="s">
        <v>147</v>
      </c>
      <c r="P2035" s="39" t="n">
        <f aca="false">C2035-B2035</f>
        <v>1</v>
      </c>
      <c r="Q2035" s="40" t="str">
        <f aca="false">CHOOSE(MONTH(B2035),"يناير","فبراير","مارس","أبريل","مايو","يونيو","يوليو","أغسطس","سبتمبر","أكتوبر","نوفمبر","ديسمبر")</f>
        <v>ديسمبر</v>
      </c>
      <c r="R2035" s="40" t="str">
        <f aca="false">"الربع "&amp;ROUNDUP(MONTH(B2035)/3,0)</f>
        <v>الربع 4</v>
      </c>
      <c r="S2035" s="40" t="str">
        <f aca="false">IF(D2035&lt;=12,"أطفال (0-12)",IF(D2035&lt;=24,"شباب (13-24)",IF(D2035&lt;=44,"بالغون (25-44)",IF(D2035&lt;=64,"متوسطو العمر (45-64)","كبار السن (+65)"))))</f>
        <v>متوسطو العمر (45-64)</v>
      </c>
      <c r="T2035" s="41" t="n">
        <f aca="false">IFERROR(L2035/P2035,0)</f>
        <v>712.69</v>
      </c>
    </row>
    <row r="2036" customFormat="false" ht="15" hidden="false" customHeight="false" outlineLevel="0" collapsed="false">
      <c r="A2036" s="42" t="s">
        <v>898</v>
      </c>
      <c r="B2036" s="43" t="n">
        <v>45646</v>
      </c>
      <c r="C2036" s="43" t="n">
        <v>45647</v>
      </c>
      <c r="D2036" s="42" t="n">
        <v>29</v>
      </c>
      <c r="E2036" s="42" t="s">
        <v>139</v>
      </c>
      <c r="F2036" s="42" t="s">
        <v>203</v>
      </c>
      <c r="G2036" s="42" t="s">
        <v>232</v>
      </c>
      <c r="H2036" s="42" t="s">
        <v>193</v>
      </c>
      <c r="I2036" s="42" t="s">
        <v>143</v>
      </c>
      <c r="J2036" s="42" t="s">
        <v>144</v>
      </c>
      <c r="K2036" s="42" t="s">
        <v>184</v>
      </c>
      <c r="L2036" s="44" t="n">
        <v>1446.15</v>
      </c>
      <c r="M2036" s="42" t="n">
        <v>4</v>
      </c>
      <c r="N2036" s="42" t="s">
        <v>146</v>
      </c>
      <c r="O2036" s="42" t="s">
        <v>147</v>
      </c>
      <c r="P2036" s="39" t="n">
        <f aca="false">C2036-B2036</f>
        <v>1</v>
      </c>
      <c r="Q2036" s="40" t="str">
        <f aca="false">CHOOSE(MONTH(B2036),"يناير","فبراير","مارس","أبريل","مايو","يونيو","يوليو","أغسطس","سبتمبر","أكتوبر","نوفمبر","ديسمبر")</f>
        <v>ديسمبر</v>
      </c>
      <c r="R2036" s="40" t="str">
        <f aca="false">"الربع "&amp;ROUNDUP(MONTH(B2036)/3,0)</f>
        <v>الربع 4</v>
      </c>
      <c r="S2036" s="40" t="str">
        <f aca="false">IF(D2036&lt;=12,"أطفال (0-12)",IF(D2036&lt;=24,"شباب (13-24)",IF(D2036&lt;=44,"بالغون (25-44)",IF(D2036&lt;=64,"متوسطو العمر (45-64)","كبار السن (+65)"))))</f>
        <v>بالغون (25-44)</v>
      </c>
      <c r="T2036" s="41" t="n">
        <f aca="false">IFERROR(L2036/P2036,0)</f>
        <v>1446.15</v>
      </c>
    </row>
    <row r="2037" customFormat="false" ht="15" hidden="false" customHeight="false" outlineLevel="0" collapsed="false">
      <c r="A2037" s="33" t="s">
        <v>1810</v>
      </c>
      <c r="B2037" s="34" t="n">
        <v>45646</v>
      </c>
      <c r="C2037" s="34" t="n">
        <v>45647</v>
      </c>
      <c r="D2037" s="33" t="n">
        <v>3</v>
      </c>
      <c r="E2037" s="33" t="s">
        <v>154</v>
      </c>
      <c r="F2037" s="33" t="s">
        <v>155</v>
      </c>
      <c r="G2037" s="33" t="s">
        <v>156</v>
      </c>
      <c r="H2037" s="33" t="s">
        <v>157</v>
      </c>
      <c r="I2037" s="33" t="s">
        <v>158</v>
      </c>
      <c r="J2037" s="33" t="s">
        <v>144</v>
      </c>
      <c r="K2037" s="33" t="s">
        <v>145</v>
      </c>
      <c r="L2037" s="35" t="n">
        <v>1485.32</v>
      </c>
      <c r="M2037" s="33" t="n">
        <v>4</v>
      </c>
      <c r="N2037" s="33" t="s">
        <v>146</v>
      </c>
      <c r="O2037" s="33" t="s">
        <v>147</v>
      </c>
      <c r="P2037" s="39" t="n">
        <f aca="false">C2037-B2037</f>
        <v>1</v>
      </c>
      <c r="Q2037" s="40" t="str">
        <f aca="false">CHOOSE(MONTH(B2037),"يناير","فبراير","مارس","أبريل","مايو","يونيو","يوليو","أغسطس","سبتمبر","أكتوبر","نوفمبر","ديسمبر")</f>
        <v>ديسمبر</v>
      </c>
      <c r="R2037" s="40" t="str">
        <f aca="false">"الربع "&amp;ROUNDUP(MONTH(B2037)/3,0)</f>
        <v>الربع 4</v>
      </c>
      <c r="S2037" s="40" t="str">
        <f aca="false">IF(D2037&lt;=12,"أطفال (0-12)",IF(D2037&lt;=24,"شباب (13-24)",IF(D2037&lt;=44,"بالغون (25-44)",IF(D2037&lt;=64,"متوسطو العمر (45-64)","كبار السن (+65)"))))</f>
        <v>أطفال (0-12)</v>
      </c>
      <c r="T2037" s="41" t="n">
        <f aca="false">IFERROR(L2037/P2037,0)</f>
        <v>1485.32</v>
      </c>
    </row>
    <row r="2038" customFormat="false" ht="15" hidden="false" customHeight="false" outlineLevel="0" collapsed="false">
      <c r="A2038" s="42" t="s">
        <v>904</v>
      </c>
      <c r="B2038" s="43" t="n">
        <v>45646</v>
      </c>
      <c r="C2038" s="43" t="n">
        <v>45649</v>
      </c>
      <c r="D2038" s="42" t="n">
        <v>83</v>
      </c>
      <c r="E2038" s="42" t="s">
        <v>139</v>
      </c>
      <c r="F2038" s="42" t="s">
        <v>140</v>
      </c>
      <c r="G2038" s="42" t="s">
        <v>141</v>
      </c>
      <c r="H2038" s="42" t="s">
        <v>142</v>
      </c>
      <c r="I2038" s="42" t="s">
        <v>143</v>
      </c>
      <c r="J2038" s="42" t="s">
        <v>144</v>
      </c>
      <c r="K2038" s="42" t="s">
        <v>209</v>
      </c>
      <c r="L2038" s="44" t="n">
        <v>13272.76</v>
      </c>
      <c r="M2038" s="42" t="n">
        <v>3</v>
      </c>
      <c r="N2038" s="42" t="s">
        <v>146</v>
      </c>
      <c r="O2038" s="42" t="s">
        <v>147</v>
      </c>
      <c r="P2038" s="39" t="n">
        <f aca="false">C2038-B2038</f>
        <v>3</v>
      </c>
      <c r="Q2038" s="40" t="str">
        <f aca="false">CHOOSE(MONTH(B2038),"يناير","فبراير","مارس","أبريل","مايو","يونيو","يوليو","أغسطس","سبتمبر","أكتوبر","نوفمبر","ديسمبر")</f>
        <v>ديسمبر</v>
      </c>
      <c r="R2038" s="40" t="str">
        <f aca="false">"الربع "&amp;ROUNDUP(MONTH(B2038)/3,0)</f>
        <v>الربع 4</v>
      </c>
      <c r="S2038" s="40" t="str">
        <f aca="false">IF(D2038&lt;=12,"أطفال (0-12)",IF(D2038&lt;=24,"شباب (13-24)",IF(D2038&lt;=44,"بالغون (25-44)",IF(D2038&lt;=64,"متوسطو العمر (45-64)","كبار السن (+65)"))))</f>
        <v>كبار السن (+65)</v>
      </c>
      <c r="T2038" s="41" t="n">
        <f aca="false">IFERROR(L2038/P2038,0)</f>
        <v>4424.25333333333</v>
      </c>
    </row>
    <row r="2039" customFormat="false" ht="15" hidden="false" customHeight="false" outlineLevel="0" collapsed="false">
      <c r="A2039" s="33" t="s">
        <v>1324</v>
      </c>
      <c r="B2039" s="34" t="n">
        <v>45646</v>
      </c>
      <c r="C2039" s="34" t="n">
        <v>45650</v>
      </c>
      <c r="D2039" s="33" t="n">
        <v>96</v>
      </c>
      <c r="E2039" s="33" t="s">
        <v>139</v>
      </c>
      <c r="F2039" s="33" t="s">
        <v>169</v>
      </c>
      <c r="G2039" s="33" t="s">
        <v>163</v>
      </c>
      <c r="H2039" s="33" t="s">
        <v>171</v>
      </c>
      <c r="I2039" s="33" t="s">
        <v>152</v>
      </c>
      <c r="J2039" s="33" t="s">
        <v>176</v>
      </c>
      <c r="K2039" s="33" t="s">
        <v>184</v>
      </c>
      <c r="L2039" s="35" t="n">
        <v>14408.76</v>
      </c>
      <c r="M2039" s="33" t="n">
        <v>4</v>
      </c>
      <c r="N2039" s="33" t="s">
        <v>146</v>
      </c>
      <c r="O2039" s="33" t="s">
        <v>147</v>
      </c>
      <c r="P2039" s="39" t="n">
        <f aca="false">C2039-B2039</f>
        <v>4</v>
      </c>
      <c r="Q2039" s="40" t="str">
        <f aca="false">CHOOSE(MONTH(B2039),"يناير","فبراير","مارس","أبريل","مايو","يونيو","يوليو","أغسطس","سبتمبر","أكتوبر","نوفمبر","ديسمبر")</f>
        <v>ديسمبر</v>
      </c>
      <c r="R2039" s="40" t="str">
        <f aca="false">"الربع "&amp;ROUNDUP(MONTH(B2039)/3,0)</f>
        <v>الربع 4</v>
      </c>
      <c r="S2039" s="40" t="str">
        <f aca="false">IF(D2039&lt;=12,"أطفال (0-12)",IF(D2039&lt;=24,"شباب (13-24)",IF(D2039&lt;=44,"بالغون (25-44)",IF(D2039&lt;=64,"متوسطو العمر (45-64)","كبار السن (+65)"))))</f>
        <v>كبار السن (+65)</v>
      </c>
      <c r="T2039" s="41" t="n">
        <f aca="false">IFERROR(L2039/P2039,0)</f>
        <v>3602.19</v>
      </c>
    </row>
    <row r="2040" customFormat="false" ht="15" hidden="false" customHeight="false" outlineLevel="0" collapsed="false">
      <c r="A2040" s="42" t="s">
        <v>778</v>
      </c>
      <c r="B2040" s="43" t="n">
        <v>45646</v>
      </c>
      <c r="C2040" s="43" t="n">
        <v>45647</v>
      </c>
      <c r="D2040" s="42" t="n">
        <v>68</v>
      </c>
      <c r="E2040" s="42" t="s">
        <v>139</v>
      </c>
      <c r="F2040" s="42" t="s">
        <v>203</v>
      </c>
      <c r="G2040" s="42" t="s">
        <v>204</v>
      </c>
      <c r="H2040" s="42" t="s">
        <v>205</v>
      </c>
      <c r="I2040" s="42" t="s">
        <v>143</v>
      </c>
      <c r="J2040" s="42" t="s">
        <v>159</v>
      </c>
      <c r="K2040" s="42" t="s">
        <v>145</v>
      </c>
      <c r="L2040" s="44" t="n">
        <v>1074.01</v>
      </c>
      <c r="M2040" s="42" t="n">
        <v>3</v>
      </c>
      <c r="N2040" s="42" t="s">
        <v>146</v>
      </c>
      <c r="O2040" s="42" t="s">
        <v>147</v>
      </c>
      <c r="P2040" s="39" t="n">
        <f aca="false">C2040-B2040</f>
        <v>1</v>
      </c>
      <c r="Q2040" s="40" t="str">
        <f aca="false">CHOOSE(MONTH(B2040),"يناير","فبراير","مارس","أبريل","مايو","يونيو","يوليو","أغسطس","سبتمبر","أكتوبر","نوفمبر","ديسمبر")</f>
        <v>ديسمبر</v>
      </c>
      <c r="R2040" s="40" t="str">
        <f aca="false">"الربع "&amp;ROUNDUP(MONTH(B2040)/3,0)</f>
        <v>الربع 4</v>
      </c>
      <c r="S2040" s="40" t="str">
        <f aca="false">IF(D2040&lt;=12,"أطفال (0-12)",IF(D2040&lt;=24,"شباب (13-24)",IF(D2040&lt;=44,"بالغون (25-44)",IF(D2040&lt;=64,"متوسطو العمر (45-64)","كبار السن (+65)"))))</f>
        <v>كبار السن (+65)</v>
      </c>
      <c r="T2040" s="41" t="n">
        <f aca="false">IFERROR(L2040/P2040,0)</f>
        <v>1074.01</v>
      </c>
    </row>
    <row r="2041" customFormat="false" ht="15" hidden="false" customHeight="false" outlineLevel="0" collapsed="false">
      <c r="A2041" s="33" t="s">
        <v>466</v>
      </c>
      <c r="B2041" s="34" t="n">
        <v>45646</v>
      </c>
      <c r="C2041" s="34" t="n">
        <v>45647</v>
      </c>
      <c r="D2041" s="33" t="n">
        <v>24</v>
      </c>
      <c r="E2041" s="33" t="s">
        <v>139</v>
      </c>
      <c r="F2041" s="33" t="s">
        <v>203</v>
      </c>
      <c r="G2041" s="33" t="s">
        <v>241</v>
      </c>
      <c r="H2041" s="33" t="s">
        <v>193</v>
      </c>
      <c r="I2041" s="33" t="s">
        <v>143</v>
      </c>
      <c r="J2041" s="33" t="s">
        <v>159</v>
      </c>
      <c r="K2041" s="33" t="s">
        <v>209</v>
      </c>
      <c r="L2041" s="35" t="n">
        <v>919.69</v>
      </c>
      <c r="M2041" s="33" t="n">
        <v>3</v>
      </c>
      <c r="N2041" s="33" t="s">
        <v>146</v>
      </c>
      <c r="O2041" s="33" t="s">
        <v>147</v>
      </c>
      <c r="P2041" s="39" t="n">
        <f aca="false">C2041-B2041</f>
        <v>1</v>
      </c>
      <c r="Q2041" s="40" t="str">
        <f aca="false">CHOOSE(MONTH(B2041),"يناير","فبراير","مارس","أبريل","مايو","يونيو","يوليو","أغسطس","سبتمبر","أكتوبر","نوفمبر","ديسمبر")</f>
        <v>ديسمبر</v>
      </c>
      <c r="R2041" s="40" t="str">
        <f aca="false">"الربع "&amp;ROUNDUP(MONTH(B2041)/3,0)</f>
        <v>الربع 4</v>
      </c>
      <c r="S2041" s="40" t="str">
        <f aca="false">IF(D2041&lt;=12,"أطفال (0-12)",IF(D2041&lt;=24,"شباب (13-24)",IF(D2041&lt;=44,"بالغون (25-44)",IF(D2041&lt;=64,"متوسطو العمر (45-64)","كبار السن (+65)"))))</f>
        <v>شباب (13-24)</v>
      </c>
      <c r="T2041" s="41" t="n">
        <f aca="false">IFERROR(L2041/P2041,0)</f>
        <v>919.69</v>
      </c>
    </row>
    <row r="2042" customFormat="false" ht="15" hidden="false" customHeight="false" outlineLevel="0" collapsed="false">
      <c r="A2042" s="42" t="s">
        <v>823</v>
      </c>
      <c r="B2042" s="43" t="n">
        <v>45646</v>
      </c>
      <c r="C2042" s="43" t="n">
        <v>45648</v>
      </c>
      <c r="D2042" s="42" t="n">
        <v>59</v>
      </c>
      <c r="E2042" s="42" t="s">
        <v>139</v>
      </c>
      <c r="F2042" s="42" t="s">
        <v>203</v>
      </c>
      <c r="G2042" s="42" t="s">
        <v>241</v>
      </c>
      <c r="H2042" s="42" t="s">
        <v>205</v>
      </c>
      <c r="I2042" s="42" t="s">
        <v>143</v>
      </c>
      <c r="J2042" s="42" t="s">
        <v>176</v>
      </c>
      <c r="K2042" s="42" t="s">
        <v>209</v>
      </c>
      <c r="L2042" s="44" t="n">
        <v>5476.58</v>
      </c>
      <c r="M2042" s="42" t="n">
        <v>3</v>
      </c>
      <c r="N2042" s="42" t="s">
        <v>146</v>
      </c>
      <c r="O2042" s="42" t="s">
        <v>147</v>
      </c>
      <c r="P2042" s="39" t="n">
        <f aca="false">C2042-B2042</f>
        <v>2</v>
      </c>
      <c r="Q2042" s="40" t="str">
        <f aca="false">CHOOSE(MONTH(B2042),"يناير","فبراير","مارس","أبريل","مايو","يونيو","يوليو","أغسطس","سبتمبر","أكتوبر","نوفمبر","ديسمبر")</f>
        <v>ديسمبر</v>
      </c>
      <c r="R2042" s="40" t="str">
        <f aca="false">"الربع "&amp;ROUNDUP(MONTH(B2042)/3,0)</f>
        <v>الربع 4</v>
      </c>
      <c r="S2042" s="40" t="str">
        <f aca="false">IF(D2042&lt;=12,"أطفال (0-12)",IF(D2042&lt;=24,"شباب (13-24)",IF(D2042&lt;=44,"بالغون (25-44)",IF(D2042&lt;=64,"متوسطو العمر (45-64)","كبار السن (+65)"))))</f>
        <v>متوسطو العمر (45-64)</v>
      </c>
      <c r="T2042" s="41" t="n">
        <f aca="false">IFERROR(L2042/P2042,0)</f>
        <v>2738.29</v>
      </c>
    </row>
    <row r="2043" customFormat="false" ht="15" hidden="false" customHeight="false" outlineLevel="0" collapsed="false">
      <c r="A2043" s="33" t="s">
        <v>916</v>
      </c>
      <c r="B2043" s="34" t="n">
        <v>45647</v>
      </c>
      <c r="C2043" s="34" t="n">
        <v>45650</v>
      </c>
      <c r="D2043" s="33" t="n">
        <v>47</v>
      </c>
      <c r="E2043" s="33" t="s">
        <v>154</v>
      </c>
      <c r="F2043" s="33" t="s">
        <v>181</v>
      </c>
      <c r="G2043" s="33" t="s">
        <v>188</v>
      </c>
      <c r="H2043" s="33" t="s">
        <v>183</v>
      </c>
      <c r="I2043" s="33" t="s">
        <v>143</v>
      </c>
      <c r="J2043" s="33" t="s">
        <v>159</v>
      </c>
      <c r="K2043" s="33" t="s">
        <v>160</v>
      </c>
      <c r="L2043" s="35" t="n">
        <v>8594.71</v>
      </c>
      <c r="M2043" s="33" t="n">
        <v>5</v>
      </c>
      <c r="N2043" s="33" t="s">
        <v>146</v>
      </c>
      <c r="O2043" s="33" t="s">
        <v>147</v>
      </c>
      <c r="P2043" s="39" t="n">
        <f aca="false">C2043-B2043</f>
        <v>3</v>
      </c>
      <c r="Q2043" s="40" t="str">
        <f aca="false">CHOOSE(MONTH(B2043),"يناير","فبراير","مارس","أبريل","مايو","يونيو","يوليو","أغسطس","سبتمبر","أكتوبر","نوفمبر","ديسمبر")</f>
        <v>ديسمبر</v>
      </c>
      <c r="R2043" s="40" t="str">
        <f aca="false">"الربع "&amp;ROUNDUP(MONTH(B2043)/3,0)</f>
        <v>الربع 4</v>
      </c>
      <c r="S2043" s="40" t="str">
        <f aca="false">IF(D2043&lt;=12,"أطفال (0-12)",IF(D2043&lt;=24,"شباب (13-24)",IF(D2043&lt;=44,"بالغون (25-44)",IF(D2043&lt;=64,"متوسطو العمر (45-64)","كبار السن (+65)"))))</f>
        <v>متوسطو العمر (45-64)</v>
      </c>
      <c r="T2043" s="41" t="n">
        <f aca="false">IFERROR(L2043/P2043,0)</f>
        <v>2864.90333333333</v>
      </c>
    </row>
    <row r="2044" customFormat="false" ht="15" hidden="false" customHeight="false" outlineLevel="0" collapsed="false">
      <c r="A2044" s="42" t="s">
        <v>669</v>
      </c>
      <c r="B2044" s="43" t="n">
        <v>45647</v>
      </c>
      <c r="C2044" s="43" t="n">
        <v>45650</v>
      </c>
      <c r="D2044" s="42" t="n">
        <v>93</v>
      </c>
      <c r="E2044" s="42" t="s">
        <v>154</v>
      </c>
      <c r="F2044" s="42" t="s">
        <v>181</v>
      </c>
      <c r="G2044" s="42" t="s">
        <v>188</v>
      </c>
      <c r="H2044" s="42" t="s">
        <v>183</v>
      </c>
      <c r="I2044" s="42" t="s">
        <v>143</v>
      </c>
      <c r="J2044" s="42" t="s">
        <v>159</v>
      </c>
      <c r="K2044" s="42" t="s">
        <v>160</v>
      </c>
      <c r="L2044" s="44" t="n">
        <v>6845.38</v>
      </c>
      <c r="M2044" s="42" t="n">
        <v>4</v>
      </c>
      <c r="N2044" s="42" t="s">
        <v>210</v>
      </c>
      <c r="O2044" s="42" t="s">
        <v>147</v>
      </c>
      <c r="P2044" s="39" t="n">
        <f aca="false">C2044-B2044</f>
        <v>3</v>
      </c>
      <c r="Q2044" s="40" t="str">
        <f aca="false">CHOOSE(MONTH(B2044),"يناير","فبراير","مارس","أبريل","مايو","يونيو","يوليو","أغسطس","سبتمبر","أكتوبر","نوفمبر","ديسمبر")</f>
        <v>ديسمبر</v>
      </c>
      <c r="R2044" s="40" t="str">
        <f aca="false">"الربع "&amp;ROUNDUP(MONTH(B2044)/3,0)</f>
        <v>الربع 4</v>
      </c>
      <c r="S2044" s="40" t="str">
        <f aca="false">IF(D2044&lt;=12,"أطفال (0-12)",IF(D2044&lt;=24,"شباب (13-24)",IF(D2044&lt;=44,"بالغون (25-44)",IF(D2044&lt;=64,"متوسطو العمر (45-64)","كبار السن (+65)"))))</f>
        <v>كبار السن (+65)</v>
      </c>
      <c r="T2044" s="41" t="n">
        <f aca="false">IFERROR(L2044/P2044,0)</f>
        <v>2281.79333333333</v>
      </c>
    </row>
    <row r="2045" customFormat="false" ht="15" hidden="false" customHeight="false" outlineLevel="0" collapsed="false">
      <c r="A2045" s="33" t="s">
        <v>2220</v>
      </c>
      <c r="B2045" s="34" t="n">
        <v>45647</v>
      </c>
      <c r="C2045" s="34" t="n">
        <v>45665</v>
      </c>
      <c r="D2045" s="33" t="n">
        <v>76</v>
      </c>
      <c r="E2045" s="33" t="s">
        <v>139</v>
      </c>
      <c r="F2045" s="33" t="s">
        <v>181</v>
      </c>
      <c r="G2045" s="33" t="s">
        <v>188</v>
      </c>
      <c r="H2045" s="33" t="s">
        <v>245</v>
      </c>
      <c r="I2045" s="33" t="s">
        <v>152</v>
      </c>
      <c r="J2045" s="33" t="s">
        <v>159</v>
      </c>
      <c r="K2045" s="33" t="s">
        <v>145</v>
      </c>
      <c r="L2045" s="35" t="n">
        <v>43403.28</v>
      </c>
      <c r="M2045" s="33" t="n">
        <v>5</v>
      </c>
      <c r="N2045" s="33" t="s">
        <v>146</v>
      </c>
      <c r="O2045" s="33" t="s">
        <v>147</v>
      </c>
      <c r="P2045" s="39" t="n">
        <f aca="false">C2045-B2045</f>
        <v>18</v>
      </c>
      <c r="Q2045" s="40" t="str">
        <f aca="false">CHOOSE(MONTH(B2045),"يناير","فبراير","مارس","أبريل","مايو","يونيو","يوليو","أغسطس","سبتمبر","أكتوبر","نوفمبر","ديسمبر")</f>
        <v>ديسمبر</v>
      </c>
      <c r="R2045" s="40" t="str">
        <f aca="false">"الربع "&amp;ROUNDUP(MONTH(B2045)/3,0)</f>
        <v>الربع 4</v>
      </c>
      <c r="S2045" s="40" t="str">
        <f aca="false">IF(D2045&lt;=12,"أطفال (0-12)",IF(D2045&lt;=24,"شباب (13-24)",IF(D2045&lt;=44,"بالغون (25-44)",IF(D2045&lt;=64,"متوسطو العمر (45-64)","كبار السن (+65)"))))</f>
        <v>كبار السن (+65)</v>
      </c>
      <c r="T2045" s="41" t="n">
        <f aca="false">IFERROR(L2045/P2045,0)</f>
        <v>2411.29333333333</v>
      </c>
    </row>
    <row r="2046" customFormat="false" ht="15" hidden="false" customHeight="false" outlineLevel="0" collapsed="false">
      <c r="A2046" s="42" t="s">
        <v>2157</v>
      </c>
      <c r="B2046" s="43" t="n">
        <v>45647</v>
      </c>
      <c r="C2046" s="43" t="n">
        <v>45650</v>
      </c>
      <c r="D2046" s="42" t="n">
        <v>24</v>
      </c>
      <c r="E2046" s="42" t="s">
        <v>139</v>
      </c>
      <c r="F2046" s="42" t="s">
        <v>149</v>
      </c>
      <c r="G2046" s="42" t="s">
        <v>224</v>
      </c>
      <c r="H2046" s="42" t="s">
        <v>186</v>
      </c>
      <c r="I2046" s="42" t="s">
        <v>158</v>
      </c>
      <c r="J2046" s="42" t="s">
        <v>176</v>
      </c>
      <c r="K2046" s="42" t="s">
        <v>184</v>
      </c>
      <c r="L2046" s="44" t="n">
        <v>18196.78</v>
      </c>
      <c r="M2046" s="42" t="n">
        <v>4</v>
      </c>
      <c r="N2046" s="42" t="s">
        <v>146</v>
      </c>
      <c r="O2046" s="42" t="s">
        <v>147</v>
      </c>
      <c r="P2046" s="39" t="n">
        <f aca="false">C2046-B2046</f>
        <v>3</v>
      </c>
      <c r="Q2046" s="40" t="str">
        <f aca="false">CHOOSE(MONTH(B2046),"يناير","فبراير","مارس","أبريل","مايو","يونيو","يوليو","أغسطس","سبتمبر","أكتوبر","نوفمبر","ديسمبر")</f>
        <v>ديسمبر</v>
      </c>
      <c r="R2046" s="40" t="str">
        <f aca="false">"الربع "&amp;ROUNDUP(MONTH(B2046)/3,0)</f>
        <v>الربع 4</v>
      </c>
      <c r="S2046" s="40" t="str">
        <f aca="false">IF(D2046&lt;=12,"أطفال (0-12)",IF(D2046&lt;=24,"شباب (13-24)",IF(D2046&lt;=44,"بالغون (25-44)",IF(D2046&lt;=64,"متوسطو العمر (45-64)","كبار السن (+65)"))))</f>
        <v>شباب (13-24)</v>
      </c>
      <c r="T2046" s="41" t="n">
        <f aca="false">IFERROR(L2046/P2046,0)</f>
        <v>6065.59333333333</v>
      </c>
    </row>
    <row r="2047" customFormat="false" ht="15" hidden="false" customHeight="false" outlineLevel="0" collapsed="false">
      <c r="A2047" s="33" t="s">
        <v>2074</v>
      </c>
      <c r="B2047" s="34" t="n">
        <v>45647</v>
      </c>
      <c r="C2047" s="34" t="n">
        <v>45648</v>
      </c>
      <c r="D2047" s="33" t="n">
        <v>57</v>
      </c>
      <c r="E2047" s="33" t="s">
        <v>139</v>
      </c>
      <c r="F2047" s="33" t="s">
        <v>203</v>
      </c>
      <c r="G2047" s="33" t="s">
        <v>192</v>
      </c>
      <c r="H2047" s="33" t="s">
        <v>193</v>
      </c>
      <c r="I2047" s="33" t="s">
        <v>143</v>
      </c>
      <c r="J2047" s="33" t="s">
        <v>144</v>
      </c>
      <c r="K2047" s="33" t="s">
        <v>145</v>
      </c>
      <c r="L2047" s="35" t="n">
        <v>1347.34</v>
      </c>
      <c r="M2047" s="33" t="n">
        <v>2</v>
      </c>
      <c r="N2047" s="33" t="s">
        <v>146</v>
      </c>
      <c r="O2047" s="33" t="s">
        <v>147</v>
      </c>
      <c r="P2047" s="39" t="n">
        <f aca="false">C2047-B2047</f>
        <v>1</v>
      </c>
      <c r="Q2047" s="40" t="str">
        <f aca="false">CHOOSE(MONTH(B2047),"يناير","فبراير","مارس","أبريل","مايو","يونيو","يوليو","أغسطس","سبتمبر","أكتوبر","نوفمبر","ديسمبر")</f>
        <v>ديسمبر</v>
      </c>
      <c r="R2047" s="40" t="str">
        <f aca="false">"الربع "&amp;ROUNDUP(MONTH(B2047)/3,0)</f>
        <v>الربع 4</v>
      </c>
      <c r="S2047" s="40" t="str">
        <f aca="false">IF(D2047&lt;=12,"أطفال (0-12)",IF(D2047&lt;=24,"شباب (13-24)",IF(D2047&lt;=44,"بالغون (25-44)",IF(D2047&lt;=64,"متوسطو العمر (45-64)","كبار السن (+65)"))))</f>
        <v>متوسطو العمر (45-64)</v>
      </c>
      <c r="T2047" s="41" t="n">
        <f aca="false">IFERROR(L2047/P2047,0)</f>
        <v>1347.34</v>
      </c>
    </row>
    <row r="2048" customFormat="false" ht="15" hidden="false" customHeight="false" outlineLevel="0" collapsed="false">
      <c r="A2048" s="42" t="s">
        <v>994</v>
      </c>
      <c r="B2048" s="43" t="n">
        <v>45648</v>
      </c>
      <c r="C2048" s="43" t="n">
        <v>45649</v>
      </c>
      <c r="D2048" s="42" t="n">
        <v>7</v>
      </c>
      <c r="E2048" s="42" t="s">
        <v>139</v>
      </c>
      <c r="F2048" s="42" t="s">
        <v>155</v>
      </c>
      <c r="G2048" s="42" t="s">
        <v>220</v>
      </c>
      <c r="H2048" s="42" t="s">
        <v>222</v>
      </c>
      <c r="I2048" s="42" t="s">
        <v>152</v>
      </c>
      <c r="J2048" s="42" t="s">
        <v>159</v>
      </c>
      <c r="K2048" s="42" t="s">
        <v>160</v>
      </c>
      <c r="L2048" s="44" t="n">
        <v>682.95</v>
      </c>
      <c r="M2048" s="42" t="n">
        <v>5</v>
      </c>
      <c r="N2048" s="42" t="s">
        <v>146</v>
      </c>
      <c r="O2048" s="42" t="s">
        <v>147</v>
      </c>
      <c r="P2048" s="39" t="n">
        <f aca="false">C2048-B2048</f>
        <v>1</v>
      </c>
      <c r="Q2048" s="40" t="str">
        <f aca="false">CHOOSE(MONTH(B2048),"يناير","فبراير","مارس","أبريل","مايو","يونيو","يوليو","أغسطس","سبتمبر","أكتوبر","نوفمبر","ديسمبر")</f>
        <v>ديسمبر</v>
      </c>
      <c r="R2048" s="40" t="str">
        <f aca="false">"الربع "&amp;ROUNDUP(MONTH(B2048)/3,0)</f>
        <v>الربع 4</v>
      </c>
      <c r="S2048" s="40" t="str">
        <f aca="false">IF(D2048&lt;=12,"أطفال (0-12)",IF(D2048&lt;=24,"شباب (13-24)",IF(D2048&lt;=44,"بالغون (25-44)",IF(D2048&lt;=64,"متوسطو العمر (45-64)","كبار السن (+65)"))))</f>
        <v>أطفال (0-12)</v>
      </c>
      <c r="T2048" s="41" t="n">
        <f aca="false">IFERROR(L2048/P2048,0)</f>
        <v>682.95</v>
      </c>
    </row>
    <row r="2049" customFormat="false" ht="15" hidden="false" customHeight="false" outlineLevel="0" collapsed="false">
      <c r="A2049" s="33" t="s">
        <v>2103</v>
      </c>
      <c r="B2049" s="34" t="n">
        <v>45648</v>
      </c>
      <c r="C2049" s="34" t="n">
        <v>45651</v>
      </c>
      <c r="D2049" s="33" t="n">
        <v>42</v>
      </c>
      <c r="E2049" s="33" t="s">
        <v>139</v>
      </c>
      <c r="F2049" s="33" t="s">
        <v>173</v>
      </c>
      <c r="G2049" s="33" t="s">
        <v>174</v>
      </c>
      <c r="H2049" s="33" t="s">
        <v>175</v>
      </c>
      <c r="I2049" s="33" t="s">
        <v>152</v>
      </c>
      <c r="J2049" s="33" t="s">
        <v>159</v>
      </c>
      <c r="K2049" s="33" t="s">
        <v>145</v>
      </c>
      <c r="L2049" s="35" t="n">
        <v>8117.27</v>
      </c>
      <c r="M2049" s="33" t="n">
        <v>4</v>
      </c>
      <c r="N2049" s="33" t="s">
        <v>146</v>
      </c>
      <c r="O2049" s="33" t="s">
        <v>147</v>
      </c>
      <c r="P2049" s="39" t="n">
        <f aca="false">C2049-B2049</f>
        <v>3</v>
      </c>
      <c r="Q2049" s="40" t="str">
        <f aca="false">CHOOSE(MONTH(B2049),"يناير","فبراير","مارس","أبريل","مايو","يونيو","يوليو","أغسطس","سبتمبر","أكتوبر","نوفمبر","ديسمبر")</f>
        <v>ديسمبر</v>
      </c>
      <c r="R2049" s="40" t="str">
        <f aca="false">"الربع "&amp;ROUNDUP(MONTH(B2049)/3,0)</f>
        <v>الربع 4</v>
      </c>
      <c r="S2049" s="40" t="str">
        <f aca="false">IF(D2049&lt;=12,"أطفال (0-12)",IF(D2049&lt;=24,"شباب (13-24)",IF(D2049&lt;=44,"بالغون (25-44)",IF(D2049&lt;=64,"متوسطو العمر (45-64)","كبار السن (+65)"))))</f>
        <v>بالغون (25-44)</v>
      </c>
      <c r="T2049" s="41" t="n">
        <f aca="false">IFERROR(L2049/P2049,0)</f>
        <v>2705.75666666667</v>
      </c>
    </row>
    <row r="2050" customFormat="false" ht="15" hidden="false" customHeight="false" outlineLevel="0" collapsed="false">
      <c r="A2050" s="42" t="s">
        <v>739</v>
      </c>
      <c r="B2050" s="43" t="n">
        <v>45648</v>
      </c>
      <c r="C2050" s="43" t="n">
        <v>45651</v>
      </c>
      <c r="D2050" s="42" t="n">
        <v>2</v>
      </c>
      <c r="E2050" s="42" t="s">
        <v>154</v>
      </c>
      <c r="F2050" s="42" t="s">
        <v>155</v>
      </c>
      <c r="G2050" s="42" t="s">
        <v>156</v>
      </c>
      <c r="H2050" s="42" t="s">
        <v>157</v>
      </c>
      <c r="I2050" s="42" t="s">
        <v>152</v>
      </c>
      <c r="J2050" s="42" t="s">
        <v>176</v>
      </c>
      <c r="K2050" s="42" t="s">
        <v>145</v>
      </c>
      <c r="L2050" s="44" t="n">
        <v>8614.61</v>
      </c>
      <c r="M2050" s="42" t="n">
        <v>5</v>
      </c>
      <c r="N2050" s="42" t="s">
        <v>146</v>
      </c>
      <c r="O2050" s="42" t="s">
        <v>147</v>
      </c>
      <c r="P2050" s="39" t="n">
        <f aca="false">C2050-B2050</f>
        <v>3</v>
      </c>
      <c r="Q2050" s="40" t="str">
        <f aca="false">CHOOSE(MONTH(B2050),"يناير","فبراير","مارس","أبريل","مايو","يونيو","يوليو","أغسطس","سبتمبر","أكتوبر","نوفمبر","ديسمبر")</f>
        <v>ديسمبر</v>
      </c>
      <c r="R2050" s="40" t="str">
        <f aca="false">"الربع "&amp;ROUNDUP(MONTH(B2050)/3,0)</f>
        <v>الربع 4</v>
      </c>
      <c r="S2050" s="40" t="str">
        <f aca="false">IF(D2050&lt;=12,"أطفال (0-12)",IF(D2050&lt;=24,"شباب (13-24)",IF(D2050&lt;=44,"بالغون (25-44)",IF(D2050&lt;=64,"متوسطو العمر (45-64)","كبار السن (+65)"))))</f>
        <v>أطفال (0-12)</v>
      </c>
      <c r="T2050" s="41" t="n">
        <f aca="false">IFERROR(L2050/P2050,0)</f>
        <v>2871.53666666667</v>
      </c>
    </row>
    <row r="2051" customFormat="false" ht="15" hidden="false" customHeight="false" outlineLevel="0" collapsed="false">
      <c r="A2051" s="33" t="s">
        <v>1540</v>
      </c>
      <c r="B2051" s="34" t="n">
        <v>45649</v>
      </c>
      <c r="C2051" s="34" t="n">
        <v>45654</v>
      </c>
      <c r="D2051" s="33" t="n">
        <v>61</v>
      </c>
      <c r="E2051" s="33" t="s">
        <v>154</v>
      </c>
      <c r="F2051" s="33" t="s">
        <v>140</v>
      </c>
      <c r="G2051" s="33" t="s">
        <v>141</v>
      </c>
      <c r="H2051" s="33" t="s">
        <v>142</v>
      </c>
      <c r="I2051" s="33" t="s">
        <v>158</v>
      </c>
      <c r="J2051" s="33" t="s">
        <v>159</v>
      </c>
      <c r="K2051" s="33" t="s">
        <v>160</v>
      </c>
      <c r="L2051" s="35" t="n">
        <v>11806.25</v>
      </c>
      <c r="M2051" s="33" t="n">
        <v>4</v>
      </c>
      <c r="N2051" s="33" t="s">
        <v>146</v>
      </c>
      <c r="O2051" s="33" t="s">
        <v>147</v>
      </c>
      <c r="P2051" s="39" t="n">
        <f aca="false">C2051-B2051</f>
        <v>5</v>
      </c>
      <c r="Q2051" s="40" t="str">
        <f aca="false">CHOOSE(MONTH(B2051),"يناير","فبراير","مارس","أبريل","مايو","يونيو","يوليو","أغسطس","سبتمبر","أكتوبر","نوفمبر","ديسمبر")</f>
        <v>ديسمبر</v>
      </c>
      <c r="R2051" s="40" t="str">
        <f aca="false">"الربع "&amp;ROUNDUP(MONTH(B2051)/3,0)</f>
        <v>الربع 4</v>
      </c>
      <c r="S2051" s="40" t="str">
        <f aca="false">IF(D2051&lt;=12,"أطفال (0-12)",IF(D2051&lt;=24,"شباب (13-24)",IF(D2051&lt;=44,"بالغون (25-44)",IF(D2051&lt;=64,"متوسطو العمر (45-64)","كبار السن (+65)"))))</f>
        <v>متوسطو العمر (45-64)</v>
      </c>
      <c r="T2051" s="41" t="n">
        <f aca="false">IFERROR(L2051/P2051,0)</f>
        <v>2361.25</v>
      </c>
    </row>
    <row r="2052" customFormat="false" ht="15" hidden="false" customHeight="false" outlineLevel="0" collapsed="false">
      <c r="A2052" s="42" t="s">
        <v>2013</v>
      </c>
      <c r="B2052" s="43" t="n">
        <v>45649</v>
      </c>
      <c r="C2052" s="43" t="n">
        <v>45656</v>
      </c>
      <c r="D2052" s="42" t="n">
        <v>86</v>
      </c>
      <c r="E2052" s="42" t="s">
        <v>139</v>
      </c>
      <c r="F2052" s="42" t="s">
        <v>181</v>
      </c>
      <c r="G2052" s="42" t="s">
        <v>182</v>
      </c>
      <c r="H2052" s="42" t="s">
        <v>183</v>
      </c>
      <c r="I2052" s="42" t="s">
        <v>152</v>
      </c>
      <c r="J2052" s="42" t="s">
        <v>159</v>
      </c>
      <c r="K2052" s="42" t="s">
        <v>145</v>
      </c>
      <c r="L2052" s="44" t="n">
        <v>16137.35</v>
      </c>
      <c r="M2052" s="42" t="n">
        <v>4</v>
      </c>
      <c r="N2052" s="42" t="s">
        <v>146</v>
      </c>
      <c r="O2052" s="42" t="s">
        <v>147</v>
      </c>
      <c r="P2052" s="39" t="n">
        <f aca="false">C2052-B2052</f>
        <v>7</v>
      </c>
      <c r="Q2052" s="40" t="str">
        <f aca="false">CHOOSE(MONTH(B2052),"يناير","فبراير","مارس","أبريل","مايو","يونيو","يوليو","أغسطس","سبتمبر","أكتوبر","نوفمبر","ديسمبر")</f>
        <v>ديسمبر</v>
      </c>
      <c r="R2052" s="40" t="str">
        <f aca="false">"الربع "&amp;ROUNDUP(MONTH(B2052)/3,0)</f>
        <v>الربع 4</v>
      </c>
      <c r="S2052" s="40" t="str">
        <f aca="false">IF(D2052&lt;=12,"أطفال (0-12)",IF(D2052&lt;=24,"شباب (13-24)",IF(D2052&lt;=44,"بالغون (25-44)",IF(D2052&lt;=64,"متوسطو العمر (45-64)","كبار السن (+65)"))))</f>
        <v>كبار السن (+65)</v>
      </c>
      <c r="T2052" s="41" t="n">
        <f aca="false">IFERROR(L2052/P2052,0)</f>
        <v>2305.33571428571</v>
      </c>
    </row>
    <row r="2053" customFormat="false" ht="15" hidden="false" customHeight="false" outlineLevel="0" collapsed="false">
      <c r="A2053" s="33" t="s">
        <v>2095</v>
      </c>
      <c r="B2053" s="34" t="n">
        <v>45649</v>
      </c>
      <c r="C2053" s="34" t="n">
        <v>45650</v>
      </c>
      <c r="D2053" s="33" t="n">
        <v>15</v>
      </c>
      <c r="E2053" s="33" t="s">
        <v>139</v>
      </c>
      <c r="F2053" s="33" t="s">
        <v>149</v>
      </c>
      <c r="G2053" s="33" t="s">
        <v>243</v>
      </c>
      <c r="H2053" s="33" t="s">
        <v>186</v>
      </c>
      <c r="I2053" s="33" t="s">
        <v>143</v>
      </c>
      <c r="J2053" s="33" t="s">
        <v>159</v>
      </c>
      <c r="K2053" s="33" t="s">
        <v>160</v>
      </c>
      <c r="L2053" s="35" t="n">
        <v>1228.68</v>
      </c>
      <c r="M2053" s="33" t="n">
        <v>3</v>
      </c>
      <c r="N2053" s="33" t="s">
        <v>146</v>
      </c>
      <c r="O2053" s="33" t="s">
        <v>147</v>
      </c>
      <c r="P2053" s="39" t="n">
        <f aca="false">C2053-B2053</f>
        <v>1</v>
      </c>
      <c r="Q2053" s="40" t="str">
        <f aca="false">CHOOSE(MONTH(B2053),"يناير","فبراير","مارس","أبريل","مايو","يونيو","يوليو","أغسطس","سبتمبر","أكتوبر","نوفمبر","ديسمبر")</f>
        <v>ديسمبر</v>
      </c>
      <c r="R2053" s="40" t="str">
        <f aca="false">"الربع "&amp;ROUNDUP(MONTH(B2053)/3,0)</f>
        <v>الربع 4</v>
      </c>
      <c r="S2053" s="40" t="str">
        <f aca="false">IF(D2053&lt;=12,"أطفال (0-12)",IF(D2053&lt;=24,"شباب (13-24)",IF(D2053&lt;=44,"بالغون (25-44)",IF(D2053&lt;=64,"متوسطو العمر (45-64)","كبار السن (+65)"))))</f>
        <v>شباب (13-24)</v>
      </c>
      <c r="T2053" s="41" t="n">
        <f aca="false">IFERROR(L2053/P2053,0)</f>
        <v>1228.68</v>
      </c>
    </row>
    <row r="2054" customFormat="false" ht="15" hidden="false" customHeight="false" outlineLevel="0" collapsed="false">
      <c r="A2054" s="42" t="s">
        <v>1341</v>
      </c>
      <c r="B2054" s="43" t="n">
        <v>45649</v>
      </c>
      <c r="C2054" s="43" t="n">
        <v>45650</v>
      </c>
      <c r="D2054" s="42" t="n">
        <v>96</v>
      </c>
      <c r="E2054" s="42" t="s">
        <v>139</v>
      </c>
      <c r="F2054" s="42" t="s">
        <v>173</v>
      </c>
      <c r="G2054" s="42" t="s">
        <v>174</v>
      </c>
      <c r="H2054" s="42" t="s">
        <v>175</v>
      </c>
      <c r="I2054" s="42" t="s">
        <v>152</v>
      </c>
      <c r="J2054" s="42" t="s">
        <v>159</v>
      </c>
      <c r="K2054" s="42" t="s">
        <v>145</v>
      </c>
      <c r="L2054" s="44" t="n">
        <v>2827.14</v>
      </c>
      <c r="M2054" s="42" t="n">
        <v>3</v>
      </c>
      <c r="N2054" s="42" t="s">
        <v>146</v>
      </c>
      <c r="O2054" s="42" t="s">
        <v>147</v>
      </c>
      <c r="P2054" s="39" t="n">
        <f aca="false">C2054-B2054</f>
        <v>1</v>
      </c>
      <c r="Q2054" s="40" t="str">
        <f aca="false">CHOOSE(MONTH(B2054),"يناير","فبراير","مارس","أبريل","مايو","يونيو","يوليو","أغسطس","سبتمبر","أكتوبر","نوفمبر","ديسمبر")</f>
        <v>ديسمبر</v>
      </c>
      <c r="R2054" s="40" t="str">
        <f aca="false">"الربع "&amp;ROUNDUP(MONTH(B2054)/3,0)</f>
        <v>الربع 4</v>
      </c>
      <c r="S2054" s="40" t="str">
        <f aca="false">IF(D2054&lt;=12,"أطفال (0-12)",IF(D2054&lt;=24,"شباب (13-24)",IF(D2054&lt;=44,"بالغون (25-44)",IF(D2054&lt;=64,"متوسطو العمر (45-64)","كبار السن (+65)"))))</f>
        <v>كبار السن (+65)</v>
      </c>
      <c r="T2054" s="41" t="n">
        <f aca="false">IFERROR(L2054/P2054,0)</f>
        <v>2827.14</v>
      </c>
    </row>
    <row r="2055" customFormat="false" ht="15" hidden="false" customHeight="false" outlineLevel="0" collapsed="false">
      <c r="A2055" s="33" t="s">
        <v>161</v>
      </c>
      <c r="B2055" s="34" t="n">
        <v>45649</v>
      </c>
      <c r="C2055" s="34" t="n">
        <v>45653</v>
      </c>
      <c r="D2055" s="33" t="n">
        <v>20</v>
      </c>
      <c r="E2055" s="33" t="s">
        <v>154</v>
      </c>
      <c r="F2055" s="33" t="s">
        <v>169</v>
      </c>
      <c r="G2055" s="33" t="s">
        <v>163</v>
      </c>
      <c r="H2055" s="33" t="s">
        <v>164</v>
      </c>
      <c r="I2055" s="33" t="s">
        <v>143</v>
      </c>
      <c r="J2055" s="33" t="s">
        <v>159</v>
      </c>
      <c r="K2055" s="33" t="s">
        <v>160</v>
      </c>
      <c r="L2055" s="35" t="n">
        <v>4513.64</v>
      </c>
      <c r="M2055" s="33" t="n">
        <v>4</v>
      </c>
      <c r="N2055" s="33" t="s">
        <v>146</v>
      </c>
      <c r="O2055" s="33" t="s">
        <v>147</v>
      </c>
      <c r="P2055" s="39" t="n">
        <f aca="false">C2055-B2055</f>
        <v>4</v>
      </c>
      <c r="Q2055" s="40" t="str">
        <f aca="false">CHOOSE(MONTH(B2055),"يناير","فبراير","مارس","أبريل","مايو","يونيو","يوليو","أغسطس","سبتمبر","أكتوبر","نوفمبر","ديسمبر")</f>
        <v>ديسمبر</v>
      </c>
      <c r="R2055" s="40" t="str">
        <f aca="false">"الربع "&amp;ROUNDUP(MONTH(B2055)/3,0)</f>
        <v>الربع 4</v>
      </c>
      <c r="S2055" s="40" t="str">
        <f aca="false">IF(D2055&lt;=12,"أطفال (0-12)",IF(D2055&lt;=24,"شباب (13-24)",IF(D2055&lt;=44,"بالغون (25-44)",IF(D2055&lt;=64,"متوسطو العمر (45-64)","كبار السن (+65)"))))</f>
        <v>شباب (13-24)</v>
      </c>
      <c r="T2055" s="41" t="n">
        <f aca="false">IFERROR(L2055/P2055,0)</f>
        <v>1128.41</v>
      </c>
    </row>
    <row r="2056" customFormat="false" ht="15" hidden="false" customHeight="false" outlineLevel="0" collapsed="false">
      <c r="A2056" s="42" t="s">
        <v>601</v>
      </c>
      <c r="B2056" s="43" t="n">
        <v>45650</v>
      </c>
      <c r="C2056" s="43" t="n">
        <v>45656</v>
      </c>
      <c r="D2056" s="42" t="n">
        <v>42</v>
      </c>
      <c r="E2056" s="42" t="s">
        <v>139</v>
      </c>
      <c r="F2056" s="42" t="s">
        <v>169</v>
      </c>
      <c r="G2056" s="42" t="s">
        <v>170</v>
      </c>
      <c r="H2056" s="42" t="s">
        <v>164</v>
      </c>
      <c r="I2056" s="42" t="s">
        <v>152</v>
      </c>
      <c r="J2056" s="42" t="s">
        <v>159</v>
      </c>
      <c r="K2056" s="42" t="s">
        <v>160</v>
      </c>
      <c r="L2056" s="44" t="n">
        <v>4822.98</v>
      </c>
      <c r="M2056" s="42" t="n">
        <v>3</v>
      </c>
      <c r="N2056" s="42" t="s">
        <v>146</v>
      </c>
      <c r="O2056" s="42" t="s">
        <v>147</v>
      </c>
      <c r="P2056" s="39" t="n">
        <f aca="false">C2056-B2056</f>
        <v>6</v>
      </c>
      <c r="Q2056" s="40" t="str">
        <f aca="false">CHOOSE(MONTH(B2056),"يناير","فبراير","مارس","أبريل","مايو","يونيو","يوليو","أغسطس","سبتمبر","أكتوبر","نوفمبر","ديسمبر")</f>
        <v>ديسمبر</v>
      </c>
      <c r="R2056" s="40" t="str">
        <f aca="false">"الربع "&amp;ROUNDUP(MONTH(B2056)/3,0)</f>
        <v>الربع 4</v>
      </c>
      <c r="S2056" s="40" t="str">
        <f aca="false">IF(D2056&lt;=12,"أطفال (0-12)",IF(D2056&lt;=24,"شباب (13-24)",IF(D2056&lt;=44,"بالغون (25-44)",IF(D2056&lt;=64,"متوسطو العمر (45-64)","كبار السن (+65)"))))</f>
        <v>بالغون (25-44)</v>
      </c>
      <c r="T2056" s="41" t="n">
        <f aca="false">IFERROR(L2056/P2056,0)</f>
        <v>803.83</v>
      </c>
    </row>
    <row r="2057" customFormat="false" ht="15" hidden="false" customHeight="false" outlineLevel="0" collapsed="false">
      <c r="A2057" s="33" t="s">
        <v>2169</v>
      </c>
      <c r="B2057" s="34" t="n">
        <v>45650</v>
      </c>
      <c r="C2057" s="34" t="n">
        <v>45656</v>
      </c>
      <c r="D2057" s="33" t="n">
        <v>81</v>
      </c>
      <c r="E2057" s="33" t="s">
        <v>139</v>
      </c>
      <c r="F2057" s="33" t="s">
        <v>173</v>
      </c>
      <c r="G2057" s="33" t="s">
        <v>178</v>
      </c>
      <c r="H2057" s="33" t="s">
        <v>175</v>
      </c>
      <c r="I2057" s="33" t="s">
        <v>143</v>
      </c>
      <c r="J2057" s="33" t="s">
        <v>159</v>
      </c>
      <c r="K2057" s="33" t="s">
        <v>145</v>
      </c>
      <c r="L2057" s="35" t="n">
        <v>12939.18</v>
      </c>
      <c r="M2057" s="33" t="n">
        <v>4</v>
      </c>
      <c r="N2057" s="33" t="s">
        <v>146</v>
      </c>
      <c r="O2057" s="33" t="s">
        <v>147</v>
      </c>
      <c r="P2057" s="39" t="n">
        <f aca="false">C2057-B2057</f>
        <v>6</v>
      </c>
      <c r="Q2057" s="40" t="str">
        <f aca="false">CHOOSE(MONTH(B2057),"يناير","فبراير","مارس","أبريل","مايو","يونيو","يوليو","أغسطس","سبتمبر","أكتوبر","نوفمبر","ديسمبر")</f>
        <v>ديسمبر</v>
      </c>
      <c r="R2057" s="40" t="str">
        <f aca="false">"الربع "&amp;ROUNDUP(MONTH(B2057)/3,0)</f>
        <v>الربع 4</v>
      </c>
      <c r="S2057" s="40" t="str">
        <f aca="false">IF(D2057&lt;=12,"أطفال (0-12)",IF(D2057&lt;=24,"شباب (13-24)",IF(D2057&lt;=44,"بالغون (25-44)",IF(D2057&lt;=64,"متوسطو العمر (45-64)","كبار السن (+65)"))))</f>
        <v>كبار السن (+65)</v>
      </c>
      <c r="T2057" s="41" t="n">
        <f aca="false">IFERROR(L2057/P2057,0)</f>
        <v>2156.53</v>
      </c>
    </row>
    <row r="2058" customFormat="false" ht="15" hidden="false" customHeight="false" outlineLevel="0" collapsed="false">
      <c r="A2058" s="42" t="s">
        <v>1470</v>
      </c>
      <c r="B2058" s="43" t="n">
        <v>45650</v>
      </c>
      <c r="C2058" s="43" t="n">
        <v>45659</v>
      </c>
      <c r="D2058" s="42" t="n">
        <v>48</v>
      </c>
      <c r="E2058" s="42" t="s">
        <v>154</v>
      </c>
      <c r="F2058" s="42" t="s">
        <v>173</v>
      </c>
      <c r="G2058" s="42" t="s">
        <v>174</v>
      </c>
      <c r="H2058" s="42" t="s">
        <v>175</v>
      </c>
      <c r="I2058" s="42" t="s">
        <v>152</v>
      </c>
      <c r="J2058" s="42" t="s">
        <v>159</v>
      </c>
      <c r="K2058" s="42" t="s">
        <v>145</v>
      </c>
      <c r="L2058" s="44" t="n">
        <v>29675.13</v>
      </c>
      <c r="M2058" s="42" t="n">
        <v>3</v>
      </c>
      <c r="N2058" s="42" t="s">
        <v>210</v>
      </c>
      <c r="O2058" s="42" t="s">
        <v>147</v>
      </c>
      <c r="P2058" s="39" t="n">
        <f aca="false">C2058-B2058</f>
        <v>9</v>
      </c>
      <c r="Q2058" s="40" t="str">
        <f aca="false">CHOOSE(MONTH(B2058),"يناير","فبراير","مارس","أبريل","مايو","يونيو","يوليو","أغسطس","سبتمبر","أكتوبر","نوفمبر","ديسمبر")</f>
        <v>ديسمبر</v>
      </c>
      <c r="R2058" s="40" t="str">
        <f aca="false">"الربع "&amp;ROUNDUP(MONTH(B2058)/3,0)</f>
        <v>الربع 4</v>
      </c>
      <c r="S2058" s="40" t="str">
        <f aca="false">IF(D2058&lt;=12,"أطفال (0-12)",IF(D2058&lt;=24,"شباب (13-24)",IF(D2058&lt;=44,"بالغون (25-44)",IF(D2058&lt;=64,"متوسطو العمر (45-64)","كبار السن (+65)"))))</f>
        <v>متوسطو العمر (45-64)</v>
      </c>
      <c r="T2058" s="41" t="n">
        <f aca="false">IFERROR(L2058/P2058,0)</f>
        <v>3297.23666666667</v>
      </c>
    </row>
    <row r="2059" customFormat="false" ht="15" hidden="false" customHeight="false" outlineLevel="0" collapsed="false">
      <c r="A2059" s="33" t="s">
        <v>1652</v>
      </c>
      <c r="B2059" s="34" t="n">
        <v>45650</v>
      </c>
      <c r="C2059" s="34" t="n">
        <v>45652</v>
      </c>
      <c r="D2059" s="33" t="n">
        <v>61</v>
      </c>
      <c r="E2059" s="33" t="s">
        <v>154</v>
      </c>
      <c r="F2059" s="33" t="s">
        <v>203</v>
      </c>
      <c r="G2059" s="33" t="s">
        <v>241</v>
      </c>
      <c r="H2059" s="33" t="s">
        <v>205</v>
      </c>
      <c r="I2059" s="33" t="s">
        <v>143</v>
      </c>
      <c r="J2059" s="33" t="s">
        <v>159</v>
      </c>
      <c r="K2059" s="33" t="s">
        <v>184</v>
      </c>
      <c r="L2059" s="35" t="n">
        <v>1490.7</v>
      </c>
      <c r="M2059" s="33" t="n">
        <v>5</v>
      </c>
      <c r="N2059" s="33" t="s">
        <v>146</v>
      </c>
      <c r="O2059" s="33" t="s">
        <v>147</v>
      </c>
      <c r="P2059" s="39" t="n">
        <f aca="false">C2059-B2059</f>
        <v>2</v>
      </c>
      <c r="Q2059" s="40" t="str">
        <f aca="false">CHOOSE(MONTH(B2059),"يناير","فبراير","مارس","أبريل","مايو","يونيو","يوليو","أغسطس","سبتمبر","أكتوبر","نوفمبر","ديسمبر")</f>
        <v>ديسمبر</v>
      </c>
      <c r="R2059" s="40" t="str">
        <f aca="false">"الربع "&amp;ROUNDUP(MONTH(B2059)/3,0)</f>
        <v>الربع 4</v>
      </c>
      <c r="S2059" s="40" t="str">
        <f aca="false">IF(D2059&lt;=12,"أطفال (0-12)",IF(D2059&lt;=24,"شباب (13-24)",IF(D2059&lt;=44,"بالغون (25-44)",IF(D2059&lt;=64,"متوسطو العمر (45-64)","كبار السن (+65)"))))</f>
        <v>متوسطو العمر (45-64)</v>
      </c>
      <c r="T2059" s="41" t="n">
        <f aca="false">IFERROR(L2059/P2059,0)</f>
        <v>745.35</v>
      </c>
    </row>
    <row r="2060" customFormat="false" ht="15" hidden="false" customHeight="false" outlineLevel="0" collapsed="false">
      <c r="A2060" s="42" t="s">
        <v>1208</v>
      </c>
      <c r="B2060" s="43" t="n">
        <v>45650</v>
      </c>
      <c r="C2060" s="43" t="n">
        <v>45662</v>
      </c>
      <c r="D2060" s="42" t="n">
        <v>46</v>
      </c>
      <c r="E2060" s="42" t="s">
        <v>154</v>
      </c>
      <c r="F2060" s="42" t="s">
        <v>181</v>
      </c>
      <c r="G2060" s="42" t="s">
        <v>237</v>
      </c>
      <c r="H2060" s="42" t="s">
        <v>245</v>
      </c>
      <c r="I2060" s="42" t="s">
        <v>143</v>
      </c>
      <c r="J2060" s="42" t="s">
        <v>159</v>
      </c>
      <c r="K2060" s="42" t="s">
        <v>160</v>
      </c>
      <c r="L2060" s="44" t="n">
        <v>21438.21</v>
      </c>
      <c r="M2060" s="42" t="n">
        <v>4</v>
      </c>
      <c r="N2060" s="42" t="s">
        <v>210</v>
      </c>
      <c r="O2060" s="42" t="s">
        <v>147</v>
      </c>
      <c r="P2060" s="39" t="n">
        <f aca="false">C2060-B2060</f>
        <v>12</v>
      </c>
      <c r="Q2060" s="40" t="str">
        <f aca="false">CHOOSE(MONTH(B2060),"يناير","فبراير","مارس","أبريل","مايو","يونيو","يوليو","أغسطس","سبتمبر","أكتوبر","نوفمبر","ديسمبر")</f>
        <v>ديسمبر</v>
      </c>
      <c r="R2060" s="40" t="str">
        <f aca="false">"الربع "&amp;ROUNDUP(MONTH(B2060)/3,0)</f>
        <v>الربع 4</v>
      </c>
      <c r="S2060" s="40" t="str">
        <f aca="false">IF(D2060&lt;=12,"أطفال (0-12)",IF(D2060&lt;=24,"شباب (13-24)",IF(D2060&lt;=44,"بالغون (25-44)",IF(D2060&lt;=64,"متوسطو العمر (45-64)","كبار السن (+65)"))))</f>
        <v>متوسطو العمر (45-64)</v>
      </c>
      <c r="T2060" s="41" t="n">
        <f aca="false">IFERROR(L2060/P2060,0)</f>
        <v>1786.5175</v>
      </c>
    </row>
    <row r="2061" customFormat="false" ht="15" hidden="false" customHeight="false" outlineLevel="0" collapsed="false">
      <c r="A2061" s="33" t="s">
        <v>1276</v>
      </c>
      <c r="B2061" s="34" t="n">
        <v>45650</v>
      </c>
      <c r="C2061" s="34" t="n">
        <v>45661</v>
      </c>
      <c r="D2061" s="33" t="n">
        <v>47</v>
      </c>
      <c r="E2061" s="33" t="s">
        <v>139</v>
      </c>
      <c r="F2061" s="33" t="s">
        <v>173</v>
      </c>
      <c r="G2061" s="33" t="s">
        <v>198</v>
      </c>
      <c r="H2061" s="33" t="s">
        <v>175</v>
      </c>
      <c r="I2061" s="33" t="s">
        <v>143</v>
      </c>
      <c r="J2061" s="33" t="s">
        <v>159</v>
      </c>
      <c r="K2061" s="33" t="s">
        <v>145</v>
      </c>
      <c r="L2061" s="35" t="n">
        <v>30182.39</v>
      </c>
      <c r="M2061" s="33" t="n">
        <v>4</v>
      </c>
      <c r="N2061" s="33" t="s">
        <v>146</v>
      </c>
      <c r="O2061" s="33" t="s">
        <v>147</v>
      </c>
      <c r="P2061" s="39" t="n">
        <f aca="false">C2061-B2061</f>
        <v>11</v>
      </c>
      <c r="Q2061" s="40" t="str">
        <f aca="false">CHOOSE(MONTH(B2061),"يناير","فبراير","مارس","أبريل","مايو","يونيو","يوليو","أغسطس","سبتمبر","أكتوبر","نوفمبر","ديسمبر")</f>
        <v>ديسمبر</v>
      </c>
      <c r="R2061" s="40" t="str">
        <f aca="false">"الربع "&amp;ROUNDUP(MONTH(B2061)/3,0)</f>
        <v>الربع 4</v>
      </c>
      <c r="S2061" s="40" t="str">
        <f aca="false">IF(D2061&lt;=12,"أطفال (0-12)",IF(D2061&lt;=24,"شباب (13-24)",IF(D2061&lt;=44,"بالغون (25-44)",IF(D2061&lt;=64,"متوسطو العمر (45-64)","كبار السن (+65)"))))</f>
        <v>متوسطو العمر (45-64)</v>
      </c>
      <c r="T2061" s="41" t="n">
        <f aca="false">IFERROR(L2061/P2061,0)</f>
        <v>2743.85363636364</v>
      </c>
    </row>
    <row r="2062" customFormat="false" ht="15" hidden="false" customHeight="false" outlineLevel="0" collapsed="false">
      <c r="A2062" s="42" t="s">
        <v>1752</v>
      </c>
      <c r="B2062" s="43" t="n">
        <v>45651</v>
      </c>
      <c r="C2062" s="43" t="n">
        <v>45654</v>
      </c>
      <c r="D2062" s="42" t="n">
        <v>3</v>
      </c>
      <c r="E2062" s="42" t="s">
        <v>139</v>
      </c>
      <c r="F2062" s="42" t="s">
        <v>155</v>
      </c>
      <c r="G2062" s="42" t="s">
        <v>220</v>
      </c>
      <c r="H2062" s="42" t="s">
        <v>222</v>
      </c>
      <c r="I2062" s="42" t="s">
        <v>143</v>
      </c>
      <c r="J2062" s="42" t="s">
        <v>144</v>
      </c>
      <c r="K2062" s="42" t="s">
        <v>160</v>
      </c>
      <c r="L2062" s="44" t="n">
        <v>4751.76</v>
      </c>
      <c r="M2062" s="42" t="n">
        <v>4</v>
      </c>
      <c r="N2062" s="42" t="s">
        <v>146</v>
      </c>
      <c r="O2062" s="42" t="s">
        <v>147</v>
      </c>
      <c r="P2062" s="39" t="n">
        <f aca="false">C2062-B2062</f>
        <v>3</v>
      </c>
      <c r="Q2062" s="40" t="str">
        <f aca="false">CHOOSE(MONTH(B2062),"يناير","فبراير","مارس","أبريل","مايو","يونيو","يوليو","أغسطس","سبتمبر","أكتوبر","نوفمبر","ديسمبر")</f>
        <v>ديسمبر</v>
      </c>
      <c r="R2062" s="40" t="str">
        <f aca="false">"الربع "&amp;ROUNDUP(MONTH(B2062)/3,0)</f>
        <v>الربع 4</v>
      </c>
      <c r="S2062" s="40" t="str">
        <f aca="false">IF(D2062&lt;=12,"أطفال (0-12)",IF(D2062&lt;=24,"شباب (13-24)",IF(D2062&lt;=44,"بالغون (25-44)",IF(D2062&lt;=64,"متوسطو العمر (45-64)","كبار السن (+65)"))))</f>
        <v>أطفال (0-12)</v>
      </c>
      <c r="T2062" s="41" t="n">
        <f aca="false">IFERROR(L2062/P2062,0)</f>
        <v>1583.92</v>
      </c>
    </row>
    <row r="2063" customFormat="false" ht="15" hidden="false" customHeight="false" outlineLevel="0" collapsed="false">
      <c r="A2063" s="33" t="s">
        <v>272</v>
      </c>
      <c r="B2063" s="34" t="n">
        <v>45651</v>
      </c>
      <c r="C2063" s="34" t="n">
        <v>45653</v>
      </c>
      <c r="D2063" s="33" t="n">
        <v>43</v>
      </c>
      <c r="E2063" s="33" t="s">
        <v>154</v>
      </c>
      <c r="F2063" s="33" t="s">
        <v>169</v>
      </c>
      <c r="G2063" s="33" t="s">
        <v>170</v>
      </c>
      <c r="H2063" s="33" t="s">
        <v>164</v>
      </c>
      <c r="I2063" s="33" t="s">
        <v>152</v>
      </c>
      <c r="J2063" s="33" t="s">
        <v>144</v>
      </c>
      <c r="K2063" s="33" t="s">
        <v>160</v>
      </c>
      <c r="L2063" s="35" t="n">
        <v>4031.2</v>
      </c>
      <c r="M2063" s="33" t="n">
        <v>4</v>
      </c>
      <c r="N2063" s="33" t="s">
        <v>146</v>
      </c>
      <c r="O2063" s="33" t="s">
        <v>247</v>
      </c>
      <c r="P2063" s="39" t="n">
        <f aca="false">C2063-B2063</f>
        <v>2</v>
      </c>
      <c r="Q2063" s="40" t="str">
        <f aca="false">CHOOSE(MONTH(B2063),"يناير","فبراير","مارس","أبريل","مايو","يونيو","يوليو","أغسطس","سبتمبر","أكتوبر","نوفمبر","ديسمبر")</f>
        <v>ديسمبر</v>
      </c>
      <c r="R2063" s="40" t="str">
        <f aca="false">"الربع "&amp;ROUNDUP(MONTH(B2063)/3,0)</f>
        <v>الربع 4</v>
      </c>
      <c r="S2063" s="40" t="str">
        <f aca="false">IF(D2063&lt;=12,"أطفال (0-12)",IF(D2063&lt;=24,"شباب (13-24)",IF(D2063&lt;=44,"بالغون (25-44)",IF(D2063&lt;=64,"متوسطو العمر (45-64)","كبار السن (+65)"))))</f>
        <v>بالغون (25-44)</v>
      </c>
      <c r="T2063" s="41" t="n">
        <f aca="false">IFERROR(L2063/P2063,0)</f>
        <v>2015.6</v>
      </c>
    </row>
    <row r="2064" customFormat="false" ht="15" hidden="false" customHeight="false" outlineLevel="0" collapsed="false">
      <c r="A2064" s="42" t="s">
        <v>1837</v>
      </c>
      <c r="B2064" s="43" t="n">
        <v>45651</v>
      </c>
      <c r="C2064" s="43" t="n">
        <v>45652</v>
      </c>
      <c r="D2064" s="42" t="n">
        <v>0</v>
      </c>
      <c r="E2064" s="42" t="s">
        <v>139</v>
      </c>
      <c r="F2064" s="42" t="s">
        <v>203</v>
      </c>
      <c r="G2064" s="42" t="s">
        <v>192</v>
      </c>
      <c r="H2064" s="42" t="s">
        <v>193</v>
      </c>
      <c r="I2064" s="42" t="s">
        <v>143</v>
      </c>
      <c r="J2064" s="42" t="s">
        <v>144</v>
      </c>
      <c r="K2064" s="42" t="s">
        <v>145</v>
      </c>
      <c r="L2064" s="44" t="n">
        <v>1778.74</v>
      </c>
      <c r="M2064" s="42" t="n">
        <v>3</v>
      </c>
      <c r="N2064" s="42" t="s">
        <v>146</v>
      </c>
      <c r="O2064" s="42" t="s">
        <v>147</v>
      </c>
      <c r="P2064" s="39" t="n">
        <f aca="false">C2064-B2064</f>
        <v>1</v>
      </c>
      <c r="Q2064" s="40" t="str">
        <f aca="false">CHOOSE(MONTH(B2064),"يناير","فبراير","مارس","أبريل","مايو","يونيو","يوليو","أغسطس","سبتمبر","أكتوبر","نوفمبر","ديسمبر")</f>
        <v>ديسمبر</v>
      </c>
      <c r="R2064" s="40" t="str">
        <f aca="false">"الربع "&amp;ROUNDUP(MONTH(B2064)/3,0)</f>
        <v>الربع 4</v>
      </c>
      <c r="S2064" s="40" t="str">
        <f aca="false">IF(D2064&lt;=12,"أطفال (0-12)",IF(D2064&lt;=24,"شباب (13-24)",IF(D2064&lt;=44,"بالغون (25-44)",IF(D2064&lt;=64,"متوسطو العمر (45-64)","كبار السن (+65)"))))</f>
        <v>أطفال (0-12)</v>
      </c>
      <c r="T2064" s="41" t="n">
        <f aca="false">IFERROR(L2064/P2064,0)</f>
        <v>1778.74</v>
      </c>
    </row>
    <row r="2065" customFormat="false" ht="15" hidden="false" customHeight="false" outlineLevel="0" collapsed="false">
      <c r="A2065" s="33" t="s">
        <v>967</v>
      </c>
      <c r="B2065" s="34" t="n">
        <v>45651</v>
      </c>
      <c r="C2065" s="34" t="n">
        <v>45652</v>
      </c>
      <c r="D2065" s="33" t="n">
        <v>42</v>
      </c>
      <c r="E2065" s="33" t="s">
        <v>154</v>
      </c>
      <c r="F2065" s="33" t="s">
        <v>173</v>
      </c>
      <c r="G2065" s="33" t="s">
        <v>178</v>
      </c>
      <c r="H2065" s="33" t="s">
        <v>175</v>
      </c>
      <c r="I2065" s="33" t="s">
        <v>143</v>
      </c>
      <c r="J2065" s="33" t="s">
        <v>159</v>
      </c>
      <c r="K2065" s="33" t="s">
        <v>145</v>
      </c>
      <c r="L2065" s="35" t="n">
        <v>2602.66</v>
      </c>
      <c r="M2065" s="33" t="n">
        <v>4</v>
      </c>
      <c r="N2065" s="33" t="s">
        <v>146</v>
      </c>
      <c r="O2065" s="33" t="s">
        <v>147</v>
      </c>
      <c r="P2065" s="39" t="n">
        <f aca="false">C2065-B2065</f>
        <v>1</v>
      </c>
      <c r="Q2065" s="40" t="str">
        <f aca="false">CHOOSE(MONTH(B2065),"يناير","فبراير","مارس","أبريل","مايو","يونيو","يوليو","أغسطس","سبتمبر","أكتوبر","نوفمبر","ديسمبر")</f>
        <v>ديسمبر</v>
      </c>
      <c r="R2065" s="40" t="str">
        <f aca="false">"الربع "&amp;ROUNDUP(MONTH(B2065)/3,0)</f>
        <v>الربع 4</v>
      </c>
      <c r="S2065" s="40" t="str">
        <f aca="false">IF(D2065&lt;=12,"أطفال (0-12)",IF(D2065&lt;=24,"شباب (13-24)",IF(D2065&lt;=44,"بالغون (25-44)",IF(D2065&lt;=64,"متوسطو العمر (45-64)","كبار السن (+65)"))))</f>
        <v>بالغون (25-44)</v>
      </c>
      <c r="T2065" s="41" t="n">
        <f aca="false">IFERROR(L2065/P2065,0)</f>
        <v>2602.66</v>
      </c>
    </row>
    <row r="2066" customFormat="false" ht="15" hidden="false" customHeight="false" outlineLevel="0" collapsed="false">
      <c r="A2066" s="42" t="s">
        <v>207</v>
      </c>
      <c r="B2066" s="43" t="n">
        <v>45651</v>
      </c>
      <c r="C2066" s="43" t="n">
        <v>45657</v>
      </c>
      <c r="D2066" s="42" t="n">
        <v>45</v>
      </c>
      <c r="E2066" s="42" t="s">
        <v>154</v>
      </c>
      <c r="F2066" s="42" t="s">
        <v>173</v>
      </c>
      <c r="G2066" s="42" t="s">
        <v>178</v>
      </c>
      <c r="H2066" s="42" t="s">
        <v>175</v>
      </c>
      <c r="I2066" s="42" t="s">
        <v>143</v>
      </c>
      <c r="J2066" s="42" t="s">
        <v>159</v>
      </c>
      <c r="K2066" s="42" t="s">
        <v>145</v>
      </c>
      <c r="L2066" s="44" t="n">
        <v>12715.75</v>
      </c>
      <c r="M2066" s="42" t="n">
        <v>5</v>
      </c>
      <c r="N2066" s="42" t="s">
        <v>146</v>
      </c>
      <c r="O2066" s="42" t="s">
        <v>147</v>
      </c>
      <c r="P2066" s="39" t="n">
        <f aca="false">C2066-B2066</f>
        <v>6</v>
      </c>
      <c r="Q2066" s="40" t="str">
        <f aca="false">CHOOSE(MONTH(B2066),"يناير","فبراير","مارس","أبريل","مايو","يونيو","يوليو","أغسطس","سبتمبر","أكتوبر","نوفمبر","ديسمبر")</f>
        <v>ديسمبر</v>
      </c>
      <c r="R2066" s="40" t="str">
        <f aca="false">"الربع "&amp;ROUNDUP(MONTH(B2066)/3,0)</f>
        <v>الربع 4</v>
      </c>
      <c r="S2066" s="40" t="str">
        <f aca="false">IF(D2066&lt;=12,"أطفال (0-12)",IF(D2066&lt;=24,"شباب (13-24)",IF(D2066&lt;=44,"بالغون (25-44)",IF(D2066&lt;=64,"متوسطو العمر (45-64)","كبار السن (+65)"))))</f>
        <v>متوسطو العمر (45-64)</v>
      </c>
      <c r="T2066" s="41" t="n">
        <f aca="false">IFERROR(L2066/P2066,0)</f>
        <v>2119.29166666667</v>
      </c>
    </row>
    <row r="2067" customFormat="false" ht="15" hidden="false" customHeight="false" outlineLevel="0" collapsed="false">
      <c r="A2067" s="33" t="s">
        <v>578</v>
      </c>
      <c r="B2067" s="34" t="n">
        <v>45652</v>
      </c>
      <c r="C2067" s="34" t="n">
        <v>45654</v>
      </c>
      <c r="D2067" s="33" t="n">
        <v>14</v>
      </c>
      <c r="E2067" s="33" t="s">
        <v>154</v>
      </c>
      <c r="F2067" s="33" t="s">
        <v>203</v>
      </c>
      <c r="G2067" s="33" t="s">
        <v>192</v>
      </c>
      <c r="H2067" s="33" t="s">
        <v>193</v>
      </c>
      <c r="I2067" s="33" t="s">
        <v>143</v>
      </c>
      <c r="J2067" s="33" t="s">
        <v>159</v>
      </c>
      <c r="K2067" s="33" t="s">
        <v>160</v>
      </c>
      <c r="L2067" s="35" t="n">
        <v>2219.68</v>
      </c>
      <c r="M2067" s="33" t="n">
        <v>5</v>
      </c>
      <c r="N2067" s="33" t="s">
        <v>146</v>
      </c>
      <c r="O2067" s="33" t="s">
        <v>247</v>
      </c>
      <c r="P2067" s="39" t="n">
        <f aca="false">C2067-B2067</f>
        <v>2</v>
      </c>
      <c r="Q2067" s="40" t="str">
        <f aca="false">CHOOSE(MONTH(B2067),"يناير","فبراير","مارس","أبريل","مايو","يونيو","يوليو","أغسطس","سبتمبر","أكتوبر","نوفمبر","ديسمبر")</f>
        <v>ديسمبر</v>
      </c>
      <c r="R2067" s="40" t="str">
        <f aca="false">"الربع "&amp;ROUNDUP(MONTH(B2067)/3,0)</f>
        <v>الربع 4</v>
      </c>
      <c r="S2067" s="40" t="str">
        <f aca="false">IF(D2067&lt;=12,"أطفال (0-12)",IF(D2067&lt;=24,"شباب (13-24)",IF(D2067&lt;=44,"بالغون (25-44)",IF(D2067&lt;=64,"متوسطو العمر (45-64)","كبار السن (+65)"))))</f>
        <v>شباب (13-24)</v>
      </c>
      <c r="T2067" s="41" t="n">
        <f aca="false">IFERROR(L2067/P2067,0)</f>
        <v>1109.84</v>
      </c>
    </row>
    <row r="2068" customFormat="false" ht="15" hidden="false" customHeight="false" outlineLevel="0" collapsed="false">
      <c r="A2068" s="42" t="s">
        <v>1959</v>
      </c>
      <c r="B2068" s="43" t="n">
        <v>45652</v>
      </c>
      <c r="C2068" s="43" t="n">
        <v>45654</v>
      </c>
      <c r="D2068" s="42" t="n">
        <v>21</v>
      </c>
      <c r="E2068" s="42" t="s">
        <v>139</v>
      </c>
      <c r="F2068" s="42" t="s">
        <v>203</v>
      </c>
      <c r="G2068" s="42" t="s">
        <v>204</v>
      </c>
      <c r="H2068" s="42" t="s">
        <v>233</v>
      </c>
      <c r="I2068" s="42" t="s">
        <v>152</v>
      </c>
      <c r="J2068" s="42" t="s">
        <v>159</v>
      </c>
      <c r="K2068" s="42" t="s">
        <v>184</v>
      </c>
      <c r="L2068" s="44" t="n">
        <v>1359.48</v>
      </c>
      <c r="M2068" s="42" t="n">
        <v>4</v>
      </c>
      <c r="N2068" s="42" t="s">
        <v>146</v>
      </c>
      <c r="O2068" s="42" t="s">
        <v>147</v>
      </c>
      <c r="P2068" s="39" t="n">
        <f aca="false">C2068-B2068</f>
        <v>2</v>
      </c>
      <c r="Q2068" s="40" t="str">
        <f aca="false">CHOOSE(MONTH(B2068),"يناير","فبراير","مارس","أبريل","مايو","يونيو","يوليو","أغسطس","سبتمبر","أكتوبر","نوفمبر","ديسمبر")</f>
        <v>ديسمبر</v>
      </c>
      <c r="R2068" s="40" t="str">
        <f aca="false">"الربع "&amp;ROUNDUP(MONTH(B2068)/3,0)</f>
        <v>الربع 4</v>
      </c>
      <c r="S2068" s="40" t="str">
        <f aca="false">IF(D2068&lt;=12,"أطفال (0-12)",IF(D2068&lt;=24,"شباب (13-24)",IF(D2068&lt;=44,"بالغون (25-44)",IF(D2068&lt;=64,"متوسطو العمر (45-64)","كبار السن (+65)"))))</f>
        <v>شباب (13-24)</v>
      </c>
      <c r="T2068" s="41" t="n">
        <f aca="false">IFERROR(L2068/P2068,0)</f>
        <v>679.74</v>
      </c>
    </row>
    <row r="2069" customFormat="false" ht="15" hidden="false" customHeight="false" outlineLevel="0" collapsed="false">
      <c r="A2069" s="33" t="s">
        <v>194</v>
      </c>
      <c r="B2069" s="34" t="n">
        <v>45652</v>
      </c>
      <c r="C2069" s="34" t="n">
        <v>45657</v>
      </c>
      <c r="D2069" s="33" t="n">
        <v>55</v>
      </c>
      <c r="E2069" s="33" t="s">
        <v>154</v>
      </c>
      <c r="F2069" s="33" t="s">
        <v>169</v>
      </c>
      <c r="G2069" s="33" t="s">
        <v>163</v>
      </c>
      <c r="H2069" s="33" t="s">
        <v>195</v>
      </c>
      <c r="I2069" s="33" t="s">
        <v>143</v>
      </c>
      <c r="J2069" s="33" t="s">
        <v>159</v>
      </c>
      <c r="K2069" s="33" t="s">
        <v>184</v>
      </c>
      <c r="L2069" s="35" t="n">
        <v>3898.42</v>
      </c>
      <c r="M2069" s="33" t="n">
        <v>5</v>
      </c>
      <c r="N2069" s="33" t="s">
        <v>146</v>
      </c>
      <c r="O2069" s="33" t="s">
        <v>147</v>
      </c>
      <c r="P2069" s="39" t="n">
        <f aca="false">C2069-B2069</f>
        <v>5</v>
      </c>
      <c r="Q2069" s="40" t="str">
        <f aca="false">CHOOSE(MONTH(B2069),"يناير","فبراير","مارس","أبريل","مايو","يونيو","يوليو","أغسطس","سبتمبر","أكتوبر","نوفمبر","ديسمبر")</f>
        <v>ديسمبر</v>
      </c>
      <c r="R2069" s="40" t="str">
        <f aca="false">"الربع "&amp;ROUNDUP(MONTH(B2069)/3,0)</f>
        <v>الربع 4</v>
      </c>
      <c r="S2069" s="40" t="str">
        <f aca="false">IF(D2069&lt;=12,"أطفال (0-12)",IF(D2069&lt;=24,"شباب (13-24)",IF(D2069&lt;=44,"بالغون (25-44)",IF(D2069&lt;=64,"متوسطو العمر (45-64)","كبار السن (+65)"))))</f>
        <v>متوسطو العمر (45-64)</v>
      </c>
      <c r="T2069" s="41" t="n">
        <f aca="false">IFERROR(L2069/P2069,0)</f>
        <v>779.684</v>
      </c>
    </row>
    <row r="2070" customFormat="false" ht="15" hidden="false" customHeight="false" outlineLevel="0" collapsed="false">
      <c r="A2070" s="42" t="s">
        <v>1751</v>
      </c>
      <c r="B2070" s="43" t="n">
        <v>45652</v>
      </c>
      <c r="C2070" s="43" t="n">
        <v>45654</v>
      </c>
      <c r="D2070" s="42" t="n">
        <v>10</v>
      </c>
      <c r="E2070" s="42" t="s">
        <v>154</v>
      </c>
      <c r="F2070" s="42" t="s">
        <v>155</v>
      </c>
      <c r="G2070" s="42" t="s">
        <v>302</v>
      </c>
      <c r="H2070" s="42" t="s">
        <v>157</v>
      </c>
      <c r="I2070" s="42" t="s">
        <v>143</v>
      </c>
      <c r="J2070" s="42" t="s">
        <v>159</v>
      </c>
      <c r="K2070" s="42" t="s">
        <v>209</v>
      </c>
      <c r="L2070" s="44" t="n">
        <v>1793.24</v>
      </c>
      <c r="M2070" s="42" t="n">
        <v>5</v>
      </c>
      <c r="N2070" s="42" t="s">
        <v>146</v>
      </c>
      <c r="O2070" s="42" t="s">
        <v>147</v>
      </c>
      <c r="P2070" s="39" t="n">
        <f aca="false">C2070-B2070</f>
        <v>2</v>
      </c>
      <c r="Q2070" s="40" t="str">
        <f aca="false">CHOOSE(MONTH(B2070),"يناير","فبراير","مارس","أبريل","مايو","يونيو","يوليو","أغسطس","سبتمبر","أكتوبر","نوفمبر","ديسمبر")</f>
        <v>ديسمبر</v>
      </c>
      <c r="R2070" s="40" t="str">
        <f aca="false">"الربع "&amp;ROUNDUP(MONTH(B2070)/3,0)</f>
        <v>الربع 4</v>
      </c>
      <c r="S2070" s="40" t="str">
        <f aca="false">IF(D2070&lt;=12,"أطفال (0-12)",IF(D2070&lt;=24,"شباب (13-24)",IF(D2070&lt;=44,"بالغون (25-44)",IF(D2070&lt;=64,"متوسطو العمر (45-64)","كبار السن (+65)"))))</f>
        <v>أطفال (0-12)</v>
      </c>
      <c r="T2070" s="41" t="n">
        <f aca="false">IFERROR(L2070/P2070,0)</f>
        <v>896.62</v>
      </c>
    </row>
    <row r="2071" customFormat="false" ht="15" hidden="false" customHeight="false" outlineLevel="0" collapsed="false">
      <c r="A2071" s="33" t="s">
        <v>2307</v>
      </c>
      <c r="B2071" s="34" t="n">
        <v>45652</v>
      </c>
      <c r="C2071" s="34" t="n">
        <v>45658</v>
      </c>
      <c r="D2071" s="33" t="n">
        <v>59</v>
      </c>
      <c r="E2071" s="33" t="s">
        <v>139</v>
      </c>
      <c r="F2071" s="33" t="s">
        <v>140</v>
      </c>
      <c r="G2071" s="33" t="s">
        <v>316</v>
      </c>
      <c r="H2071" s="33" t="s">
        <v>290</v>
      </c>
      <c r="I2071" s="33" t="s">
        <v>143</v>
      </c>
      <c r="J2071" s="33" t="s">
        <v>176</v>
      </c>
      <c r="K2071" s="33" t="s">
        <v>145</v>
      </c>
      <c r="L2071" s="35" t="n">
        <v>55951.26</v>
      </c>
      <c r="M2071" s="33" t="n">
        <v>4</v>
      </c>
      <c r="N2071" s="33" t="s">
        <v>146</v>
      </c>
      <c r="O2071" s="33" t="s">
        <v>147</v>
      </c>
      <c r="P2071" s="39" t="n">
        <f aca="false">C2071-B2071</f>
        <v>6</v>
      </c>
      <c r="Q2071" s="40" t="str">
        <f aca="false">CHOOSE(MONTH(B2071),"يناير","فبراير","مارس","أبريل","مايو","يونيو","يوليو","أغسطس","سبتمبر","أكتوبر","نوفمبر","ديسمبر")</f>
        <v>ديسمبر</v>
      </c>
      <c r="R2071" s="40" t="str">
        <f aca="false">"الربع "&amp;ROUNDUP(MONTH(B2071)/3,0)</f>
        <v>الربع 4</v>
      </c>
      <c r="S2071" s="40" t="str">
        <f aca="false">IF(D2071&lt;=12,"أطفال (0-12)",IF(D2071&lt;=24,"شباب (13-24)",IF(D2071&lt;=44,"بالغون (25-44)",IF(D2071&lt;=64,"متوسطو العمر (45-64)","كبار السن (+65)"))))</f>
        <v>متوسطو العمر (45-64)</v>
      </c>
      <c r="T2071" s="41" t="n">
        <f aca="false">IFERROR(L2071/P2071,0)</f>
        <v>9325.21</v>
      </c>
    </row>
    <row r="2072" customFormat="false" ht="15" hidden="false" customHeight="false" outlineLevel="0" collapsed="false">
      <c r="A2072" s="42" t="s">
        <v>1858</v>
      </c>
      <c r="B2072" s="43" t="n">
        <v>45652</v>
      </c>
      <c r="C2072" s="43" t="n">
        <v>45653</v>
      </c>
      <c r="D2072" s="42" t="n">
        <v>78</v>
      </c>
      <c r="E2072" s="42" t="s">
        <v>154</v>
      </c>
      <c r="F2072" s="42" t="s">
        <v>203</v>
      </c>
      <c r="G2072" s="42" t="s">
        <v>232</v>
      </c>
      <c r="H2072" s="42" t="s">
        <v>193</v>
      </c>
      <c r="I2072" s="42" t="s">
        <v>143</v>
      </c>
      <c r="J2072" s="42" t="s">
        <v>159</v>
      </c>
      <c r="K2072" s="42" t="s">
        <v>145</v>
      </c>
      <c r="L2072" s="44" t="n">
        <v>794.41</v>
      </c>
      <c r="M2072" s="42" t="n">
        <v>4</v>
      </c>
      <c r="N2072" s="42" t="s">
        <v>146</v>
      </c>
      <c r="O2072" s="42" t="s">
        <v>147</v>
      </c>
      <c r="P2072" s="39" t="n">
        <f aca="false">C2072-B2072</f>
        <v>1</v>
      </c>
      <c r="Q2072" s="40" t="str">
        <f aca="false">CHOOSE(MONTH(B2072),"يناير","فبراير","مارس","أبريل","مايو","يونيو","يوليو","أغسطس","سبتمبر","أكتوبر","نوفمبر","ديسمبر")</f>
        <v>ديسمبر</v>
      </c>
      <c r="R2072" s="40" t="str">
        <f aca="false">"الربع "&amp;ROUNDUP(MONTH(B2072)/3,0)</f>
        <v>الربع 4</v>
      </c>
      <c r="S2072" s="40" t="str">
        <f aca="false">IF(D2072&lt;=12,"أطفال (0-12)",IF(D2072&lt;=24,"شباب (13-24)",IF(D2072&lt;=44,"بالغون (25-44)",IF(D2072&lt;=64,"متوسطو العمر (45-64)","كبار السن (+65)"))))</f>
        <v>كبار السن (+65)</v>
      </c>
      <c r="T2072" s="41" t="n">
        <f aca="false">IFERROR(L2072/P2072,0)</f>
        <v>794.41</v>
      </c>
    </row>
    <row r="2073" customFormat="false" ht="15" hidden="false" customHeight="false" outlineLevel="0" collapsed="false">
      <c r="A2073" s="33" t="s">
        <v>1327</v>
      </c>
      <c r="B2073" s="34" t="n">
        <v>45652</v>
      </c>
      <c r="C2073" s="34" t="n">
        <v>45653</v>
      </c>
      <c r="D2073" s="33" t="n">
        <v>4</v>
      </c>
      <c r="E2073" s="33" t="s">
        <v>154</v>
      </c>
      <c r="F2073" s="33" t="s">
        <v>155</v>
      </c>
      <c r="G2073" s="33" t="s">
        <v>302</v>
      </c>
      <c r="H2073" s="33" t="s">
        <v>157</v>
      </c>
      <c r="I2073" s="33" t="s">
        <v>143</v>
      </c>
      <c r="J2073" s="33" t="s">
        <v>144</v>
      </c>
      <c r="K2073" s="33" t="s">
        <v>145</v>
      </c>
      <c r="L2073" s="35" t="n">
        <v>1561.39</v>
      </c>
      <c r="M2073" s="33" t="n">
        <v>5</v>
      </c>
      <c r="N2073" s="33" t="s">
        <v>146</v>
      </c>
      <c r="O2073" s="33" t="s">
        <v>147</v>
      </c>
      <c r="P2073" s="39" t="n">
        <f aca="false">C2073-B2073</f>
        <v>1</v>
      </c>
      <c r="Q2073" s="40" t="str">
        <f aca="false">CHOOSE(MONTH(B2073),"يناير","فبراير","مارس","أبريل","مايو","يونيو","يوليو","أغسطس","سبتمبر","أكتوبر","نوفمبر","ديسمبر")</f>
        <v>ديسمبر</v>
      </c>
      <c r="R2073" s="40" t="str">
        <f aca="false">"الربع "&amp;ROUNDUP(MONTH(B2073)/3,0)</f>
        <v>الربع 4</v>
      </c>
      <c r="S2073" s="40" t="str">
        <f aca="false">IF(D2073&lt;=12,"أطفال (0-12)",IF(D2073&lt;=24,"شباب (13-24)",IF(D2073&lt;=44,"بالغون (25-44)",IF(D2073&lt;=64,"متوسطو العمر (45-64)","كبار السن (+65)"))))</f>
        <v>أطفال (0-12)</v>
      </c>
      <c r="T2073" s="41" t="n">
        <f aca="false">IFERROR(L2073/P2073,0)</f>
        <v>1561.39</v>
      </c>
    </row>
    <row r="2074" customFormat="false" ht="15" hidden="false" customHeight="false" outlineLevel="0" collapsed="false">
      <c r="A2074" s="42" t="s">
        <v>1718</v>
      </c>
      <c r="B2074" s="43" t="n">
        <v>45652</v>
      </c>
      <c r="C2074" s="43" t="n">
        <v>45661</v>
      </c>
      <c r="D2074" s="42" t="n">
        <v>52</v>
      </c>
      <c r="E2074" s="42" t="s">
        <v>139</v>
      </c>
      <c r="F2074" s="42" t="s">
        <v>226</v>
      </c>
      <c r="G2074" s="42" t="s">
        <v>386</v>
      </c>
      <c r="H2074" s="42" t="s">
        <v>228</v>
      </c>
      <c r="I2074" s="42" t="s">
        <v>143</v>
      </c>
      <c r="J2074" s="42" t="s">
        <v>159</v>
      </c>
      <c r="K2074" s="42" t="s">
        <v>145</v>
      </c>
      <c r="L2074" s="44" t="n">
        <v>28955.15</v>
      </c>
      <c r="M2074" s="42" t="n">
        <v>4</v>
      </c>
      <c r="N2074" s="42" t="s">
        <v>146</v>
      </c>
      <c r="O2074" s="42" t="s">
        <v>147</v>
      </c>
      <c r="P2074" s="39" t="n">
        <f aca="false">C2074-B2074</f>
        <v>9</v>
      </c>
      <c r="Q2074" s="40" t="str">
        <f aca="false">CHOOSE(MONTH(B2074),"يناير","فبراير","مارس","أبريل","مايو","يونيو","يوليو","أغسطس","سبتمبر","أكتوبر","نوفمبر","ديسمبر")</f>
        <v>ديسمبر</v>
      </c>
      <c r="R2074" s="40" t="str">
        <f aca="false">"الربع "&amp;ROUNDUP(MONTH(B2074)/3,0)</f>
        <v>الربع 4</v>
      </c>
      <c r="S2074" s="40" t="str">
        <f aca="false">IF(D2074&lt;=12,"أطفال (0-12)",IF(D2074&lt;=24,"شباب (13-24)",IF(D2074&lt;=44,"بالغون (25-44)",IF(D2074&lt;=64,"متوسطو العمر (45-64)","كبار السن (+65)"))))</f>
        <v>متوسطو العمر (45-64)</v>
      </c>
      <c r="T2074" s="41" t="n">
        <f aca="false">IFERROR(L2074/P2074,0)</f>
        <v>3217.23888888889</v>
      </c>
    </row>
    <row r="2075" customFormat="false" ht="15" hidden="false" customHeight="false" outlineLevel="0" collapsed="false">
      <c r="A2075" s="33" t="s">
        <v>1932</v>
      </c>
      <c r="B2075" s="34" t="n">
        <v>45652</v>
      </c>
      <c r="C2075" s="34" t="n">
        <v>45656</v>
      </c>
      <c r="D2075" s="33" t="n">
        <v>52</v>
      </c>
      <c r="E2075" s="33" t="s">
        <v>139</v>
      </c>
      <c r="F2075" s="33" t="s">
        <v>169</v>
      </c>
      <c r="G2075" s="33" t="s">
        <v>213</v>
      </c>
      <c r="H2075" s="33" t="s">
        <v>171</v>
      </c>
      <c r="I2075" s="33" t="s">
        <v>152</v>
      </c>
      <c r="J2075" s="33" t="s">
        <v>159</v>
      </c>
      <c r="K2075" s="33" t="s">
        <v>209</v>
      </c>
      <c r="L2075" s="35" t="n">
        <v>4095</v>
      </c>
      <c r="M2075" s="33" t="n">
        <v>4</v>
      </c>
      <c r="N2075" s="33" t="s">
        <v>146</v>
      </c>
      <c r="O2075" s="33" t="s">
        <v>147</v>
      </c>
      <c r="P2075" s="39" t="n">
        <f aca="false">C2075-B2075</f>
        <v>4</v>
      </c>
      <c r="Q2075" s="40" t="str">
        <f aca="false">CHOOSE(MONTH(B2075),"يناير","فبراير","مارس","أبريل","مايو","يونيو","يوليو","أغسطس","سبتمبر","أكتوبر","نوفمبر","ديسمبر")</f>
        <v>ديسمبر</v>
      </c>
      <c r="R2075" s="40" t="str">
        <f aca="false">"الربع "&amp;ROUNDUP(MONTH(B2075)/3,0)</f>
        <v>الربع 4</v>
      </c>
      <c r="S2075" s="40" t="str">
        <f aca="false">IF(D2075&lt;=12,"أطفال (0-12)",IF(D2075&lt;=24,"شباب (13-24)",IF(D2075&lt;=44,"بالغون (25-44)",IF(D2075&lt;=64,"متوسطو العمر (45-64)","كبار السن (+65)"))))</f>
        <v>متوسطو العمر (45-64)</v>
      </c>
      <c r="T2075" s="41" t="n">
        <f aca="false">IFERROR(L2075/P2075,0)</f>
        <v>1023.75</v>
      </c>
    </row>
    <row r="2076" customFormat="false" ht="15" hidden="false" customHeight="false" outlineLevel="0" collapsed="false">
      <c r="A2076" s="42" t="s">
        <v>1367</v>
      </c>
      <c r="B2076" s="43" t="n">
        <v>45653</v>
      </c>
      <c r="C2076" s="43" t="n">
        <v>45654</v>
      </c>
      <c r="D2076" s="42" t="n">
        <v>36</v>
      </c>
      <c r="E2076" s="42" t="s">
        <v>139</v>
      </c>
      <c r="F2076" s="42" t="s">
        <v>149</v>
      </c>
      <c r="G2076" s="42" t="s">
        <v>243</v>
      </c>
      <c r="H2076" s="42" t="s">
        <v>151</v>
      </c>
      <c r="I2076" s="42" t="s">
        <v>143</v>
      </c>
      <c r="J2076" s="42" t="s">
        <v>159</v>
      </c>
      <c r="K2076" s="42" t="s">
        <v>145</v>
      </c>
      <c r="L2076" s="44" t="n">
        <v>1620.35</v>
      </c>
      <c r="M2076" s="42" t="n">
        <v>4</v>
      </c>
      <c r="N2076" s="42" t="s">
        <v>146</v>
      </c>
      <c r="O2076" s="42" t="s">
        <v>147</v>
      </c>
      <c r="P2076" s="39" t="n">
        <f aca="false">C2076-B2076</f>
        <v>1</v>
      </c>
      <c r="Q2076" s="40" t="str">
        <f aca="false">CHOOSE(MONTH(B2076),"يناير","فبراير","مارس","أبريل","مايو","يونيو","يوليو","أغسطس","سبتمبر","أكتوبر","نوفمبر","ديسمبر")</f>
        <v>ديسمبر</v>
      </c>
      <c r="R2076" s="40" t="str">
        <f aca="false">"الربع "&amp;ROUNDUP(MONTH(B2076)/3,0)</f>
        <v>الربع 4</v>
      </c>
      <c r="S2076" s="40" t="str">
        <f aca="false">IF(D2076&lt;=12,"أطفال (0-12)",IF(D2076&lt;=24,"شباب (13-24)",IF(D2076&lt;=44,"بالغون (25-44)",IF(D2076&lt;=64,"متوسطو العمر (45-64)","كبار السن (+65)"))))</f>
        <v>بالغون (25-44)</v>
      </c>
      <c r="T2076" s="41" t="n">
        <f aca="false">IFERROR(L2076/P2076,0)</f>
        <v>1620.35</v>
      </c>
    </row>
    <row r="2077" customFormat="false" ht="15" hidden="false" customHeight="false" outlineLevel="0" collapsed="false">
      <c r="A2077" s="33" t="s">
        <v>1002</v>
      </c>
      <c r="B2077" s="34" t="n">
        <v>45653</v>
      </c>
      <c r="C2077" s="34" t="n">
        <v>45655</v>
      </c>
      <c r="D2077" s="33" t="n">
        <v>6</v>
      </c>
      <c r="E2077" s="33" t="s">
        <v>154</v>
      </c>
      <c r="F2077" s="33" t="s">
        <v>155</v>
      </c>
      <c r="G2077" s="33" t="s">
        <v>302</v>
      </c>
      <c r="H2077" s="33" t="s">
        <v>222</v>
      </c>
      <c r="I2077" s="33" t="s">
        <v>143</v>
      </c>
      <c r="J2077" s="33" t="s">
        <v>159</v>
      </c>
      <c r="K2077" s="33" t="s">
        <v>145</v>
      </c>
      <c r="L2077" s="35" t="n">
        <v>1570.93</v>
      </c>
      <c r="M2077" s="33" t="n">
        <v>5</v>
      </c>
      <c r="N2077" s="33" t="s">
        <v>146</v>
      </c>
      <c r="O2077" s="33" t="s">
        <v>147</v>
      </c>
      <c r="P2077" s="39" t="n">
        <f aca="false">C2077-B2077</f>
        <v>2</v>
      </c>
      <c r="Q2077" s="40" t="str">
        <f aca="false">CHOOSE(MONTH(B2077),"يناير","فبراير","مارس","أبريل","مايو","يونيو","يوليو","أغسطس","سبتمبر","أكتوبر","نوفمبر","ديسمبر")</f>
        <v>ديسمبر</v>
      </c>
      <c r="R2077" s="40" t="str">
        <f aca="false">"الربع "&amp;ROUNDUP(MONTH(B2077)/3,0)</f>
        <v>الربع 4</v>
      </c>
      <c r="S2077" s="40" t="str">
        <f aca="false">IF(D2077&lt;=12,"أطفال (0-12)",IF(D2077&lt;=24,"شباب (13-24)",IF(D2077&lt;=44,"بالغون (25-44)",IF(D2077&lt;=64,"متوسطو العمر (45-64)","كبار السن (+65)"))))</f>
        <v>أطفال (0-12)</v>
      </c>
      <c r="T2077" s="41" t="n">
        <f aca="false">IFERROR(L2077/P2077,0)</f>
        <v>785.465</v>
      </c>
    </row>
    <row r="2078" customFormat="false" ht="15" hidden="false" customHeight="false" outlineLevel="0" collapsed="false">
      <c r="A2078" s="42" t="s">
        <v>1415</v>
      </c>
      <c r="B2078" s="43" t="n">
        <v>45653</v>
      </c>
      <c r="C2078" s="43" t="n">
        <v>45658</v>
      </c>
      <c r="D2078" s="42" t="n">
        <v>51</v>
      </c>
      <c r="E2078" s="42" t="s">
        <v>139</v>
      </c>
      <c r="F2078" s="42" t="s">
        <v>226</v>
      </c>
      <c r="G2078" s="42" t="s">
        <v>386</v>
      </c>
      <c r="H2078" s="42" t="s">
        <v>263</v>
      </c>
      <c r="I2078" s="42" t="s">
        <v>143</v>
      </c>
      <c r="J2078" s="42" t="s">
        <v>144</v>
      </c>
      <c r="K2078" s="42" t="s">
        <v>160</v>
      </c>
      <c r="L2078" s="44" t="n">
        <v>31380.8</v>
      </c>
      <c r="M2078" s="42" t="n">
        <v>3</v>
      </c>
      <c r="N2078" s="42" t="s">
        <v>146</v>
      </c>
      <c r="O2078" s="42" t="s">
        <v>147</v>
      </c>
      <c r="P2078" s="39" t="n">
        <f aca="false">C2078-B2078</f>
        <v>5</v>
      </c>
      <c r="Q2078" s="40" t="str">
        <f aca="false">CHOOSE(MONTH(B2078),"يناير","فبراير","مارس","أبريل","مايو","يونيو","يوليو","أغسطس","سبتمبر","أكتوبر","نوفمبر","ديسمبر")</f>
        <v>ديسمبر</v>
      </c>
      <c r="R2078" s="40" t="str">
        <f aca="false">"الربع "&amp;ROUNDUP(MONTH(B2078)/3,0)</f>
        <v>الربع 4</v>
      </c>
      <c r="S2078" s="40" t="str">
        <f aca="false">IF(D2078&lt;=12,"أطفال (0-12)",IF(D2078&lt;=24,"شباب (13-24)",IF(D2078&lt;=44,"بالغون (25-44)",IF(D2078&lt;=64,"متوسطو العمر (45-64)","كبار السن (+65)"))))</f>
        <v>متوسطو العمر (45-64)</v>
      </c>
      <c r="T2078" s="41" t="n">
        <f aca="false">IFERROR(L2078/P2078,0)</f>
        <v>6276.16</v>
      </c>
    </row>
    <row r="2079" customFormat="false" ht="15" hidden="false" customHeight="false" outlineLevel="0" collapsed="false">
      <c r="A2079" s="33" t="s">
        <v>930</v>
      </c>
      <c r="B2079" s="34" t="n">
        <v>45653</v>
      </c>
      <c r="C2079" s="34" t="n">
        <v>45654</v>
      </c>
      <c r="D2079" s="33" t="n">
        <v>37</v>
      </c>
      <c r="E2079" s="33" t="s">
        <v>139</v>
      </c>
      <c r="F2079" s="33" t="s">
        <v>149</v>
      </c>
      <c r="G2079" s="33" t="s">
        <v>150</v>
      </c>
      <c r="H2079" s="33" t="s">
        <v>186</v>
      </c>
      <c r="I2079" s="33" t="s">
        <v>143</v>
      </c>
      <c r="J2079" s="33" t="s">
        <v>159</v>
      </c>
      <c r="K2079" s="33" t="s">
        <v>160</v>
      </c>
      <c r="L2079" s="35" t="n">
        <v>1744.43</v>
      </c>
      <c r="M2079" s="33" t="n">
        <v>4</v>
      </c>
      <c r="N2079" s="33" t="s">
        <v>146</v>
      </c>
      <c r="O2079" s="33" t="s">
        <v>147</v>
      </c>
      <c r="P2079" s="39" t="n">
        <f aca="false">C2079-B2079</f>
        <v>1</v>
      </c>
      <c r="Q2079" s="40" t="str">
        <f aca="false">CHOOSE(MONTH(B2079),"يناير","فبراير","مارس","أبريل","مايو","يونيو","يوليو","أغسطس","سبتمبر","أكتوبر","نوفمبر","ديسمبر")</f>
        <v>ديسمبر</v>
      </c>
      <c r="R2079" s="40" t="str">
        <f aca="false">"الربع "&amp;ROUNDUP(MONTH(B2079)/3,0)</f>
        <v>الربع 4</v>
      </c>
      <c r="S2079" s="40" t="str">
        <f aca="false">IF(D2079&lt;=12,"أطفال (0-12)",IF(D2079&lt;=24,"شباب (13-24)",IF(D2079&lt;=44,"بالغون (25-44)",IF(D2079&lt;=64,"متوسطو العمر (45-64)","كبار السن (+65)"))))</f>
        <v>بالغون (25-44)</v>
      </c>
      <c r="T2079" s="41" t="n">
        <f aca="false">IFERROR(L2079/P2079,0)</f>
        <v>1744.43</v>
      </c>
    </row>
    <row r="2080" customFormat="false" ht="15" hidden="false" customHeight="false" outlineLevel="0" collapsed="false">
      <c r="A2080" s="42" t="s">
        <v>361</v>
      </c>
      <c r="B2080" s="43" t="n">
        <v>45654</v>
      </c>
      <c r="C2080" s="43" t="n">
        <v>45659</v>
      </c>
      <c r="D2080" s="42" t="n">
        <v>47</v>
      </c>
      <c r="E2080" s="42" t="s">
        <v>154</v>
      </c>
      <c r="F2080" s="42" t="s">
        <v>181</v>
      </c>
      <c r="G2080" s="42" t="s">
        <v>237</v>
      </c>
      <c r="H2080" s="42" t="s">
        <v>245</v>
      </c>
      <c r="I2080" s="42" t="s">
        <v>143</v>
      </c>
      <c r="J2080" s="42" t="s">
        <v>159</v>
      </c>
      <c r="K2080" s="42" t="s">
        <v>145</v>
      </c>
      <c r="L2080" s="44" t="n">
        <v>12353.63</v>
      </c>
      <c r="M2080" s="42" t="n">
        <v>5</v>
      </c>
      <c r="N2080" s="42" t="s">
        <v>146</v>
      </c>
      <c r="O2080" s="42" t="s">
        <v>206</v>
      </c>
      <c r="P2080" s="39" t="n">
        <f aca="false">C2080-B2080</f>
        <v>5</v>
      </c>
      <c r="Q2080" s="40" t="str">
        <f aca="false">CHOOSE(MONTH(B2080),"يناير","فبراير","مارس","أبريل","مايو","يونيو","يوليو","أغسطس","سبتمبر","أكتوبر","نوفمبر","ديسمبر")</f>
        <v>ديسمبر</v>
      </c>
      <c r="R2080" s="40" t="str">
        <f aca="false">"الربع "&amp;ROUNDUP(MONTH(B2080)/3,0)</f>
        <v>الربع 4</v>
      </c>
      <c r="S2080" s="40" t="str">
        <f aca="false">IF(D2080&lt;=12,"أطفال (0-12)",IF(D2080&lt;=24,"شباب (13-24)",IF(D2080&lt;=44,"بالغون (25-44)",IF(D2080&lt;=64,"متوسطو العمر (45-64)","كبار السن (+65)"))))</f>
        <v>متوسطو العمر (45-64)</v>
      </c>
      <c r="T2080" s="41" t="n">
        <f aca="false">IFERROR(L2080/P2080,0)</f>
        <v>2470.726</v>
      </c>
    </row>
    <row r="2081" customFormat="false" ht="15" hidden="false" customHeight="false" outlineLevel="0" collapsed="false">
      <c r="A2081" s="33" t="s">
        <v>999</v>
      </c>
      <c r="B2081" s="34" t="n">
        <v>45654</v>
      </c>
      <c r="C2081" s="34" t="n">
        <v>45659</v>
      </c>
      <c r="D2081" s="33" t="n">
        <v>24</v>
      </c>
      <c r="E2081" s="33" t="s">
        <v>154</v>
      </c>
      <c r="F2081" s="33" t="s">
        <v>169</v>
      </c>
      <c r="G2081" s="33" t="s">
        <v>170</v>
      </c>
      <c r="H2081" s="33" t="s">
        <v>171</v>
      </c>
      <c r="I2081" s="33" t="s">
        <v>152</v>
      </c>
      <c r="J2081" s="33" t="s">
        <v>159</v>
      </c>
      <c r="K2081" s="33" t="s">
        <v>160</v>
      </c>
      <c r="L2081" s="35" t="n">
        <v>4830.71</v>
      </c>
      <c r="M2081" s="33" t="n">
        <v>4</v>
      </c>
      <c r="N2081" s="33" t="s">
        <v>146</v>
      </c>
      <c r="O2081" s="33" t="s">
        <v>147</v>
      </c>
      <c r="P2081" s="39" t="n">
        <f aca="false">C2081-B2081</f>
        <v>5</v>
      </c>
      <c r="Q2081" s="40" t="str">
        <f aca="false">CHOOSE(MONTH(B2081),"يناير","فبراير","مارس","أبريل","مايو","يونيو","يوليو","أغسطس","سبتمبر","أكتوبر","نوفمبر","ديسمبر")</f>
        <v>ديسمبر</v>
      </c>
      <c r="R2081" s="40" t="str">
        <f aca="false">"الربع "&amp;ROUNDUP(MONTH(B2081)/3,0)</f>
        <v>الربع 4</v>
      </c>
      <c r="S2081" s="40" t="str">
        <f aca="false">IF(D2081&lt;=12,"أطفال (0-12)",IF(D2081&lt;=24,"شباب (13-24)",IF(D2081&lt;=44,"بالغون (25-44)",IF(D2081&lt;=64,"متوسطو العمر (45-64)","كبار السن (+65)"))))</f>
        <v>شباب (13-24)</v>
      </c>
      <c r="T2081" s="41" t="n">
        <f aca="false">IFERROR(L2081/P2081,0)</f>
        <v>966.142</v>
      </c>
    </row>
    <row r="2082" customFormat="false" ht="15" hidden="false" customHeight="false" outlineLevel="0" collapsed="false">
      <c r="A2082" s="42" t="s">
        <v>1081</v>
      </c>
      <c r="B2082" s="43" t="n">
        <v>45654</v>
      </c>
      <c r="C2082" s="43" t="n">
        <v>45655</v>
      </c>
      <c r="D2082" s="42" t="n">
        <v>12</v>
      </c>
      <c r="E2082" s="42" t="s">
        <v>154</v>
      </c>
      <c r="F2082" s="42" t="s">
        <v>203</v>
      </c>
      <c r="G2082" s="42" t="s">
        <v>204</v>
      </c>
      <c r="H2082" s="42" t="s">
        <v>233</v>
      </c>
      <c r="I2082" s="42" t="s">
        <v>143</v>
      </c>
      <c r="J2082" s="42" t="s">
        <v>144</v>
      </c>
      <c r="K2082" s="42" t="s">
        <v>160</v>
      </c>
      <c r="L2082" s="44" t="n">
        <v>1801.18</v>
      </c>
      <c r="M2082" s="42" t="n">
        <v>4</v>
      </c>
      <c r="N2082" s="42" t="s">
        <v>146</v>
      </c>
      <c r="O2082" s="42" t="s">
        <v>147</v>
      </c>
      <c r="P2082" s="39" t="n">
        <f aca="false">C2082-B2082</f>
        <v>1</v>
      </c>
      <c r="Q2082" s="40" t="str">
        <f aca="false">CHOOSE(MONTH(B2082),"يناير","فبراير","مارس","أبريل","مايو","يونيو","يوليو","أغسطس","سبتمبر","أكتوبر","نوفمبر","ديسمبر")</f>
        <v>ديسمبر</v>
      </c>
      <c r="R2082" s="40" t="str">
        <f aca="false">"الربع "&amp;ROUNDUP(MONTH(B2082)/3,0)</f>
        <v>الربع 4</v>
      </c>
      <c r="S2082" s="40" t="str">
        <f aca="false">IF(D2082&lt;=12,"أطفال (0-12)",IF(D2082&lt;=24,"شباب (13-24)",IF(D2082&lt;=44,"بالغون (25-44)",IF(D2082&lt;=64,"متوسطو العمر (45-64)","كبار السن (+65)"))))</f>
        <v>أطفال (0-12)</v>
      </c>
      <c r="T2082" s="41" t="n">
        <f aca="false">IFERROR(L2082/P2082,0)</f>
        <v>1801.18</v>
      </c>
    </row>
    <row r="2083" customFormat="false" ht="15" hidden="false" customHeight="false" outlineLevel="0" collapsed="false">
      <c r="A2083" s="33" t="s">
        <v>873</v>
      </c>
      <c r="B2083" s="34" t="n">
        <v>45654</v>
      </c>
      <c r="C2083" s="34" t="n">
        <v>45656</v>
      </c>
      <c r="D2083" s="33" t="n">
        <v>51</v>
      </c>
      <c r="E2083" s="33" t="s">
        <v>139</v>
      </c>
      <c r="F2083" s="33" t="s">
        <v>169</v>
      </c>
      <c r="G2083" s="33" t="s">
        <v>163</v>
      </c>
      <c r="H2083" s="33" t="s">
        <v>171</v>
      </c>
      <c r="I2083" s="33" t="s">
        <v>143</v>
      </c>
      <c r="J2083" s="33" t="s">
        <v>159</v>
      </c>
      <c r="K2083" s="33" t="s">
        <v>145</v>
      </c>
      <c r="L2083" s="35" t="n">
        <v>2179.88</v>
      </c>
      <c r="M2083" s="33" t="n">
        <v>4</v>
      </c>
      <c r="N2083" s="33" t="s">
        <v>146</v>
      </c>
      <c r="O2083" s="33" t="s">
        <v>147</v>
      </c>
      <c r="P2083" s="39" t="n">
        <f aca="false">C2083-B2083</f>
        <v>2</v>
      </c>
      <c r="Q2083" s="40" t="str">
        <f aca="false">CHOOSE(MONTH(B2083),"يناير","فبراير","مارس","أبريل","مايو","يونيو","يوليو","أغسطس","سبتمبر","أكتوبر","نوفمبر","ديسمبر")</f>
        <v>ديسمبر</v>
      </c>
      <c r="R2083" s="40" t="str">
        <f aca="false">"الربع "&amp;ROUNDUP(MONTH(B2083)/3,0)</f>
        <v>الربع 4</v>
      </c>
      <c r="S2083" s="40" t="str">
        <f aca="false">IF(D2083&lt;=12,"أطفال (0-12)",IF(D2083&lt;=24,"شباب (13-24)",IF(D2083&lt;=44,"بالغون (25-44)",IF(D2083&lt;=64,"متوسطو العمر (45-64)","كبار السن (+65)"))))</f>
        <v>متوسطو العمر (45-64)</v>
      </c>
      <c r="T2083" s="41" t="n">
        <f aca="false">IFERROR(L2083/P2083,0)</f>
        <v>1089.94</v>
      </c>
    </row>
    <row r="2084" customFormat="false" ht="15" hidden="false" customHeight="false" outlineLevel="0" collapsed="false">
      <c r="A2084" s="42" t="s">
        <v>1141</v>
      </c>
      <c r="B2084" s="43" t="n">
        <v>45654</v>
      </c>
      <c r="C2084" s="43" t="n">
        <v>45657</v>
      </c>
      <c r="D2084" s="42" t="n">
        <v>12</v>
      </c>
      <c r="E2084" s="42" t="s">
        <v>139</v>
      </c>
      <c r="F2084" s="42" t="s">
        <v>203</v>
      </c>
      <c r="G2084" s="42" t="s">
        <v>241</v>
      </c>
      <c r="H2084" s="42" t="s">
        <v>233</v>
      </c>
      <c r="I2084" s="42" t="s">
        <v>143</v>
      </c>
      <c r="J2084" s="42" t="s">
        <v>159</v>
      </c>
      <c r="K2084" s="42" t="s">
        <v>160</v>
      </c>
      <c r="L2084" s="44" t="n">
        <v>2500.12</v>
      </c>
      <c r="M2084" s="42" t="n">
        <v>3</v>
      </c>
      <c r="N2084" s="42" t="s">
        <v>146</v>
      </c>
      <c r="O2084" s="42" t="s">
        <v>147</v>
      </c>
      <c r="P2084" s="39" t="n">
        <f aca="false">C2084-B2084</f>
        <v>3</v>
      </c>
      <c r="Q2084" s="40" t="str">
        <f aca="false">CHOOSE(MONTH(B2084),"يناير","فبراير","مارس","أبريل","مايو","يونيو","يوليو","أغسطس","سبتمبر","أكتوبر","نوفمبر","ديسمبر")</f>
        <v>ديسمبر</v>
      </c>
      <c r="R2084" s="40" t="str">
        <f aca="false">"الربع "&amp;ROUNDUP(MONTH(B2084)/3,0)</f>
        <v>الربع 4</v>
      </c>
      <c r="S2084" s="40" t="str">
        <f aca="false">IF(D2084&lt;=12,"أطفال (0-12)",IF(D2084&lt;=24,"شباب (13-24)",IF(D2084&lt;=44,"بالغون (25-44)",IF(D2084&lt;=64,"متوسطو العمر (45-64)","كبار السن (+65)"))))</f>
        <v>أطفال (0-12)</v>
      </c>
      <c r="T2084" s="41" t="n">
        <f aca="false">IFERROR(L2084/P2084,0)</f>
        <v>833.373333333333</v>
      </c>
    </row>
    <row r="2085" customFormat="false" ht="15" hidden="false" customHeight="false" outlineLevel="0" collapsed="false">
      <c r="A2085" s="33" t="s">
        <v>883</v>
      </c>
      <c r="B2085" s="34" t="n">
        <v>45655</v>
      </c>
      <c r="C2085" s="34" t="n">
        <v>45657</v>
      </c>
      <c r="D2085" s="33" t="n">
        <v>74</v>
      </c>
      <c r="E2085" s="33" t="s">
        <v>154</v>
      </c>
      <c r="F2085" s="33" t="s">
        <v>226</v>
      </c>
      <c r="G2085" s="33" t="s">
        <v>227</v>
      </c>
      <c r="H2085" s="33" t="s">
        <v>228</v>
      </c>
      <c r="I2085" s="33" t="s">
        <v>143</v>
      </c>
      <c r="J2085" s="33" t="s">
        <v>159</v>
      </c>
      <c r="K2085" s="33" t="s">
        <v>209</v>
      </c>
      <c r="L2085" s="35" t="n">
        <v>7175.85</v>
      </c>
      <c r="M2085" s="33" t="n">
        <v>4</v>
      </c>
      <c r="N2085" s="33" t="s">
        <v>146</v>
      </c>
      <c r="O2085" s="33" t="s">
        <v>147</v>
      </c>
      <c r="P2085" s="39" t="n">
        <f aca="false">C2085-B2085</f>
        <v>2</v>
      </c>
      <c r="Q2085" s="40" t="str">
        <f aca="false">CHOOSE(MONTH(B2085),"يناير","فبراير","مارس","أبريل","مايو","يونيو","يوليو","أغسطس","سبتمبر","أكتوبر","نوفمبر","ديسمبر")</f>
        <v>ديسمبر</v>
      </c>
      <c r="R2085" s="40" t="str">
        <f aca="false">"الربع "&amp;ROUNDUP(MONTH(B2085)/3,0)</f>
        <v>الربع 4</v>
      </c>
      <c r="S2085" s="40" t="str">
        <f aca="false">IF(D2085&lt;=12,"أطفال (0-12)",IF(D2085&lt;=24,"شباب (13-24)",IF(D2085&lt;=44,"بالغون (25-44)",IF(D2085&lt;=64,"متوسطو العمر (45-64)","كبار السن (+65)"))))</f>
        <v>كبار السن (+65)</v>
      </c>
      <c r="T2085" s="41" t="n">
        <f aca="false">IFERROR(L2085/P2085,0)</f>
        <v>3587.925</v>
      </c>
    </row>
    <row r="2086" customFormat="false" ht="15" hidden="false" customHeight="false" outlineLevel="0" collapsed="false">
      <c r="A2086" s="42" t="s">
        <v>2096</v>
      </c>
      <c r="B2086" s="43" t="n">
        <v>45655</v>
      </c>
      <c r="C2086" s="43" t="n">
        <v>45659</v>
      </c>
      <c r="D2086" s="42" t="n">
        <v>56</v>
      </c>
      <c r="E2086" s="42" t="s">
        <v>139</v>
      </c>
      <c r="F2086" s="42" t="s">
        <v>173</v>
      </c>
      <c r="G2086" s="42" t="s">
        <v>178</v>
      </c>
      <c r="H2086" s="42" t="s">
        <v>199</v>
      </c>
      <c r="I2086" s="42" t="s">
        <v>152</v>
      </c>
      <c r="J2086" s="42" t="s">
        <v>159</v>
      </c>
      <c r="K2086" s="42" t="s">
        <v>145</v>
      </c>
      <c r="L2086" s="44" t="n">
        <v>9554.47</v>
      </c>
      <c r="M2086" s="42" t="n">
        <v>3</v>
      </c>
      <c r="N2086" s="42" t="s">
        <v>210</v>
      </c>
      <c r="O2086" s="42" t="s">
        <v>247</v>
      </c>
      <c r="P2086" s="39" t="n">
        <f aca="false">C2086-B2086</f>
        <v>4</v>
      </c>
      <c r="Q2086" s="40" t="str">
        <f aca="false">CHOOSE(MONTH(B2086),"يناير","فبراير","مارس","أبريل","مايو","يونيو","يوليو","أغسطس","سبتمبر","أكتوبر","نوفمبر","ديسمبر")</f>
        <v>ديسمبر</v>
      </c>
      <c r="R2086" s="40" t="str">
        <f aca="false">"الربع "&amp;ROUNDUP(MONTH(B2086)/3,0)</f>
        <v>الربع 4</v>
      </c>
      <c r="S2086" s="40" t="str">
        <f aca="false">IF(D2086&lt;=12,"أطفال (0-12)",IF(D2086&lt;=24,"شباب (13-24)",IF(D2086&lt;=44,"بالغون (25-44)",IF(D2086&lt;=64,"متوسطو العمر (45-64)","كبار السن (+65)"))))</f>
        <v>متوسطو العمر (45-64)</v>
      </c>
      <c r="T2086" s="41" t="n">
        <f aca="false">IFERROR(L2086/P2086,0)</f>
        <v>2388.6175</v>
      </c>
    </row>
    <row r="2087" customFormat="false" ht="15" hidden="false" customHeight="false" outlineLevel="0" collapsed="false">
      <c r="A2087" s="33" t="s">
        <v>297</v>
      </c>
      <c r="B2087" s="34" t="n">
        <v>45655</v>
      </c>
      <c r="C2087" s="34" t="n">
        <v>45663</v>
      </c>
      <c r="D2087" s="33" t="n">
        <v>56</v>
      </c>
      <c r="E2087" s="33" t="s">
        <v>154</v>
      </c>
      <c r="F2087" s="33" t="s">
        <v>140</v>
      </c>
      <c r="G2087" s="33" t="s">
        <v>167</v>
      </c>
      <c r="H2087" s="33" t="s">
        <v>142</v>
      </c>
      <c r="I2087" s="33" t="s">
        <v>143</v>
      </c>
      <c r="J2087" s="33" t="s">
        <v>159</v>
      </c>
      <c r="K2087" s="33" t="s">
        <v>209</v>
      </c>
      <c r="L2087" s="35" t="n">
        <v>16662.49</v>
      </c>
      <c r="M2087" s="33" t="n">
        <v>5</v>
      </c>
      <c r="N2087" s="33" t="s">
        <v>146</v>
      </c>
      <c r="O2087" s="33" t="s">
        <v>147</v>
      </c>
      <c r="P2087" s="39" t="n">
        <f aca="false">C2087-B2087</f>
        <v>8</v>
      </c>
      <c r="Q2087" s="40" t="str">
        <f aca="false">CHOOSE(MONTH(B2087),"يناير","فبراير","مارس","أبريل","مايو","يونيو","يوليو","أغسطس","سبتمبر","أكتوبر","نوفمبر","ديسمبر")</f>
        <v>ديسمبر</v>
      </c>
      <c r="R2087" s="40" t="str">
        <f aca="false">"الربع "&amp;ROUNDUP(MONTH(B2087)/3,0)</f>
        <v>الربع 4</v>
      </c>
      <c r="S2087" s="40" t="str">
        <f aca="false">IF(D2087&lt;=12,"أطفال (0-12)",IF(D2087&lt;=24,"شباب (13-24)",IF(D2087&lt;=44,"بالغون (25-44)",IF(D2087&lt;=64,"متوسطو العمر (45-64)","كبار السن (+65)"))))</f>
        <v>متوسطو العمر (45-64)</v>
      </c>
      <c r="T2087" s="41" t="n">
        <f aca="false">IFERROR(L2087/P2087,0)</f>
        <v>2082.81125</v>
      </c>
    </row>
    <row r="2088" customFormat="false" ht="15" hidden="false" customHeight="false" outlineLevel="0" collapsed="false">
      <c r="A2088" s="42" t="s">
        <v>1214</v>
      </c>
      <c r="B2088" s="43" t="n">
        <v>45655</v>
      </c>
      <c r="C2088" s="43" t="n">
        <v>45658</v>
      </c>
      <c r="D2088" s="42" t="n">
        <v>18</v>
      </c>
      <c r="E2088" s="42" t="s">
        <v>139</v>
      </c>
      <c r="F2088" s="42" t="s">
        <v>203</v>
      </c>
      <c r="G2088" s="42" t="s">
        <v>204</v>
      </c>
      <c r="H2088" s="42" t="s">
        <v>205</v>
      </c>
      <c r="I2088" s="42" t="s">
        <v>143</v>
      </c>
      <c r="J2088" s="42" t="s">
        <v>159</v>
      </c>
      <c r="K2088" s="42" t="s">
        <v>160</v>
      </c>
      <c r="L2088" s="44" t="n">
        <v>2809.35</v>
      </c>
      <c r="M2088" s="42" t="n">
        <v>4</v>
      </c>
      <c r="N2088" s="42" t="s">
        <v>210</v>
      </c>
      <c r="O2088" s="42" t="s">
        <v>147</v>
      </c>
      <c r="P2088" s="39" t="n">
        <f aca="false">C2088-B2088</f>
        <v>3</v>
      </c>
      <c r="Q2088" s="40" t="str">
        <f aca="false">CHOOSE(MONTH(B2088),"يناير","فبراير","مارس","أبريل","مايو","يونيو","يوليو","أغسطس","سبتمبر","أكتوبر","نوفمبر","ديسمبر")</f>
        <v>ديسمبر</v>
      </c>
      <c r="R2088" s="40" t="str">
        <f aca="false">"الربع "&amp;ROUNDUP(MONTH(B2088)/3,0)</f>
        <v>الربع 4</v>
      </c>
      <c r="S2088" s="40" t="str">
        <f aca="false">IF(D2088&lt;=12,"أطفال (0-12)",IF(D2088&lt;=24,"شباب (13-24)",IF(D2088&lt;=44,"بالغون (25-44)",IF(D2088&lt;=64,"متوسطو العمر (45-64)","كبار السن (+65)"))))</f>
        <v>شباب (13-24)</v>
      </c>
      <c r="T2088" s="41" t="n">
        <f aca="false">IFERROR(L2088/P2088,0)</f>
        <v>936.45</v>
      </c>
    </row>
    <row r="2089" customFormat="false" ht="15" hidden="false" customHeight="false" outlineLevel="0" collapsed="false">
      <c r="A2089" s="33" t="s">
        <v>1781</v>
      </c>
      <c r="B2089" s="34" t="n">
        <v>45655</v>
      </c>
      <c r="C2089" s="34" t="n">
        <v>45658</v>
      </c>
      <c r="D2089" s="33" t="n">
        <v>18</v>
      </c>
      <c r="E2089" s="33" t="s">
        <v>154</v>
      </c>
      <c r="F2089" s="33" t="s">
        <v>140</v>
      </c>
      <c r="G2089" s="33" t="s">
        <v>141</v>
      </c>
      <c r="H2089" s="33" t="s">
        <v>142</v>
      </c>
      <c r="I2089" s="33" t="s">
        <v>152</v>
      </c>
      <c r="J2089" s="33" t="s">
        <v>144</v>
      </c>
      <c r="K2089" s="33" t="s">
        <v>184</v>
      </c>
      <c r="L2089" s="35" t="n">
        <v>10846.19</v>
      </c>
      <c r="M2089" s="33" t="n">
        <v>4</v>
      </c>
      <c r="N2089" s="33" t="s">
        <v>146</v>
      </c>
      <c r="O2089" s="33" t="s">
        <v>147</v>
      </c>
      <c r="P2089" s="39" t="n">
        <f aca="false">C2089-B2089</f>
        <v>3</v>
      </c>
      <c r="Q2089" s="40" t="str">
        <f aca="false">CHOOSE(MONTH(B2089),"يناير","فبراير","مارس","أبريل","مايو","يونيو","يوليو","أغسطس","سبتمبر","أكتوبر","نوفمبر","ديسمبر")</f>
        <v>ديسمبر</v>
      </c>
      <c r="R2089" s="40" t="str">
        <f aca="false">"الربع "&amp;ROUNDUP(MONTH(B2089)/3,0)</f>
        <v>الربع 4</v>
      </c>
      <c r="S2089" s="40" t="str">
        <f aca="false">IF(D2089&lt;=12,"أطفال (0-12)",IF(D2089&lt;=24,"شباب (13-24)",IF(D2089&lt;=44,"بالغون (25-44)",IF(D2089&lt;=64,"متوسطو العمر (45-64)","كبار السن (+65)"))))</f>
        <v>شباب (13-24)</v>
      </c>
      <c r="T2089" s="41" t="n">
        <f aca="false">IFERROR(L2089/P2089,0)</f>
        <v>3615.39666666667</v>
      </c>
    </row>
    <row r="2090" customFormat="false" ht="15" hidden="false" customHeight="false" outlineLevel="0" collapsed="false">
      <c r="A2090" s="42" t="s">
        <v>447</v>
      </c>
      <c r="B2090" s="43" t="n">
        <v>45656</v>
      </c>
      <c r="C2090" s="43" t="n">
        <v>45657</v>
      </c>
      <c r="D2090" s="42" t="n">
        <v>41</v>
      </c>
      <c r="E2090" s="42" t="s">
        <v>154</v>
      </c>
      <c r="F2090" s="42" t="s">
        <v>169</v>
      </c>
      <c r="G2090" s="42" t="s">
        <v>163</v>
      </c>
      <c r="H2090" s="42" t="s">
        <v>164</v>
      </c>
      <c r="I2090" s="42" t="s">
        <v>143</v>
      </c>
      <c r="J2090" s="42" t="s">
        <v>144</v>
      </c>
      <c r="K2090" s="42" t="s">
        <v>160</v>
      </c>
      <c r="L2090" s="44" t="n">
        <v>1943.15</v>
      </c>
      <c r="M2090" s="42" t="n">
        <v>4</v>
      </c>
      <c r="N2090" s="42" t="s">
        <v>146</v>
      </c>
      <c r="O2090" s="42" t="s">
        <v>147</v>
      </c>
      <c r="P2090" s="39" t="n">
        <f aca="false">C2090-B2090</f>
        <v>1</v>
      </c>
      <c r="Q2090" s="40" t="str">
        <f aca="false">CHOOSE(MONTH(B2090),"يناير","فبراير","مارس","أبريل","مايو","يونيو","يوليو","أغسطس","سبتمبر","أكتوبر","نوفمبر","ديسمبر")</f>
        <v>ديسمبر</v>
      </c>
      <c r="R2090" s="40" t="str">
        <f aca="false">"الربع "&amp;ROUNDUP(MONTH(B2090)/3,0)</f>
        <v>الربع 4</v>
      </c>
      <c r="S2090" s="40" t="str">
        <f aca="false">IF(D2090&lt;=12,"أطفال (0-12)",IF(D2090&lt;=24,"شباب (13-24)",IF(D2090&lt;=44,"بالغون (25-44)",IF(D2090&lt;=64,"متوسطو العمر (45-64)","كبار السن (+65)"))))</f>
        <v>بالغون (25-44)</v>
      </c>
      <c r="T2090" s="41" t="n">
        <f aca="false">IFERROR(L2090/P2090,0)</f>
        <v>1943.15</v>
      </c>
    </row>
    <row r="2091" customFormat="false" ht="15" hidden="false" customHeight="false" outlineLevel="0" collapsed="false">
      <c r="A2091" s="33" t="s">
        <v>1808</v>
      </c>
      <c r="B2091" s="34" t="n">
        <v>45656</v>
      </c>
      <c r="C2091" s="34" t="n">
        <v>45658</v>
      </c>
      <c r="D2091" s="33" t="n">
        <v>25</v>
      </c>
      <c r="E2091" s="33" t="s">
        <v>154</v>
      </c>
      <c r="F2091" s="33" t="s">
        <v>203</v>
      </c>
      <c r="G2091" s="33" t="s">
        <v>204</v>
      </c>
      <c r="H2091" s="33" t="s">
        <v>205</v>
      </c>
      <c r="I2091" s="33" t="s">
        <v>143</v>
      </c>
      <c r="J2091" s="33" t="s">
        <v>159</v>
      </c>
      <c r="K2091" s="33" t="s">
        <v>160</v>
      </c>
      <c r="L2091" s="35" t="n">
        <v>2137.79</v>
      </c>
      <c r="M2091" s="33" t="n">
        <v>5</v>
      </c>
      <c r="N2091" s="33" t="s">
        <v>146</v>
      </c>
      <c r="O2091" s="33" t="s">
        <v>147</v>
      </c>
      <c r="P2091" s="39" t="n">
        <f aca="false">C2091-B2091</f>
        <v>2</v>
      </c>
      <c r="Q2091" s="40" t="str">
        <f aca="false">CHOOSE(MONTH(B2091),"يناير","فبراير","مارس","أبريل","مايو","يونيو","يوليو","أغسطس","سبتمبر","أكتوبر","نوفمبر","ديسمبر")</f>
        <v>ديسمبر</v>
      </c>
      <c r="R2091" s="40" t="str">
        <f aca="false">"الربع "&amp;ROUNDUP(MONTH(B2091)/3,0)</f>
        <v>الربع 4</v>
      </c>
      <c r="S2091" s="40" t="str">
        <f aca="false">IF(D2091&lt;=12,"أطفال (0-12)",IF(D2091&lt;=24,"شباب (13-24)",IF(D2091&lt;=44,"بالغون (25-44)",IF(D2091&lt;=64,"متوسطو العمر (45-64)","كبار السن (+65)"))))</f>
        <v>بالغون (25-44)</v>
      </c>
      <c r="T2091" s="41" t="n">
        <f aca="false">IFERROR(L2091/P2091,0)</f>
        <v>1068.895</v>
      </c>
    </row>
    <row r="2092" customFormat="false" ht="15" hidden="false" customHeight="false" outlineLevel="0" collapsed="false">
      <c r="A2092" s="42" t="s">
        <v>1545</v>
      </c>
      <c r="B2092" s="43" t="n">
        <v>45656</v>
      </c>
      <c r="C2092" s="43" t="n">
        <v>45659</v>
      </c>
      <c r="D2092" s="42" t="n">
        <v>39</v>
      </c>
      <c r="E2092" s="42" t="s">
        <v>154</v>
      </c>
      <c r="F2092" s="42" t="s">
        <v>173</v>
      </c>
      <c r="G2092" s="42" t="s">
        <v>178</v>
      </c>
      <c r="H2092" s="42" t="s">
        <v>199</v>
      </c>
      <c r="I2092" s="42" t="s">
        <v>143</v>
      </c>
      <c r="J2092" s="42" t="s">
        <v>176</v>
      </c>
      <c r="K2092" s="42" t="s">
        <v>160</v>
      </c>
      <c r="L2092" s="44" t="n">
        <v>25771.25</v>
      </c>
      <c r="M2092" s="42" t="n">
        <v>5</v>
      </c>
      <c r="N2092" s="42" t="s">
        <v>146</v>
      </c>
      <c r="O2092" s="42" t="s">
        <v>147</v>
      </c>
      <c r="P2092" s="39" t="n">
        <f aca="false">C2092-B2092</f>
        <v>3</v>
      </c>
      <c r="Q2092" s="40" t="str">
        <f aca="false">CHOOSE(MONTH(B2092),"يناير","فبراير","مارس","أبريل","مايو","يونيو","يوليو","أغسطس","سبتمبر","أكتوبر","نوفمبر","ديسمبر")</f>
        <v>ديسمبر</v>
      </c>
      <c r="R2092" s="40" t="str">
        <f aca="false">"الربع "&amp;ROUNDUP(MONTH(B2092)/3,0)</f>
        <v>الربع 4</v>
      </c>
      <c r="S2092" s="40" t="str">
        <f aca="false">IF(D2092&lt;=12,"أطفال (0-12)",IF(D2092&lt;=24,"شباب (13-24)",IF(D2092&lt;=44,"بالغون (25-44)",IF(D2092&lt;=64,"متوسطو العمر (45-64)","كبار السن (+65)"))))</f>
        <v>بالغون (25-44)</v>
      </c>
      <c r="T2092" s="41" t="n">
        <f aca="false">IFERROR(L2092/P2092,0)</f>
        <v>8590.41666666667</v>
      </c>
    </row>
    <row r="2093" customFormat="false" ht="15" hidden="false" customHeight="false" outlineLevel="0" collapsed="false">
      <c r="A2093" s="33" t="s">
        <v>484</v>
      </c>
      <c r="B2093" s="34" t="n">
        <v>45656</v>
      </c>
      <c r="C2093" s="34" t="n">
        <v>45658</v>
      </c>
      <c r="D2093" s="33" t="n">
        <v>27</v>
      </c>
      <c r="E2093" s="33" t="s">
        <v>139</v>
      </c>
      <c r="F2093" s="33" t="s">
        <v>149</v>
      </c>
      <c r="G2093" s="33" t="s">
        <v>224</v>
      </c>
      <c r="H2093" s="33" t="s">
        <v>151</v>
      </c>
      <c r="I2093" s="33" t="s">
        <v>143</v>
      </c>
      <c r="J2093" s="33" t="s">
        <v>176</v>
      </c>
      <c r="K2093" s="33" t="s">
        <v>184</v>
      </c>
      <c r="L2093" s="35" t="n">
        <v>9165.33</v>
      </c>
      <c r="M2093" s="33" t="n">
        <v>4</v>
      </c>
      <c r="N2093" s="33" t="s">
        <v>146</v>
      </c>
      <c r="O2093" s="33" t="s">
        <v>147</v>
      </c>
      <c r="P2093" s="39" t="n">
        <f aca="false">C2093-B2093</f>
        <v>2</v>
      </c>
      <c r="Q2093" s="40" t="str">
        <f aca="false">CHOOSE(MONTH(B2093),"يناير","فبراير","مارس","أبريل","مايو","يونيو","يوليو","أغسطس","سبتمبر","أكتوبر","نوفمبر","ديسمبر")</f>
        <v>ديسمبر</v>
      </c>
      <c r="R2093" s="40" t="str">
        <f aca="false">"الربع "&amp;ROUNDUP(MONTH(B2093)/3,0)</f>
        <v>الربع 4</v>
      </c>
      <c r="S2093" s="40" t="str">
        <f aca="false">IF(D2093&lt;=12,"أطفال (0-12)",IF(D2093&lt;=24,"شباب (13-24)",IF(D2093&lt;=44,"بالغون (25-44)",IF(D2093&lt;=64,"متوسطو العمر (45-64)","كبار السن (+65)"))))</f>
        <v>بالغون (25-44)</v>
      </c>
      <c r="T2093" s="41" t="n">
        <f aca="false">IFERROR(L2093/P2093,0)</f>
        <v>4582.665</v>
      </c>
    </row>
    <row r="2094" customFormat="false" ht="15" hidden="false" customHeight="false" outlineLevel="0" collapsed="false">
      <c r="A2094" s="42" t="s">
        <v>1115</v>
      </c>
      <c r="B2094" s="43" t="n">
        <v>45656</v>
      </c>
      <c r="C2094" s="43" t="n">
        <v>45661</v>
      </c>
      <c r="D2094" s="42" t="n">
        <v>42</v>
      </c>
      <c r="E2094" s="42" t="s">
        <v>154</v>
      </c>
      <c r="F2094" s="42" t="s">
        <v>173</v>
      </c>
      <c r="G2094" s="42" t="s">
        <v>178</v>
      </c>
      <c r="H2094" s="42" t="s">
        <v>175</v>
      </c>
      <c r="I2094" s="42" t="s">
        <v>143</v>
      </c>
      <c r="J2094" s="42" t="s">
        <v>159</v>
      </c>
      <c r="K2094" s="42" t="s">
        <v>160</v>
      </c>
      <c r="L2094" s="44" t="n">
        <v>13588.97</v>
      </c>
      <c r="M2094" s="42" t="n">
        <v>4</v>
      </c>
      <c r="N2094" s="42" t="s">
        <v>146</v>
      </c>
      <c r="O2094" s="42" t="s">
        <v>147</v>
      </c>
      <c r="P2094" s="39" t="n">
        <f aca="false">C2094-B2094</f>
        <v>5</v>
      </c>
      <c r="Q2094" s="40" t="str">
        <f aca="false">CHOOSE(MONTH(B2094),"يناير","فبراير","مارس","أبريل","مايو","يونيو","يوليو","أغسطس","سبتمبر","أكتوبر","نوفمبر","ديسمبر")</f>
        <v>ديسمبر</v>
      </c>
      <c r="R2094" s="40" t="str">
        <f aca="false">"الربع "&amp;ROUNDUP(MONTH(B2094)/3,0)</f>
        <v>الربع 4</v>
      </c>
      <c r="S2094" s="40" t="str">
        <f aca="false">IF(D2094&lt;=12,"أطفال (0-12)",IF(D2094&lt;=24,"شباب (13-24)",IF(D2094&lt;=44,"بالغون (25-44)",IF(D2094&lt;=64,"متوسطو العمر (45-64)","كبار السن (+65)"))))</f>
        <v>بالغون (25-44)</v>
      </c>
      <c r="T2094" s="41" t="n">
        <f aca="false">IFERROR(L2094/P2094,0)</f>
        <v>2717.794</v>
      </c>
    </row>
    <row r="2095" customFormat="false" ht="15" hidden="false" customHeight="false" outlineLevel="0" collapsed="false">
      <c r="A2095" s="33" t="s">
        <v>1434</v>
      </c>
      <c r="B2095" s="34" t="n">
        <v>45656</v>
      </c>
      <c r="C2095" s="34" t="n">
        <v>45661</v>
      </c>
      <c r="D2095" s="33" t="n">
        <v>63</v>
      </c>
      <c r="E2095" s="33" t="s">
        <v>139</v>
      </c>
      <c r="F2095" s="33" t="s">
        <v>226</v>
      </c>
      <c r="G2095" s="33" t="s">
        <v>258</v>
      </c>
      <c r="H2095" s="33" t="s">
        <v>228</v>
      </c>
      <c r="I2095" s="33" t="s">
        <v>158</v>
      </c>
      <c r="J2095" s="33" t="s">
        <v>159</v>
      </c>
      <c r="K2095" s="33" t="s">
        <v>184</v>
      </c>
      <c r="L2095" s="35" t="n">
        <v>16973.07</v>
      </c>
      <c r="M2095" s="33" t="n">
        <v>5</v>
      </c>
      <c r="N2095" s="33" t="s">
        <v>146</v>
      </c>
      <c r="O2095" s="33" t="s">
        <v>147</v>
      </c>
      <c r="P2095" s="39" t="n">
        <f aca="false">C2095-B2095</f>
        <v>5</v>
      </c>
      <c r="Q2095" s="40" t="str">
        <f aca="false">CHOOSE(MONTH(B2095),"يناير","فبراير","مارس","أبريل","مايو","يونيو","يوليو","أغسطس","سبتمبر","أكتوبر","نوفمبر","ديسمبر")</f>
        <v>ديسمبر</v>
      </c>
      <c r="R2095" s="40" t="str">
        <f aca="false">"الربع "&amp;ROUNDUP(MONTH(B2095)/3,0)</f>
        <v>الربع 4</v>
      </c>
      <c r="S2095" s="40" t="str">
        <f aca="false">IF(D2095&lt;=12,"أطفال (0-12)",IF(D2095&lt;=24,"شباب (13-24)",IF(D2095&lt;=44,"بالغون (25-44)",IF(D2095&lt;=64,"متوسطو العمر (45-64)","كبار السن (+65)"))))</f>
        <v>متوسطو العمر (45-64)</v>
      </c>
      <c r="T2095" s="41" t="n">
        <f aca="false">IFERROR(L2095/P2095,0)</f>
        <v>3394.614</v>
      </c>
    </row>
    <row r="2096" customFormat="false" ht="15" hidden="false" customHeight="false" outlineLevel="0" collapsed="false">
      <c r="A2096" s="42" t="s">
        <v>1347</v>
      </c>
      <c r="B2096" s="43" t="n">
        <v>45656</v>
      </c>
      <c r="C2096" s="43" t="n">
        <v>45658</v>
      </c>
      <c r="D2096" s="42" t="n">
        <v>38</v>
      </c>
      <c r="E2096" s="42" t="s">
        <v>139</v>
      </c>
      <c r="F2096" s="42" t="s">
        <v>203</v>
      </c>
      <c r="G2096" s="42" t="s">
        <v>192</v>
      </c>
      <c r="H2096" s="42" t="s">
        <v>233</v>
      </c>
      <c r="I2096" s="42" t="s">
        <v>143</v>
      </c>
      <c r="J2096" s="42" t="s">
        <v>159</v>
      </c>
      <c r="K2096" s="42" t="s">
        <v>145</v>
      </c>
      <c r="L2096" s="44" t="n">
        <v>1952.96</v>
      </c>
      <c r="M2096" s="42" t="n">
        <v>2</v>
      </c>
      <c r="N2096" s="42" t="s">
        <v>146</v>
      </c>
      <c r="O2096" s="42" t="s">
        <v>147</v>
      </c>
      <c r="P2096" s="39" t="n">
        <f aca="false">C2096-B2096</f>
        <v>2</v>
      </c>
      <c r="Q2096" s="40" t="str">
        <f aca="false">CHOOSE(MONTH(B2096),"يناير","فبراير","مارس","أبريل","مايو","يونيو","يوليو","أغسطس","سبتمبر","أكتوبر","نوفمبر","ديسمبر")</f>
        <v>ديسمبر</v>
      </c>
      <c r="R2096" s="40" t="str">
        <f aca="false">"الربع "&amp;ROUNDUP(MONTH(B2096)/3,0)</f>
        <v>الربع 4</v>
      </c>
      <c r="S2096" s="40" t="str">
        <f aca="false">IF(D2096&lt;=12,"أطفال (0-12)",IF(D2096&lt;=24,"شباب (13-24)",IF(D2096&lt;=44,"بالغون (25-44)",IF(D2096&lt;=64,"متوسطو العمر (45-64)","كبار السن (+65)"))))</f>
        <v>بالغون (25-44)</v>
      </c>
      <c r="T2096" s="41" t="n">
        <f aca="false">IFERROR(L2096/P2096,0)</f>
        <v>976.48</v>
      </c>
    </row>
    <row r="2097" customFormat="false" ht="15" hidden="false" customHeight="false" outlineLevel="0" collapsed="false">
      <c r="A2097" s="33" t="s">
        <v>2079</v>
      </c>
      <c r="B2097" s="34" t="n">
        <v>45656</v>
      </c>
      <c r="C2097" s="34" t="n">
        <v>45657</v>
      </c>
      <c r="D2097" s="33" t="n">
        <v>15</v>
      </c>
      <c r="E2097" s="33" t="s">
        <v>154</v>
      </c>
      <c r="F2097" s="33" t="s">
        <v>169</v>
      </c>
      <c r="G2097" s="33" t="s">
        <v>170</v>
      </c>
      <c r="H2097" s="33" t="s">
        <v>164</v>
      </c>
      <c r="I2097" s="33" t="s">
        <v>152</v>
      </c>
      <c r="J2097" s="33" t="s">
        <v>159</v>
      </c>
      <c r="K2097" s="33" t="s">
        <v>209</v>
      </c>
      <c r="L2097" s="35" t="n">
        <v>1211.52</v>
      </c>
      <c r="M2097" s="33" t="n">
        <v>3</v>
      </c>
      <c r="N2097" s="33" t="s">
        <v>146</v>
      </c>
      <c r="O2097" s="33" t="s">
        <v>147</v>
      </c>
      <c r="P2097" s="39" t="n">
        <f aca="false">C2097-B2097</f>
        <v>1</v>
      </c>
      <c r="Q2097" s="40" t="str">
        <f aca="false">CHOOSE(MONTH(B2097),"يناير","فبراير","مارس","أبريل","مايو","يونيو","يوليو","أغسطس","سبتمبر","أكتوبر","نوفمبر","ديسمبر")</f>
        <v>ديسمبر</v>
      </c>
      <c r="R2097" s="40" t="str">
        <f aca="false">"الربع "&amp;ROUNDUP(MONTH(B2097)/3,0)</f>
        <v>الربع 4</v>
      </c>
      <c r="S2097" s="40" t="str">
        <f aca="false">IF(D2097&lt;=12,"أطفال (0-12)",IF(D2097&lt;=24,"شباب (13-24)",IF(D2097&lt;=44,"بالغون (25-44)",IF(D2097&lt;=64,"متوسطو العمر (45-64)","كبار السن (+65)"))))</f>
        <v>شباب (13-24)</v>
      </c>
      <c r="T2097" s="41" t="n">
        <f aca="false">IFERROR(L2097/P2097,0)</f>
        <v>1211.52</v>
      </c>
    </row>
    <row r="2098" customFormat="false" ht="15" hidden="false" customHeight="false" outlineLevel="0" collapsed="false">
      <c r="A2098" s="42" t="s">
        <v>1556</v>
      </c>
      <c r="B2098" s="43" t="n">
        <v>45657</v>
      </c>
      <c r="C2098" s="43" t="n">
        <v>45659</v>
      </c>
      <c r="D2098" s="42" t="n">
        <v>77</v>
      </c>
      <c r="E2098" s="42" t="s">
        <v>154</v>
      </c>
      <c r="F2098" s="42" t="s">
        <v>140</v>
      </c>
      <c r="G2098" s="42" t="s">
        <v>167</v>
      </c>
      <c r="H2098" s="42" t="s">
        <v>142</v>
      </c>
      <c r="I2098" s="42" t="s">
        <v>143</v>
      </c>
      <c r="J2098" s="42" t="s">
        <v>159</v>
      </c>
      <c r="K2098" s="42" t="s">
        <v>184</v>
      </c>
      <c r="L2098" s="44" t="n">
        <v>4754.28</v>
      </c>
      <c r="M2098" s="42" t="n">
        <v>4</v>
      </c>
      <c r="N2098" s="42" t="s">
        <v>146</v>
      </c>
      <c r="O2098" s="42" t="s">
        <v>147</v>
      </c>
      <c r="P2098" s="39" t="n">
        <f aca="false">C2098-B2098</f>
        <v>2</v>
      </c>
      <c r="Q2098" s="40" t="str">
        <f aca="false">CHOOSE(MONTH(B2098),"يناير","فبراير","مارس","أبريل","مايو","يونيو","يوليو","أغسطس","سبتمبر","أكتوبر","نوفمبر","ديسمبر")</f>
        <v>ديسمبر</v>
      </c>
      <c r="R2098" s="40" t="str">
        <f aca="false">"الربع "&amp;ROUNDUP(MONTH(B2098)/3,0)</f>
        <v>الربع 4</v>
      </c>
      <c r="S2098" s="40" t="str">
        <f aca="false">IF(D2098&lt;=12,"أطفال (0-12)",IF(D2098&lt;=24,"شباب (13-24)",IF(D2098&lt;=44,"بالغون (25-44)",IF(D2098&lt;=64,"متوسطو العمر (45-64)","كبار السن (+65)"))))</f>
        <v>كبار السن (+65)</v>
      </c>
      <c r="T2098" s="41" t="n">
        <f aca="false">IFERROR(L2098/P2098,0)</f>
        <v>2377.14</v>
      </c>
    </row>
    <row r="2099" customFormat="false" ht="15" hidden="false" customHeight="false" outlineLevel="0" collapsed="false">
      <c r="A2099" s="33" t="s">
        <v>1662</v>
      </c>
      <c r="B2099" s="34" t="n">
        <v>45657</v>
      </c>
      <c r="C2099" s="34" t="n">
        <v>45659</v>
      </c>
      <c r="D2099" s="33" t="n">
        <v>31</v>
      </c>
      <c r="E2099" s="33" t="s">
        <v>139</v>
      </c>
      <c r="F2099" s="33" t="s">
        <v>149</v>
      </c>
      <c r="G2099" s="33" t="s">
        <v>243</v>
      </c>
      <c r="H2099" s="33" t="s">
        <v>186</v>
      </c>
      <c r="I2099" s="33" t="s">
        <v>143</v>
      </c>
      <c r="J2099" s="33" t="s">
        <v>159</v>
      </c>
      <c r="K2099" s="33" t="s">
        <v>160</v>
      </c>
      <c r="L2099" s="35" t="n">
        <v>2610.58</v>
      </c>
      <c r="M2099" s="33" t="n">
        <v>3</v>
      </c>
      <c r="N2099" s="33" t="s">
        <v>146</v>
      </c>
      <c r="O2099" s="33" t="s">
        <v>247</v>
      </c>
      <c r="P2099" s="39" t="n">
        <f aca="false">C2099-B2099</f>
        <v>2</v>
      </c>
      <c r="Q2099" s="40" t="str">
        <f aca="false">CHOOSE(MONTH(B2099),"يناير","فبراير","مارس","أبريل","مايو","يونيو","يوليو","أغسطس","سبتمبر","أكتوبر","نوفمبر","ديسمبر")</f>
        <v>ديسمبر</v>
      </c>
      <c r="R2099" s="40" t="str">
        <f aca="false">"الربع "&amp;ROUNDUP(MONTH(B2099)/3,0)</f>
        <v>الربع 4</v>
      </c>
      <c r="S2099" s="40" t="str">
        <f aca="false">IF(D2099&lt;=12,"أطفال (0-12)",IF(D2099&lt;=24,"شباب (13-24)",IF(D2099&lt;=44,"بالغون (25-44)",IF(D2099&lt;=64,"متوسطو العمر (45-64)","كبار السن (+65)"))))</f>
        <v>بالغون (25-44)</v>
      </c>
      <c r="T2099" s="41" t="n">
        <f aca="false">IFERROR(L2099/P2099,0)</f>
        <v>1305.29</v>
      </c>
    </row>
    <row r="2100" customFormat="false" ht="15" hidden="false" customHeight="false" outlineLevel="0" collapsed="false">
      <c r="A2100" s="42" t="s">
        <v>2166</v>
      </c>
      <c r="B2100" s="43" t="n">
        <v>45657</v>
      </c>
      <c r="C2100" s="43" t="n">
        <v>45660</v>
      </c>
      <c r="D2100" s="42" t="n">
        <v>67</v>
      </c>
      <c r="E2100" s="42" t="s">
        <v>154</v>
      </c>
      <c r="F2100" s="42" t="s">
        <v>140</v>
      </c>
      <c r="G2100" s="42" t="s">
        <v>316</v>
      </c>
      <c r="H2100" s="42" t="s">
        <v>290</v>
      </c>
      <c r="I2100" s="42" t="s">
        <v>152</v>
      </c>
      <c r="J2100" s="42" t="s">
        <v>144</v>
      </c>
      <c r="K2100" s="42" t="s">
        <v>160</v>
      </c>
      <c r="L2100" s="44" t="n">
        <v>12994.45</v>
      </c>
      <c r="M2100" s="42" t="n">
        <v>5</v>
      </c>
      <c r="N2100" s="42" t="s">
        <v>146</v>
      </c>
      <c r="O2100" s="42" t="s">
        <v>147</v>
      </c>
      <c r="P2100" s="39" t="n">
        <f aca="false">C2100-B2100</f>
        <v>3</v>
      </c>
      <c r="Q2100" s="40" t="str">
        <f aca="false">CHOOSE(MONTH(B2100),"يناير","فبراير","مارس","أبريل","مايو","يونيو","يوليو","أغسطس","سبتمبر","أكتوبر","نوفمبر","ديسمبر")</f>
        <v>ديسمبر</v>
      </c>
      <c r="R2100" s="40" t="str">
        <f aca="false">"الربع "&amp;ROUNDUP(MONTH(B2100)/3,0)</f>
        <v>الربع 4</v>
      </c>
      <c r="S2100" s="40" t="str">
        <f aca="false">IF(D2100&lt;=12,"أطفال (0-12)",IF(D2100&lt;=24,"شباب (13-24)",IF(D2100&lt;=44,"بالغون (25-44)",IF(D2100&lt;=64,"متوسطو العمر (45-64)","كبار السن (+65)"))))</f>
        <v>كبار السن (+65)</v>
      </c>
      <c r="T2100" s="41" t="n">
        <f aca="false">IFERROR(L2100/P2100,0)</f>
        <v>4331.48333333333</v>
      </c>
    </row>
    <row r="2101" customFormat="false" ht="15" hidden="false" customHeight="false" outlineLevel="0" collapsed="false">
      <c r="A2101" s="33" t="s">
        <v>2037</v>
      </c>
      <c r="B2101" s="34" t="n">
        <v>45657</v>
      </c>
      <c r="C2101" s="34" t="n">
        <v>45658</v>
      </c>
      <c r="D2101" s="33" t="n">
        <v>54</v>
      </c>
      <c r="E2101" s="33" t="s">
        <v>154</v>
      </c>
      <c r="F2101" s="33" t="s">
        <v>181</v>
      </c>
      <c r="G2101" s="33" t="s">
        <v>182</v>
      </c>
      <c r="H2101" s="33" t="s">
        <v>245</v>
      </c>
      <c r="I2101" s="33" t="s">
        <v>152</v>
      </c>
      <c r="J2101" s="33" t="s">
        <v>159</v>
      </c>
      <c r="K2101" s="33" t="s">
        <v>184</v>
      </c>
      <c r="L2101" s="35" t="n">
        <v>2466.28</v>
      </c>
      <c r="M2101" s="33" t="n">
        <v>4</v>
      </c>
      <c r="N2101" s="33" t="s">
        <v>146</v>
      </c>
      <c r="O2101" s="33" t="s">
        <v>247</v>
      </c>
      <c r="P2101" s="39" t="n">
        <f aca="false">C2101-B2101</f>
        <v>1</v>
      </c>
      <c r="Q2101" s="40" t="str">
        <f aca="false">CHOOSE(MONTH(B2101),"يناير","فبراير","مارس","أبريل","مايو","يونيو","يوليو","أغسطس","سبتمبر","أكتوبر","نوفمبر","ديسمبر")</f>
        <v>ديسمبر</v>
      </c>
      <c r="R2101" s="40" t="str">
        <f aca="false">"الربع "&amp;ROUNDUP(MONTH(B2101)/3,0)</f>
        <v>الربع 4</v>
      </c>
      <c r="S2101" s="40" t="str">
        <f aca="false">IF(D2101&lt;=12,"أطفال (0-12)",IF(D2101&lt;=24,"شباب (13-24)",IF(D2101&lt;=44,"بالغون (25-44)",IF(D2101&lt;=64,"متوسطو العمر (45-64)","كبار السن (+65)"))))</f>
        <v>متوسطو العمر (45-64)</v>
      </c>
      <c r="T2101" s="41" t="n">
        <f aca="false">IFERROR(L2101/P2101,0)</f>
        <v>2466.28</v>
      </c>
    </row>
    <row r="2102" customFormat="false" ht="15" hidden="false" customHeight="false" outlineLevel="0" collapsed="false">
      <c r="A2102" s="42" t="s">
        <v>268</v>
      </c>
      <c r="B2102" s="43" t="n">
        <v>45657</v>
      </c>
      <c r="C2102" s="43" t="n">
        <v>45658</v>
      </c>
      <c r="D2102" s="42" t="n">
        <v>0</v>
      </c>
      <c r="E2102" s="42" t="s">
        <v>139</v>
      </c>
      <c r="F2102" s="42" t="s">
        <v>203</v>
      </c>
      <c r="G2102" s="42" t="s">
        <v>204</v>
      </c>
      <c r="H2102" s="42" t="s">
        <v>193</v>
      </c>
      <c r="I2102" s="42" t="s">
        <v>143</v>
      </c>
      <c r="J2102" s="42" t="s">
        <v>144</v>
      </c>
      <c r="K2102" s="42" t="s">
        <v>145</v>
      </c>
      <c r="L2102" s="44" t="n">
        <v>1537.28</v>
      </c>
      <c r="M2102" s="42" t="n">
        <v>5</v>
      </c>
      <c r="N2102" s="42" t="s">
        <v>146</v>
      </c>
      <c r="O2102" s="42" t="s">
        <v>147</v>
      </c>
      <c r="P2102" s="39" t="n">
        <f aca="false">C2102-B2102</f>
        <v>1</v>
      </c>
      <c r="Q2102" s="40" t="str">
        <f aca="false">CHOOSE(MONTH(B2102),"يناير","فبراير","مارس","أبريل","مايو","يونيو","يوليو","أغسطس","سبتمبر","أكتوبر","نوفمبر","ديسمبر")</f>
        <v>ديسمبر</v>
      </c>
      <c r="R2102" s="40" t="str">
        <f aca="false">"الربع "&amp;ROUNDUP(MONTH(B2102)/3,0)</f>
        <v>الربع 4</v>
      </c>
      <c r="S2102" s="40" t="str">
        <f aca="false">IF(D2102&lt;=12,"أطفال (0-12)",IF(D2102&lt;=24,"شباب (13-24)",IF(D2102&lt;=44,"بالغون (25-44)",IF(D2102&lt;=64,"متوسطو العمر (45-64)","كبار السن (+65)"))))</f>
        <v>أطفال (0-12)</v>
      </c>
      <c r="T2102" s="41" t="n">
        <f aca="false">IFERROR(L2102/P2102,0)</f>
        <v>1537.28</v>
      </c>
    </row>
  </sheetData>
  <autoFilter ref="A2:T2102"/>
  <mergeCells count="1">
    <mergeCell ref="A1:T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6AB"/>
    <pageSetUpPr fitToPage="false"/>
  </sheetPr>
  <dimension ref="A1:H9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4" min="3" style="0" width="17"/>
    <col collapsed="false" customWidth="true" hidden="false" outlineLevel="0" max="7" min="5" style="0" width="16"/>
    <col collapsed="false" customWidth="true" hidden="false" outlineLevel="0" max="8" min="8" style="0" width="14"/>
  </cols>
  <sheetData>
    <row r="1" customFormat="false" ht="33.75" hidden="false" customHeight="true" outlineLevel="0" collapsed="false">
      <c r="A1" s="45" t="s">
        <v>2323</v>
      </c>
      <c r="B1" s="45"/>
      <c r="C1" s="45"/>
      <c r="D1" s="45"/>
      <c r="E1" s="45"/>
      <c r="F1" s="45"/>
      <c r="G1" s="45"/>
      <c r="H1" s="45"/>
    </row>
    <row r="2" customFormat="false" ht="6" hidden="false" customHeight="true" outlineLevel="0" collapsed="false"/>
    <row r="3" customFormat="false" ht="21.75" hidden="false" customHeight="true" outlineLevel="0" collapsed="false">
      <c r="A3" s="4" t="s">
        <v>2324</v>
      </c>
      <c r="B3" s="4"/>
      <c r="C3" s="4"/>
      <c r="D3" s="4"/>
      <c r="E3" s="4"/>
      <c r="F3" s="4"/>
      <c r="G3" s="4"/>
    </row>
    <row r="4" customFormat="false" ht="19.5" hidden="false" customHeight="true" outlineLevel="0" collapsed="false">
      <c r="A4" s="46" t="s">
        <v>55</v>
      </c>
      <c r="B4" s="46" t="s">
        <v>2325</v>
      </c>
      <c r="C4" s="46" t="s">
        <v>2326</v>
      </c>
      <c r="D4" s="46" t="s">
        <v>2327</v>
      </c>
      <c r="E4" s="46" t="s">
        <v>2328</v>
      </c>
      <c r="F4" s="46" t="s">
        <v>2329</v>
      </c>
      <c r="G4" s="46" t="s">
        <v>2330</v>
      </c>
    </row>
    <row r="5" customFormat="false" ht="15" hidden="false" customHeight="false" outlineLevel="0" collapsed="false">
      <c r="A5" s="47" t="s">
        <v>203</v>
      </c>
      <c r="B5" s="48" t="n">
        <f aca="false">COUNTIF('05 البيانات النظيفة'!$F$3:$F$2102,$A5)</f>
        <v>468</v>
      </c>
      <c r="C5" s="48" t="n">
        <f aca="false">SUMIF('05 البيانات النظيفة'!$F$3:$F$2102,$A5,'05 البيانات النظيفة'!$L$3:$L$2102)</f>
        <v>876630.23</v>
      </c>
      <c r="D5" s="48" t="n">
        <f aca="false">AVERAGEIF('05 البيانات النظيفة'!$F$3:$F$2102,$A5,'05 البيانات النظيفة'!$L$3:$L$2102)</f>
        <v>1873.14151709402</v>
      </c>
      <c r="E5" s="49" t="n">
        <f aca="false">AVERAGEIF('05 البيانات النظيفة'!$F$3:$F$2102,$A5,'05 البيانات النظيفة'!$P$3:$P$2102)</f>
        <v>1.44017094017094</v>
      </c>
      <c r="F5" s="50" t="n">
        <f aca="false">AVERAGEIF('05 البيانات النظيفة'!$F$3:$F$2102,$A5,'05 البيانات النظيفة'!$M$3:$M$2102)</f>
        <v>3.3974358974359</v>
      </c>
      <c r="G5" s="51" t="n">
        <f aca="false">COUNTIFS('05 البيانات النظيفة'!$F$3:$F$2102,$A5,'05 البيانات النظيفة'!$N$3:$N$2102,"نعم")/COUNTIF('05 البيانات النظيفة'!$F$3:$F$2102,$A5)</f>
        <v>0.0726495726495727</v>
      </c>
    </row>
    <row r="6" customFormat="false" ht="15" hidden="false" customHeight="false" outlineLevel="0" collapsed="false">
      <c r="A6" s="52" t="s">
        <v>169</v>
      </c>
      <c r="B6" s="53" t="n">
        <f aca="false">COUNTIF('05 البيانات النظيفة'!$F$3:$F$2102,$A6)</f>
        <v>360</v>
      </c>
      <c r="C6" s="53" t="n">
        <f aca="false">SUMIF('05 البيانات النظيفة'!$F$3:$F$2102,$A6,'05 البيانات النظيفة'!$L$3:$L$2102)</f>
        <v>2566400.53</v>
      </c>
      <c r="D6" s="53" t="n">
        <f aca="false">AVERAGEIF('05 البيانات النظيفة'!$F$3:$F$2102,$A6,'05 البيانات النظيفة'!$L$3:$L$2102)</f>
        <v>7128.89036111111</v>
      </c>
      <c r="E6" s="54" t="n">
        <f aca="false">AVERAGEIF('05 البيانات النظيفة'!$F$3:$F$2102,$A6,'05 البيانات النظيفة'!$P$3:$P$2102)</f>
        <v>4.58888888888889</v>
      </c>
      <c r="F6" s="55" t="n">
        <f aca="false">AVERAGEIF('05 البيانات النظيفة'!$F$3:$F$2102,$A6,'05 البيانات النظيفة'!$M$3:$M$2102)</f>
        <v>4.04722222222222</v>
      </c>
      <c r="G6" s="56" t="n">
        <f aca="false">COUNTIFS('05 البيانات النظيفة'!$F$3:$F$2102,$A6,'05 البيانات النظيفة'!$N$3:$N$2102,"نعم")/COUNTIF('05 البيانات النظيفة'!$F$3:$F$2102,$A6)</f>
        <v>0.0861111111111111</v>
      </c>
    </row>
    <row r="7" customFormat="false" ht="15" hidden="false" customHeight="false" outlineLevel="0" collapsed="false">
      <c r="A7" s="47" t="s">
        <v>140</v>
      </c>
      <c r="B7" s="48" t="n">
        <f aca="false">COUNTIF('05 البيانات النظيفة'!$F$3:$F$2102,$A7)</f>
        <v>218</v>
      </c>
      <c r="C7" s="48" t="n">
        <f aca="false">SUMIF('05 البيانات النظيفة'!$F$3:$F$2102,$A7,'05 البيانات النظيفة'!$L$3:$L$2102)</f>
        <v>2793368.16</v>
      </c>
      <c r="D7" s="48" t="n">
        <f aca="false">AVERAGEIF('05 البيانات النظيفة'!$F$3:$F$2102,$A7,'05 البيانات النظيفة'!$L$3:$L$2102)</f>
        <v>12813.615412844</v>
      </c>
      <c r="E7" s="49" t="n">
        <f aca="false">AVERAGEIF('05 البيانات النظيفة'!$F$3:$F$2102,$A7,'05 البيانات النظيفة'!$P$3:$P$2102)</f>
        <v>4.15137614678899</v>
      </c>
      <c r="F7" s="50" t="n">
        <f aca="false">AVERAGEIF('05 البيانات النظيفة'!$F$3:$F$2102,$A7,'05 البيانات النظيفة'!$M$3:$M$2102)</f>
        <v>4</v>
      </c>
      <c r="G7" s="51" t="n">
        <f aca="false">COUNTIFS('05 البيانات النظيفة'!$F$3:$F$2102,$A7,'05 البيانات النظيفة'!$N$3:$N$2102,"نعم")/COUNTIF('05 البيانات النظيفة'!$F$3:$F$2102,$A7)</f>
        <v>0.0917431192660551</v>
      </c>
    </row>
    <row r="8" customFormat="false" ht="15" hidden="false" customHeight="false" outlineLevel="0" collapsed="false">
      <c r="A8" s="52" t="s">
        <v>173</v>
      </c>
      <c r="B8" s="53" t="n">
        <f aca="false">COUNTIF('05 البيانات النظيفة'!$F$3:$F$2102,$A8)</f>
        <v>230</v>
      </c>
      <c r="C8" s="53" t="n">
        <f aca="false">SUMIF('05 البيانات النظيفة'!$F$3:$F$2102,$A8,'05 البيانات النظيفة'!$L$3:$L$2102)</f>
        <v>3703190.2</v>
      </c>
      <c r="D8" s="53" t="n">
        <f aca="false">AVERAGEIF('05 البيانات النظيفة'!$F$3:$F$2102,$A8,'05 البيانات النظيفة'!$L$3:$L$2102)</f>
        <v>16100.8269565217</v>
      </c>
      <c r="E8" s="54" t="n">
        <f aca="false">AVERAGEIF('05 البيانات النظيفة'!$F$3:$F$2102,$A8,'05 البيانات النظيفة'!$P$3:$P$2102)</f>
        <v>4.34347826086957</v>
      </c>
      <c r="F8" s="55" t="n">
        <f aca="false">AVERAGEIF('05 البيانات النظيفة'!$F$3:$F$2102,$A8,'05 البيانات النظيفة'!$M$3:$M$2102)</f>
        <v>4.06086956521739</v>
      </c>
      <c r="G8" s="56" t="n">
        <f aca="false">COUNTIFS('05 البيانات النظيفة'!$F$3:$F$2102,$A8,'05 البيانات النظيفة'!$N$3:$N$2102,"نعم")/COUNTIF('05 البيانات النظيفة'!$F$3:$F$2102,$A8)</f>
        <v>0.0869565217391304</v>
      </c>
    </row>
    <row r="9" customFormat="false" ht="15" hidden="false" customHeight="false" outlineLevel="0" collapsed="false">
      <c r="A9" s="47" t="s">
        <v>181</v>
      </c>
      <c r="B9" s="48" t="n">
        <f aca="false">COUNTIF('05 البيانات النظيفة'!$F$3:$F$2102,$A9)</f>
        <v>200</v>
      </c>
      <c r="C9" s="48" t="n">
        <f aca="false">SUMIF('05 البيانات النظيفة'!$F$3:$F$2102,$A9,'05 البيانات النظيفة'!$L$3:$L$2102)</f>
        <v>4209630.38</v>
      </c>
      <c r="D9" s="48" t="n">
        <f aca="false">AVERAGEIF('05 البيانات النظيفة'!$F$3:$F$2102,$A9,'05 البيانات النظيفة'!$L$3:$L$2102)</f>
        <v>21048.1519</v>
      </c>
      <c r="E9" s="49" t="n">
        <f aca="false">AVERAGEIF('05 البيانات النظيفة'!$F$3:$F$2102,$A9,'05 البيانات النظيفة'!$P$3:$P$2102)</f>
        <v>5.69</v>
      </c>
      <c r="F9" s="50" t="n">
        <f aca="false">AVERAGEIF('05 البيانات النظيفة'!$F$3:$F$2102,$A9,'05 البيانات النظيفة'!$M$3:$M$2102)</f>
        <v>3.98</v>
      </c>
      <c r="G9" s="51" t="n">
        <f aca="false">COUNTIFS('05 البيانات النظيفة'!$F$3:$F$2102,$A9,'05 البيانات النظيفة'!$N$3:$N$2102,"نعم")/COUNTIF('05 البيانات النظيفة'!$F$3:$F$2102,$A9)</f>
        <v>0.185</v>
      </c>
    </row>
    <row r="10" customFormat="false" ht="15" hidden="false" customHeight="false" outlineLevel="0" collapsed="false">
      <c r="A10" s="52" t="s">
        <v>155</v>
      </c>
      <c r="B10" s="53" t="n">
        <f aca="false">COUNTIF('05 البيانات النظيفة'!$F$3:$F$2102,$A10)</f>
        <v>293</v>
      </c>
      <c r="C10" s="53" t="n">
        <f aca="false">SUMIF('05 البيانات النظيفة'!$F$3:$F$2102,$A10,'05 البيانات النظيفة'!$L$3:$L$2102)</f>
        <v>922980.63</v>
      </c>
      <c r="D10" s="53" t="n">
        <f aca="false">AVERAGEIF('05 البيانات النظيفة'!$F$3:$F$2102,$A10,'05 البيانات النظيفة'!$L$3:$L$2102)</f>
        <v>3150.10453924915</v>
      </c>
      <c r="E10" s="54" t="n">
        <f aca="false">AVERAGEIF('05 البيانات النظيفة'!$F$3:$F$2102,$A10,'05 البيانات النظيفة'!$P$3:$P$2102)</f>
        <v>2.62798634812287</v>
      </c>
      <c r="F10" s="55" t="n">
        <f aca="false">AVERAGEIF('05 البيانات النظيفة'!$F$3:$F$2102,$A10,'05 البيانات النظيفة'!$M$3:$M$2102)</f>
        <v>4.07849829351536</v>
      </c>
      <c r="G10" s="56" t="n">
        <f aca="false">COUNTIFS('05 البيانات النظيفة'!$F$3:$F$2102,$A10,'05 البيانات النظيفة'!$N$3:$N$2102,"نعم")/COUNTIF('05 البيانات النظيفة'!$F$3:$F$2102,$A10)</f>
        <v>0.0921501706484642</v>
      </c>
    </row>
    <row r="11" customFormat="false" ht="15" hidden="false" customHeight="false" outlineLevel="0" collapsed="false">
      <c r="A11" s="47" t="s">
        <v>149</v>
      </c>
      <c r="B11" s="48" t="n">
        <f aca="false">COUNTIF('05 البيانات النظيفة'!$F$3:$F$2102,$A11)</f>
        <v>202</v>
      </c>
      <c r="C11" s="48" t="n">
        <f aca="false">SUMIF('05 البيانات النظيفة'!$F$3:$F$2102,$A11,'05 البيانات النظيفة'!$L$3:$L$2102)</f>
        <v>990780.35</v>
      </c>
      <c r="D11" s="48" t="n">
        <f aca="false">AVERAGEIF('05 البيانات النظيفة'!$F$3:$F$2102,$A11,'05 البيانات النظيفة'!$L$3:$L$2102)</f>
        <v>4904.85321782178</v>
      </c>
      <c r="E11" s="49" t="n">
        <f aca="false">AVERAGEIF('05 البيانات النظيفة'!$F$3:$F$2102,$A11,'05 البيانات النظيفة'!$P$3:$P$2102)</f>
        <v>2.27227722772277</v>
      </c>
      <c r="F11" s="50" t="n">
        <f aca="false">AVERAGEIF('05 البيانات النظيفة'!$F$3:$F$2102,$A11,'05 البيانات النظيفة'!$M$3:$M$2102)</f>
        <v>3.99009900990099</v>
      </c>
      <c r="G11" s="51" t="n">
        <f aca="false">COUNTIFS('05 البيانات النظيفة'!$F$3:$F$2102,$A11,'05 البيانات النظيفة'!$N$3:$N$2102,"نعم")/COUNTIF('05 البيانات النظيفة'!$F$3:$F$2102,$A11)</f>
        <v>0.0841584158415842</v>
      </c>
    </row>
    <row r="12" customFormat="false" ht="15" hidden="false" customHeight="false" outlineLevel="0" collapsed="false">
      <c r="A12" s="52" t="s">
        <v>226</v>
      </c>
      <c r="B12" s="53" t="n">
        <f aca="false">COUNTIF('05 البيانات النظيفة'!$F$3:$F$2102,$A12)</f>
        <v>129</v>
      </c>
      <c r="C12" s="53" t="n">
        <f aca="false">SUMIF('05 البيانات النظيفة'!$F$3:$F$2102,$A12,'05 البيانات النظيفة'!$L$3:$L$2102)</f>
        <v>4540495.77</v>
      </c>
      <c r="D12" s="53" t="n">
        <f aca="false">AVERAGEIF('05 البيانات النظيفة'!$F$3:$F$2102,$A12,'05 البيانات النظيفة'!$L$3:$L$2102)</f>
        <v>35197.641627907</v>
      </c>
      <c r="E12" s="54" t="n">
        <f aca="false">AVERAGEIF('05 البيانات النظيفة'!$F$3:$F$2102,$A12,'05 البيانات النظيفة'!$P$3:$P$2102)</f>
        <v>6.42635658914729</v>
      </c>
      <c r="F12" s="55" t="n">
        <f aca="false">AVERAGEIF('05 البيانات النظيفة'!$F$3:$F$2102,$A12,'05 البيانات النظيفة'!$M$3:$M$2102)</f>
        <v>4</v>
      </c>
      <c r="G12" s="56" t="n">
        <f aca="false">COUNTIFS('05 البيانات النظيفة'!$F$3:$F$2102,$A12,'05 البيانات النظيفة'!$N$3:$N$2102,"نعم")/COUNTIF('05 البيانات النظيفة'!$F$3:$F$2102,$A12)</f>
        <v>0.162790697674419</v>
      </c>
    </row>
    <row r="13" customFormat="false" ht="15" hidden="false" customHeight="false" outlineLevel="0" collapsed="false">
      <c r="A13" s="57" t="s">
        <v>2331</v>
      </c>
      <c r="B13" s="58" t="n">
        <f aca="false">SUM(B5:B12)</f>
        <v>2100</v>
      </c>
      <c r="C13" s="58" t="n">
        <f aca="false">SUM(C5:C12)</f>
        <v>20603476.25</v>
      </c>
      <c r="D13" s="58" t="n">
        <f aca="false">AVERAGE('05 البيانات النظيفة'!$L$3:$L$2102)</f>
        <v>9811.17916666667</v>
      </c>
      <c r="E13" s="59" t="n">
        <f aca="false">AVERAGE('05 البيانات النظيفة'!$P$3:$P$2102)</f>
        <v>3.53619047619048</v>
      </c>
      <c r="F13" s="60" t="n">
        <f aca="false">AVERAGE('05 البيانات النظيفة'!$M$3:$M$2102)</f>
        <v>3.88857142857143</v>
      </c>
      <c r="G13" s="61" t="n">
        <f aca="false">COUNTIF('05 البيانات النظيفة'!$N$3:$N$2102,"نعم")/COUNT('05 البيانات النظيفة'!$D$3:$D$2102)</f>
        <v>0.0985714285714286</v>
      </c>
    </row>
    <row r="15" customFormat="false" ht="21.75" hidden="false" customHeight="true" outlineLevel="0" collapsed="false">
      <c r="A15" s="4" t="s">
        <v>2332</v>
      </c>
      <c r="B15" s="4"/>
      <c r="C15" s="4"/>
      <c r="D15" s="4"/>
    </row>
    <row r="16" customFormat="false" ht="19.5" hidden="false" customHeight="true" outlineLevel="0" collapsed="false">
      <c r="A16" s="46" t="s">
        <v>90</v>
      </c>
      <c r="B16" s="46" t="s">
        <v>2325</v>
      </c>
      <c r="C16" s="46" t="s">
        <v>2326</v>
      </c>
      <c r="D16" s="46" t="s">
        <v>2328</v>
      </c>
    </row>
    <row r="17" customFormat="false" ht="15" hidden="false" customHeight="false" outlineLevel="0" collapsed="false">
      <c r="A17" s="47" t="s">
        <v>2333</v>
      </c>
      <c r="B17" s="48" t="n">
        <f aca="false">COUNTIF('05 البيانات النظيفة'!$Q$3:$Q$2102,$A17)</f>
        <v>164</v>
      </c>
      <c r="C17" s="48" t="n">
        <f aca="false">SUMIF('05 البيانات النظيفة'!$Q$3:$Q$2102,$A17,'05 البيانات النظيفة'!$L$3:$L$2102)</f>
        <v>1448481.91</v>
      </c>
      <c r="D17" s="49" t="n">
        <f aca="false">AVERAGEIF('05 البيانات النظيفة'!$Q$3:$Q$2102,$A17,'05 البيانات النظيفة'!$P$3:$P$2102)</f>
        <v>3.21951219512195</v>
      </c>
    </row>
    <row r="18" customFormat="false" ht="15" hidden="false" customHeight="false" outlineLevel="0" collapsed="false">
      <c r="A18" s="52" t="s">
        <v>2334</v>
      </c>
      <c r="B18" s="53" t="n">
        <f aca="false">COUNTIF('05 البيانات النظيفة'!$Q$3:$Q$2102,$A18)</f>
        <v>198</v>
      </c>
      <c r="C18" s="53" t="n">
        <f aca="false">SUMIF('05 البيانات النظيفة'!$Q$3:$Q$2102,$A18,'05 البيانات النظيفة'!$L$3:$L$2102)</f>
        <v>2031699</v>
      </c>
      <c r="D18" s="54" t="n">
        <f aca="false">AVERAGEIF('05 البيانات النظيفة'!$Q$3:$Q$2102,$A18,'05 البيانات النظيفة'!$P$3:$P$2102)</f>
        <v>3.58080808080808</v>
      </c>
    </row>
    <row r="19" customFormat="false" ht="15" hidden="false" customHeight="false" outlineLevel="0" collapsed="false">
      <c r="A19" s="47" t="s">
        <v>2335</v>
      </c>
      <c r="B19" s="48" t="n">
        <f aca="false">COUNTIF('05 البيانات النظيفة'!$Q$3:$Q$2102,$A19)</f>
        <v>161</v>
      </c>
      <c r="C19" s="48" t="n">
        <f aca="false">SUMIF('05 البيانات النظيفة'!$Q$3:$Q$2102,$A19,'05 البيانات النظيفة'!$L$3:$L$2102)</f>
        <v>1196977.34</v>
      </c>
      <c r="D19" s="49" t="n">
        <f aca="false">AVERAGEIF('05 البيانات النظيفة'!$Q$3:$Q$2102,$A19,'05 البيانات النظيفة'!$P$3:$P$2102)</f>
        <v>3.11801242236025</v>
      </c>
    </row>
    <row r="20" customFormat="false" ht="15" hidden="false" customHeight="false" outlineLevel="0" collapsed="false">
      <c r="A20" s="52" t="s">
        <v>2336</v>
      </c>
      <c r="B20" s="53" t="n">
        <f aca="false">COUNTIF('05 البيانات النظيفة'!$Q$3:$Q$2102,$A20)</f>
        <v>172</v>
      </c>
      <c r="C20" s="53" t="n">
        <f aca="false">SUMIF('05 البيانات النظيفة'!$Q$3:$Q$2102,$A20,'05 البيانات النظيفة'!$L$3:$L$2102)</f>
        <v>1946497.18</v>
      </c>
      <c r="D20" s="54" t="n">
        <f aca="false">AVERAGEIF('05 البيانات النظيفة'!$Q$3:$Q$2102,$A20,'05 البيانات النظيفة'!$P$3:$P$2102)</f>
        <v>3.7906976744186</v>
      </c>
    </row>
    <row r="21" customFormat="false" ht="15" hidden="false" customHeight="false" outlineLevel="0" collapsed="false">
      <c r="A21" s="47" t="s">
        <v>2337</v>
      </c>
      <c r="B21" s="48" t="n">
        <f aca="false">COUNTIF('05 البيانات النظيفة'!$Q$3:$Q$2102,$A21)</f>
        <v>160</v>
      </c>
      <c r="C21" s="48" t="n">
        <f aca="false">SUMIF('05 البيانات النظيفة'!$Q$3:$Q$2102,$A21,'05 البيانات النظيفة'!$L$3:$L$2102)</f>
        <v>1353244.19</v>
      </c>
      <c r="D21" s="49" t="n">
        <f aca="false">AVERAGEIF('05 البيانات النظيفة'!$Q$3:$Q$2102,$A21,'05 البيانات النظيفة'!$P$3:$P$2102)</f>
        <v>3.4125</v>
      </c>
    </row>
    <row r="22" customFormat="false" ht="15" hidden="false" customHeight="false" outlineLevel="0" collapsed="false">
      <c r="A22" s="52" t="s">
        <v>2338</v>
      </c>
      <c r="B22" s="53" t="n">
        <f aca="false">COUNTIF('05 البيانات النظيفة'!$Q$3:$Q$2102,$A22)</f>
        <v>187</v>
      </c>
      <c r="C22" s="53" t="n">
        <f aca="false">SUMIF('05 البيانات النظيفة'!$Q$3:$Q$2102,$A22,'05 البيانات النظيفة'!$L$3:$L$2102)</f>
        <v>1406723.7</v>
      </c>
      <c r="D22" s="54" t="n">
        <f aca="false">AVERAGEIF('05 البيانات النظيفة'!$Q$3:$Q$2102,$A22,'05 البيانات النظيفة'!$P$3:$P$2102)</f>
        <v>3.13368983957219</v>
      </c>
    </row>
    <row r="23" customFormat="false" ht="15" hidden="false" customHeight="false" outlineLevel="0" collapsed="false">
      <c r="A23" s="47" t="s">
        <v>2339</v>
      </c>
      <c r="B23" s="48" t="n">
        <f aca="false">COUNTIF('05 البيانات النظيفة'!$Q$3:$Q$2102,$A23)</f>
        <v>182</v>
      </c>
      <c r="C23" s="48" t="n">
        <f aca="false">SUMIF('05 البيانات النظيفة'!$Q$3:$Q$2102,$A23,'05 البيانات النظيفة'!$L$3:$L$2102)</f>
        <v>1780136.71</v>
      </c>
      <c r="D23" s="49" t="n">
        <f aca="false">AVERAGEIF('05 البيانات النظيفة'!$Q$3:$Q$2102,$A23,'05 البيانات النظيفة'!$P$3:$P$2102)</f>
        <v>3.75274725274725</v>
      </c>
    </row>
    <row r="24" customFormat="false" ht="15" hidden="false" customHeight="false" outlineLevel="0" collapsed="false">
      <c r="A24" s="52" t="s">
        <v>2340</v>
      </c>
      <c r="B24" s="53" t="n">
        <f aca="false">COUNTIF('05 البيانات النظيفة'!$Q$3:$Q$2102,$A24)</f>
        <v>175</v>
      </c>
      <c r="C24" s="53" t="n">
        <f aca="false">SUMIF('05 البيانات النظيفة'!$Q$3:$Q$2102,$A24,'05 البيانات النظيفة'!$L$3:$L$2102)</f>
        <v>1726157.92</v>
      </c>
      <c r="D24" s="54" t="n">
        <f aca="false">AVERAGEIF('05 البيانات النظيفة'!$Q$3:$Q$2102,$A24,'05 البيانات النظيفة'!$P$3:$P$2102)</f>
        <v>3.26857142857143</v>
      </c>
    </row>
    <row r="25" customFormat="false" ht="15" hidden="false" customHeight="false" outlineLevel="0" collapsed="false">
      <c r="A25" s="47" t="s">
        <v>2341</v>
      </c>
      <c r="B25" s="48" t="n">
        <f aca="false">COUNTIF('05 البيانات النظيفة'!$Q$3:$Q$2102,$A25)</f>
        <v>170</v>
      </c>
      <c r="C25" s="48" t="n">
        <f aca="false">SUMIF('05 البيانات النظيفة'!$Q$3:$Q$2102,$A25,'05 البيانات النظيفة'!$L$3:$L$2102)</f>
        <v>1761634.84</v>
      </c>
      <c r="D25" s="49" t="n">
        <f aca="false">AVERAGEIF('05 البيانات النظيفة'!$Q$3:$Q$2102,$A25,'05 البيانات النظيفة'!$P$3:$P$2102)</f>
        <v>3.61764705882353</v>
      </c>
    </row>
    <row r="26" customFormat="false" ht="15" hidden="false" customHeight="false" outlineLevel="0" collapsed="false">
      <c r="A26" s="52" t="s">
        <v>2342</v>
      </c>
      <c r="B26" s="53" t="n">
        <f aca="false">COUNTIF('05 البيانات النظيفة'!$Q$3:$Q$2102,$A26)</f>
        <v>177</v>
      </c>
      <c r="C26" s="53" t="n">
        <f aca="false">SUMIF('05 البيانات النظيفة'!$Q$3:$Q$2102,$A26,'05 البيانات النظيفة'!$L$3:$L$2102)</f>
        <v>1971538.34</v>
      </c>
      <c r="D26" s="54" t="n">
        <f aca="false">AVERAGEIF('05 البيانات النظيفة'!$Q$3:$Q$2102,$A26,'05 البيانات النظيفة'!$P$3:$P$2102)</f>
        <v>3.53672316384181</v>
      </c>
    </row>
    <row r="27" customFormat="false" ht="15" hidden="false" customHeight="false" outlineLevel="0" collapsed="false">
      <c r="A27" s="47" t="s">
        <v>2343</v>
      </c>
      <c r="B27" s="48" t="n">
        <f aca="false">COUNTIF('05 البيانات النظيفة'!$Q$3:$Q$2102,$A27)</f>
        <v>167</v>
      </c>
      <c r="C27" s="48" t="n">
        <f aca="false">SUMIF('05 البيانات النظيفة'!$Q$3:$Q$2102,$A27,'05 البيانات النظيفة'!$L$3:$L$2102)</f>
        <v>1815377.82</v>
      </c>
      <c r="D27" s="49" t="n">
        <f aca="false">AVERAGEIF('05 البيانات النظيفة'!$Q$3:$Q$2102,$A27,'05 البيانات النظيفة'!$P$3:$P$2102)</f>
        <v>3.9940119760479</v>
      </c>
    </row>
    <row r="28" customFormat="false" ht="15" hidden="false" customHeight="false" outlineLevel="0" collapsed="false">
      <c r="A28" s="52" t="s">
        <v>2344</v>
      </c>
      <c r="B28" s="53" t="n">
        <f aca="false">COUNTIF('05 البيانات النظيفة'!$Q$3:$Q$2102,$A28)</f>
        <v>187</v>
      </c>
      <c r="C28" s="53" t="n">
        <f aca="false">SUMIF('05 البيانات النظيفة'!$Q$3:$Q$2102,$A28,'05 البيانات النظيفة'!$L$3:$L$2102)</f>
        <v>2165007.3</v>
      </c>
      <c r="D28" s="54" t="n">
        <f aca="false">AVERAGEIF('05 البيانات النظيفة'!$Q$3:$Q$2102,$A28,'05 البيانات النظيفة'!$P$3:$P$2102)</f>
        <v>3.9572192513369</v>
      </c>
    </row>
    <row r="31" customFormat="false" ht="21.75" hidden="false" customHeight="true" outlineLevel="0" collapsed="false">
      <c r="A31" s="4" t="s">
        <v>2345</v>
      </c>
      <c r="B31" s="4"/>
      <c r="C31" s="4"/>
      <c r="D31" s="4"/>
      <c r="E31" s="4"/>
    </row>
    <row r="32" customFormat="false" ht="19.5" hidden="false" customHeight="true" outlineLevel="0" collapsed="false">
      <c r="A32" s="46" t="s">
        <v>2346</v>
      </c>
      <c r="B32" s="46" t="s">
        <v>2325</v>
      </c>
      <c r="C32" s="46" t="s">
        <v>2347</v>
      </c>
      <c r="D32" s="46" t="s">
        <v>2327</v>
      </c>
      <c r="E32" s="46" t="s">
        <v>2329</v>
      </c>
    </row>
    <row r="33" customFormat="false" ht="15" hidden="false" customHeight="false" outlineLevel="0" collapsed="false">
      <c r="A33" s="47" t="s">
        <v>145</v>
      </c>
      <c r="B33" s="48" t="n">
        <f aca="false">COUNTIF('05 البيانات النظيفة'!$K$3:$K$2102,$A33)</f>
        <v>922</v>
      </c>
      <c r="C33" s="51" t="n">
        <f aca="false">B33/COUNT('05 البيانات النظيفة'!$D$3:$D$2102)</f>
        <v>0.439047619047619</v>
      </c>
      <c r="D33" s="48" t="n">
        <f aca="false">AVERAGEIF('05 البيانات النظيفة'!$K$3:$K$2102,$A33,'05 البيانات النظيفة'!$L$3:$L$2102)</f>
        <v>10047.2300542299</v>
      </c>
      <c r="E33" s="50" t="n">
        <f aca="false">AVERAGEIF('05 البيانات النظيفة'!$K$3:$K$2102,$A33,'05 البيانات النظيفة'!$M$3:$M$2102)</f>
        <v>3.92407809110629</v>
      </c>
    </row>
    <row r="34" customFormat="false" ht="15" hidden="false" customHeight="false" outlineLevel="0" collapsed="false">
      <c r="A34" s="52" t="s">
        <v>160</v>
      </c>
      <c r="B34" s="53" t="n">
        <f aca="false">COUNTIF('05 البيانات النظيفة'!$K$3:$K$2102,$A34)</f>
        <v>578</v>
      </c>
      <c r="C34" s="56" t="n">
        <f aca="false">B34/COUNT('05 البيانات النظيفة'!$D$3:$D$2102)</f>
        <v>0.275238095238095</v>
      </c>
      <c r="D34" s="53" t="n">
        <f aca="false">AVERAGEIF('05 البيانات النظيفة'!$K$3:$K$2102,$A34,'05 البيانات النظيفة'!$L$3:$L$2102)</f>
        <v>9668.7364532872</v>
      </c>
      <c r="E34" s="55" t="n">
        <f aca="false">AVERAGEIF('05 البيانات النظيفة'!$K$3:$K$2102,$A34,'05 البيانات النظيفة'!$M$3:$M$2102)</f>
        <v>3.91522491349481</v>
      </c>
    </row>
    <row r="35" customFormat="false" ht="15" hidden="false" customHeight="false" outlineLevel="0" collapsed="false">
      <c r="A35" s="47" t="s">
        <v>184</v>
      </c>
      <c r="B35" s="48" t="n">
        <f aca="false">COUNTIF('05 البيانات النظيفة'!$K$3:$K$2102,$A35)</f>
        <v>387</v>
      </c>
      <c r="C35" s="51" t="n">
        <f aca="false">B35/COUNT('05 البيانات النظيفة'!$D$3:$D$2102)</f>
        <v>0.184285714285714</v>
      </c>
      <c r="D35" s="48" t="n">
        <f aca="false">AVERAGEIF('05 البيانات النظيفة'!$K$3:$K$2102,$A35,'05 البيانات النظيفة'!$L$3:$L$2102)</f>
        <v>9362.24108527132</v>
      </c>
      <c r="E35" s="50" t="n">
        <f aca="false">AVERAGEIF('05 البيانات النظيفة'!$K$3:$K$2102,$A35,'05 البيانات النظيفة'!$M$3:$M$2102)</f>
        <v>3.9328165374677</v>
      </c>
    </row>
    <row r="36" customFormat="false" ht="15" hidden="false" customHeight="false" outlineLevel="0" collapsed="false">
      <c r="A36" s="52" t="s">
        <v>209</v>
      </c>
      <c r="B36" s="53" t="n">
        <f aca="false">COUNTIF('05 البيانات النظيفة'!$K$3:$K$2102,$A36)</f>
        <v>213</v>
      </c>
      <c r="C36" s="56" t="n">
        <f aca="false">B36/COUNT('05 البيانات النظيفة'!$D$3:$D$2102)</f>
        <v>0.101428571428571</v>
      </c>
      <c r="D36" s="53" t="n">
        <f aca="false">AVERAGEIF('05 البيانات النظيفة'!$K$3:$K$2102,$A36,'05 البيانات النظيفة'!$L$3:$L$2102)</f>
        <v>9991.61112676056</v>
      </c>
      <c r="E36" s="55" t="n">
        <f aca="false">AVERAGEIF('05 البيانات النظيفة'!$K$3:$K$2102,$A36,'05 البيانات النظيفة'!$M$3:$M$2102)</f>
        <v>3.58215962441315</v>
      </c>
    </row>
    <row r="39" customFormat="false" ht="21.75" hidden="false" customHeight="true" outlineLevel="0" collapsed="false">
      <c r="A39" s="4" t="s">
        <v>2348</v>
      </c>
      <c r="B39" s="4"/>
      <c r="C39" s="4"/>
      <c r="D39" s="4"/>
    </row>
    <row r="40" customFormat="false" ht="19.5" hidden="false" customHeight="true" outlineLevel="0" collapsed="false">
      <c r="A40" s="46" t="s">
        <v>2349</v>
      </c>
      <c r="B40" s="46" t="s">
        <v>2325</v>
      </c>
      <c r="C40" s="46" t="s">
        <v>2327</v>
      </c>
      <c r="D40" s="46" t="s">
        <v>2328</v>
      </c>
    </row>
    <row r="41" customFormat="false" ht="15" hidden="false" customHeight="false" outlineLevel="0" collapsed="false">
      <c r="A41" s="47" t="s">
        <v>2350</v>
      </c>
      <c r="B41" s="48" t="n">
        <f aca="false">COUNTIF('05 البيانات النظيفة'!$S$3:$S$2102,$A41)</f>
        <v>358</v>
      </c>
      <c r="C41" s="48" t="n">
        <f aca="false">AVERAGEIF('05 البيانات النظيفة'!$S$3:$S$2102,$A41,'05 البيانات النظيفة'!$L$3:$L$2102)</f>
        <v>4153.58360335196</v>
      </c>
      <c r="D41" s="49" t="n">
        <f aca="false">AVERAGEIF('05 البيانات النظيفة'!$S$3:$S$2102,$A41,'05 البيانات النظيفة'!$P$3:$P$2102)</f>
        <v>2.71787709497207</v>
      </c>
    </row>
    <row r="42" customFormat="false" ht="15" hidden="false" customHeight="false" outlineLevel="0" collapsed="false">
      <c r="A42" s="52" t="s">
        <v>2351</v>
      </c>
      <c r="B42" s="53" t="n">
        <f aca="false">COUNTIF('05 البيانات النظيفة'!$S$3:$S$2102,$A42)</f>
        <v>202</v>
      </c>
      <c r="C42" s="53" t="n">
        <f aca="false">AVERAGEIF('05 البيانات النظيفة'!$S$3:$S$2102,$A42,'05 البيانات النظيفة'!$L$3:$L$2102)</f>
        <v>6886.1900990099</v>
      </c>
      <c r="D42" s="54" t="n">
        <f aca="false">AVERAGEIF('05 البيانات النظيفة'!$S$3:$S$2102,$A42,'05 البيانات النظيفة'!$P$3:$P$2102)</f>
        <v>3.06930693069307</v>
      </c>
    </row>
    <row r="43" customFormat="false" ht="15" hidden="false" customHeight="false" outlineLevel="0" collapsed="false">
      <c r="A43" s="47" t="s">
        <v>2352</v>
      </c>
      <c r="B43" s="48" t="n">
        <f aca="false">COUNTIF('05 البيانات النظيفة'!$S$3:$S$2102,$A43)</f>
        <v>614</v>
      </c>
      <c r="C43" s="48" t="n">
        <f aca="false">AVERAGEIF('05 البيانات النظيفة'!$S$3:$S$2102,$A43,'05 البيانات النظيفة'!$L$3:$L$2102)</f>
        <v>8658.84526058632</v>
      </c>
      <c r="D43" s="49" t="n">
        <f aca="false">AVERAGEIF('05 البيانات النظيفة'!$S$3:$S$2102,$A43,'05 البيانات النظيفة'!$P$3:$P$2102)</f>
        <v>3.33550488599349</v>
      </c>
    </row>
    <row r="44" customFormat="false" ht="15" hidden="false" customHeight="false" outlineLevel="0" collapsed="false">
      <c r="A44" s="52" t="s">
        <v>2353</v>
      </c>
      <c r="B44" s="53" t="n">
        <f aca="false">COUNTIF('05 البيانات النظيفة'!$S$3:$S$2102,$A44)</f>
        <v>601</v>
      </c>
      <c r="C44" s="53" t="n">
        <f aca="false">AVERAGEIF('05 البيانات النظيفة'!$S$3:$S$2102,$A44,'05 البيانات النظيفة'!$L$3:$L$2102)</f>
        <v>13350.6589351082</v>
      </c>
      <c r="D44" s="54" t="n">
        <f aca="false">AVERAGEIF('05 البيانات النظيفة'!$S$3:$S$2102,$A44,'05 البيانات النظيفة'!$P$3:$P$2102)</f>
        <v>4.0216306156406</v>
      </c>
    </row>
    <row r="45" customFormat="false" ht="15" hidden="false" customHeight="false" outlineLevel="0" collapsed="false">
      <c r="A45" s="47" t="s">
        <v>2354</v>
      </c>
      <c r="B45" s="48" t="n">
        <f aca="false">COUNTIF('05 البيانات النظيفة'!$S$3:$S$2102,$A45)</f>
        <v>325</v>
      </c>
      <c r="C45" s="48" t="n">
        <f aca="false">AVERAGEIF('05 البيانات النظيفة'!$S$3:$S$2102,$A45,'05 البيانات النظيفة'!$L$3:$L$2102)</f>
        <v>13492.9412615385</v>
      </c>
      <c r="D45" s="49" t="n">
        <f aca="false">AVERAGEIF('05 البيانات النظيفة'!$S$3:$S$2102,$A45,'05 البيانات النظيفة'!$P$3:$P$2102)</f>
        <v>4.20923076923077</v>
      </c>
    </row>
    <row r="48" customFormat="false" ht="21.75" hidden="false" customHeight="true" outlineLevel="0" collapsed="false">
      <c r="A48" s="4" t="s">
        <v>2355</v>
      </c>
      <c r="B48" s="4"/>
      <c r="C48" s="4"/>
      <c r="D48" s="4"/>
    </row>
    <row r="49" customFormat="false" ht="19.5" hidden="false" customHeight="true" outlineLevel="0" collapsed="false">
      <c r="A49" s="46" t="s">
        <v>2356</v>
      </c>
      <c r="B49" s="46" t="s">
        <v>2325</v>
      </c>
      <c r="C49" s="46" t="s">
        <v>2326</v>
      </c>
      <c r="D49" s="46" t="s">
        <v>2357</v>
      </c>
    </row>
    <row r="50" customFormat="false" ht="15" hidden="false" customHeight="false" outlineLevel="0" collapsed="false">
      <c r="A50" s="47" t="s">
        <v>159</v>
      </c>
      <c r="B50" s="48" t="n">
        <f aca="false">COUNTIF('05 البيانات النظيفة'!$J$3:$J$2102,$A50)</f>
        <v>1405</v>
      </c>
      <c r="C50" s="48" t="n">
        <f aca="false">SUMIF('05 البيانات النظيفة'!$J$3:$J$2102,$A50,'05 البيانات النظيفة'!$L$3:$L$2102)</f>
        <v>8822375.29</v>
      </c>
      <c r="D50" s="48" t="n">
        <f aca="false">AVERAGEIF('05 البيانات النظيفة'!$J$3:$J$2102,$A50,'05 البيانات النظيفة'!$T$3:$T$2102)</f>
        <v>1571.96044605203</v>
      </c>
    </row>
    <row r="51" customFormat="false" ht="15" hidden="false" customHeight="false" outlineLevel="0" collapsed="false">
      <c r="A51" s="52" t="s">
        <v>144</v>
      </c>
      <c r="B51" s="53" t="n">
        <f aca="false">COUNTIF('05 البيانات النظيفة'!$J$3:$J$2102,$A51)</f>
        <v>448</v>
      </c>
      <c r="C51" s="53" t="n">
        <f aca="false">SUMIF('05 البيانات النظيفة'!$J$3:$J$2102,$A51,'05 البيانات النظيفة'!$L$3:$L$2102)</f>
        <v>5380901.86</v>
      </c>
      <c r="D51" s="53" t="n">
        <f aca="false">AVERAGEIF('05 البيانات النظيفة'!$J$3:$J$2102,$A51,'05 البيانات النظيفة'!$T$3:$T$2102)</f>
        <v>2922.16264893389</v>
      </c>
    </row>
    <row r="52" customFormat="false" ht="15" hidden="false" customHeight="false" outlineLevel="0" collapsed="false">
      <c r="A52" s="47" t="s">
        <v>176</v>
      </c>
      <c r="B52" s="48" t="n">
        <f aca="false">COUNTIF('05 البيانات النظيفة'!$J$3:$J$2102,$A52)</f>
        <v>247</v>
      </c>
      <c r="C52" s="48" t="n">
        <f aca="false">SUMIF('05 البيانات النظيفة'!$J$3:$J$2102,$A52,'05 البيانات النظيفة'!$L$3:$L$2102)</f>
        <v>6400199.1</v>
      </c>
      <c r="D52" s="48" t="n">
        <f aca="false">AVERAGEIF('05 البيانات النظيفة'!$J$3:$J$2102,$A52,'05 البيانات النظيفة'!$T$3:$T$2102)</f>
        <v>5724.36620198706</v>
      </c>
    </row>
    <row r="55" customFormat="false" ht="21.75" hidden="false" customHeight="true" outlineLevel="0" collapsed="false">
      <c r="A55" s="4" t="s">
        <v>2358</v>
      </c>
      <c r="B55" s="4"/>
      <c r="C55" s="4"/>
    </row>
    <row r="56" customFormat="false" ht="19.5" hidden="false" customHeight="true" outlineLevel="0" collapsed="false">
      <c r="A56" s="46" t="s">
        <v>2359</v>
      </c>
      <c r="B56" s="46" t="s">
        <v>2325</v>
      </c>
      <c r="C56" s="46" t="s">
        <v>2347</v>
      </c>
    </row>
    <row r="57" customFormat="false" ht="15" hidden="false" customHeight="false" outlineLevel="0" collapsed="false">
      <c r="A57" s="47" t="s">
        <v>143</v>
      </c>
      <c r="B57" s="48" t="n">
        <f aca="false">COUNTIF('05 البيانات النظيفة'!$I$3:$I$2102,$A57)</f>
        <v>1331</v>
      </c>
      <c r="C57" s="51" t="n">
        <f aca="false">B57/COUNT('05 البيانات النظيفة'!$D$3:$D$2102)</f>
        <v>0.633809523809524</v>
      </c>
    </row>
    <row r="58" customFormat="false" ht="15" hidden="false" customHeight="false" outlineLevel="0" collapsed="false">
      <c r="A58" s="52" t="s">
        <v>152</v>
      </c>
      <c r="B58" s="53" t="n">
        <f aca="false">COUNTIF('05 البيانات النظيفة'!$I$3:$I$2102,$A58)</f>
        <v>595</v>
      </c>
      <c r="C58" s="56" t="n">
        <f aca="false">B58/COUNT('05 البيانات النظيفة'!$D$3:$D$2102)</f>
        <v>0.283333333333333</v>
      </c>
    </row>
    <row r="59" customFormat="false" ht="15" hidden="false" customHeight="false" outlineLevel="0" collapsed="false">
      <c r="A59" s="47" t="s">
        <v>158</v>
      </c>
      <c r="B59" s="48" t="n">
        <f aca="false">COUNTIF('05 البيانات النظيفة'!$I$3:$I$2102,$A59)</f>
        <v>174</v>
      </c>
      <c r="C59" s="51" t="n">
        <f aca="false">B59/COUNT('05 البيانات النظيفة'!$D$3:$D$2102)</f>
        <v>0.0828571428571429</v>
      </c>
    </row>
    <row r="62" customFormat="false" ht="21.75" hidden="false" customHeight="true" outlineLevel="0" collapsed="false">
      <c r="A62" s="4" t="s">
        <v>2360</v>
      </c>
      <c r="B62" s="4"/>
      <c r="C62" s="4"/>
    </row>
    <row r="63" customFormat="false" ht="19.5" hidden="false" customHeight="true" outlineLevel="0" collapsed="false">
      <c r="A63" s="46" t="s">
        <v>2361</v>
      </c>
      <c r="B63" s="46" t="s">
        <v>2325</v>
      </c>
      <c r="C63" s="46" t="s">
        <v>2347</v>
      </c>
    </row>
    <row r="64" customFormat="false" ht="15" hidden="false" customHeight="false" outlineLevel="0" collapsed="false">
      <c r="A64" s="47" t="s">
        <v>147</v>
      </c>
      <c r="B64" s="48" t="n">
        <f aca="false">COUNTIF('05 البيانات النظيفة'!$O$3:$O$2102,$A64)</f>
        <v>1921</v>
      </c>
      <c r="C64" s="51" t="n">
        <f aca="false">B64/COUNT('05 البيانات النظيفة'!$D$3:$D$2102)</f>
        <v>0.914761904761905</v>
      </c>
    </row>
    <row r="65" customFormat="false" ht="15" hidden="false" customHeight="false" outlineLevel="0" collapsed="false">
      <c r="A65" s="52" t="s">
        <v>206</v>
      </c>
      <c r="B65" s="53" t="n">
        <f aca="false">COUNTIF('05 البيانات النظيفة'!$O$3:$O$2102,$A65)</f>
        <v>48</v>
      </c>
      <c r="C65" s="56" t="n">
        <f aca="false">B65/COUNT('05 البيانات النظيفة'!$D$3:$D$2102)</f>
        <v>0.0228571428571429</v>
      </c>
    </row>
    <row r="66" customFormat="false" ht="15" hidden="false" customHeight="false" outlineLevel="0" collapsed="false">
      <c r="A66" s="47" t="s">
        <v>247</v>
      </c>
      <c r="B66" s="48" t="n">
        <f aca="false">COUNTIF('05 البيانات النظيفة'!$O$3:$O$2102,$A66)</f>
        <v>102</v>
      </c>
      <c r="C66" s="51" t="n">
        <f aca="false">B66/COUNT('05 البيانات النظيفة'!$D$3:$D$2102)</f>
        <v>0.0485714285714286</v>
      </c>
    </row>
    <row r="67" customFormat="false" ht="15" hidden="false" customHeight="false" outlineLevel="0" collapsed="false">
      <c r="A67" s="52" t="s">
        <v>295</v>
      </c>
      <c r="B67" s="53" t="n">
        <f aca="false">COUNTIF('05 البيانات النظيفة'!$O$3:$O$2102,$A67)</f>
        <v>29</v>
      </c>
      <c r="C67" s="56" t="n">
        <f aca="false">B67/COUNT('05 البيانات النظيفة'!$D$3:$D$2102)</f>
        <v>0.0138095238095238</v>
      </c>
    </row>
    <row r="70" customFormat="false" ht="21.75" hidden="false" customHeight="true" outlineLevel="0" collapsed="false">
      <c r="A70" s="4" t="s">
        <v>2362</v>
      </c>
      <c r="B70" s="4"/>
      <c r="C70" s="4"/>
      <c r="D70" s="4"/>
      <c r="E70" s="4"/>
    </row>
    <row r="71" customFormat="false" ht="19.5" hidden="false" customHeight="true" outlineLevel="0" collapsed="false">
      <c r="A71" s="46" t="s">
        <v>2363</v>
      </c>
      <c r="B71" s="46" t="s">
        <v>55</v>
      </c>
      <c r="C71" s="46" t="s">
        <v>2364</v>
      </c>
      <c r="D71" s="46" t="s">
        <v>2329</v>
      </c>
      <c r="E71" s="46" t="s">
        <v>2330</v>
      </c>
    </row>
    <row r="72" customFormat="false" ht="15" hidden="false" customHeight="false" outlineLevel="0" collapsed="false">
      <c r="A72" s="47" t="s">
        <v>193</v>
      </c>
      <c r="B72" s="62" t="s">
        <v>203</v>
      </c>
      <c r="C72" s="48" t="n">
        <f aca="false">COUNTIFS('05 البيانات النظيفة'!$H$3:$H$2102,$A72,'05 البيانات النظيفة'!$F$3:$F$2102,"الطوارئ")</f>
        <v>161</v>
      </c>
      <c r="D72" s="50" t="n">
        <f aca="false">IFERROR(AVERAGEIFS('05 البيانات النظيفة'!$M$3:$M$2102,'05 البيانات النظيفة'!$H$3:$H$2102,$A72,'05 البيانات النظيفة'!$F$3:$F$2102,"الطوارئ"),0)</f>
        <v>3.37267080745342</v>
      </c>
      <c r="E72" s="51" t="n">
        <f aca="false">IFERROR(COUNTIFS('05 البيانات النظيفة'!$H$3:$H$2102,$A72,'05 البيانات النظيفة'!$F$3:$F$2102,"الطوارئ",'05 البيانات النظيفة'!$N$3:$N$2102,"نعم")/COUNTIFS('05 البيانات النظيفة'!$H$3:$H$2102,$A72,'05 البيانات النظيفة'!$F$3:$F$2102,"الطوارئ"),0)</f>
        <v>0.0683229813664596</v>
      </c>
    </row>
    <row r="73" customFormat="false" ht="15" hidden="false" customHeight="false" outlineLevel="0" collapsed="false">
      <c r="A73" s="52" t="s">
        <v>205</v>
      </c>
      <c r="B73" s="63" t="s">
        <v>203</v>
      </c>
      <c r="C73" s="53" t="n">
        <f aca="false">COUNTIFS('05 البيانات النظيفة'!$H$3:$H$2102,$A73,'05 البيانات النظيفة'!$F$3:$F$2102,"الطوارئ")</f>
        <v>156</v>
      </c>
      <c r="D73" s="55" t="n">
        <f aca="false">IFERROR(AVERAGEIFS('05 البيانات النظيفة'!$M$3:$M$2102,'05 البيانات النظيفة'!$H$3:$H$2102,$A73,'05 البيانات النظيفة'!$F$3:$F$2102,"الطوارئ"),0)</f>
        <v>3.3525641025641</v>
      </c>
      <c r="E73" s="56" t="n">
        <f aca="false">IFERROR(COUNTIFS('05 البيانات النظيفة'!$H$3:$H$2102,$A73,'05 البيانات النظيفة'!$F$3:$F$2102,"الطوارئ",'05 البيانات النظيفة'!$N$3:$N$2102,"نعم")/COUNTIFS('05 البيانات النظيفة'!$H$3:$H$2102,$A73,'05 البيانات النظيفة'!$F$3:$F$2102,"الطوارئ"),0)</f>
        <v>0.0897435897435897</v>
      </c>
    </row>
    <row r="74" customFormat="false" ht="15" hidden="false" customHeight="false" outlineLevel="0" collapsed="false">
      <c r="A74" s="47" t="s">
        <v>157</v>
      </c>
      <c r="B74" s="62" t="s">
        <v>155</v>
      </c>
      <c r="C74" s="48" t="n">
        <f aca="false">COUNTIFS('05 البيانات النظيفة'!$H$3:$H$2102,$A74,'05 البيانات النظيفة'!$F$3:$F$2102,"الأطفال")</f>
        <v>146</v>
      </c>
      <c r="D74" s="50" t="n">
        <f aca="false">IFERROR(AVERAGEIFS('05 البيانات النظيفة'!$M$3:$M$2102,'05 البيانات النظيفة'!$H$3:$H$2102,$A74,'05 البيانات النظيفة'!$F$3:$F$2102,"الأطفال"),0)</f>
        <v>4.13698630136986</v>
      </c>
      <c r="E74" s="51" t="n">
        <f aca="false">IFERROR(COUNTIFS('05 البيانات النظيفة'!$H$3:$H$2102,$A74,'05 البيانات النظيفة'!$F$3:$F$2102,"الأطفال",'05 البيانات النظيفة'!$N$3:$N$2102,"نعم")/COUNTIFS('05 البيانات النظيفة'!$H$3:$H$2102,$A74,'05 البيانات النظيفة'!$F$3:$F$2102,"الأطفال"),0)</f>
        <v>0.102739726027397</v>
      </c>
    </row>
    <row r="75" customFormat="false" ht="15" hidden="false" customHeight="false" outlineLevel="0" collapsed="false">
      <c r="A75" s="52" t="s">
        <v>222</v>
      </c>
      <c r="B75" s="63" t="s">
        <v>155</v>
      </c>
      <c r="C75" s="53" t="n">
        <f aca="false">COUNTIFS('05 البيانات النظيفة'!$H$3:$H$2102,$A75,'05 البيانات النظيفة'!$F$3:$F$2102,"الأطفال")</f>
        <v>145</v>
      </c>
      <c r="D75" s="55" t="n">
        <f aca="false">IFERROR(AVERAGEIFS('05 البيانات النظيفة'!$M$3:$M$2102,'05 البيانات النظيفة'!$H$3:$H$2102,$A75,'05 البيانات النظيفة'!$F$3:$F$2102,"الأطفال"),0)</f>
        <v>4.02068965517241</v>
      </c>
      <c r="E75" s="56" t="n">
        <f aca="false">IFERROR(COUNTIFS('05 البيانات النظيفة'!$H$3:$H$2102,$A75,'05 البيانات النظيفة'!$F$3:$F$2102,"الأطفال",'05 البيانات النظيفة'!$N$3:$N$2102,"نعم")/COUNTIFS('05 البيانات النظيفة'!$H$3:$H$2102,$A75,'05 البيانات النظيفة'!$F$3:$F$2102,"الأطفال"),0)</f>
        <v>0.0758620689655172</v>
      </c>
    </row>
    <row r="76" customFormat="false" ht="15" hidden="false" customHeight="false" outlineLevel="0" collapsed="false">
      <c r="A76" s="47" t="s">
        <v>233</v>
      </c>
      <c r="B76" s="62" t="s">
        <v>203</v>
      </c>
      <c r="C76" s="48" t="n">
        <f aca="false">COUNTIFS('05 البيانات النظيفة'!$H$3:$H$2102,$A76,'05 البيانات النظيفة'!$F$3:$F$2102,"الطوارئ")</f>
        <v>141</v>
      </c>
      <c r="D76" s="50" t="n">
        <f aca="false">IFERROR(AVERAGEIFS('05 البيانات النظيفة'!$M$3:$M$2102,'05 البيانات النظيفة'!$H$3:$H$2102,$A76,'05 البيانات النظيفة'!$F$3:$F$2102,"الطوارئ"),0)</f>
        <v>3.46808510638298</v>
      </c>
      <c r="E76" s="51" t="n">
        <f aca="false">IFERROR(COUNTIFS('05 البيانات النظيفة'!$H$3:$H$2102,$A76,'05 البيانات النظيفة'!$F$3:$F$2102,"الطوارئ",'05 البيانات النظيفة'!$N$3:$N$2102,"نعم")/COUNTIFS('05 البيانات النظيفة'!$H$3:$H$2102,$A76,'05 البيانات النظيفة'!$F$3:$F$2102,"الطوارئ"),0)</f>
        <v>0.0638297872340426</v>
      </c>
    </row>
    <row r="77" customFormat="false" ht="15" hidden="false" customHeight="false" outlineLevel="0" collapsed="false">
      <c r="A77" s="52" t="s">
        <v>164</v>
      </c>
      <c r="B77" s="63" t="s">
        <v>169</v>
      </c>
      <c r="C77" s="53" t="n">
        <f aca="false">COUNTIFS('05 البيانات النظيفة'!$H$3:$H$2102,$A77,'05 البيانات النظيفة'!$F$3:$F$2102,"الباطنة")</f>
        <v>122</v>
      </c>
      <c r="D77" s="55" t="n">
        <f aca="false">IFERROR(AVERAGEIFS('05 البيانات النظيفة'!$M$3:$M$2102,'05 البيانات النظيفة'!$H$3:$H$2102,$A77,'05 البيانات النظيفة'!$F$3:$F$2102,"الباطنة"),0)</f>
        <v>4.04098360655738</v>
      </c>
      <c r="E77" s="56" t="n">
        <f aca="false">IFERROR(COUNTIFS('05 البيانات النظيفة'!$H$3:$H$2102,$A77,'05 البيانات النظيفة'!$F$3:$F$2102,"الباطنة",'05 البيانات النظيفة'!$N$3:$N$2102,"نعم")/COUNTIFS('05 البيانات النظيفة'!$H$3:$H$2102,$A77,'05 البيانات النظيفة'!$F$3:$F$2102,"الباطنة"),0)</f>
        <v>0.0901639344262295</v>
      </c>
    </row>
    <row r="78" customFormat="false" ht="15" hidden="false" customHeight="false" outlineLevel="0" collapsed="false">
      <c r="A78" s="47" t="s">
        <v>142</v>
      </c>
      <c r="B78" s="62" t="s">
        <v>140</v>
      </c>
      <c r="C78" s="48" t="n">
        <f aca="false">COUNTIFS('05 البيانات النظيفة'!$H$3:$H$2102,$A78,'05 البيانات النظيفة'!$F$3:$F$2102,"الجراحة العامة")</f>
        <v>120</v>
      </c>
      <c r="D78" s="50" t="n">
        <f aca="false">IFERROR(AVERAGEIFS('05 البيانات النظيفة'!$M$3:$M$2102,'05 البيانات النظيفة'!$H$3:$H$2102,$A78,'05 البيانات النظيفة'!$F$3:$F$2102,"الجراحة العامة"),0)</f>
        <v>3.98333333333333</v>
      </c>
      <c r="E78" s="51" t="n">
        <f aca="false">IFERROR(COUNTIFS('05 البيانات النظيفة'!$H$3:$H$2102,$A78,'05 البيانات النظيفة'!$F$3:$F$2102,"الجراحة العامة",'05 البيانات النظيفة'!$N$3:$N$2102,"نعم")/COUNTIFS('05 البيانات النظيفة'!$H$3:$H$2102,$A78,'05 البيانات النظيفة'!$F$3:$F$2102,"الجراحة العامة"),0)</f>
        <v>0.0583333333333333</v>
      </c>
    </row>
    <row r="79" customFormat="false" ht="15" hidden="false" customHeight="false" outlineLevel="0" collapsed="false">
      <c r="A79" s="52" t="s">
        <v>171</v>
      </c>
      <c r="B79" s="63" t="s">
        <v>169</v>
      </c>
      <c r="C79" s="53" t="n">
        <f aca="false">COUNTIFS('05 البيانات النظيفة'!$H$3:$H$2102,$A79,'05 البيانات النظيفة'!$F$3:$F$2102,"الباطنة")</f>
        <v>118</v>
      </c>
      <c r="D79" s="55" t="n">
        <f aca="false">IFERROR(AVERAGEIFS('05 البيانات النظيفة'!$M$3:$M$2102,'05 البيانات النظيفة'!$H$3:$H$2102,$A79,'05 البيانات النظيفة'!$F$3:$F$2102,"الباطنة"),0)</f>
        <v>4.14406779661017</v>
      </c>
      <c r="E79" s="56" t="n">
        <f aca="false">IFERROR(COUNTIFS('05 البيانات النظيفة'!$H$3:$H$2102,$A79,'05 البيانات النظيفة'!$F$3:$F$2102,"الباطنة",'05 البيانات النظيفة'!$N$3:$N$2102,"نعم")/COUNTIFS('05 البيانات النظيفة'!$H$3:$H$2102,$A79,'05 البيانات النظيفة'!$F$3:$F$2102,"الباطنة"),0)</f>
        <v>0.076271186440678</v>
      </c>
    </row>
    <row r="80" customFormat="false" ht="15" hidden="false" customHeight="false" outlineLevel="0" collapsed="false">
      <c r="A80" s="47" t="s">
        <v>195</v>
      </c>
      <c r="B80" s="62" t="s">
        <v>169</v>
      </c>
      <c r="C80" s="48" t="n">
        <f aca="false">COUNTIFS('05 البيانات النظيفة'!$H$3:$H$2102,$A80,'05 البيانات النظيفة'!$F$3:$F$2102,"الباطنة")</f>
        <v>116</v>
      </c>
      <c r="D80" s="50" t="n">
        <f aca="false">IFERROR(AVERAGEIFS('05 البيانات النظيفة'!$M$3:$M$2102,'05 البيانات النظيفة'!$H$3:$H$2102,$A80,'05 البيانات النظيفة'!$F$3:$F$2102,"الباطنة"),0)</f>
        <v>3.93103448275862</v>
      </c>
      <c r="E80" s="51" t="n">
        <f aca="false">IFERROR(COUNTIFS('05 البيانات النظيفة'!$H$3:$H$2102,$A80,'05 البيانات النظيفة'!$F$3:$F$2102,"الباطنة",'05 البيانات النظيفة'!$N$3:$N$2102,"نعم")/COUNTIFS('05 البيانات النظيفة'!$H$3:$H$2102,$A80,'05 البيانات النظيفة'!$F$3:$F$2102,"الباطنة"),0)</f>
        <v>0.0948275862068966</v>
      </c>
    </row>
    <row r="81" customFormat="false" ht="15" hidden="false" customHeight="false" outlineLevel="0" collapsed="false">
      <c r="A81" s="52" t="s">
        <v>175</v>
      </c>
      <c r="B81" s="63" t="s">
        <v>173</v>
      </c>
      <c r="C81" s="53" t="n">
        <f aca="false">COUNTIFS('05 البيانات النظيفة'!$H$3:$H$2102,$A81,'05 البيانات النظيفة'!$F$3:$F$2102,"العظام")</f>
        <v>115</v>
      </c>
      <c r="D81" s="55" t="n">
        <f aca="false">IFERROR(AVERAGEIFS('05 البيانات النظيفة'!$M$3:$M$2102,'05 البيانات النظيفة'!$H$3:$H$2102,$A81,'05 البيانات النظيفة'!$F$3:$F$2102,"العظام"),0)</f>
        <v>4.06086956521739</v>
      </c>
      <c r="E81" s="56" t="n">
        <f aca="false">IFERROR(COUNTIFS('05 البيانات النظيفة'!$H$3:$H$2102,$A81,'05 البيانات النظيفة'!$F$3:$F$2102,"العظام",'05 البيانات النظيفة'!$N$3:$N$2102,"نعم")/COUNTIFS('05 البيانات النظيفة'!$H$3:$H$2102,$A81,'05 البيانات النظيفة'!$F$3:$F$2102,"العظام"),0)</f>
        <v>0.104347826086957</v>
      </c>
    </row>
    <row r="82" customFormat="false" ht="15" hidden="false" customHeight="false" outlineLevel="0" collapsed="false">
      <c r="A82" s="47" t="s">
        <v>199</v>
      </c>
      <c r="B82" s="62" t="s">
        <v>173</v>
      </c>
      <c r="C82" s="48" t="n">
        <f aca="false">COUNTIFS('05 البيانات النظيفة'!$H$3:$H$2102,$A82,'05 البيانات النظيفة'!$F$3:$F$2102,"العظام")</f>
        <v>110</v>
      </c>
      <c r="D82" s="50" t="n">
        <f aca="false">IFERROR(AVERAGEIFS('05 البيانات النظيفة'!$M$3:$M$2102,'05 البيانات النظيفة'!$H$3:$H$2102,$A82,'05 البيانات النظيفة'!$F$3:$F$2102,"العظام"),0)</f>
        <v>4.03636363636364</v>
      </c>
      <c r="E82" s="51" t="n">
        <f aca="false">IFERROR(COUNTIFS('05 البيانات النظيفة'!$H$3:$H$2102,$A82,'05 البيانات النظيفة'!$F$3:$F$2102,"العظام",'05 البيانات النظيفة'!$N$3:$N$2102,"نعم")/COUNTIFS('05 البيانات النظيفة'!$H$3:$H$2102,$A82,'05 البيانات النظيفة'!$F$3:$F$2102,"العظام"),0)</f>
        <v>0.0545454545454545</v>
      </c>
    </row>
    <row r="83" customFormat="false" ht="15" hidden="false" customHeight="false" outlineLevel="0" collapsed="false">
      <c r="A83" s="52" t="s">
        <v>183</v>
      </c>
      <c r="B83" s="63" t="s">
        <v>181</v>
      </c>
      <c r="C83" s="53" t="n">
        <f aca="false">COUNTIFS('05 البيانات النظيفة'!$H$3:$H$2102,$A83,'05 البيانات النظيفة'!$F$3:$F$2102,"أمراض القلب")</f>
        <v>106</v>
      </c>
      <c r="D83" s="55" t="n">
        <f aca="false">IFERROR(AVERAGEIFS('05 البيانات النظيفة'!$M$3:$M$2102,'05 البيانات النظيفة'!$H$3:$H$2102,$A83,'05 البيانات النظيفة'!$F$3:$F$2102,"أمراض القلب"),0)</f>
        <v>4.00943396226415</v>
      </c>
      <c r="E83" s="56" t="n">
        <f aca="false">IFERROR(COUNTIFS('05 البيانات النظيفة'!$H$3:$H$2102,$A83,'05 البيانات النظيفة'!$F$3:$F$2102,"أمراض القلب",'05 البيانات النظيفة'!$N$3:$N$2102,"نعم")/COUNTIFS('05 البيانات النظيفة'!$H$3:$H$2102,$A83,'05 البيانات النظيفة'!$F$3:$F$2102,"أمراض القلب"),0)</f>
        <v>0.179245283018868</v>
      </c>
    </row>
    <row r="84" customFormat="false" ht="15" hidden="false" customHeight="false" outlineLevel="0" collapsed="false">
      <c r="A84" s="47" t="s">
        <v>186</v>
      </c>
      <c r="B84" s="62" t="s">
        <v>149</v>
      </c>
      <c r="C84" s="48" t="n">
        <f aca="false">COUNTIFS('05 البيانات النظيفة'!$H$3:$H$2102,$A84,'05 البيانات النظيفة'!$F$3:$F$2102,"النساء والولادة")</f>
        <v>104</v>
      </c>
      <c r="D84" s="50" t="n">
        <f aca="false">IFERROR(AVERAGEIFS('05 البيانات النظيفة'!$M$3:$M$2102,'05 البيانات النظيفة'!$H$3:$H$2102,$A84,'05 البيانات النظيفة'!$F$3:$F$2102,"النساء والولادة"),0)</f>
        <v>3.875</v>
      </c>
      <c r="E84" s="51" t="n">
        <f aca="false">IFERROR(COUNTIFS('05 البيانات النظيفة'!$H$3:$H$2102,$A84,'05 البيانات النظيفة'!$F$3:$F$2102,"النساء والولادة",'05 البيانات النظيفة'!$N$3:$N$2102,"نعم")/COUNTIFS('05 البيانات النظيفة'!$H$3:$H$2102,$A84,'05 البيانات النظيفة'!$F$3:$F$2102,"النساء والولادة"),0)</f>
        <v>0.0576923076923077</v>
      </c>
    </row>
    <row r="85" customFormat="false" ht="15" hidden="false" customHeight="false" outlineLevel="0" collapsed="false">
      <c r="A85" s="52" t="s">
        <v>290</v>
      </c>
      <c r="B85" s="63" t="s">
        <v>140</v>
      </c>
      <c r="C85" s="53" t="n">
        <f aca="false">COUNTIFS('05 البيانات النظيفة'!$H$3:$H$2102,$A85,'05 البيانات النظيفة'!$F$3:$F$2102,"الجراحة العامة")</f>
        <v>95</v>
      </c>
      <c r="D85" s="55" t="n">
        <f aca="false">IFERROR(AVERAGEIFS('05 البيانات النظيفة'!$M$3:$M$2102,'05 البيانات النظيفة'!$H$3:$H$2102,$A85,'05 البيانات النظيفة'!$F$3:$F$2102,"الجراحة العامة"),0)</f>
        <v>4.03157894736842</v>
      </c>
      <c r="E85" s="56" t="n">
        <f aca="false">IFERROR(COUNTIFS('05 البيانات النظيفة'!$H$3:$H$2102,$A85,'05 البيانات النظيفة'!$F$3:$F$2102,"الجراحة العامة",'05 البيانات النظيفة'!$N$3:$N$2102,"نعم")/COUNTIFS('05 البيانات النظيفة'!$H$3:$H$2102,$A85,'05 البيانات النظيفة'!$F$3:$F$2102,"الجراحة العامة"),0)</f>
        <v>0.126315789473684</v>
      </c>
    </row>
    <row r="86" customFormat="false" ht="15" hidden="false" customHeight="false" outlineLevel="0" collapsed="false">
      <c r="A86" s="47" t="s">
        <v>151</v>
      </c>
      <c r="B86" s="62" t="s">
        <v>149</v>
      </c>
      <c r="C86" s="48" t="n">
        <f aca="false">COUNTIFS('05 البيانات النظيفة'!$H$3:$H$2102,$A86,'05 البيانات النظيفة'!$F$3:$F$2102,"النساء والولادة")</f>
        <v>95</v>
      </c>
      <c r="D86" s="50" t="n">
        <f aca="false">IFERROR(AVERAGEIFS('05 البيانات النظيفة'!$M$3:$M$2102,'05 البيانات النظيفة'!$H$3:$H$2102,$A86,'05 البيانات النظيفة'!$F$3:$F$2102,"النساء والولادة"),0)</f>
        <v>4.10526315789474</v>
      </c>
      <c r="E86" s="51" t="n">
        <f aca="false">IFERROR(COUNTIFS('05 البيانات النظيفة'!$H$3:$H$2102,$A86,'05 البيانات النظيفة'!$F$3:$F$2102,"النساء والولادة",'05 البيانات النظيفة'!$N$3:$N$2102,"نعم")/COUNTIFS('05 البيانات النظيفة'!$H$3:$H$2102,$A86,'05 البيانات النظيفة'!$F$3:$F$2102,"النساء والولادة"),0)</f>
        <v>0.105263157894737</v>
      </c>
    </row>
    <row r="87" customFormat="false" ht="15" hidden="false" customHeight="false" outlineLevel="0" collapsed="false">
      <c r="A87" s="52" t="s">
        <v>245</v>
      </c>
      <c r="B87" s="63" t="s">
        <v>181</v>
      </c>
      <c r="C87" s="53" t="n">
        <f aca="false">COUNTIFS('05 البيانات النظيفة'!$H$3:$H$2102,$A87,'05 البيانات النظيفة'!$F$3:$F$2102,"أمراض القلب")</f>
        <v>91</v>
      </c>
      <c r="D87" s="55" t="n">
        <f aca="false">IFERROR(AVERAGEIFS('05 البيانات النظيفة'!$M$3:$M$2102,'05 البيانات النظيفة'!$H$3:$H$2102,$A87,'05 البيانات النظيفة'!$F$3:$F$2102,"أمراض القلب"),0)</f>
        <v>3.96703296703297</v>
      </c>
      <c r="E87" s="56" t="n">
        <f aca="false">IFERROR(COUNTIFS('05 البيانات النظيفة'!$H$3:$H$2102,$A87,'05 البيانات النظيفة'!$F$3:$F$2102,"أمراض القلب",'05 البيانات النظيفة'!$N$3:$N$2102,"نعم")/COUNTIFS('05 البيانات النظيفة'!$H$3:$H$2102,$A87,'05 البيانات النظيفة'!$F$3:$F$2102,"أمراض القلب"),0)</f>
        <v>0.186813186813187</v>
      </c>
    </row>
    <row r="88" customFormat="false" ht="15" hidden="false" customHeight="false" outlineLevel="0" collapsed="false">
      <c r="A88" s="47" t="s">
        <v>263</v>
      </c>
      <c r="B88" s="62" t="s">
        <v>226</v>
      </c>
      <c r="C88" s="48" t="n">
        <f aca="false">COUNTIFS('05 البيانات النظيفة'!$H$3:$H$2102,$A88,'05 البيانات النظيفة'!$F$3:$F$2102,"الأورام")</f>
        <v>70</v>
      </c>
      <c r="D88" s="50" t="n">
        <f aca="false">IFERROR(AVERAGEIFS('05 البيانات النظيفة'!$M$3:$M$2102,'05 البيانات النظيفة'!$H$3:$H$2102,$A88,'05 البيانات النظيفة'!$F$3:$F$2102,"الأورام"),0)</f>
        <v>4.01428571428571</v>
      </c>
      <c r="E88" s="51" t="n">
        <f aca="false">IFERROR(COUNTIFS('05 البيانات النظيفة'!$H$3:$H$2102,$A88,'05 البيانات النظيفة'!$F$3:$F$2102,"الأورام",'05 البيانات النظيفة'!$N$3:$N$2102,"نعم")/COUNTIFS('05 البيانات النظيفة'!$H$3:$H$2102,$A88,'05 البيانات النظيفة'!$F$3:$F$2102,"الأورام"),0)</f>
        <v>0.1</v>
      </c>
    </row>
    <row r="89" customFormat="false" ht="15" hidden="false" customHeight="false" outlineLevel="0" collapsed="false">
      <c r="A89" s="52" t="s">
        <v>228</v>
      </c>
      <c r="B89" s="63" t="s">
        <v>226</v>
      </c>
      <c r="C89" s="53" t="n">
        <f aca="false">COUNTIFS('05 البيانات النظيفة'!$H$3:$H$2102,$A89,'05 البيانات النظيفة'!$F$3:$F$2102,"الأورام")</f>
        <v>57</v>
      </c>
      <c r="D89" s="55" t="n">
        <f aca="false">IFERROR(AVERAGEIFS('05 البيانات النظيفة'!$M$3:$M$2102,'05 البيانات النظيفة'!$H$3:$H$2102,$A89,'05 البيانات النظيفة'!$F$3:$F$2102,"الأورام"),0)</f>
        <v>3.98245614035088</v>
      </c>
      <c r="E89" s="56" t="n">
        <f aca="false">IFERROR(COUNTIFS('05 البيانات النظيفة'!$H$3:$H$2102,$A89,'05 البيانات النظيفة'!$F$3:$F$2102,"الأورام",'05 البيانات النظيفة'!$N$3:$N$2102,"نعم")/COUNTIFS('05 البيانات النظيفة'!$H$3:$H$2102,$A89,'05 البيانات النظيفة'!$F$3:$F$2102,"الأورام"),0)</f>
        <v>0.245614035087719</v>
      </c>
    </row>
    <row r="90" customFormat="false" ht="15" hidden="false" customHeight="false" outlineLevel="0" collapsed="false">
      <c r="A90" s="47" t="s">
        <v>2322</v>
      </c>
      <c r="B90" s="62" t="s">
        <v>2365</v>
      </c>
      <c r="C90" s="48" t="n">
        <f aca="false">COUNTIF('05 البيانات النظيفة'!$H$3:$H$2102,$A90)</f>
        <v>32</v>
      </c>
      <c r="D90" s="50" t="n">
        <f aca="false">IFERROR(AVERAGEIF('05 البيانات النظيفة'!$H$3:$H$2102,$A90,'05 البيانات النظيفة'!$M$3:$M$2102),0)</f>
        <v>3.96875</v>
      </c>
      <c r="E90" s="51" t="n">
        <f aca="false">IFERROR(COUNTIFS('05 البيانات النظيفة'!$H$3:$H$2102,$A90,'05 البيانات النظيفة'!$N$3:$N$2102,"نعم")/COUNTIF('05 البيانات النظيفة'!$H$3:$H$2102,$A90),0)</f>
        <v>0.1875</v>
      </c>
    </row>
  </sheetData>
  <mergeCells count="9">
    <mergeCell ref="A1:H1"/>
    <mergeCell ref="A3:G3"/>
    <mergeCell ref="A15:D15"/>
    <mergeCell ref="A31:E31"/>
    <mergeCell ref="A39:D39"/>
    <mergeCell ref="A48:D48"/>
    <mergeCell ref="A55:C55"/>
    <mergeCell ref="A62:C62"/>
    <mergeCell ref="A70:E70"/>
  </mergeCells>
  <conditionalFormatting sqref="B5:B12">
    <cfRule type="dataBar" priority="2">
      <dataBar showValue="1" minLength="10" maxLength="90">
        <cfvo type="min" val="0"/>
        <cfvo type="max" val="0"/>
        <color rgb="FF2E86AB"/>
      </dataBar>
      <extLst>
        <ext xmlns:x14="http://schemas.microsoft.com/office/spreadsheetml/2009/9/main" uri="{B025F937-C7B1-47D3-B67F-A62EFF666E3E}">
          <x14:id>{458FD031-D53B-4FA6-839F-E02070254542}</x14:id>
        </ext>
      </extLst>
    </cfRule>
  </conditionalFormatting>
  <conditionalFormatting sqref="C5:C12">
    <cfRule type="dataBar" priority="3">
      <dataBar showValue="1" minLength="10" maxLength="90">
        <cfvo type="min" val="0"/>
        <cfvo type="max" val="0"/>
        <color rgb="FF0E7C86"/>
      </dataBar>
      <extLst>
        <ext xmlns:x14="http://schemas.microsoft.com/office/spreadsheetml/2009/9/main" uri="{B025F937-C7B1-47D3-B67F-A62EFF666E3E}">
          <x14:id>{ECD9B225-C1EC-4899-848A-9338875027B3}</x14:id>
        </ext>
      </extLst>
    </cfRule>
  </conditionalFormatting>
  <conditionalFormatting sqref="G5:G12">
    <cfRule type="colorScale" priority="4">
      <colorScale>
        <cfvo type="min" val="0"/>
        <cfvo type="max" val="0"/>
        <color rgb="FFC6E7C6"/>
        <color rgb="FFF1A19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58FD031-D53B-4FA6-839F-E02070254542}">
            <x14:dataBar minLength="10" maxLength="90" axisPosition="none" gradient="true">
              <x14:cfvo type="min"/>
              <x14:cfvo type="max"/>
              <x14:negativeFillColor rgb="FF2E86AB"/>
              <x14:axisColor rgb="FF000000"/>
            </x14:dataBar>
          </x14:cfRule>
          <xm:sqref>B5:B12</xm:sqref>
        </x14:conditionalFormatting>
        <x14:conditionalFormatting xmlns:xm="http://schemas.microsoft.com/office/excel/2006/main">
          <x14:cfRule type="dataBar" id="{ECD9B225-C1EC-4899-848A-9338875027B3}">
            <x14:dataBar minLength="10" maxLength="90" axisPosition="none" gradient="true">
              <x14:cfvo type="min"/>
              <x14:cfvo type="max"/>
              <x14:negativeFillColor rgb="FF0E7C86"/>
              <x14:axisColor rgb="FF000000"/>
            </x14:dataBar>
          </x14:cfRule>
          <xm:sqref>C5:C12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B44C"/>
    <pageSetUpPr fitToPage="false"/>
  </sheetPr>
  <dimension ref="B1:K16"/>
  <sheetViews>
    <sheetView showFormulas="false" showGridLines="false" showRowColHeaders="true" showZeros="true" rightToLeft="tru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1" min="2" style="0" width="13"/>
    <col collapsed="false" customWidth="true" hidden="false" outlineLevel="0" max="12" min="12" style="0" width="2"/>
  </cols>
  <sheetData>
    <row r="1" customFormat="false" ht="39.75" hidden="false" customHeight="true" outlineLevel="0" collapsed="false">
      <c r="B1" s="64" t="s">
        <v>2366</v>
      </c>
      <c r="C1" s="64"/>
      <c r="D1" s="64"/>
      <c r="E1" s="64"/>
      <c r="F1" s="64"/>
      <c r="G1" s="64"/>
      <c r="H1" s="64"/>
      <c r="I1" s="64"/>
      <c r="J1" s="64"/>
      <c r="K1" s="64"/>
    </row>
    <row r="2" customFormat="false" ht="4.5" hidden="false" customHeight="true" outlineLevel="0" collapsed="false"/>
    <row r="3" customFormat="false" ht="7.5" hidden="false" customHeight="true" outlineLevel="0" collapsed="false"/>
    <row r="4" customFormat="false" ht="15.75" hidden="false" customHeight="true" outlineLevel="0" collapsed="false">
      <c r="B4" s="65" t="s">
        <v>2367</v>
      </c>
      <c r="C4" s="65"/>
      <c r="D4" s="66" t="s">
        <v>2368</v>
      </c>
      <c r="E4" s="66"/>
      <c r="F4" s="67" t="s">
        <v>2369</v>
      </c>
      <c r="G4" s="67"/>
      <c r="H4" s="68" t="s">
        <v>2370</v>
      </c>
      <c r="I4" s="68"/>
      <c r="J4" s="69" t="s">
        <v>2371</v>
      </c>
      <c r="K4" s="69"/>
    </row>
    <row r="5" customFormat="false" ht="25.5" hidden="false" customHeight="true" outlineLevel="0" collapsed="false">
      <c r="B5" s="70" t="n">
        <f aca="false">'06 الجداول التحليلية'!B13</f>
        <v>2100</v>
      </c>
      <c r="C5" s="70"/>
      <c r="D5" s="71" t="n">
        <f aca="false">'06 الجداول التحليلية'!C13</f>
        <v>20603476.25</v>
      </c>
      <c r="E5" s="71"/>
      <c r="F5" s="72" t="n">
        <f aca="false">'06 الجداول التحليلية'!E13</f>
        <v>3.53619047619048</v>
      </c>
      <c r="G5" s="72"/>
      <c r="H5" s="73" t="n">
        <f aca="false">'06 الجداول التحليلية'!F13</f>
        <v>3.88857142857143</v>
      </c>
      <c r="I5" s="73"/>
      <c r="J5" s="74" t="n">
        <f aca="false">'06 الجداول التحليلية'!G13</f>
        <v>0.0985714285714286</v>
      </c>
      <c r="K5" s="74"/>
    </row>
    <row r="6" customFormat="false" ht="9.75" hidden="false" customHeight="true" outlineLevel="0" collapsed="false">
      <c r="B6" s="75" t="s">
        <v>2372</v>
      </c>
      <c r="C6" s="75"/>
      <c r="D6" s="76" t="s">
        <v>2326</v>
      </c>
      <c r="E6" s="76"/>
      <c r="F6" s="77" t="s">
        <v>2328</v>
      </c>
      <c r="G6" s="77"/>
      <c r="H6" s="78" t="s">
        <v>2373</v>
      </c>
      <c r="I6" s="78"/>
      <c r="J6" s="79" t="s">
        <v>2374</v>
      </c>
      <c r="K6" s="79"/>
    </row>
    <row r="7" customFormat="false" ht="9.75" hidden="false" customHeight="true" outlineLevel="0" collapsed="false">
      <c r="B7" s="75"/>
      <c r="C7" s="75"/>
      <c r="D7" s="76"/>
      <c r="E7" s="76"/>
      <c r="F7" s="77"/>
      <c r="G7" s="77"/>
      <c r="H7" s="78"/>
      <c r="I7" s="78"/>
      <c r="J7" s="79"/>
      <c r="K7" s="79"/>
    </row>
    <row r="9" customFormat="false" ht="15.75" hidden="false" customHeight="true" outlineLevel="0" collapsed="false">
      <c r="B9" s="80" t="s">
        <v>2375</v>
      </c>
      <c r="C9" s="80"/>
      <c r="D9" s="81" t="s">
        <v>2376</v>
      </c>
      <c r="E9" s="81"/>
      <c r="F9" s="82" t="s">
        <v>2377</v>
      </c>
      <c r="G9" s="82"/>
      <c r="H9" s="67" t="s">
        <v>2378</v>
      </c>
      <c r="I9" s="67"/>
      <c r="J9" s="65" t="s">
        <v>2379</v>
      </c>
      <c r="K9" s="65"/>
    </row>
    <row r="10" customFormat="false" ht="25.5" hidden="false" customHeight="true" outlineLevel="0" collapsed="false">
      <c r="B10" s="83" t="n">
        <f aca="false">'06 الجداول التحليلية'!D13</f>
        <v>9811.17916666667</v>
      </c>
      <c r="C10" s="83"/>
      <c r="D10" s="84" t="n">
        <f aca="false">'06 الجداول التحليلية'!C67</f>
        <v>0.0138095238095238</v>
      </c>
      <c r="E10" s="84"/>
      <c r="F10" s="85" t="str">
        <f aca="false">INDEX('06 الجداول التحليلية'!$A$5:$A$12,MATCH(MAX('06 الجداول التحليلية'!$C$5:$C$12),'06 الجداول التحليلية'!$C$5:$C$12,0))</f>
        <v>الأورام</v>
      </c>
      <c r="G10" s="85"/>
      <c r="H10" s="86" t="str">
        <f aca="false">INDEX('06 الجداول التحليلية'!$A$17:$A$28,MATCH(MAX('06 الجداول التحليلية'!$B$17:$B$28),'06 الجداول التحليلية'!$B$17:$B$28,0))</f>
        <v>فبراير</v>
      </c>
      <c r="I10" s="86"/>
      <c r="J10" s="87" t="str">
        <f aca="false">INDEX('06 الجداول التحليلية'!$A$5:$A$12,MATCH(MAX('06 الجداول التحليلية'!$E$5:$E$12),'06 الجداول التحليلية'!$E$5:$E$12,0))</f>
        <v>الأورام</v>
      </c>
      <c r="K10" s="87"/>
    </row>
    <row r="11" customFormat="false" ht="9.75" hidden="false" customHeight="true" outlineLevel="0" collapsed="false">
      <c r="B11" s="88" t="s">
        <v>2380</v>
      </c>
      <c r="C11" s="88"/>
      <c r="D11" s="89" t="s">
        <v>2381</v>
      </c>
      <c r="E11" s="89"/>
      <c r="F11" s="90" t="s">
        <v>2382</v>
      </c>
      <c r="G11" s="90"/>
      <c r="H11" s="77" t="s">
        <v>2383</v>
      </c>
      <c r="I11" s="77"/>
      <c r="J11" s="75" t="s">
        <v>2384</v>
      </c>
      <c r="K11" s="75"/>
    </row>
    <row r="12" customFormat="false" ht="9.75" hidden="false" customHeight="true" outlineLevel="0" collapsed="false">
      <c r="B12" s="88"/>
      <c r="C12" s="88"/>
      <c r="D12" s="89"/>
      <c r="E12" s="89"/>
      <c r="F12" s="90"/>
      <c r="G12" s="90"/>
      <c r="H12" s="77"/>
      <c r="I12" s="77"/>
      <c r="J12" s="75"/>
      <c r="K12" s="75"/>
    </row>
    <row r="14" customFormat="false" ht="21.75" hidden="false" customHeight="true" outlineLevel="0" collapsed="false">
      <c r="B14" s="4" t="s">
        <v>2385</v>
      </c>
      <c r="C14" s="4"/>
      <c r="D14" s="4"/>
      <c r="E14" s="4"/>
      <c r="F14" s="4"/>
      <c r="G14" s="4"/>
      <c r="H14" s="4"/>
      <c r="I14" s="4"/>
      <c r="J14" s="4"/>
      <c r="K14" s="4"/>
    </row>
    <row r="15" customFormat="false" ht="19.5" hidden="false" customHeight="true" outlineLevel="0" collapsed="false">
      <c r="B15" s="91" t="s">
        <v>2386</v>
      </c>
      <c r="C15" s="92" t="s">
        <v>203</v>
      </c>
      <c r="D15" s="92"/>
      <c r="F15" s="93" t="s">
        <v>2325</v>
      </c>
      <c r="G15" s="93" t="s">
        <v>2387</v>
      </c>
      <c r="H15" s="93" t="s">
        <v>2327</v>
      </c>
      <c r="I15" s="93" t="s">
        <v>2388</v>
      </c>
      <c r="J15" s="93" t="s">
        <v>2389</v>
      </c>
      <c r="K15" s="93" t="s">
        <v>2330</v>
      </c>
    </row>
    <row r="16" customFormat="false" ht="24" hidden="false" customHeight="true" outlineLevel="0" collapsed="false">
      <c r="F16" s="94" t="n">
        <f aca="false">INDEX('06 الجداول التحليلية'!$B$5:$B$12,MATCH($C$15,'06 الجداول التحليلية'!$A$5:$A$12,0))</f>
        <v>468</v>
      </c>
      <c r="G16" s="94" t="n">
        <f aca="false">INDEX('06 الجداول التحليلية'!$C$5:$C$12,MATCH($C$15,'06 الجداول التحليلية'!$A$5:$A$12,0))</f>
        <v>876630.23</v>
      </c>
      <c r="H16" s="94" t="n">
        <f aca="false">INDEX('06 الجداول التحليلية'!$D$5:$D$12,MATCH($C$15,'06 الجداول التحليلية'!$A$5:$A$12,0))</f>
        <v>1873.14151709402</v>
      </c>
      <c r="I16" s="95" t="n">
        <f aca="false">INDEX('06 الجداول التحليلية'!$E$5:$E$12,MATCH($C$15,'06 الجداول التحليلية'!$A$5:$A$12,0))</f>
        <v>1.44017094017094</v>
      </c>
      <c r="J16" s="95" t="n">
        <f aca="false">INDEX('06 الجداول التحليلية'!$F$5:$F$12,MATCH($C$15,'06 الجداول التحليلية'!$A$5:$A$12,0))</f>
        <v>3.3974358974359</v>
      </c>
      <c r="K16" s="96" t="n">
        <f aca="false">INDEX('06 الجداول التحليلية'!$G$5:$G$12,MATCH($C$15,'06 الجداول التحليلية'!$A$5:$A$12,0))</f>
        <v>0.0726495726495727</v>
      </c>
    </row>
  </sheetData>
  <mergeCells count="33">
    <mergeCell ref="B1:K1"/>
    <mergeCell ref="B4:C4"/>
    <mergeCell ref="D4:E4"/>
    <mergeCell ref="F4:G4"/>
    <mergeCell ref="H4:I4"/>
    <mergeCell ref="J4:K4"/>
    <mergeCell ref="B5:C5"/>
    <mergeCell ref="D5:E5"/>
    <mergeCell ref="F5:G5"/>
    <mergeCell ref="H5:I5"/>
    <mergeCell ref="J5:K5"/>
    <mergeCell ref="B6:C7"/>
    <mergeCell ref="D6:E7"/>
    <mergeCell ref="F6:G7"/>
    <mergeCell ref="H6:I7"/>
    <mergeCell ref="J6:K7"/>
    <mergeCell ref="B9:C9"/>
    <mergeCell ref="D9:E9"/>
    <mergeCell ref="F9:G9"/>
    <mergeCell ref="H9:I9"/>
    <mergeCell ref="J9:K9"/>
    <mergeCell ref="B10:C10"/>
    <mergeCell ref="D10:E10"/>
    <mergeCell ref="F10:G10"/>
    <mergeCell ref="H10:I10"/>
    <mergeCell ref="J10:K10"/>
    <mergeCell ref="B11:C12"/>
    <mergeCell ref="D11:E12"/>
    <mergeCell ref="F11:G12"/>
    <mergeCell ref="H11:I12"/>
    <mergeCell ref="J11:K12"/>
    <mergeCell ref="B14:K14"/>
    <mergeCell ref="C15:D15"/>
  </mergeCells>
  <dataValidations count="1">
    <dataValidation allowBlank="false" error="الرجاء اختيار قسم من القائمة" errorStyle="stop" operator="between" prompt="اختر أحد الأقسام الثمانية" showDropDown="false" showErrorMessage="false" showInputMessage="false" sqref="C15" type="list">
      <formula1>"الطوارئ,الباطنة,الجراحة العامة,العظام,أمراض القلب,الأطفال,النساء والولادة,الأورام"</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6AB"/>
    <pageSetUpPr fitToPage="false"/>
  </sheetPr>
  <dimension ref="B1:J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0" min="2" style="0" width="13"/>
    <col collapsed="false" customWidth="true" hidden="false" outlineLevel="0" max="11" min="11" style="0" width="2"/>
  </cols>
  <sheetData>
    <row r="1" customFormat="false" ht="33.75" hidden="false" customHeight="true" outlineLevel="0" collapsed="false">
      <c r="B1" s="97" t="s">
        <v>2390</v>
      </c>
      <c r="C1" s="97"/>
      <c r="D1" s="97"/>
      <c r="E1" s="97"/>
      <c r="F1" s="97"/>
      <c r="G1" s="97"/>
      <c r="H1" s="97"/>
      <c r="I1" s="97"/>
      <c r="J1" s="97"/>
    </row>
    <row r="2" customFormat="false" ht="7.5" hidden="false" customHeight="true" outlineLevel="0" collapsed="false"/>
  </sheetData>
  <mergeCells count="1">
    <mergeCell ref="B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121F"/>
    <pageSetUpPr fitToPage="false"/>
  </sheetPr>
  <dimension ref="A1:C4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8"/>
    <col collapsed="false" customWidth="true" hidden="false" outlineLevel="0" max="3" min="3" style="0" width="3"/>
  </cols>
  <sheetData>
    <row r="1" customFormat="false" ht="33.75" hidden="false" customHeight="true" outlineLevel="0" collapsed="false">
      <c r="A1" s="98" t="s">
        <v>2391</v>
      </c>
      <c r="B1" s="98"/>
      <c r="C1" s="98"/>
    </row>
    <row r="2" customFormat="false" ht="15" hidden="false" customHeight="true" outlineLevel="0" collapsed="false">
      <c r="A2" s="99" t="s">
        <v>2392</v>
      </c>
      <c r="B2" s="99"/>
      <c r="C2" s="99"/>
    </row>
    <row r="3" customFormat="false" ht="6" hidden="false" customHeight="true" outlineLevel="0" collapsed="false"/>
    <row r="4" customFormat="false" ht="24" hidden="false" customHeight="true" outlineLevel="0" collapsed="false">
      <c r="A4" s="100" t="s">
        <v>2393</v>
      </c>
      <c r="B4" s="100"/>
      <c r="C4" s="100"/>
    </row>
    <row r="5" customFormat="false" ht="66" hidden="false" customHeight="true" outlineLevel="0" collapsed="false">
      <c r="A5" s="101" t="s">
        <v>2394</v>
      </c>
      <c r="B5" s="101"/>
      <c r="C5" s="101"/>
    </row>
    <row r="7" customFormat="false" ht="24" hidden="false" customHeight="true" outlineLevel="0" collapsed="false">
      <c r="A7" s="102" t="s">
        <v>2395</v>
      </c>
      <c r="B7" s="102"/>
      <c r="C7" s="102"/>
    </row>
    <row r="8" customFormat="false" ht="57.75" hidden="false" customHeight="true" outlineLevel="0" collapsed="false">
      <c r="A8" s="103" t="s">
        <v>2396</v>
      </c>
      <c r="B8" s="103"/>
      <c r="C8" s="103"/>
    </row>
    <row r="9" customFormat="false" ht="39.75" hidden="false" customHeight="true" outlineLevel="0" collapsed="false">
      <c r="A9" s="104" t="s">
        <v>2397</v>
      </c>
      <c r="B9" s="104"/>
      <c r="C9" s="104"/>
    </row>
    <row r="11" customFormat="false" ht="24" hidden="false" customHeight="true" outlineLevel="0" collapsed="false">
      <c r="A11" s="105" t="s">
        <v>2398</v>
      </c>
      <c r="B11" s="105"/>
      <c r="C11" s="105"/>
    </row>
    <row r="12" customFormat="false" ht="57.75" hidden="false" customHeight="true" outlineLevel="0" collapsed="false">
      <c r="A12" s="103" t="s">
        <v>2399</v>
      </c>
      <c r="B12" s="103"/>
      <c r="C12" s="103"/>
    </row>
    <row r="13" customFormat="false" ht="39.75" hidden="false" customHeight="true" outlineLevel="0" collapsed="false">
      <c r="A13" s="106" t="s">
        <v>2400</v>
      </c>
      <c r="B13" s="106"/>
      <c r="C13" s="106"/>
    </row>
    <row r="15" customFormat="false" ht="24" hidden="false" customHeight="true" outlineLevel="0" collapsed="false">
      <c r="A15" s="107" t="s">
        <v>2401</v>
      </c>
      <c r="B15" s="107"/>
      <c r="C15" s="107"/>
    </row>
    <row r="16" customFormat="false" ht="57.75" hidden="false" customHeight="true" outlineLevel="0" collapsed="false">
      <c r="A16" s="103" t="s">
        <v>2402</v>
      </c>
      <c r="B16" s="103"/>
      <c r="C16" s="103"/>
    </row>
    <row r="17" customFormat="false" ht="39.75" hidden="false" customHeight="true" outlineLevel="0" collapsed="false">
      <c r="A17" s="108" t="s">
        <v>2403</v>
      </c>
      <c r="B17" s="108"/>
      <c r="C17" s="108"/>
    </row>
    <row r="19" customFormat="false" ht="24" hidden="false" customHeight="true" outlineLevel="0" collapsed="false">
      <c r="A19" s="109" t="s">
        <v>2404</v>
      </c>
      <c r="B19" s="109"/>
      <c r="C19" s="109"/>
    </row>
    <row r="20" customFormat="false" ht="57.75" hidden="false" customHeight="true" outlineLevel="0" collapsed="false">
      <c r="A20" s="103" t="s">
        <v>2405</v>
      </c>
      <c r="B20" s="103"/>
      <c r="C20" s="103"/>
    </row>
    <row r="21" customFormat="false" ht="39.75" hidden="false" customHeight="true" outlineLevel="0" collapsed="false">
      <c r="A21" s="110" t="s">
        <v>2406</v>
      </c>
      <c r="B21" s="110"/>
      <c r="C21" s="110"/>
    </row>
    <row r="23" customFormat="false" ht="24" hidden="false" customHeight="true" outlineLevel="0" collapsed="false">
      <c r="A23" s="111" t="s">
        <v>2407</v>
      </c>
      <c r="B23" s="111"/>
      <c r="C23" s="111"/>
    </row>
    <row r="24" customFormat="false" ht="57.75" hidden="false" customHeight="true" outlineLevel="0" collapsed="false">
      <c r="A24" s="103" t="s">
        <v>2408</v>
      </c>
      <c r="B24" s="103"/>
      <c r="C24" s="103"/>
    </row>
    <row r="25" customFormat="false" ht="39.75" hidden="false" customHeight="true" outlineLevel="0" collapsed="false">
      <c r="A25" s="112" t="s">
        <v>2409</v>
      </c>
      <c r="B25" s="112"/>
      <c r="C25" s="112"/>
    </row>
    <row r="27" customFormat="false" ht="24" hidden="false" customHeight="true" outlineLevel="0" collapsed="false">
      <c r="A27" s="100" t="s">
        <v>2410</v>
      </c>
      <c r="B27" s="100"/>
      <c r="C27" s="100"/>
    </row>
    <row r="28" customFormat="false" ht="57.75" hidden="false" customHeight="true" outlineLevel="0" collapsed="false">
      <c r="A28" s="103" t="s">
        <v>2411</v>
      </c>
      <c r="B28" s="103"/>
      <c r="C28" s="103"/>
    </row>
    <row r="29" customFormat="false" ht="39.75" hidden="false" customHeight="true" outlineLevel="0" collapsed="false">
      <c r="A29" s="113" t="s">
        <v>2412</v>
      </c>
      <c r="B29" s="113"/>
      <c r="C29" s="113"/>
    </row>
    <row r="31" customFormat="false" ht="24" hidden="false" customHeight="true" outlineLevel="0" collapsed="false">
      <c r="A31" s="114" t="s">
        <v>2413</v>
      </c>
      <c r="B31" s="114"/>
      <c r="C31" s="114"/>
    </row>
    <row r="32" customFormat="false" ht="57.75" hidden="false" customHeight="true" outlineLevel="0" collapsed="false">
      <c r="A32" s="103" t="s">
        <v>2414</v>
      </c>
      <c r="B32" s="103"/>
      <c r="C32" s="103"/>
    </row>
    <row r="33" customFormat="false" ht="39.75" hidden="false" customHeight="true" outlineLevel="0" collapsed="false">
      <c r="A33" s="115" t="s">
        <v>2415</v>
      </c>
      <c r="B33" s="115"/>
      <c r="C33" s="115"/>
    </row>
    <row r="35" customFormat="false" ht="24" hidden="false" customHeight="true" outlineLevel="0" collapsed="false">
      <c r="A35" s="100" t="s">
        <v>2416</v>
      </c>
      <c r="B35" s="100"/>
      <c r="C35" s="100"/>
    </row>
    <row r="36" customFormat="false" ht="30" hidden="false" customHeight="true" outlineLevel="0" collapsed="false">
      <c r="A36" s="116" t="s">
        <v>2417</v>
      </c>
      <c r="B36" s="116"/>
      <c r="C36" s="116"/>
    </row>
    <row r="37" customFormat="false" ht="30" hidden="false" customHeight="true" outlineLevel="0" collapsed="false">
      <c r="A37" s="117" t="s">
        <v>2418</v>
      </c>
      <c r="B37" s="117"/>
      <c r="C37" s="117"/>
    </row>
    <row r="38" customFormat="false" ht="30" hidden="false" customHeight="true" outlineLevel="0" collapsed="false">
      <c r="A38" s="118" t="s">
        <v>2419</v>
      </c>
      <c r="B38" s="118"/>
      <c r="C38" s="118"/>
    </row>
    <row r="40" customFormat="false" ht="22.35" hidden="false" customHeight="true" outlineLevel="0" collapsed="false">
      <c r="A40" s="119" t="s">
        <v>2420</v>
      </c>
      <c r="B40" s="119"/>
      <c r="C40" s="119"/>
    </row>
  </sheetData>
  <mergeCells count="30">
    <mergeCell ref="A1:C1"/>
    <mergeCell ref="A2:C2"/>
    <mergeCell ref="A4:C4"/>
    <mergeCell ref="A5:C5"/>
    <mergeCell ref="A7:C7"/>
    <mergeCell ref="A8:C8"/>
    <mergeCell ref="A9:C9"/>
    <mergeCell ref="A11:C11"/>
    <mergeCell ref="A12:C12"/>
    <mergeCell ref="A13:C13"/>
    <mergeCell ref="A15:C15"/>
    <mergeCell ref="A16:C16"/>
    <mergeCell ref="A17:C17"/>
    <mergeCell ref="A19:C19"/>
    <mergeCell ref="A20:C20"/>
    <mergeCell ref="A21:C21"/>
    <mergeCell ref="A23:C23"/>
    <mergeCell ref="A24:C24"/>
    <mergeCell ref="A25:C25"/>
    <mergeCell ref="A27:C27"/>
    <mergeCell ref="A28:C28"/>
    <mergeCell ref="A29:C29"/>
    <mergeCell ref="A31:C31"/>
    <mergeCell ref="A32:C32"/>
    <mergeCell ref="A33:C33"/>
    <mergeCell ref="A35:C35"/>
    <mergeCell ref="A36:C36"/>
    <mergeCell ref="A37:C37"/>
    <mergeCell ref="A38:C38"/>
    <mergeCell ref="A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2026-09-25T14:52:18Z</dcterms:created>
  <dc:creator>openpyxl</dc:creator>
  <dc:description/>
  <dc:language>en-US</dc:language>
  <cp:lastModifiedBy/>
  <dcterms:modified xsi:type="dcterms:W3CDTF">2026-09-25T14:52:28Z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